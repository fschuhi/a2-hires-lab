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4.xml" ContentType="application/vnd.ms-excel.controlproperties+xml"/>
  <Override PartName="/xl/drawings/drawing1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25A298DF-69B5-424F-AE1B-A130D12F026A}" xr6:coauthVersionLast="47" xr6:coauthVersionMax="47" xr10:uidLastSave="{00000000-0000-0000-0000-000000000000}"/>
  <bookViews>
    <workbookView xWindow="-98" yWindow="-98" windowWidth="22875" windowHeight="14431" tabRatio="500" xr2:uid="{00000000-000D-0000-FFFF-FFFF00000000}"/>
  </bookViews>
  <sheets>
    <sheet name="Intro" sheetId="22" r:id="rId1"/>
    <sheet name="&gt; comments &lt;" sheetId="23" r:id="rId2"/>
    <sheet name="Versions" sheetId="24" r:id="rId3"/>
    <sheet name="Worksheets matrix" sheetId="25" r:id="rId4"/>
    <sheet name="Sprite Shifting" sheetId="20" r:id="rId5"/>
    <sheet name="Sprite Shifter" sheetId="21" r:id="rId6"/>
    <sheet name="Sprite (load)" sheetId="10" r:id="rId7"/>
    <sheet name="Pixel Shifting" sheetId="16" r:id="rId8"/>
    <sheet name="Pixel Shifter" sheetId="13" r:id="rId9"/>
    <sheet name="Pixel Shift Pattern Table" sheetId="19" r:id="rId10"/>
    <sheet name="Pixel Shift Table" sheetId="14" r:id="rId11"/>
    <sheet name="Pixel Shift Pages" sheetId="15" r:id="rId12"/>
    <sheet name="pixel_pattern_table.asm" sheetId="11" r:id="rId13"/>
    <sheet name="pixel_shift_table.asm" sheetId="12" r:id="rId14"/>
    <sheet name="Sprites" sheetId="17" r:id="rId15"/>
    <sheet name="Sprite Loader" sheetId="8" r:id="rId16"/>
    <sheet name="Sprite (S)" sheetId="1" r:id="rId17"/>
    <sheet name="Sprite (Player)" sheetId="4" r:id="rId18"/>
    <sheet name="Sprite (Player HB0)" sheetId="5" r:id="rId19"/>
    <sheet name="Sprite (HB0&lt;&gt;HB1)" sheetId="6" r:id="rId20"/>
    <sheet name="Sprite Data" sheetId="9" r:id="rId21"/>
    <sheet name="sprite_data.asm" sheetId="7" r:id="rId22"/>
    <sheet name="End" sheetId="18" r:id="rId23"/>
  </sheets>
  <functionGroups builtInGroupCount="19"/>
  <definedNames>
    <definedName name="_" localSheetId="3">'Worksheets matrix'!$C$4</definedName>
    <definedName name="_xlnm._FilterDatabase" localSheetId="12" hidden="1">pixel_pattern_table.asm!$A$1:$F$513</definedName>
    <definedName name="_xleta.AND" hidden="1" xlm="1">#NAME?</definedName>
    <definedName name="_xleta.BIN2HEX" hidden="1" xlm="1">#NAME?</definedName>
    <definedName name="_xleta.IF" hidden="1" xlm="1">#NAME?</definedName>
    <definedName name="_xleta.TOROW" hidden="1" xlm="1">#NAME?</definedName>
    <definedName name="_xlop.vIfNotZero" hidden="1" xlm="1">#NAME?</definedName>
    <definedName name="_xlpm.b" hidden="1" xlm="1">#NAME?</definedName>
    <definedName name="_xlpm.idx" hidden="1" xlm="1">#NAME?</definedName>
    <definedName name="_xlpm.r" hidden="1" xlm="1">#NAME?</definedName>
    <definedName name="_xlpm.spalte" hidden="1" xlm="1">#NAME?</definedName>
    <definedName name="_xlpm.v" hidden="1" xlm="1">#NAME?</definedName>
    <definedName name="_xlpm.vDatum" hidden="1" xlm="1">#NAME?</definedName>
    <definedName name="_xlpm.vIfNotZero" hidden="1" xlm="1">#NAME?</definedName>
    <definedName name="_xlpm.vIfZero" hidden="1" xlm="1">#NAME?</definedName>
    <definedName name="_xlpm.zeile" hidden="1" xlm="1">#NAME?</definedName>
    <definedName name="AddrByte0">'Sprite Loader'!$D$7:$D$17</definedName>
    <definedName name="AddrByte1">'Sprite Loader'!$E$7:$E$17</definedName>
    <definedName name="BitsByte0" localSheetId="19">'Sprite (HB0&lt;&gt;HB1)'!$T$4:$T$14</definedName>
    <definedName name="BitsByte0" localSheetId="6">'Sprite (load)'!$T$4:$T$14</definedName>
    <definedName name="BitsByte0" localSheetId="18">'Sprite (Player HB0)'!$T$4:$T$14</definedName>
    <definedName name="BitsByte0" localSheetId="17">'Sprite (Player)'!$T$4:$T$14</definedName>
    <definedName name="BitsByte0" localSheetId="16">'Sprite (S)'!$T$4:$T$14</definedName>
    <definedName name="BitsByte1" localSheetId="19">'Sprite (HB0&lt;&gt;HB1)'!$U$4:$U$14</definedName>
    <definedName name="BitsByte1" localSheetId="6">'Sprite (load)'!$U$4:$U$14</definedName>
    <definedName name="BitsByte1" localSheetId="18">'Sprite (Player HB0)'!$U$4:$U$14</definedName>
    <definedName name="BitsByte1" localSheetId="17">'Sprite (Player)'!$U$4:$U$14</definedName>
    <definedName name="BitsByte1" localSheetId="16">'Sprite (S)'!$U$4:$U$14</definedName>
    <definedName name="ClearCells" localSheetId="0">Intro!$L$40:$M$42,Intro!$K$3</definedName>
    <definedName name="EditorByte0" localSheetId="19">'Sprite (HB0&lt;&gt;HB1)'!$B$4:$H$14</definedName>
    <definedName name="EditorByte0" localSheetId="6">'Sprite (load)'!$B$4:$H$14</definedName>
    <definedName name="EditorByte0" localSheetId="18">'Sprite (Player HB0)'!$B$4:$H$14</definedName>
    <definedName name="EditorByte0" localSheetId="17">'Sprite (Player)'!$B$4:$H$14</definedName>
    <definedName name="EditorByte0" localSheetId="16">'Sprite (S)'!$B$4:$H$14</definedName>
    <definedName name="EditorByte1" localSheetId="19">'Sprite (HB0&lt;&gt;HB1)'!$J$4:$P$14</definedName>
    <definedName name="EditorByte1" localSheetId="6">'Sprite (load)'!$J$4:$P$14</definedName>
    <definedName name="EditorByte1" localSheetId="18">'Sprite (Player HB0)'!$J$4:$P$14</definedName>
    <definedName name="EditorByte1" localSheetId="17">'Sprite (Player)'!$J$4:$P$14</definedName>
    <definedName name="EditorByte1" localSheetId="16">'Sprite (S)'!$J$4:$P$14</definedName>
    <definedName name="HexByte0" localSheetId="19">'Sprite (HB0&lt;&gt;HB1)'!$R$4:$R$14</definedName>
    <definedName name="HexByte0" localSheetId="6">'Sprite (load)'!$R$4:$R$14</definedName>
    <definedName name="HexByte0" localSheetId="18">'Sprite (Player HB0)'!$R$4:$R$14</definedName>
    <definedName name="HexByte0" localSheetId="17">'Sprite (Player)'!$R$4:$R$14</definedName>
    <definedName name="HexByte0" localSheetId="16">'Sprite (S)'!$R$4:$R$14</definedName>
    <definedName name="HexByte1" localSheetId="19">'Sprite (HB0&lt;&gt;HB1)'!$S$4:$S$14</definedName>
    <definedName name="HexByte1" localSheetId="6">'Sprite (load)'!$S$4:$S$14</definedName>
    <definedName name="HexByte1" localSheetId="18">'Sprite (Player HB0)'!$S$4:$S$14</definedName>
    <definedName name="HexByte1" localSheetId="17">'Sprite (Player)'!$S$4:$S$14</definedName>
    <definedName name="HexByte1" localSheetId="16">'Sprite (S)'!$S$4:$S$14</definedName>
    <definedName name="HighBit0" localSheetId="19">'Sprite (HB0&lt;&gt;HB1)'!$I$4:$I$14</definedName>
    <definedName name="HighBit0" localSheetId="6">'Sprite (load)'!$I$4:$I$14</definedName>
    <definedName name="HighBit0" localSheetId="18">'Sprite (Player HB0)'!$I$4:$I$14</definedName>
    <definedName name="HighBit0" localSheetId="17">'Sprite (Player)'!$I$4:$I$14</definedName>
    <definedName name="HighBit0" localSheetId="16">'Sprite (S)'!$I$4:$I$14</definedName>
    <definedName name="HighBit1" localSheetId="19">'Sprite (HB0&lt;&gt;HB1)'!$Q$4:$Q$14</definedName>
    <definedName name="HighBit1" localSheetId="6">'Sprite (load)'!$Q$4:$Q$14</definedName>
    <definedName name="HighBit1" localSheetId="18">'Sprite (Player HB0)'!$Q$4:$Q$14</definedName>
    <definedName name="HighBit1" localSheetId="17">'Sprite (Player)'!$Q$4:$Q$14</definedName>
    <definedName name="HighBit1" localSheetId="16">'Sprite (S)'!$Q$4:$Q$14</definedName>
    <definedName name="InputPixels" localSheetId="8">'Pixel Shifter'!$C$6:$I$6</definedName>
    <definedName name="MasterCheck">Intro!$L$40</definedName>
    <definedName name="PixelPatternTable">pixel_pattern_table.asm!$E$2:$F$513</definedName>
    <definedName name="PixelShiftPages">'Pixel Shift Pages'!$A$2:$G$2</definedName>
    <definedName name="PixelShiftPatternTable">'Pixel Shift Pattern Table'!$AK$3:$AZ$114</definedName>
    <definedName name="PixelShiftTable" localSheetId="9">'Pixel Shift Pattern Table'!$B$3:$Q$114</definedName>
    <definedName name="PixelShiftTable">pixel_shift_table.asm!$C$3:$R$114</definedName>
    <definedName name="SkipWorksheets">Intro!$I$60:$I$67</definedName>
    <definedName name="SpriteBaseAddress">'Sprite Loader'!$C$2</definedName>
    <definedName name="SpriteCount">'Sprite Loader'!$C$3</definedName>
    <definedName name="SpriteData">'Sprite Data'!$B$3:$Q$145</definedName>
    <definedName name="SpriteToLoad">'Sprite (load)'!$X$1</definedName>
    <definedName name="ViewerGrid" localSheetId="19">'Sprite (HB0&lt;&gt;HB1)'!$B$17:$H$27,'Sprite (HB0&lt;&gt;HB1)'!$J$17:$P$27</definedName>
    <definedName name="ViewerGrid" localSheetId="6">'Sprite (load)'!$B$17:$H$27,'Sprite (load)'!$J$17:$P$27</definedName>
    <definedName name="ViewerGrid" localSheetId="18">'Sprite (Player HB0)'!$B$17:$H$27,'Sprite (Player HB0)'!$J$17:$P$27</definedName>
    <definedName name="ViewerGrid" localSheetId="17">'Sprite (Player)'!$B$17:$H$27,'Sprite (Player)'!$J$17:$P$27</definedName>
    <definedName name="ViewerGrid" localSheetId="16">'Sprite (S)'!$B$17:$H$27,'Sprite (S)'!$J$17:$P$27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29" i="17" l="1"/>
  <c r="I29" i="16"/>
  <c r="I29" i="20"/>
  <c r="L43" i="22"/>
  <c r="L42" i="22"/>
  <c r="L41" i="22"/>
  <c r="X19" i="25"/>
  <c r="W19" i="25"/>
  <c r="Q4" i="25"/>
  <c r="L17" i="25"/>
  <c r="K13" i="25"/>
  <c r="K17" i="25"/>
  <c r="J4" i="25"/>
  <c r="H17" i="25"/>
  <c r="H10" i="25"/>
  <c r="F9" i="25"/>
  <c r="F11" i="25"/>
  <c r="F6" i="25"/>
  <c r="F4" i="25"/>
  <c r="C5" i="25"/>
  <c r="C7" i="25"/>
  <c r="R25" i="25"/>
  <c r="R24" i="25"/>
  <c r="C18" i="25"/>
  <c r="P13" i="25"/>
  <c r="L12" i="25"/>
  <c r="P12" i="25"/>
  <c r="C11" i="25"/>
  <c r="P9" i="25"/>
  <c r="I9" i="25"/>
  <c r="H7" i="25"/>
  <c r="J7" i="25"/>
  <c r="E7" i="25"/>
  <c r="D4" i="25"/>
  <c r="W25" i="25"/>
  <c r="R10" i="25"/>
  <c r="M17" i="25"/>
  <c r="L16" i="25"/>
  <c r="K16" i="25"/>
  <c r="K15" i="25"/>
  <c r="H16" i="25"/>
  <c r="H15" i="25"/>
  <c r="G4" i="25"/>
  <c r="F18" i="25"/>
  <c r="F8" i="25"/>
  <c r="F5" i="25"/>
  <c r="D9" i="25"/>
  <c r="C6" i="25"/>
  <c r="E4" i="25"/>
  <c r="X24" i="25"/>
  <c r="I19" i="25"/>
  <c r="P14" i="25"/>
  <c r="O13" i="25"/>
  <c r="O12" i="25"/>
  <c r="N12" i="25"/>
  <c r="O9" i="25"/>
  <c r="N9" i="25"/>
  <c r="C8" i="25"/>
  <c r="Q7" i="25"/>
  <c r="G7" i="25"/>
  <c r="D7" i="25"/>
  <c r="H5" i="25"/>
  <c r="M41" i="22" a="1"/>
  <c r="I63" i="22" a="1"/>
  <c r="M43" i="22" a="1"/>
  <c r="I64" i="22" a="1"/>
  <c r="I60" i="22" a="1"/>
  <c r="K3" i="22" a="1"/>
  <c r="M42" i="22" a="1"/>
  <c r="I61" i="22" a="1"/>
  <c r="I65" i="22" a="1"/>
  <c r="I66" i="22" a="1"/>
  <c r="I62" i="22" a="1"/>
  <c r="B156" i="23"/>
  <c r="B92" i="23"/>
  <c r="B28" i="23"/>
  <c r="B143" i="23"/>
  <c r="B15" i="23"/>
  <c r="B90" i="23"/>
  <c r="B157" i="23"/>
  <c r="B21" i="23"/>
  <c r="B75" i="23"/>
  <c r="B146" i="23"/>
  <c r="B14" i="23"/>
  <c r="B93" i="23"/>
  <c r="B6" i="23"/>
  <c r="B173" i="23"/>
  <c r="B87" i="23"/>
  <c r="B193" i="23"/>
  <c r="B168" i="23"/>
  <c r="B104" i="23"/>
  <c r="B40" i="23"/>
  <c r="B167" i="23"/>
  <c r="B39" i="23"/>
  <c r="B110" i="23"/>
  <c r="B181" i="23"/>
  <c r="B45" i="23"/>
  <c r="B95" i="23"/>
  <c r="B170" i="23"/>
  <c r="B169" i="23"/>
  <c r="B141" i="23"/>
  <c r="B59" i="23"/>
  <c r="B30" i="23"/>
  <c r="B196" i="23"/>
  <c r="B132" i="23"/>
  <c r="B68" i="23"/>
  <c r="B4" i="23"/>
  <c r="B99" i="23"/>
  <c r="B166" i="23"/>
  <c r="B42" i="23"/>
  <c r="B176" i="23"/>
  <c r="B112" i="23"/>
  <c r="B48" i="23"/>
  <c r="B179" i="23"/>
  <c r="B55" i="23"/>
  <c r="B126" i="23"/>
  <c r="B197" i="23"/>
  <c r="B61" i="23"/>
  <c r="B186" i="23"/>
  <c r="B125" i="23"/>
  <c r="B22" i="23"/>
  <c r="B107" i="23"/>
  <c r="B109" i="23"/>
  <c r="B106" i="23"/>
  <c r="B5" i="23"/>
  <c r="B100" i="23"/>
  <c r="B31" i="23"/>
  <c r="B41" i="23"/>
  <c r="B123" i="23"/>
  <c r="B66" i="23"/>
  <c r="B122" i="23"/>
  <c r="A2" i="23"/>
  <c r="B2" i="23" s="1"/>
  <c r="B140" i="23"/>
  <c r="B76" i="23"/>
  <c r="B12" i="23"/>
  <c r="B115" i="23"/>
  <c r="B182" i="23"/>
  <c r="B58" i="23"/>
  <c r="B117" i="23"/>
  <c r="B171" i="23"/>
  <c r="B43" i="23"/>
  <c r="B114" i="23"/>
  <c r="B177" i="23"/>
  <c r="B57" i="23"/>
  <c r="B137" i="23"/>
  <c r="B101" i="23"/>
  <c r="B27" i="23"/>
  <c r="B105" i="23"/>
  <c r="B152" i="23"/>
  <c r="B88" i="23"/>
  <c r="B24" i="23"/>
  <c r="B135" i="23"/>
  <c r="B7" i="23"/>
  <c r="B82" i="23"/>
  <c r="B149" i="23"/>
  <c r="B13" i="23"/>
  <c r="B67" i="23"/>
  <c r="B138" i="23"/>
  <c r="B113" i="23"/>
  <c r="B69" i="23"/>
  <c r="B194" i="23"/>
  <c r="B161" i="23"/>
  <c r="B180" i="23"/>
  <c r="B116" i="23"/>
  <c r="B52" i="23"/>
  <c r="B183" i="23"/>
  <c r="B63" i="23"/>
  <c r="B134" i="23"/>
  <c r="B129" i="23"/>
  <c r="B160" i="23"/>
  <c r="B96" i="23"/>
  <c r="B32" i="23"/>
  <c r="B151" i="23"/>
  <c r="B23" i="23"/>
  <c r="B98" i="23"/>
  <c r="B165" i="23"/>
  <c r="B29" i="23"/>
  <c r="B79" i="23"/>
  <c r="B97" i="23"/>
  <c r="B8" i="23"/>
  <c r="B50" i="23"/>
  <c r="B163" i="23"/>
  <c r="B49" i="23"/>
  <c r="B164" i="23"/>
  <c r="B159" i="23"/>
  <c r="B102" i="23"/>
  <c r="B80" i="23"/>
  <c r="B190" i="23"/>
  <c r="B187" i="23"/>
  <c r="B65" i="23"/>
  <c r="B188" i="23"/>
  <c r="B124" i="23"/>
  <c r="B60" i="23"/>
  <c r="B195" i="23"/>
  <c r="B83" i="23"/>
  <c r="B150" i="23"/>
  <c r="B26" i="23"/>
  <c r="B85" i="23"/>
  <c r="B139" i="23"/>
  <c r="B11" i="23"/>
  <c r="B78" i="23"/>
  <c r="B145" i="23"/>
  <c r="B25" i="23"/>
  <c r="B81" i="23"/>
  <c r="B37" i="23"/>
  <c r="B162" i="23"/>
  <c r="B9" i="23"/>
  <c r="B136" i="23"/>
  <c r="B174" i="23"/>
  <c r="B130" i="23"/>
  <c r="B172" i="23"/>
  <c r="B108" i="23"/>
  <c r="B44" i="23"/>
  <c r="B175" i="23"/>
  <c r="B47" i="23"/>
  <c r="B118" i="23"/>
  <c r="B189" i="23"/>
  <c r="B53" i="23"/>
  <c r="B103" i="23"/>
  <c r="B178" i="23"/>
  <c r="B46" i="23"/>
  <c r="B121" i="23"/>
  <c r="B70" i="23"/>
  <c r="B17" i="23"/>
  <c r="B155" i="23"/>
  <c r="B62" i="23"/>
  <c r="B184" i="23"/>
  <c r="B120" i="23"/>
  <c r="B56" i="23"/>
  <c r="B191" i="23"/>
  <c r="B71" i="23"/>
  <c r="B142" i="23"/>
  <c r="B18" i="23"/>
  <c r="B77" i="23"/>
  <c r="B127" i="23"/>
  <c r="B3" i="23"/>
  <c r="B38" i="23"/>
  <c r="B10" i="23"/>
  <c r="B119" i="23"/>
  <c r="B94" i="23"/>
  <c r="B33" i="23"/>
  <c r="B148" i="23"/>
  <c r="B84" i="23"/>
  <c r="B20" i="23"/>
  <c r="B131" i="23"/>
  <c r="B198" i="23"/>
  <c r="B74" i="23"/>
  <c r="B192" i="23"/>
  <c r="B128" i="23"/>
  <c r="B64" i="23"/>
  <c r="B199" i="23"/>
  <c r="B91" i="23"/>
  <c r="B158" i="23"/>
  <c r="B34" i="23"/>
  <c r="B89" i="23"/>
  <c r="B147" i="23"/>
  <c r="B19" i="23"/>
  <c r="B86" i="23"/>
  <c r="B153" i="23"/>
  <c r="B111" i="23"/>
  <c r="B54" i="23"/>
  <c r="B154" i="23"/>
  <c r="B72" i="23"/>
  <c r="B35" i="23"/>
  <c r="B73" i="23"/>
  <c r="B36" i="23"/>
  <c r="B144" i="23"/>
  <c r="B16" i="23"/>
  <c r="B133" i="23"/>
  <c r="B51" i="23"/>
  <c r="B185" i="23"/>
  <c r="M41" i="22" l="1"/>
  <c r="M43" i="22"/>
  <c r="M42" i="22"/>
  <c r="I66" i="22"/>
  <c r="I65" i="22"/>
  <c r="I64" i="22"/>
  <c r="I63" i="22"/>
  <c r="K3" i="22"/>
  <c r="I61" i="22"/>
  <c r="I62" i="22"/>
  <c r="I60" i="22"/>
  <c r="L40" i="22" l="1"/>
  <c r="B3" i="9" l="1" a="1"/>
  <c r="B3" i="9" s="1"/>
  <c r="I7" i="21"/>
  <c r="E17" i="8"/>
  <c r="D17" i="8"/>
  <c r="E16" i="8"/>
  <c r="D16" i="8"/>
  <c r="E15" i="8"/>
  <c r="D15" i="8"/>
  <c r="E14" i="8"/>
  <c r="D14" i="8"/>
  <c r="E13" i="8"/>
  <c r="D13" i="8"/>
  <c r="E12" i="8"/>
  <c r="D12" i="8"/>
  <c r="E11" i="8"/>
  <c r="D11" i="8"/>
  <c r="E10" i="8"/>
  <c r="D10" i="8"/>
  <c r="E9" i="8"/>
  <c r="D9" i="8"/>
  <c r="E8" i="8"/>
  <c r="D8" i="8"/>
  <c r="E7" i="8"/>
  <c r="D7" i="8"/>
  <c r="AO45" i="21"/>
  <c r="AI45" i="21"/>
  <c r="AO44" i="21"/>
  <c r="AI44" i="21"/>
  <c r="AO43" i="21"/>
  <c r="AI43" i="21"/>
  <c r="AO42" i="21"/>
  <c r="AI42" i="21"/>
  <c r="AO41" i="21"/>
  <c r="AI41" i="21"/>
  <c r="AO40" i="21"/>
  <c r="AI40" i="21"/>
  <c r="AO39" i="21"/>
  <c r="AI39" i="21"/>
  <c r="AO38" i="21"/>
  <c r="AI38" i="21"/>
  <c r="AO37" i="21"/>
  <c r="AI37" i="21"/>
  <c r="AO36" i="21"/>
  <c r="AI36" i="21"/>
  <c r="AO35" i="21"/>
  <c r="AI35" i="21"/>
  <c r="B35" i="21"/>
  <c r="AG35" i="21" s="1" a="1"/>
  <c r="AG35" i="21" s="1"/>
  <c r="AO32" i="21"/>
  <c r="AI32" i="21"/>
  <c r="AO31" i="21"/>
  <c r="AI31" i="21"/>
  <c r="AO30" i="21"/>
  <c r="AI30" i="21"/>
  <c r="AO29" i="21"/>
  <c r="AI29" i="21"/>
  <c r="AO28" i="21"/>
  <c r="AI28" i="21"/>
  <c r="AO27" i="21"/>
  <c r="AI27" i="21"/>
  <c r="AO26" i="21"/>
  <c r="AI26" i="21"/>
  <c r="AO25" i="21"/>
  <c r="AI25" i="21"/>
  <c r="AO24" i="21"/>
  <c r="AI24" i="21"/>
  <c r="AO23" i="21"/>
  <c r="AI23" i="21"/>
  <c r="B23" i="21"/>
  <c r="B24" i="21" s="1"/>
  <c r="B37" i="21" s="1"/>
  <c r="AG37" i="21" s="1" a="1"/>
  <c r="AG37" i="21" s="1"/>
  <c r="AO22" i="21"/>
  <c r="AI22" i="21"/>
  <c r="AG22" i="21" a="1"/>
  <c r="AG22" i="21" s="1"/>
  <c r="S15" i="21"/>
  <c r="S45" i="21" s="1"/>
  <c r="S14" i="21"/>
  <c r="S44" i="21" s="1"/>
  <c r="S13" i="21"/>
  <c r="S43" i="21" s="1"/>
  <c r="S12" i="21"/>
  <c r="S42" i="21" s="1"/>
  <c r="S11" i="21"/>
  <c r="S41" i="21" s="1"/>
  <c r="S10" i="21"/>
  <c r="S40" i="21" s="1"/>
  <c r="S9" i="21"/>
  <c r="S39" i="21" s="1"/>
  <c r="S8" i="21"/>
  <c r="S38" i="21" s="1"/>
  <c r="S7" i="21"/>
  <c r="S37" i="21" s="1"/>
  <c r="S6" i="21"/>
  <c r="S36" i="21" s="1"/>
  <c r="S5" i="21"/>
  <c r="S35" i="21" s="1"/>
  <c r="R15" i="21"/>
  <c r="R45" i="21" s="1"/>
  <c r="Q15" i="21"/>
  <c r="Q45" i="21" s="1"/>
  <c r="P15" i="21"/>
  <c r="P45" i="21" s="1"/>
  <c r="O15" i="21"/>
  <c r="O45" i="21" s="1"/>
  <c r="N15" i="21"/>
  <c r="N45" i="21" s="1"/>
  <c r="M15" i="21"/>
  <c r="M45" i="21" s="1"/>
  <c r="L15" i="21"/>
  <c r="L45" i="21" s="1"/>
  <c r="K15" i="21"/>
  <c r="K32" i="21" s="1"/>
  <c r="J15" i="21"/>
  <c r="J32" i="21" s="1"/>
  <c r="I15" i="21"/>
  <c r="I32" i="21" s="1"/>
  <c r="H15" i="21"/>
  <c r="H32" i="21" s="1"/>
  <c r="G15" i="21"/>
  <c r="G32" i="21" s="1"/>
  <c r="F15" i="21"/>
  <c r="F32" i="21" s="1"/>
  <c r="E15" i="21"/>
  <c r="E32" i="21" s="1"/>
  <c r="D15" i="21"/>
  <c r="D32" i="21" s="1"/>
  <c r="R14" i="21"/>
  <c r="R44" i="21" s="1"/>
  <c r="Q14" i="21"/>
  <c r="Q44" i="21" s="1"/>
  <c r="P14" i="21"/>
  <c r="P44" i="21" s="1"/>
  <c r="O14" i="21"/>
  <c r="O44" i="21" s="1"/>
  <c r="N14" i="21"/>
  <c r="N44" i="21" s="1"/>
  <c r="M14" i="21"/>
  <c r="M44" i="21" s="1"/>
  <c r="L14" i="21"/>
  <c r="L44" i="21" s="1"/>
  <c r="K14" i="21"/>
  <c r="K31" i="21" s="1"/>
  <c r="J14" i="21"/>
  <c r="J31" i="21" s="1"/>
  <c r="I14" i="21"/>
  <c r="I31" i="21" s="1"/>
  <c r="H14" i="21"/>
  <c r="H31" i="21" s="1"/>
  <c r="G14" i="21"/>
  <c r="G31" i="21" s="1"/>
  <c r="F14" i="21"/>
  <c r="F31" i="21" s="1"/>
  <c r="E14" i="21"/>
  <c r="E31" i="21" s="1"/>
  <c r="D14" i="21"/>
  <c r="D31" i="21" s="1"/>
  <c r="R13" i="21"/>
  <c r="R43" i="21" s="1"/>
  <c r="Q13" i="21"/>
  <c r="Q43" i="21" s="1"/>
  <c r="P13" i="21"/>
  <c r="P43" i="21" s="1"/>
  <c r="O13" i="21"/>
  <c r="O43" i="21" s="1"/>
  <c r="N13" i="21"/>
  <c r="N43" i="21" s="1"/>
  <c r="M13" i="21"/>
  <c r="M43" i="21" s="1"/>
  <c r="L13" i="21"/>
  <c r="L43" i="21" s="1"/>
  <c r="K13" i="21"/>
  <c r="K30" i="21" s="1"/>
  <c r="J13" i="21"/>
  <c r="J30" i="21" s="1"/>
  <c r="I13" i="21"/>
  <c r="I30" i="21" s="1"/>
  <c r="H13" i="21"/>
  <c r="H30" i="21" s="1"/>
  <c r="G13" i="21"/>
  <c r="G30" i="21" s="1"/>
  <c r="F13" i="21"/>
  <c r="F30" i="21" s="1"/>
  <c r="E13" i="21"/>
  <c r="E30" i="21" s="1"/>
  <c r="D13" i="21"/>
  <c r="D30" i="21" s="1"/>
  <c r="R12" i="21"/>
  <c r="R42" i="21" s="1"/>
  <c r="Q12" i="21"/>
  <c r="Q42" i="21" s="1"/>
  <c r="P12" i="21"/>
  <c r="P42" i="21" s="1"/>
  <c r="O12" i="21"/>
  <c r="O42" i="21" s="1"/>
  <c r="N12" i="21"/>
  <c r="N42" i="21" s="1"/>
  <c r="M12" i="21"/>
  <c r="M42" i="21" s="1"/>
  <c r="L12" i="21"/>
  <c r="L42" i="21" s="1"/>
  <c r="K12" i="21"/>
  <c r="K29" i="21" s="1"/>
  <c r="J12" i="21"/>
  <c r="J29" i="21" s="1"/>
  <c r="I12" i="21"/>
  <c r="I29" i="21" s="1"/>
  <c r="H12" i="21"/>
  <c r="H29" i="21" s="1"/>
  <c r="G12" i="21"/>
  <c r="G29" i="21" s="1"/>
  <c r="F12" i="21"/>
  <c r="F29" i="21" s="1"/>
  <c r="E12" i="21"/>
  <c r="E29" i="21" s="1"/>
  <c r="D12" i="21"/>
  <c r="D29" i="21" s="1"/>
  <c r="R11" i="21"/>
  <c r="R41" i="21" s="1"/>
  <c r="Q11" i="21"/>
  <c r="Q41" i="21" s="1"/>
  <c r="P11" i="21"/>
  <c r="P41" i="21" s="1"/>
  <c r="O11" i="21"/>
  <c r="O41" i="21" s="1"/>
  <c r="N11" i="21"/>
  <c r="N41" i="21" s="1"/>
  <c r="M11" i="21"/>
  <c r="M41" i="21" s="1"/>
  <c r="L11" i="21"/>
  <c r="L41" i="21" s="1"/>
  <c r="K11" i="21"/>
  <c r="K28" i="21" s="1"/>
  <c r="J11" i="21"/>
  <c r="J28" i="21" s="1"/>
  <c r="I11" i="21"/>
  <c r="I28" i="21" s="1"/>
  <c r="H11" i="21"/>
  <c r="H28" i="21" s="1"/>
  <c r="G11" i="21"/>
  <c r="G28" i="21" s="1"/>
  <c r="F11" i="21"/>
  <c r="F28" i="21" s="1"/>
  <c r="E11" i="21"/>
  <c r="E28" i="21" s="1"/>
  <c r="D11" i="21"/>
  <c r="D28" i="21" s="1"/>
  <c r="R10" i="21"/>
  <c r="R40" i="21" s="1"/>
  <c r="Q10" i="21"/>
  <c r="Q40" i="21" s="1"/>
  <c r="P10" i="21"/>
  <c r="P40" i="21" s="1"/>
  <c r="O10" i="21"/>
  <c r="O40" i="21" s="1"/>
  <c r="N10" i="21"/>
  <c r="N40" i="21" s="1"/>
  <c r="M10" i="21"/>
  <c r="M40" i="21" s="1"/>
  <c r="L10" i="21"/>
  <c r="L40" i="21" s="1"/>
  <c r="K10" i="21"/>
  <c r="K27" i="21" s="1"/>
  <c r="J10" i="21"/>
  <c r="J27" i="21" s="1"/>
  <c r="I10" i="21"/>
  <c r="I27" i="21" s="1"/>
  <c r="H10" i="21"/>
  <c r="H27" i="21" s="1"/>
  <c r="G10" i="21"/>
  <c r="G27" i="21" s="1"/>
  <c r="F10" i="21"/>
  <c r="F27" i="21" s="1"/>
  <c r="E10" i="21"/>
  <c r="E27" i="21" s="1"/>
  <c r="D10" i="21"/>
  <c r="D27" i="21" s="1"/>
  <c r="R9" i="21"/>
  <c r="R39" i="21" s="1"/>
  <c r="Q9" i="21"/>
  <c r="Q39" i="21" s="1"/>
  <c r="P9" i="21"/>
  <c r="P39" i="21" s="1"/>
  <c r="O9" i="21"/>
  <c r="O39" i="21" s="1"/>
  <c r="N9" i="21"/>
  <c r="N39" i="21" s="1"/>
  <c r="M9" i="21"/>
  <c r="M39" i="21" s="1"/>
  <c r="L9" i="21"/>
  <c r="L39" i="21" s="1"/>
  <c r="K9" i="21"/>
  <c r="K26" i="21" s="1"/>
  <c r="J9" i="21"/>
  <c r="J26" i="21" s="1"/>
  <c r="I9" i="21"/>
  <c r="I26" i="21" s="1"/>
  <c r="H9" i="21"/>
  <c r="H26" i="21" s="1"/>
  <c r="G9" i="21"/>
  <c r="G26" i="21" s="1"/>
  <c r="F9" i="21"/>
  <c r="F26" i="21" s="1"/>
  <c r="E9" i="21"/>
  <c r="E26" i="21" s="1"/>
  <c r="D9" i="21"/>
  <c r="D26" i="21" s="1"/>
  <c r="R8" i="21"/>
  <c r="R38" i="21" s="1"/>
  <c r="Q8" i="21"/>
  <c r="Q38" i="21" s="1"/>
  <c r="P8" i="21"/>
  <c r="P38" i="21" s="1"/>
  <c r="O8" i="21"/>
  <c r="O38" i="21" s="1"/>
  <c r="N8" i="21"/>
  <c r="N38" i="21" s="1"/>
  <c r="M8" i="21"/>
  <c r="M38" i="21" s="1"/>
  <c r="L8" i="21"/>
  <c r="L38" i="21" s="1"/>
  <c r="K8" i="21"/>
  <c r="K25" i="21" s="1"/>
  <c r="J8" i="21"/>
  <c r="J25" i="21" s="1"/>
  <c r="I8" i="21"/>
  <c r="I25" i="21" s="1"/>
  <c r="H8" i="21"/>
  <c r="H25" i="21" s="1"/>
  <c r="G8" i="21"/>
  <c r="G25" i="21" s="1"/>
  <c r="F8" i="21"/>
  <c r="F25" i="21" s="1"/>
  <c r="E8" i="21"/>
  <c r="E25" i="21" s="1"/>
  <c r="D8" i="21"/>
  <c r="D25" i="21" s="1"/>
  <c r="R7" i="21"/>
  <c r="R37" i="21" s="1"/>
  <c r="Q7" i="21"/>
  <c r="Q37" i="21" s="1"/>
  <c r="P7" i="21"/>
  <c r="P37" i="21" s="1"/>
  <c r="O7" i="21"/>
  <c r="O37" i="21" s="1"/>
  <c r="N7" i="21"/>
  <c r="N37" i="21" s="1"/>
  <c r="M7" i="21"/>
  <c r="M37" i="21" s="1"/>
  <c r="L7" i="21"/>
  <c r="L37" i="21" s="1"/>
  <c r="K7" i="21"/>
  <c r="K24" i="21" s="1"/>
  <c r="J7" i="21"/>
  <c r="J24" i="21" s="1"/>
  <c r="I24" i="21"/>
  <c r="H7" i="21"/>
  <c r="H24" i="21" s="1"/>
  <c r="G7" i="21"/>
  <c r="G24" i="21" s="1"/>
  <c r="F7" i="21"/>
  <c r="F24" i="21" s="1"/>
  <c r="E7" i="21"/>
  <c r="E24" i="21" s="1"/>
  <c r="D7" i="21"/>
  <c r="D24" i="21" s="1"/>
  <c r="R6" i="21"/>
  <c r="R36" i="21" s="1"/>
  <c r="Q6" i="21"/>
  <c r="Q36" i="21" s="1"/>
  <c r="P6" i="21"/>
  <c r="P36" i="21" s="1"/>
  <c r="O6" i="21"/>
  <c r="O36" i="21" s="1"/>
  <c r="N6" i="21"/>
  <c r="N36" i="21" s="1"/>
  <c r="M6" i="21"/>
  <c r="M36" i="21" s="1"/>
  <c r="L6" i="21"/>
  <c r="L36" i="21" s="1"/>
  <c r="K6" i="21"/>
  <c r="K23" i="21" s="1"/>
  <c r="J6" i="21"/>
  <c r="J23" i="21" s="1"/>
  <c r="I6" i="21"/>
  <c r="I23" i="21" s="1"/>
  <c r="H6" i="21"/>
  <c r="H23" i="21" s="1"/>
  <c r="G6" i="21"/>
  <c r="G23" i="21" s="1"/>
  <c r="F6" i="21"/>
  <c r="F23" i="21" s="1"/>
  <c r="E6" i="21"/>
  <c r="E23" i="21" s="1"/>
  <c r="D6" i="21"/>
  <c r="D23" i="21" s="1"/>
  <c r="R5" i="21"/>
  <c r="R35" i="21" s="1"/>
  <c r="Q5" i="21"/>
  <c r="Q35" i="21" s="1"/>
  <c r="P5" i="21"/>
  <c r="P35" i="21" s="1"/>
  <c r="O5" i="21"/>
  <c r="O35" i="21" s="1"/>
  <c r="N5" i="21"/>
  <c r="N35" i="21" s="1"/>
  <c r="M5" i="21"/>
  <c r="M35" i="21" s="1"/>
  <c r="L5" i="21"/>
  <c r="L35" i="21" s="1"/>
  <c r="K5" i="21"/>
  <c r="K22" i="21" s="1"/>
  <c r="J5" i="21"/>
  <c r="J22" i="21" s="1"/>
  <c r="I5" i="21"/>
  <c r="I22" i="21" s="1"/>
  <c r="H5" i="21"/>
  <c r="H22" i="21" s="1"/>
  <c r="G5" i="21"/>
  <c r="G22" i="21" s="1"/>
  <c r="F5" i="21"/>
  <c r="F22" i="21" s="1"/>
  <c r="E5" i="21"/>
  <c r="E22" i="21" s="1"/>
  <c r="D5" i="21"/>
  <c r="D22" i="21" s="1"/>
  <c r="AK11" i="19" a="1"/>
  <c r="AK11" i="19" s="1"/>
  <c r="X45" i="13"/>
  <c r="V45" i="13" a="1"/>
  <c r="V45" i="13" s="1"/>
  <c r="X44" i="13"/>
  <c r="V44" i="13" a="1"/>
  <c r="V44" i="13" s="1"/>
  <c r="X43" i="13"/>
  <c r="V43" i="13" a="1"/>
  <c r="V43" i="13" s="1"/>
  <c r="X42" i="13"/>
  <c r="V42" i="13" a="1"/>
  <c r="V42" i="13" s="1"/>
  <c r="X41" i="13"/>
  <c r="V41" i="13" a="1"/>
  <c r="V41" i="13" s="1"/>
  <c r="X40" i="13"/>
  <c r="V40" i="13" a="1"/>
  <c r="V40" i="13" s="1"/>
  <c r="X39" i="13"/>
  <c r="V39" i="13" a="1"/>
  <c r="V39" i="13" s="1"/>
  <c r="AZ114" i="19" a="1"/>
  <c r="AZ114" i="19" s="1"/>
  <c r="AY114" i="19" a="1"/>
  <c r="AY114" i="19" s="1"/>
  <c r="AX114" i="19" a="1"/>
  <c r="AX114" i="19" s="1"/>
  <c r="AW114" i="19" a="1"/>
  <c r="AW114" i="19" s="1"/>
  <c r="AV114" i="19" a="1"/>
  <c r="AV114" i="19" s="1"/>
  <c r="AU114" i="19" a="1"/>
  <c r="AU114" i="19" s="1"/>
  <c r="AT114" i="19" a="1"/>
  <c r="AT114" i="19" s="1"/>
  <c r="AS114" i="19" a="1"/>
  <c r="AS114" i="19" s="1"/>
  <c r="AR114" i="19" a="1"/>
  <c r="AR114" i="19" s="1"/>
  <c r="AQ114" i="19" a="1"/>
  <c r="AQ114" i="19" s="1"/>
  <c r="AP114" i="19" a="1"/>
  <c r="AP114" i="19" s="1"/>
  <c r="AO114" i="19" a="1"/>
  <c r="AO114" i="19" s="1"/>
  <c r="AN114" i="19" a="1"/>
  <c r="AN114" i="19" s="1"/>
  <c r="AM114" i="19" a="1"/>
  <c r="AM114" i="19" s="1"/>
  <c r="AL114" i="19" a="1"/>
  <c r="AL114" i="19" s="1"/>
  <c r="AK114" i="19" a="1"/>
  <c r="AK114" i="19" s="1"/>
  <c r="AZ113" i="19" a="1"/>
  <c r="AZ113" i="19" s="1"/>
  <c r="AY113" i="19" a="1"/>
  <c r="AY113" i="19" s="1"/>
  <c r="AX113" i="19" a="1"/>
  <c r="AX113" i="19" s="1"/>
  <c r="AW113" i="19" a="1"/>
  <c r="AW113" i="19" s="1"/>
  <c r="AV113" i="19" a="1"/>
  <c r="AV113" i="19" s="1"/>
  <c r="AU113" i="19" a="1"/>
  <c r="AU113" i="19" s="1"/>
  <c r="AT113" i="19" a="1"/>
  <c r="AT113" i="19" s="1"/>
  <c r="AS113" i="19" a="1"/>
  <c r="AS113" i="19" s="1"/>
  <c r="AR113" i="19" a="1"/>
  <c r="AR113" i="19" s="1"/>
  <c r="AQ113" i="19" a="1"/>
  <c r="AQ113" i="19" s="1"/>
  <c r="AP113" i="19" a="1"/>
  <c r="AP113" i="19" s="1"/>
  <c r="AO113" i="19" a="1"/>
  <c r="AO113" i="19" s="1"/>
  <c r="AN113" i="19" a="1"/>
  <c r="AN113" i="19" s="1"/>
  <c r="AM113" i="19" a="1"/>
  <c r="AM113" i="19" s="1"/>
  <c r="AL113" i="19" a="1"/>
  <c r="AL113" i="19" s="1"/>
  <c r="AK113" i="19" a="1"/>
  <c r="AK113" i="19" s="1"/>
  <c r="AZ112" i="19" a="1"/>
  <c r="AZ112" i="19" s="1"/>
  <c r="AY112" i="19" a="1"/>
  <c r="AY112" i="19" s="1"/>
  <c r="AX112" i="19" a="1"/>
  <c r="AX112" i="19" s="1"/>
  <c r="AW112" i="19" a="1"/>
  <c r="AW112" i="19" s="1"/>
  <c r="AV112" i="19" a="1"/>
  <c r="AV112" i="19" s="1"/>
  <c r="AU112" i="19" a="1"/>
  <c r="AU112" i="19" s="1"/>
  <c r="AT112" i="19" a="1"/>
  <c r="AT112" i="19" s="1"/>
  <c r="AS112" i="19" a="1"/>
  <c r="AS112" i="19" s="1"/>
  <c r="AR112" i="19" a="1"/>
  <c r="AR112" i="19" s="1"/>
  <c r="AQ112" i="19" a="1"/>
  <c r="AQ112" i="19" s="1"/>
  <c r="AP112" i="19" a="1"/>
  <c r="AP112" i="19" s="1"/>
  <c r="AO112" i="19" a="1"/>
  <c r="AO112" i="19" s="1"/>
  <c r="AN112" i="19" a="1"/>
  <c r="AN112" i="19" s="1"/>
  <c r="AM112" i="19" a="1"/>
  <c r="AM112" i="19" s="1"/>
  <c r="AL112" i="19" a="1"/>
  <c r="AL112" i="19" s="1"/>
  <c r="AK112" i="19" a="1"/>
  <c r="AK112" i="19" s="1"/>
  <c r="AZ111" i="19" a="1"/>
  <c r="AZ111" i="19" s="1"/>
  <c r="AY111" i="19" a="1"/>
  <c r="AY111" i="19" s="1"/>
  <c r="AX111" i="19" a="1"/>
  <c r="AX111" i="19" s="1"/>
  <c r="AW111" i="19" a="1"/>
  <c r="AW111" i="19" s="1"/>
  <c r="AV111" i="19" a="1"/>
  <c r="AV111" i="19" s="1"/>
  <c r="AU111" i="19" a="1"/>
  <c r="AU111" i="19" s="1"/>
  <c r="AT111" i="19" a="1"/>
  <c r="AT111" i="19" s="1"/>
  <c r="AS111" i="19" a="1"/>
  <c r="AS111" i="19" s="1"/>
  <c r="AR111" i="19" a="1"/>
  <c r="AR111" i="19" s="1"/>
  <c r="AQ111" i="19" a="1"/>
  <c r="AQ111" i="19" s="1"/>
  <c r="AP111" i="19" a="1"/>
  <c r="AP111" i="19" s="1"/>
  <c r="AO111" i="19" a="1"/>
  <c r="AO111" i="19" s="1"/>
  <c r="AN111" i="19" a="1"/>
  <c r="AN111" i="19" s="1"/>
  <c r="AM111" i="19" a="1"/>
  <c r="AM111" i="19" s="1"/>
  <c r="AL111" i="19" a="1"/>
  <c r="AL111" i="19" s="1"/>
  <c r="AK111" i="19" a="1"/>
  <c r="AK111" i="19" s="1"/>
  <c r="AZ110" i="19" a="1"/>
  <c r="AZ110" i="19" s="1"/>
  <c r="AY110" i="19" a="1"/>
  <c r="AY110" i="19" s="1"/>
  <c r="AX110" i="19" a="1"/>
  <c r="AX110" i="19" s="1"/>
  <c r="AW110" i="19" a="1"/>
  <c r="AW110" i="19" s="1"/>
  <c r="AV110" i="19" a="1"/>
  <c r="AV110" i="19" s="1"/>
  <c r="AU110" i="19" a="1"/>
  <c r="AU110" i="19" s="1"/>
  <c r="AT110" i="19" a="1"/>
  <c r="AT110" i="19" s="1"/>
  <c r="AS110" i="19" a="1"/>
  <c r="AS110" i="19" s="1"/>
  <c r="AR110" i="19" a="1"/>
  <c r="AR110" i="19" s="1"/>
  <c r="AQ110" i="19" a="1"/>
  <c r="AQ110" i="19" s="1"/>
  <c r="AP110" i="19" a="1"/>
  <c r="AP110" i="19" s="1"/>
  <c r="AO110" i="19" a="1"/>
  <c r="AO110" i="19" s="1"/>
  <c r="AN110" i="19" a="1"/>
  <c r="AN110" i="19" s="1"/>
  <c r="AM110" i="19" a="1"/>
  <c r="AM110" i="19" s="1"/>
  <c r="AL110" i="19" a="1"/>
  <c r="AL110" i="19" s="1"/>
  <c r="AK110" i="19" a="1"/>
  <c r="AK110" i="19" s="1"/>
  <c r="AZ109" i="19" a="1"/>
  <c r="AZ109" i="19" s="1"/>
  <c r="AY109" i="19" a="1"/>
  <c r="AY109" i="19" s="1"/>
  <c r="AX109" i="19" a="1"/>
  <c r="AX109" i="19" s="1"/>
  <c r="AW109" i="19" a="1"/>
  <c r="AW109" i="19" s="1"/>
  <c r="AV109" i="19" a="1"/>
  <c r="AV109" i="19" s="1"/>
  <c r="AU109" i="19" a="1"/>
  <c r="AU109" i="19" s="1"/>
  <c r="AT109" i="19" a="1"/>
  <c r="AT109" i="19" s="1"/>
  <c r="AS109" i="19" a="1"/>
  <c r="AS109" i="19" s="1"/>
  <c r="AR109" i="19" a="1"/>
  <c r="AR109" i="19" s="1"/>
  <c r="AQ109" i="19" a="1"/>
  <c r="AQ109" i="19" s="1"/>
  <c r="AP109" i="19" a="1"/>
  <c r="AP109" i="19" s="1"/>
  <c r="AO109" i="19" a="1"/>
  <c r="AO109" i="19" s="1"/>
  <c r="AN109" i="19" a="1"/>
  <c r="AN109" i="19" s="1"/>
  <c r="AM109" i="19" a="1"/>
  <c r="AM109" i="19" s="1"/>
  <c r="AL109" i="19" a="1"/>
  <c r="AL109" i="19" s="1"/>
  <c r="AK109" i="19" a="1"/>
  <c r="AK109" i="19" s="1"/>
  <c r="AZ108" i="19" a="1"/>
  <c r="AZ108" i="19" s="1"/>
  <c r="AY108" i="19" a="1"/>
  <c r="AY108" i="19" s="1"/>
  <c r="AX108" i="19" a="1"/>
  <c r="AX108" i="19" s="1"/>
  <c r="AW108" i="19" a="1"/>
  <c r="AW108" i="19" s="1"/>
  <c r="AV108" i="19" a="1"/>
  <c r="AV108" i="19" s="1"/>
  <c r="AU108" i="19" a="1"/>
  <c r="AU108" i="19" s="1"/>
  <c r="AT108" i="19" a="1"/>
  <c r="AT108" i="19" s="1"/>
  <c r="AS108" i="19" a="1"/>
  <c r="AS108" i="19" s="1"/>
  <c r="AR108" i="19" a="1"/>
  <c r="AR108" i="19" s="1"/>
  <c r="AQ108" i="19" a="1"/>
  <c r="AQ108" i="19" s="1"/>
  <c r="AP108" i="19" a="1"/>
  <c r="AP108" i="19" s="1"/>
  <c r="AO108" i="19" a="1"/>
  <c r="AO108" i="19" s="1"/>
  <c r="AN108" i="19" a="1"/>
  <c r="AN108" i="19" s="1"/>
  <c r="AM108" i="19" a="1"/>
  <c r="AM108" i="19" s="1"/>
  <c r="AL108" i="19" a="1"/>
  <c r="AL108" i="19" s="1"/>
  <c r="AK108" i="19" a="1"/>
  <c r="AK108" i="19" s="1"/>
  <c r="AZ107" i="19" a="1"/>
  <c r="AZ107" i="19" s="1"/>
  <c r="AY107" i="19" a="1"/>
  <c r="AY107" i="19" s="1"/>
  <c r="AX107" i="19" a="1"/>
  <c r="AX107" i="19" s="1"/>
  <c r="AW107" i="19" a="1"/>
  <c r="AW107" i="19" s="1"/>
  <c r="AV107" i="19" a="1"/>
  <c r="AV107" i="19" s="1"/>
  <c r="AU107" i="19" a="1"/>
  <c r="AU107" i="19" s="1"/>
  <c r="AT107" i="19" a="1"/>
  <c r="AT107" i="19" s="1"/>
  <c r="AS107" i="19" a="1"/>
  <c r="AS107" i="19" s="1"/>
  <c r="AR107" i="19" a="1"/>
  <c r="AR107" i="19" s="1"/>
  <c r="AQ107" i="19" a="1"/>
  <c r="AQ107" i="19" s="1"/>
  <c r="AP107" i="19" a="1"/>
  <c r="AP107" i="19" s="1"/>
  <c r="AO107" i="19" a="1"/>
  <c r="AO107" i="19" s="1"/>
  <c r="AN107" i="19" a="1"/>
  <c r="AN107" i="19" s="1"/>
  <c r="AM107" i="19" a="1"/>
  <c r="AM107" i="19" s="1"/>
  <c r="AL107" i="19" a="1"/>
  <c r="AL107" i="19" s="1"/>
  <c r="AK107" i="19" a="1"/>
  <c r="AK107" i="19" s="1"/>
  <c r="AZ106" i="19" a="1"/>
  <c r="AZ106" i="19" s="1"/>
  <c r="AY106" i="19" a="1"/>
  <c r="AY106" i="19" s="1"/>
  <c r="AX106" i="19" a="1"/>
  <c r="AX106" i="19" s="1"/>
  <c r="AW106" i="19" a="1"/>
  <c r="AW106" i="19" s="1"/>
  <c r="AV106" i="19" a="1"/>
  <c r="AV106" i="19" s="1"/>
  <c r="AU106" i="19" a="1"/>
  <c r="AU106" i="19" s="1"/>
  <c r="AT106" i="19" a="1"/>
  <c r="AT106" i="19" s="1"/>
  <c r="AS106" i="19" a="1"/>
  <c r="AS106" i="19" s="1"/>
  <c r="AR106" i="19" a="1"/>
  <c r="AR106" i="19" s="1"/>
  <c r="AQ106" i="19" a="1"/>
  <c r="AQ106" i="19" s="1"/>
  <c r="AP106" i="19" a="1"/>
  <c r="AP106" i="19" s="1"/>
  <c r="AO106" i="19" a="1"/>
  <c r="AO106" i="19" s="1"/>
  <c r="AN106" i="19" a="1"/>
  <c r="AN106" i="19" s="1"/>
  <c r="AM106" i="19" a="1"/>
  <c r="AM106" i="19" s="1"/>
  <c r="AL106" i="19" a="1"/>
  <c r="AL106" i="19" s="1"/>
  <c r="AK106" i="19" a="1"/>
  <c r="AK106" i="19" s="1"/>
  <c r="AZ105" i="19" a="1"/>
  <c r="AZ105" i="19" s="1"/>
  <c r="AY105" i="19" a="1"/>
  <c r="AY105" i="19" s="1"/>
  <c r="AX105" i="19" a="1"/>
  <c r="AX105" i="19" s="1"/>
  <c r="AW105" i="19" a="1"/>
  <c r="AW105" i="19" s="1"/>
  <c r="AV105" i="19" a="1"/>
  <c r="AV105" i="19" s="1"/>
  <c r="AU105" i="19" a="1"/>
  <c r="AU105" i="19" s="1"/>
  <c r="AT105" i="19" a="1"/>
  <c r="AT105" i="19" s="1"/>
  <c r="AS105" i="19" a="1"/>
  <c r="AS105" i="19" s="1"/>
  <c r="AR105" i="19" a="1"/>
  <c r="AR105" i="19" s="1"/>
  <c r="AQ105" i="19" a="1"/>
  <c r="AQ105" i="19" s="1"/>
  <c r="AP105" i="19" a="1"/>
  <c r="AP105" i="19" s="1"/>
  <c r="AO105" i="19" a="1"/>
  <c r="AO105" i="19" s="1"/>
  <c r="AN105" i="19" a="1"/>
  <c r="AN105" i="19" s="1"/>
  <c r="AM105" i="19" a="1"/>
  <c r="AM105" i="19" s="1"/>
  <c r="AL105" i="19" a="1"/>
  <c r="AL105" i="19" s="1"/>
  <c r="AK105" i="19" a="1"/>
  <c r="AK105" i="19" s="1"/>
  <c r="AZ104" i="19" a="1"/>
  <c r="AZ104" i="19" s="1"/>
  <c r="AY104" i="19" a="1"/>
  <c r="AY104" i="19" s="1"/>
  <c r="AX104" i="19" a="1"/>
  <c r="AX104" i="19" s="1"/>
  <c r="AW104" i="19" a="1"/>
  <c r="AW104" i="19" s="1"/>
  <c r="AV104" i="19" a="1"/>
  <c r="AV104" i="19" s="1"/>
  <c r="AU104" i="19" a="1"/>
  <c r="AU104" i="19" s="1"/>
  <c r="AT104" i="19" a="1"/>
  <c r="AT104" i="19" s="1"/>
  <c r="AS104" i="19" a="1"/>
  <c r="AS104" i="19" s="1"/>
  <c r="AR104" i="19" a="1"/>
  <c r="AR104" i="19" s="1"/>
  <c r="AQ104" i="19" a="1"/>
  <c r="AQ104" i="19" s="1"/>
  <c r="AP104" i="19" a="1"/>
  <c r="AP104" i="19" s="1"/>
  <c r="AO104" i="19" a="1"/>
  <c r="AO104" i="19" s="1"/>
  <c r="AN104" i="19" a="1"/>
  <c r="AN104" i="19" s="1"/>
  <c r="AM104" i="19" a="1"/>
  <c r="AM104" i="19" s="1"/>
  <c r="AL104" i="19" a="1"/>
  <c r="AL104" i="19" s="1"/>
  <c r="AK104" i="19" a="1"/>
  <c r="AK104" i="19" s="1"/>
  <c r="AZ103" i="19" a="1"/>
  <c r="AZ103" i="19" s="1"/>
  <c r="AY103" i="19" a="1"/>
  <c r="AY103" i="19" s="1"/>
  <c r="AX103" i="19" a="1"/>
  <c r="AX103" i="19" s="1"/>
  <c r="AW103" i="19" a="1"/>
  <c r="AW103" i="19" s="1"/>
  <c r="AV103" i="19" a="1"/>
  <c r="AV103" i="19" s="1"/>
  <c r="AU103" i="19" a="1"/>
  <c r="AU103" i="19" s="1"/>
  <c r="AT103" i="19" a="1"/>
  <c r="AT103" i="19" s="1"/>
  <c r="AS103" i="19" a="1"/>
  <c r="AS103" i="19" s="1"/>
  <c r="AR103" i="19" a="1"/>
  <c r="AR103" i="19" s="1"/>
  <c r="AQ103" i="19" a="1"/>
  <c r="AQ103" i="19" s="1"/>
  <c r="AP103" i="19" a="1"/>
  <c r="AP103" i="19" s="1"/>
  <c r="AO103" i="19" a="1"/>
  <c r="AO103" i="19" s="1"/>
  <c r="AN103" i="19" a="1"/>
  <c r="AN103" i="19" s="1"/>
  <c r="AM103" i="19" a="1"/>
  <c r="AM103" i="19" s="1"/>
  <c r="AL103" i="19" a="1"/>
  <c r="AL103" i="19" s="1"/>
  <c r="AK103" i="19" a="1"/>
  <c r="AK103" i="19" s="1"/>
  <c r="AZ102" i="19" a="1"/>
  <c r="AZ102" i="19" s="1"/>
  <c r="AY102" i="19" a="1"/>
  <c r="AY102" i="19" s="1"/>
  <c r="AX102" i="19" a="1"/>
  <c r="AX102" i="19" s="1"/>
  <c r="AW102" i="19" a="1"/>
  <c r="AW102" i="19" s="1"/>
  <c r="AV102" i="19" a="1"/>
  <c r="AV102" i="19" s="1"/>
  <c r="AU102" i="19" a="1"/>
  <c r="AU102" i="19" s="1"/>
  <c r="AT102" i="19" a="1"/>
  <c r="AT102" i="19" s="1"/>
  <c r="AS102" i="19" a="1"/>
  <c r="AS102" i="19" s="1"/>
  <c r="AR102" i="19" a="1"/>
  <c r="AR102" i="19" s="1"/>
  <c r="AQ102" i="19" a="1"/>
  <c r="AQ102" i="19" s="1"/>
  <c r="AP102" i="19" a="1"/>
  <c r="AP102" i="19" s="1"/>
  <c r="AO102" i="19" a="1"/>
  <c r="AO102" i="19" s="1"/>
  <c r="AN102" i="19" a="1"/>
  <c r="AN102" i="19" s="1"/>
  <c r="AM102" i="19" a="1"/>
  <c r="AM102" i="19" s="1"/>
  <c r="AL102" i="19" a="1"/>
  <c r="AL102" i="19" s="1"/>
  <c r="AK102" i="19" a="1"/>
  <c r="AK102" i="19" s="1"/>
  <c r="AZ101" i="19" a="1"/>
  <c r="AZ101" i="19" s="1"/>
  <c r="AY101" i="19" a="1"/>
  <c r="AY101" i="19" s="1"/>
  <c r="AX101" i="19" a="1"/>
  <c r="AX101" i="19" s="1"/>
  <c r="AW101" i="19" a="1"/>
  <c r="AW101" i="19" s="1"/>
  <c r="AV101" i="19" a="1"/>
  <c r="AV101" i="19" s="1"/>
  <c r="AU101" i="19" a="1"/>
  <c r="AU101" i="19" s="1"/>
  <c r="AT101" i="19" a="1"/>
  <c r="AT101" i="19" s="1"/>
  <c r="AS101" i="19" a="1"/>
  <c r="AS101" i="19" s="1"/>
  <c r="AR101" i="19" a="1"/>
  <c r="AR101" i="19" s="1"/>
  <c r="AQ101" i="19" a="1"/>
  <c r="AQ101" i="19" s="1"/>
  <c r="AP101" i="19" a="1"/>
  <c r="AP101" i="19" s="1"/>
  <c r="AO101" i="19" a="1"/>
  <c r="AO101" i="19" s="1"/>
  <c r="AN101" i="19" a="1"/>
  <c r="AN101" i="19" s="1"/>
  <c r="AM101" i="19" a="1"/>
  <c r="AM101" i="19" s="1"/>
  <c r="AL101" i="19" a="1"/>
  <c r="AL101" i="19" s="1"/>
  <c r="AK101" i="19" a="1"/>
  <c r="AK101" i="19" s="1"/>
  <c r="AZ100" i="19" a="1"/>
  <c r="AZ100" i="19" s="1"/>
  <c r="AY100" i="19" a="1"/>
  <c r="AY100" i="19" s="1"/>
  <c r="AX100" i="19" a="1"/>
  <c r="AX100" i="19" s="1"/>
  <c r="AW100" i="19" a="1"/>
  <c r="AW100" i="19" s="1"/>
  <c r="AV100" i="19" a="1"/>
  <c r="AV100" i="19" s="1"/>
  <c r="AU100" i="19" a="1"/>
  <c r="AU100" i="19" s="1"/>
  <c r="AT100" i="19" a="1"/>
  <c r="AT100" i="19" s="1"/>
  <c r="AS100" i="19" a="1"/>
  <c r="AS100" i="19" s="1"/>
  <c r="AR100" i="19" a="1"/>
  <c r="AR100" i="19" s="1"/>
  <c r="AQ100" i="19" a="1"/>
  <c r="AQ100" i="19" s="1"/>
  <c r="AP100" i="19" a="1"/>
  <c r="AP100" i="19" s="1"/>
  <c r="AO100" i="19" a="1"/>
  <c r="AO100" i="19" s="1"/>
  <c r="AN100" i="19" a="1"/>
  <c r="AN100" i="19" s="1"/>
  <c r="AM100" i="19" a="1"/>
  <c r="AM100" i="19" s="1"/>
  <c r="AL100" i="19" a="1"/>
  <c r="AL100" i="19" s="1"/>
  <c r="AK100" i="19" a="1"/>
  <c r="AK100" i="19" s="1"/>
  <c r="AZ99" i="19" a="1"/>
  <c r="AZ99" i="19" s="1"/>
  <c r="AY99" i="19" a="1"/>
  <c r="AY99" i="19" s="1"/>
  <c r="AX99" i="19" a="1"/>
  <c r="AX99" i="19" s="1"/>
  <c r="AW99" i="19" a="1"/>
  <c r="AW99" i="19" s="1"/>
  <c r="AV99" i="19" a="1"/>
  <c r="AV99" i="19" s="1"/>
  <c r="AU99" i="19" a="1"/>
  <c r="AU99" i="19" s="1"/>
  <c r="AT99" i="19" a="1"/>
  <c r="AT99" i="19" s="1"/>
  <c r="AS99" i="19" a="1"/>
  <c r="AS99" i="19" s="1"/>
  <c r="AR99" i="19" a="1"/>
  <c r="AR99" i="19" s="1"/>
  <c r="AQ99" i="19" a="1"/>
  <c r="AQ99" i="19" s="1"/>
  <c r="AP99" i="19" a="1"/>
  <c r="AP99" i="19" s="1"/>
  <c r="AO99" i="19" a="1"/>
  <c r="AO99" i="19" s="1"/>
  <c r="AN99" i="19" a="1"/>
  <c r="AN99" i="19" s="1"/>
  <c r="AM99" i="19" a="1"/>
  <c r="AM99" i="19" s="1"/>
  <c r="AL99" i="19" a="1"/>
  <c r="AL99" i="19" s="1"/>
  <c r="AK99" i="19" a="1"/>
  <c r="AK99" i="19" s="1"/>
  <c r="AZ98" i="19" a="1"/>
  <c r="AZ98" i="19" s="1"/>
  <c r="AY98" i="19" a="1"/>
  <c r="AY98" i="19" s="1"/>
  <c r="AX98" i="19" a="1"/>
  <c r="AX98" i="19" s="1"/>
  <c r="AW98" i="19" a="1"/>
  <c r="AW98" i="19" s="1"/>
  <c r="AV98" i="19" a="1"/>
  <c r="AV98" i="19" s="1"/>
  <c r="AU98" i="19" a="1"/>
  <c r="AU98" i="19" s="1"/>
  <c r="AT98" i="19" a="1"/>
  <c r="AT98" i="19" s="1"/>
  <c r="AS98" i="19" a="1"/>
  <c r="AS98" i="19" s="1"/>
  <c r="AR98" i="19" a="1"/>
  <c r="AR98" i="19" s="1"/>
  <c r="AQ98" i="19" a="1"/>
  <c r="AQ98" i="19" s="1"/>
  <c r="AP98" i="19" a="1"/>
  <c r="AP98" i="19" s="1"/>
  <c r="AO98" i="19" a="1"/>
  <c r="AO98" i="19" s="1"/>
  <c r="AN98" i="19" a="1"/>
  <c r="AN98" i="19" s="1"/>
  <c r="AM98" i="19" a="1"/>
  <c r="AM98" i="19" s="1"/>
  <c r="AL98" i="19" a="1"/>
  <c r="AL98" i="19" s="1"/>
  <c r="AK98" i="19" a="1"/>
  <c r="AK98" i="19" s="1"/>
  <c r="AZ97" i="19" a="1"/>
  <c r="AZ97" i="19" s="1"/>
  <c r="AY97" i="19" a="1"/>
  <c r="AY97" i="19" s="1"/>
  <c r="AX97" i="19"/>
  <c r="AX97" i="19" a="1"/>
  <c r="AW97" i="19" a="1"/>
  <c r="AW97" i="19" s="1"/>
  <c r="AV97" i="19" a="1"/>
  <c r="AV97" i="19" s="1"/>
  <c r="AU97" i="19" a="1"/>
  <c r="AU97" i="19" s="1"/>
  <c r="AT97" i="19" a="1"/>
  <c r="AT97" i="19" s="1"/>
  <c r="AS97" i="19" a="1"/>
  <c r="AS97" i="19" s="1"/>
  <c r="AR97" i="19" a="1"/>
  <c r="AR97" i="19" s="1"/>
  <c r="AQ97" i="19" a="1"/>
  <c r="AQ97" i="19" s="1"/>
  <c r="AP97" i="19" a="1"/>
  <c r="AP97" i="19" s="1"/>
  <c r="AO97" i="19" a="1"/>
  <c r="AO97" i="19" s="1"/>
  <c r="AN97" i="19" a="1"/>
  <c r="AN97" i="19" s="1"/>
  <c r="AM97" i="19" a="1"/>
  <c r="AM97" i="19" s="1"/>
  <c r="AL97" i="19" a="1"/>
  <c r="AL97" i="19" s="1"/>
  <c r="AK97" i="19" a="1"/>
  <c r="AK97" i="19" s="1"/>
  <c r="AZ96" i="19" a="1"/>
  <c r="AZ96" i="19" s="1"/>
  <c r="AY96" i="19" a="1"/>
  <c r="AY96" i="19" s="1"/>
  <c r="AX96" i="19" a="1"/>
  <c r="AX96" i="19" s="1"/>
  <c r="AW96" i="19" a="1"/>
  <c r="AW96" i="19" s="1"/>
  <c r="AV96" i="19" a="1"/>
  <c r="AV96" i="19" s="1"/>
  <c r="AU96" i="19" a="1"/>
  <c r="AU96" i="19" s="1"/>
  <c r="AT96" i="19" a="1"/>
  <c r="AT96" i="19" s="1"/>
  <c r="AS96" i="19" a="1"/>
  <c r="AS96" i="19" s="1"/>
  <c r="AR96" i="19" a="1"/>
  <c r="AR96" i="19" s="1"/>
  <c r="AQ96" i="19" a="1"/>
  <c r="AQ96" i="19" s="1"/>
  <c r="AP96" i="19" a="1"/>
  <c r="AP96" i="19" s="1"/>
  <c r="AO96" i="19" a="1"/>
  <c r="AO96" i="19" s="1"/>
  <c r="AN96" i="19" a="1"/>
  <c r="AN96" i="19" s="1"/>
  <c r="AM96" i="19" a="1"/>
  <c r="AM96" i="19" s="1"/>
  <c r="AL96" i="19" a="1"/>
  <c r="AL96" i="19" s="1"/>
  <c r="AK96" i="19" a="1"/>
  <c r="AK96" i="19" s="1"/>
  <c r="AZ95" i="19" a="1"/>
  <c r="AZ95" i="19" s="1"/>
  <c r="AY95" i="19" a="1"/>
  <c r="AY95" i="19" s="1"/>
  <c r="AX95" i="19" a="1"/>
  <c r="AX95" i="19" s="1"/>
  <c r="AW95" i="19" a="1"/>
  <c r="AW95" i="19" s="1"/>
  <c r="AV95" i="19" a="1"/>
  <c r="AV95" i="19" s="1"/>
  <c r="AU95" i="19" a="1"/>
  <c r="AU95" i="19" s="1"/>
  <c r="AT95" i="19" a="1"/>
  <c r="AT95" i="19" s="1"/>
  <c r="AS95" i="19" a="1"/>
  <c r="AS95" i="19" s="1"/>
  <c r="AR95" i="19" a="1"/>
  <c r="AR95" i="19" s="1"/>
  <c r="AQ95" i="19" a="1"/>
  <c r="AQ95" i="19" s="1"/>
  <c r="AP95" i="19" a="1"/>
  <c r="AP95" i="19" s="1"/>
  <c r="AO95" i="19" a="1"/>
  <c r="AO95" i="19" s="1"/>
  <c r="AN95" i="19" a="1"/>
  <c r="AN95" i="19" s="1"/>
  <c r="AM95" i="19" a="1"/>
  <c r="AM95" i="19" s="1"/>
  <c r="AL95" i="19" a="1"/>
  <c r="AL95" i="19" s="1"/>
  <c r="AK95" i="19" a="1"/>
  <c r="AK95" i="19" s="1"/>
  <c r="AZ94" i="19" a="1"/>
  <c r="AZ94" i="19" s="1"/>
  <c r="AY94" i="19" a="1"/>
  <c r="AY94" i="19" s="1"/>
  <c r="AX94" i="19" a="1"/>
  <c r="AX94" i="19" s="1"/>
  <c r="AW94" i="19" a="1"/>
  <c r="AW94" i="19" s="1"/>
  <c r="AV94" i="19" a="1"/>
  <c r="AV94" i="19" s="1"/>
  <c r="AU94" i="19" a="1"/>
  <c r="AU94" i="19" s="1"/>
  <c r="AT94" i="19" a="1"/>
  <c r="AT94" i="19" s="1"/>
  <c r="AS94" i="19" a="1"/>
  <c r="AS94" i="19" s="1"/>
  <c r="AR94" i="19" a="1"/>
  <c r="AR94" i="19" s="1"/>
  <c r="AQ94" i="19" a="1"/>
  <c r="AQ94" i="19" s="1"/>
  <c r="AP94" i="19" a="1"/>
  <c r="AP94" i="19" s="1"/>
  <c r="AO94" i="19" a="1"/>
  <c r="AO94" i="19" s="1"/>
  <c r="AN94" i="19" a="1"/>
  <c r="AN94" i="19" s="1"/>
  <c r="AM94" i="19" a="1"/>
  <c r="AM94" i="19" s="1"/>
  <c r="AL94" i="19" a="1"/>
  <c r="AL94" i="19" s="1"/>
  <c r="AK94" i="19" a="1"/>
  <c r="AK94" i="19" s="1"/>
  <c r="AZ93" i="19" a="1"/>
  <c r="AZ93" i="19" s="1"/>
  <c r="AY93" i="19" a="1"/>
  <c r="AY93" i="19" s="1"/>
  <c r="AX93" i="19" a="1"/>
  <c r="AX93" i="19" s="1"/>
  <c r="AW93" i="19" a="1"/>
  <c r="AW93" i="19" s="1"/>
  <c r="AV93" i="19" a="1"/>
  <c r="AV93" i="19" s="1"/>
  <c r="AU93" i="19" a="1"/>
  <c r="AU93" i="19" s="1"/>
  <c r="AT93" i="19" a="1"/>
  <c r="AT93" i="19" s="1"/>
  <c r="AS93" i="19" a="1"/>
  <c r="AS93" i="19" s="1"/>
  <c r="AR93" i="19" a="1"/>
  <c r="AR93" i="19" s="1"/>
  <c r="AQ93" i="19" a="1"/>
  <c r="AQ93" i="19" s="1"/>
  <c r="AP93" i="19" a="1"/>
  <c r="AP93" i="19" s="1"/>
  <c r="AO93" i="19" a="1"/>
  <c r="AO93" i="19" s="1"/>
  <c r="AN93" i="19" a="1"/>
  <c r="AN93" i="19" s="1"/>
  <c r="AM93" i="19" a="1"/>
  <c r="AM93" i="19" s="1"/>
  <c r="AL93" i="19" a="1"/>
  <c r="AL93" i="19" s="1"/>
  <c r="AK93" i="19" a="1"/>
  <c r="AK93" i="19" s="1"/>
  <c r="AZ92" i="19" a="1"/>
  <c r="AZ92" i="19" s="1"/>
  <c r="AY92" i="19" a="1"/>
  <c r="AY92" i="19" s="1"/>
  <c r="AX92" i="19" a="1"/>
  <c r="AX92" i="19" s="1"/>
  <c r="AW92" i="19" a="1"/>
  <c r="AW92" i="19" s="1"/>
  <c r="AV92" i="19" a="1"/>
  <c r="AV92" i="19" s="1"/>
  <c r="AU92" i="19" a="1"/>
  <c r="AU92" i="19" s="1"/>
  <c r="AT92" i="19" a="1"/>
  <c r="AT92" i="19" s="1"/>
  <c r="AS92" i="19" a="1"/>
  <c r="AS92" i="19" s="1"/>
  <c r="AR92" i="19" a="1"/>
  <c r="AR92" i="19" s="1"/>
  <c r="AQ92" i="19" a="1"/>
  <c r="AQ92" i="19" s="1"/>
  <c r="AP92" i="19" a="1"/>
  <c r="AP92" i="19" s="1"/>
  <c r="AO92" i="19" a="1"/>
  <c r="AO92" i="19" s="1"/>
  <c r="AN92" i="19" a="1"/>
  <c r="AN92" i="19" s="1"/>
  <c r="AM92" i="19" a="1"/>
  <c r="AM92" i="19" s="1"/>
  <c r="AL92" i="19" a="1"/>
  <c r="AL92" i="19" s="1"/>
  <c r="AK92" i="19" a="1"/>
  <c r="AK92" i="19" s="1"/>
  <c r="AZ91" i="19" a="1"/>
  <c r="AZ91" i="19" s="1"/>
  <c r="AY91" i="19" a="1"/>
  <c r="AY91" i="19" s="1"/>
  <c r="AX91" i="19" a="1"/>
  <c r="AX91" i="19" s="1"/>
  <c r="AW91" i="19" a="1"/>
  <c r="AW91" i="19" s="1"/>
  <c r="AV91" i="19" a="1"/>
  <c r="AV91" i="19" s="1"/>
  <c r="AU91" i="19" a="1"/>
  <c r="AU91" i="19" s="1"/>
  <c r="AT91" i="19" a="1"/>
  <c r="AT91" i="19" s="1"/>
  <c r="AS91" i="19" a="1"/>
  <c r="AS91" i="19" s="1"/>
  <c r="AR91" i="19" a="1"/>
  <c r="AR91" i="19" s="1"/>
  <c r="AQ91" i="19" a="1"/>
  <c r="AQ91" i="19" s="1"/>
  <c r="AP91" i="19" a="1"/>
  <c r="AP91" i="19" s="1"/>
  <c r="AO91" i="19" a="1"/>
  <c r="AO91" i="19" s="1"/>
  <c r="AN91" i="19" a="1"/>
  <c r="AN91" i="19" s="1"/>
  <c r="AM91" i="19" a="1"/>
  <c r="AM91" i="19" s="1"/>
  <c r="AL91" i="19" a="1"/>
  <c r="AL91" i="19" s="1"/>
  <c r="AK91" i="19" a="1"/>
  <c r="AK91" i="19" s="1"/>
  <c r="AZ90" i="19" a="1"/>
  <c r="AZ90" i="19" s="1"/>
  <c r="AY90" i="19" a="1"/>
  <c r="AY90" i="19" s="1"/>
  <c r="AX90" i="19" a="1"/>
  <c r="AX90" i="19" s="1"/>
  <c r="AW90" i="19" a="1"/>
  <c r="AW90" i="19" s="1"/>
  <c r="AV90" i="19" a="1"/>
  <c r="AV90" i="19" s="1"/>
  <c r="AU90" i="19" a="1"/>
  <c r="AU90" i="19" s="1"/>
  <c r="AT90" i="19" a="1"/>
  <c r="AT90" i="19" s="1"/>
  <c r="AS90" i="19" a="1"/>
  <c r="AS90" i="19" s="1"/>
  <c r="AR90" i="19" a="1"/>
  <c r="AR90" i="19" s="1"/>
  <c r="AQ90" i="19" a="1"/>
  <c r="AQ90" i="19" s="1"/>
  <c r="AP90" i="19" a="1"/>
  <c r="AP90" i="19" s="1"/>
  <c r="AO90" i="19" a="1"/>
  <c r="AO90" i="19" s="1"/>
  <c r="AN90" i="19" a="1"/>
  <c r="AN90" i="19" s="1"/>
  <c r="AM90" i="19" a="1"/>
  <c r="AM90" i="19" s="1"/>
  <c r="AL90" i="19" a="1"/>
  <c r="AL90" i="19" s="1"/>
  <c r="AK90" i="19" a="1"/>
  <c r="AK90" i="19" s="1"/>
  <c r="AZ89" i="19" a="1"/>
  <c r="AZ89" i="19" s="1"/>
  <c r="AY89" i="19" a="1"/>
  <c r="AY89" i="19" s="1"/>
  <c r="AX89" i="19" a="1"/>
  <c r="AX89" i="19" s="1"/>
  <c r="AW89" i="19" a="1"/>
  <c r="AW89" i="19" s="1"/>
  <c r="AV89" i="19" a="1"/>
  <c r="AV89" i="19" s="1"/>
  <c r="AU89" i="19" a="1"/>
  <c r="AU89" i="19" s="1"/>
  <c r="AT89" i="19" a="1"/>
  <c r="AT89" i="19" s="1"/>
  <c r="AS89" i="19" a="1"/>
  <c r="AS89" i="19" s="1"/>
  <c r="AR89" i="19" a="1"/>
  <c r="AR89" i="19" s="1"/>
  <c r="AQ89" i="19" a="1"/>
  <c r="AQ89" i="19" s="1"/>
  <c r="AP89" i="19" a="1"/>
  <c r="AP89" i="19" s="1"/>
  <c r="AO89" i="19" a="1"/>
  <c r="AO89" i="19" s="1"/>
  <c r="AN89" i="19" a="1"/>
  <c r="AN89" i="19" s="1"/>
  <c r="AM89" i="19" a="1"/>
  <c r="AM89" i="19" s="1"/>
  <c r="AL89" i="19" a="1"/>
  <c r="AL89" i="19" s="1"/>
  <c r="AK89" i="19" a="1"/>
  <c r="AK89" i="19" s="1"/>
  <c r="AZ88" i="19" a="1"/>
  <c r="AZ88" i="19" s="1"/>
  <c r="AY88" i="19" a="1"/>
  <c r="AY88" i="19" s="1"/>
  <c r="AX88" i="19" a="1"/>
  <c r="AX88" i="19" s="1"/>
  <c r="AW88" i="19" a="1"/>
  <c r="AW88" i="19" s="1"/>
  <c r="AV88" i="19" a="1"/>
  <c r="AV88" i="19" s="1"/>
  <c r="AU88" i="19" a="1"/>
  <c r="AU88" i="19" s="1"/>
  <c r="AT88" i="19" a="1"/>
  <c r="AT88" i="19" s="1"/>
  <c r="AS88" i="19" a="1"/>
  <c r="AS88" i="19" s="1"/>
  <c r="AR88" i="19" a="1"/>
  <c r="AR88" i="19" s="1"/>
  <c r="AQ88" i="19" a="1"/>
  <c r="AQ88" i="19" s="1"/>
  <c r="AP88" i="19" a="1"/>
  <c r="AP88" i="19" s="1"/>
  <c r="AO88" i="19" a="1"/>
  <c r="AO88" i="19" s="1"/>
  <c r="AN88" i="19" a="1"/>
  <c r="AN88" i="19" s="1"/>
  <c r="AM88" i="19" a="1"/>
  <c r="AM88" i="19" s="1"/>
  <c r="AL88" i="19" a="1"/>
  <c r="AL88" i="19" s="1"/>
  <c r="AK88" i="19" a="1"/>
  <c r="AK88" i="19" s="1"/>
  <c r="AZ87" i="19" a="1"/>
  <c r="AZ87" i="19" s="1"/>
  <c r="AY87" i="19" a="1"/>
  <c r="AY87" i="19" s="1"/>
  <c r="AX87" i="19" a="1"/>
  <c r="AX87" i="19" s="1"/>
  <c r="AW87" i="19" a="1"/>
  <c r="AW87" i="19" s="1"/>
  <c r="AV87" i="19" a="1"/>
  <c r="AV87" i="19" s="1"/>
  <c r="AU87" i="19" a="1"/>
  <c r="AU87" i="19" s="1"/>
  <c r="AT87" i="19" a="1"/>
  <c r="AT87" i="19" s="1"/>
  <c r="AS87" i="19" a="1"/>
  <c r="AS87" i="19" s="1"/>
  <c r="AR87" i="19" a="1"/>
  <c r="AR87" i="19" s="1"/>
  <c r="AQ87" i="19" a="1"/>
  <c r="AQ87" i="19" s="1"/>
  <c r="AP87" i="19" a="1"/>
  <c r="AP87" i="19" s="1"/>
  <c r="AO87" i="19" a="1"/>
  <c r="AO87" i="19" s="1"/>
  <c r="AN87" i="19" a="1"/>
  <c r="AN87" i="19" s="1"/>
  <c r="AM87" i="19" a="1"/>
  <c r="AM87" i="19" s="1"/>
  <c r="AL87" i="19" a="1"/>
  <c r="AL87" i="19" s="1"/>
  <c r="AK87" i="19" a="1"/>
  <c r="AK87" i="19" s="1"/>
  <c r="AZ86" i="19" a="1"/>
  <c r="AZ86" i="19" s="1"/>
  <c r="AY86" i="19" a="1"/>
  <c r="AY86" i="19" s="1"/>
  <c r="AX86" i="19" a="1"/>
  <c r="AX86" i="19" s="1"/>
  <c r="AW86" i="19" a="1"/>
  <c r="AW86" i="19" s="1"/>
  <c r="AV86" i="19" a="1"/>
  <c r="AV86" i="19" s="1"/>
  <c r="AU86" i="19" a="1"/>
  <c r="AU86" i="19" s="1"/>
  <c r="AT86" i="19" a="1"/>
  <c r="AT86" i="19" s="1"/>
  <c r="AS86" i="19" a="1"/>
  <c r="AS86" i="19" s="1"/>
  <c r="AR86" i="19" a="1"/>
  <c r="AR86" i="19" s="1"/>
  <c r="AQ86" i="19" a="1"/>
  <c r="AQ86" i="19" s="1"/>
  <c r="AP86" i="19" a="1"/>
  <c r="AP86" i="19" s="1"/>
  <c r="AO86" i="19" a="1"/>
  <c r="AO86" i="19" s="1"/>
  <c r="AN86" i="19" a="1"/>
  <c r="AN86" i="19" s="1"/>
  <c r="AM86" i="19" a="1"/>
  <c r="AM86" i="19" s="1"/>
  <c r="AL86" i="19" a="1"/>
  <c r="AL86" i="19" s="1"/>
  <c r="AK86" i="19" a="1"/>
  <c r="AK86" i="19" s="1"/>
  <c r="AZ85" i="19" a="1"/>
  <c r="AZ85" i="19" s="1"/>
  <c r="AY85" i="19" a="1"/>
  <c r="AY85" i="19" s="1"/>
  <c r="AX85" i="19" a="1"/>
  <c r="AX85" i="19" s="1"/>
  <c r="AW85" i="19" a="1"/>
  <c r="AW85" i="19" s="1"/>
  <c r="AV85" i="19" a="1"/>
  <c r="AV85" i="19" s="1"/>
  <c r="AU85" i="19" a="1"/>
  <c r="AU85" i="19" s="1"/>
  <c r="AT85" i="19" a="1"/>
  <c r="AT85" i="19" s="1"/>
  <c r="AS85" i="19" a="1"/>
  <c r="AS85" i="19" s="1"/>
  <c r="AR85" i="19" a="1"/>
  <c r="AR85" i="19" s="1"/>
  <c r="AQ85" i="19" a="1"/>
  <c r="AQ85" i="19" s="1"/>
  <c r="AP85" i="19" a="1"/>
  <c r="AP85" i="19" s="1"/>
  <c r="AO85" i="19" a="1"/>
  <c r="AO85" i="19" s="1"/>
  <c r="AN85" i="19" a="1"/>
  <c r="AN85" i="19" s="1"/>
  <c r="AM85" i="19" a="1"/>
  <c r="AM85" i="19" s="1"/>
  <c r="AL85" i="19" a="1"/>
  <c r="AL85" i="19" s="1"/>
  <c r="AK85" i="19" a="1"/>
  <c r="AK85" i="19" s="1"/>
  <c r="AZ84" i="19" a="1"/>
  <c r="AZ84" i="19" s="1"/>
  <c r="AY84" i="19" a="1"/>
  <c r="AY84" i="19" s="1"/>
  <c r="AX84" i="19" a="1"/>
  <c r="AX84" i="19" s="1"/>
  <c r="AW84" i="19" a="1"/>
  <c r="AW84" i="19" s="1"/>
  <c r="AV84" i="19" a="1"/>
  <c r="AV84" i="19" s="1"/>
  <c r="AU84" i="19" a="1"/>
  <c r="AU84" i="19" s="1"/>
  <c r="AT84" i="19" a="1"/>
  <c r="AT84" i="19" s="1"/>
  <c r="AS84" i="19" a="1"/>
  <c r="AS84" i="19" s="1"/>
  <c r="AR84" i="19" a="1"/>
  <c r="AR84" i="19" s="1"/>
  <c r="AQ84" i="19" a="1"/>
  <c r="AQ84" i="19" s="1"/>
  <c r="AP84" i="19"/>
  <c r="AP84" i="19" a="1"/>
  <c r="AO84" i="19" a="1"/>
  <c r="AO84" i="19" s="1"/>
  <c r="AN84" i="19" a="1"/>
  <c r="AN84" i="19" s="1"/>
  <c r="AM84" i="19" a="1"/>
  <c r="AM84" i="19" s="1"/>
  <c r="AL84" i="19" a="1"/>
  <c r="AL84" i="19" s="1"/>
  <c r="AK84" i="19" a="1"/>
  <c r="AK84" i="19" s="1"/>
  <c r="AZ83" i="19" a="1"/>
  <c r="AZ83" i="19" s="1"/>
  <c r="AY83" i="19" a="1"/>
  <c r="AY83" i="19" s="1"/>
  <c r="AX83" i="19" a="1"/>
  <c r="AX83" i="19" s="1"/>
  <c r="AW83" i="19" a="1"/>
  <c r="AW83" i="19" s="1"/>
  <c r="AV83" i="19" a="1"/>
  <c r="AV83" i="19" s="1"/>
  <c r="AU83" i="19" a="1"/>
  <c r="AU83" i="19" s="1"/>
  <c r="AT83" i="19" a="1"/>
  <c r="AT83" i="19" s="1"/>
  <c r="AS83" i="19" a="1"/>
  <c r="AS83" i="19" s="1"/>
  <c r="AR83" i="19" a="1"/>
  <c r="AR83" i="19" s="1"/>
  <c r="AQ83" i="19" a="1"/>
  <c r="AQ83" i="19" s="1"/>
  <c r="AP83" i="19"/>
  <c r="AP83" i="19" a="1"/>
  <c r="AO83" i="19" a="1"/>
  <c r="AO83" i="19" s="1"/>
  <c r="AN83" i="19" a="1"/>
  <c r="AN83" i="19" s="1"/>
  <c r="AM83" i="19" a="1"/>
  <c r="AM83" i="19" s="1"/>
  <c r="AL83" i="19" a="1"/>
  <c r="AL83" i="19" s="1"/>
  <c r="AK83" i="19" a="1"/>
  <c r="AK83" i="19" s="1"/>
  <c r="AZ82" i="19" a="1"/>
  <c r="AZ82" i="19" s="1"/>
  <c r="AY82" i="19" a="1"/>
  <c r="AY82" i="19" s="1"/>
  <c r="AX82" i="19" a="1"/>
  <c r="AX82" i="19" s="1"/>
  <c r="AW82" i="19" a="1"/>
  <c r="AW82" i="19" s="1"/>
  <c r="AV82" i="19" a="1"/>
  <c r="AV82" i="19" s="1"/>
  <c r="AU82" i="19" a="1"/>
  <c r="AU82" i="19" s="1"/>
  <c r="AT82" i="19" a="1"/>
  <c r="AT82" i="19" s="1"/>
  <c r="AS82" i="19" a="1"/>
  <c r="AS82" i="19" s="1"/>
  <c r="AR82" i="19" a="1"/>
  <c r="AR82" i="19" s="1"/>
  <c r="AQ82" i="19" a="1"/>
  <c r="AQ82" i="19" s="1"/>
  <c r="AP82" i="19" a="1"/>
  <c r="AP82" i="19" s="1"/>
  <c r="AO82" i="19" a="1"/>
  <c r="AO82" i="19" s="1"/>
  <c r="AN82" i="19" a="1"/>
  <c r="AN82" i="19" s="1"/>
  <c r="AM82" i="19" a="1"/>
  <c r="AM82" i="19" s="1"/>
  <c r="AL82" i="19" a="1"/>
  <c r="AL82" i="19" s="1"/>
  <c r="AK82" i="19" a="1"/>
  <c r="AK82" i="19" s="1"/>
  <c r="AZ81" i="19" a="1"/>
  <c r="AZ81" i="19" s="1"/>
  <c r="AY81" i="19" a="1"/>
  <c r="AY81" i="19" s="1"/>
  <c r="AX81" i="19" a="1"/>
  <c r="AX81" i="19" s="1"/>
  <c r="AW81" i="19" a="1"/>
  <c r="AW81" i="19" s="1"/>
  <c r="AV81" i="19" a="1"/>
  <c r="AV81" i="19" s="1"/>
  <c r="AU81" i="19" a="1"/>
  <c r="AU81" i="19" s="1"/>
  <c r="AT81" i="19" a="1"/>
  <c r="AT81" i="19" s="1"/>
  <c r="AS81" i="19" a="1"/>
  <c r="AS81" i="19" s="1"/>
  <c r="AR81" i="19" a="1"/>
  <c r="AR81" i="19" s="1"/>
  <c r="AQ81" i="19" a="1"/>
  <c r="AQ81" i="19" s="1"/>
  <c r="AP81" i="19" a="1"/>
  <c r="AP81" i="19" s="1"/>
  <c r="AO81" i="19" a="1"/>
  <c r="AO81" i="19" s="1"/>
  <c r="AN81" i="19"/>
  <c r="AN81" i="19" a="1"/>
  <c r="AM81" i="19" a="1"/>
  <c r="AM81" i="19" s="1"/>
  <c r="AL81" i="19" a="1"/>
  <c r="AL81" i="19" s="1"/>
  <c r="AK81" i="19" a="1"/>
  <c r="AK81" i="19" s="1"/>
  <c r="AZ80" i="19" a="1"/>
  <c r="AZ80" i="19" s="1"/>
  <c r="AY80" i="19" a="1"/>
  <c r="AY80" i="19" s="1"/>
  <c r="AX80" i="19" a="1"/>
  <c r="AX80" i="19" s="1"/>
  <c r="AW80" i="19" a="1"/>
  <c r="AW80" i="19" s="1"/>
  <c r="AV80" i="19" a="1"/>
  <c r="AV80" i="19" s="1"/>
  <c r="AU80" i="19" a="1"/>
  <c r="AU80" i="19" s="1"/>
  <c r="AT80" i="19" a="1"/>
  <c r="AT80" i="19" s="1"/>
  <c r="AS80" i="19" a="1"/>
  <c r="AS80" i="19" s="1"/>
  <c r="AR80" i="19" a="1"/>
  <c r="AR80" i="19" s="1"/>
  <c r="AQ80" i="19" a="1"/>
  <c r="AQ80" i="19" s="1"/>
  <c r="AP80" i="19" a="1"/>
  <c r="AP80" i="19" s="1"/>
  <c r="AO80" i="19" a="1"/>
  <c r="AO80" i="19" s="1"/>
  <c r="AN80" i="19" a="1"/>
  <c r="AN80" i="19" s="1"/>
  <c r="AM80" i="19" a="1"/>
  <c r="AM80" i="19" s="1"/>
  <c r="AL80" i="19" a="1"/>
  <c r="AL80" i="19" s="1"/>
  <c r="AK80" i="19" a="1"/>
  <c r="AK80" i="19" s="1"/>
  <c r="AZ79" i="19" a="1"/>
  <c r="AZ79" i="19" s="1"/>
  <c r="AY79" i="19" a="1"/>
  <c r="AY79" i="19" s="1"/>
  <c r="AX79" i="19" a="1"/>
  <c r="AX79" i="19" s="1"/>
  <c r="AW79" i="19" a="1"/>
  <c r="AW79" i="19" s="1"/>
  <c r="AV79" i="19" a="1"/>
  <c r="AV79" i="19" s="1"/>
  <c r="AU79" i="19" a="1"/>
  <c r="AU79" i="19" s="1"/>
  <c r="AT79" i="19" a="1"/>
  <c r="AT79" i="19" s="1"/>
  <c r="AS79" i="19" a="1"/>
  <c r="AS79" i="19" s="1"/>
  <c r="AR79" i="19" a="1"/>
  <c r="AR79" i="19" s="1"/>
  <c r="AQ79" i="19" a="1"/>
  <c r="AQ79" i="19" s="1"/>
  <c r="AP79" i="19" a="1"/>
  <c r="AP79" i="19" s="1"/>
  <c r="AO79" i="19" a="1"/>
  <c r="AO79" i="19" s="1"/>
  <c r="AN79" i="19" a="1"/>
  <c r="AN79" i="19" s="1"/>
  <c r="AM79" i="19" a="1"/>
  <c r="AM79" i="19" s="1"/>
  <c r="AL79" i="19" a="1"/>
  <c r="AL79" i="19" s="1"/>
  <c r="AK79" i="19" a="1"/>
  <c r="AK79" i="19" s="1"/>
  <c r="AZ78" i="19" a="1"/>
  <c r="AZ78" i="19" s="1"/>
  <c r="AY78" i="19" a="1"/>
  <c r="AY78" i="19" s="1"/>
  <c r="AX78" i="19" a="1"/>
  <c r="AX78" i="19" s="1"/>
  <c r="AW78" i="19" a="1"/>
  <c r="AW78" i="19" s="1"/>
  <c r="AV78" i="19" a="1"/>
  <c r="AV78" i="19" s="1"/>
  <c r="AU78" i="19" a="1"/>
  <c r="AU78" i="19" s="1"/>
  <c r="AT78" i="19" a="1"/>
  <c r="AT78" i="19" s="1"/>
  <c r="AS78" i="19" a="1"/>
  <c r="AS78" i="19" s="1"/>
  <c r="AR78" i="19" a="1"/>
  <c r="AR78" i="19" s="1"/>
  <c r="AQ78" i="19" a="1"/>
  <c r="AQ78" i="19" s="1"/>
  <c r="AP78" i="19" a="1"/>
  <c r="AP78" i="19" s="1"/>
  <c r="AO78" i="19" a="1"/>
  <c r="AO78" i="19" s="1"/>
  <c r="AN78" i="19" a="1"/>
  <c r="AN78" i="19" s="1"/>
  <c r="AM78" i="19" a="1"/>
  <c r="AM78" i="19" s="1"/>
  <c r="AL78" i="19" a="1"/>
  <c r="AL78" i="19" s="1"/>
  <c r="AK78" i="19" a="1"/>
  <c r="AK78" i="19" s="1"/>
  <c r="AZ77" i="19" a="1"/>
  <c r="AZ77" i="19" s="1"/>
  <c r="AY77" i="19" a="1"/>
  <c r="AY77" i="19" s="1"/>
  <c r="AX77" i="19" a="1"/>
  <c r="AX77" i="19" s="1"/>
  <c r="AW77" i="19" a="1"/>
  <c r="AW77" i="19" s="1"/>
  <c r="AV77" i="19" a="1"/>
  <c r="AV77" i="19" s="1"/>
  <c r="AU77" i="19" a="1"/>
  <c r="AU77" i="19" s="1"/>
  <c r="AT77" i="19" a="1"/>
  <c r="AT77" i="19" s="1"/>
  <c r="AS77" i="19" a="1"/>
  <c r="AS77" i="19" s="1"/>
  <c r="AR77" i="19" a="1"/>
  <c r="AR77" i="19" s="1"/>
  <c r="AQ77" i="19" a="1"/>
  <c r="AQ77" i="19" s="1"/>
  <c r="AP77" i="19" a="1"/>
  <c r="AP77" i="19" s="1"/>
  <c r="AO77" i="19" a="1"/>
  <c r="AO77" i="19" s="1"/>
  <c r="AN77" i="19" a="1"/>
  <c r="AN77" i="19" s="1"/>
  <c r="AM77" i="19" a="1"/>
  <c r="AM77" i="19" s="1"/>
  <c r="AL77" i="19" a="1"/>
  <c r="AL77" i="19" s="1"/>
  <c r="AK77" i="19" a="1"/>
  <c r="AK77" i="19" s="1"/>
  <c r="AZ76" i="19" a="1"/>
  <c r="AZ76" i="19" s="1"/>
  <c r="AY76" i="19" a="1"/>
  <c r="AY76" i="19" s="1"/>
  <c r="AX76" i="19" a="1"/>
  <c r="AX76" i="19" s="1"/>
  <c r="AW76" i="19" a="1"/>
  <c r="AW76" i="19" s="1"/>
  <c r="AV76" i="19" a="1"/>
  <c r="AV76" i="19" s="1"/>
  <c r="AU76" i="19" a="1"/>
  <c r="AU76" i="19" s="1"/>
  <c r="AT76" i="19" a="1"/>
  <c r="AT76" i="19" s="1"/>
  <c r="AS76" i="19" a="1"/>
  <c r="AS76" i="19" s="1"/>
  <c r="AR76" i="19" a="1"/>
  <c r="AR76" i="19" s="1"/>
  <c r="AQ76" i="19" a="1"/>
  <c r="AQ76" i="19" s="1"/>
  <c r="AP76" i="19" a="1"/>
  <c r="AP76" i="19" s="1"/>
  <c r="AO76" i="19" a="1"/>
  <c r="AO76" i="19" s="1"/>
  <c r="AN76" i="19" a="1"/>
  <c r="AN76" i="19" s="1"/>
  <c r="AM76" i="19" a="1"/>
  <c r="AM76" i="19" s="1"/>
  <c r="AL76" i="19" a="1"/>
  <c r="AL76" i="19" s="1"/>
  <c r="AK76" i="19" a="1"/>
  <c r="AK76" i="19" s="1"/>
  <c r="AZ75" i="19" a="1"/>
  <c r="AZ75" i="19" s="1"/>
  <c r="AY75" i="19" a="1"/>
  <c r="AY75" i="19" s="1"/>
  <c r="AX75" i="19" a="1"/>
  <c r="AX75" i="19" s="1"/>
  <c r="AW75" i="19" a="1"/>
  <c r="AW75" i="19" s="1"/>
  <c r="AV75" i="19" a="1"/>
  <c r="AV75" i="19" s="1"/>
  <c r="AU75" i="19" a="1"/>
  <c r="AU75" i="19" s="1"/>
  <c r="AT75" i="19" a="1"/>
  <c r="AT75" i="19" s="1"/>
  <c r="AS75" i="19" a="1"/>
  <c r="AS75" i="19" s="1"/>
  <c r="AR75" i="19" a="1"/>
  <c r="AR75" i="19" s="1"/>
  <c r="AQ75" i="19" a="1"/>
  <c r="AQ75" i="19" s="1"/>
  <c r="AP75" i="19" a="1"/>
  <c r="AP75" i="19" s="1"/>
  <c r="AO75" i="19" a="1"/>
  <c r="AO75" i="19" s="1"/>
  <c r="AN75" i="19" a="1"/>
  <c r="AN75" i="19" s="1"/>
  <c r="AM75" i="19" a="1"/>
  <c r="AM75" i="19" s="1"/>
  <c r="AL75" i="19" a="1"/>
  <c r="AL75" i="19" s="1"/>
  <c r="AK75" i="19" a="1"/>
  <c r="AK75" i="19" s="1"/>
  <c r="AZ74" i="19" a="1"/>
  <c r="AZ74" i="19" s="1"/>
  <c r="AY74" i="19" a="1"/>
  <c r="AY74" i="19" s="1"/>
  <c r="AX74" i="19" a="1"/>
  <c r="AX74" i="19" s="1"/>
  <c r="AW74" i="19" a="1"/>
  <c r="AW74" i="19" s="1"/>
  <c r="AV74" i="19" a="1"/>
  <c r="AV74" i="19" s="1"/>
  <c r="AU74" i="19" a="1"/>
  <c r="AU74" i="19" s="1"/>
  <c r="AT74" i="19" a="1"/>
  <c r="AT74" i="19" s="1"/>
  <c r="AS74" i="19" a="1"/>
  <c r="AS74" i="19" s="1"/>
  <c r="AR74" i="19" a="1"/>
  <c r="AR74" i="19" s="1"/>
  <c r="AQ74" i="19" a="1"/>
  <c r="AQ74" i="19" s="1"/>
  <c r="AP74" i="19" a="1"/>
  <c r="AP74" i="19" s="1"/>
  <c r="AO74" i="19" a="1"/>
  <c r="AO74" i="19" s="1"/>
  <c r="AN74" i="19" a="1"/>
  <c r="AN74" i="19" s="1"/>
  <c r="AM74" i="19" a="1"/>
  <c r="AM74" i="19" s="1"/>
  <c r="AL74" i="19" a="1"/>
  <c r="AL74" i="19" s="1"/>
  <c r="AK74" i="19" a="1"/>
  <c r="AK74" i="19" s="1"/>
  <c r="AZ73" i="19" a="1"/>
  <c r="AZ73" i="19" s="1"/>
  <c r="AY73" i="19" a="1"/>
  <c r="AY73" i="19" s="1"/>
  <c r="AX73" i="19" a="1"/>
  <c r="AX73" i="19" s="1"/>
  <c r="AW73" i="19" a="1"/>
  <c r="AW73" i="19" s="1"/>
  <c r="AV73" i="19"/>
  <c r="AV73" i="19" a="1"/>
  <c r="AU73" i="19" a="1"/>
  <c r="AU73" i="19" s="1"/>
  <c r="AT73" i="19" a="1"/>
  <c r="AT73" i="19" s="1"/>
  <c r="AS73" i="19" a="1"/>
  <c r="AS73" i="19" s="1"/>
  <c r="AR73" i="19" a="1"/>
  <c r="AR73" i="19" s="1"/>
  <c r="AQ73" i="19" a="1"/>
  <c r="AQ73" i="19" s="1"/>
  <c r="AP73" i="19" a="1"/>
  <c r="AP73" i="19" s="1"/>
  <c r="AO73" i="19" a="1"/>
  <c r="AO73" i="19" s="1"/>
  <c r="AN73" i="19" a="1"/>
  <c r="AN73" i="19" s="1"/>
  <c r="AM73" i="19" a="1"/>
  <c r="AM73" i="19" s="1"/>
  <c r="AL73" i="19" a="1"/>
  <c r="AL73" i="19" s="1"/>
  <c r="AK73" i="19" a="1"/>
  <c r="AK73" i="19" s="1"/>
  <c r="AZ72" i="19" a="1"/>
  <c r="AZ72" i="19" s="1"/>
  <c r="AY72" i="19" a="1"/>
  <c r="AY72" i="19" s="1"/>
  <c r="AX72" i="19" a="1"/>
  <c r="AX72" i="19" s="1"/>
  <c r="AW72" i="19" a="1"/>
  <c r="AW72" i="19" s="1"/>
  <c r="AV72" i="19" a="1"/>
  <c r="AV72" i="19" s="1"/>
  <c r="AU72" i="19" a="1"/>
  <c r="AU72" i="19" s="1"/>
  <c r="AT72" i="19" a="1"/>
  <c r="AT72" i="19" s="1"/>
  <c r="AS72" i="19" a="1"/>
  <c r="AS72" i="19" s="1"/>
  <c r="AR72" i="19" a="1"/>
  <c r="AR72" i="19" s="1"/>
  <c r="AQ72" i="19" a="1"/>
  <c r="AQ72" i="19" s="1"/>
  <c r="AP72" i="19" a="1"/>
  <c r="AP72" i="19" s="1"/>
  <c r="AO72" i="19" a="1"/>
  <c r="AO72" i="19" s="1"/>
  <c r="AN72" i="19" a="1"/>
  <c r="AN72" i="19" s="1"/>
  <c r="AM72" i="19" a="1"/>
  <c r="AM72" i="19" s="1"/>
  <c r="AL72" i="19" a="1"/>
  <c r="AL72" i="19" s="1"/>
  <c r="AK72" i="19" a="1"/>
  <c r="AK72" i="19" s="1"/>
  <c r="AZ71" i="19" a="1"/>
  <c r="AZ71" i="19" s="1"/>
  <c r="AY71" i="19" a="1"/>
  <c r="AY71" i="19" s="1"/>
  <c r="AX71" i="19" a="1"/>
  <c r="AX71" i="19" s="1"/>
  <c r="AW71" i="19" a="1"/>
  <c r="AW71" i="19" s="1"/>
  <c r="AV71" i="19" a="1"/>
  <c r="AV71" i="19" s="1"/>
  <c r="AU71" i="19" a="1"/>
  <c r="AU71" i="19" s="1"/>
  <c r="AT71" i="19" a="1"/>
  <c r="AT71" i="19" s="1"/>
  <c r="AS71" i="19" a="1"/>
  <c r="AS71" i="19" s="1"/>
  <c r="AR71" i="19" a="1"/>
  <c r="AR71" i="19" s="1"/>
  <c r="AQ71" i="19" a="1"/>
  <c r="AQ71" i="19" s="1"/>
  <c r="AP71" i="19" a="1"/>
  <c r="AP71" i="19" s="1"/>
  <c r="AO71" i="19" a="1"/>
  <c r="AO71" i="19" s="1"/>
  <c r="AN71" i="19" a="1"/>
  <c r="AN71" i="19" s="1"/>
  <c r="AM71" i="19" a="1"/>
  <c r="AM71" i="19" s="1"/>
  <c r="AL71" i="19" a="1"/>
  <c r="AL71" i="19" s="1"/>
  <c r="AK71" i="19" a="1"/>
  <c r="AK71" i="19" s="1"/>
  <c r="AZ70" i="19" a="1"/>
  <c r="AZ70" i="19" s="1"/>
  <c r="AY70" i="19" a="1"/>
  <c r="AY70" i="19" s="1"/>
  <c r="AX70" i="19" a="1"/>
  <c r="AX70" i="19" s="1"/>
  <c r="AW70" i="19" a="1"/>
  <c r="AW70" i="19" s="1"/>
  <c r="AV70" i="19" a="1"/>
  <c r="AV70" i="19" s="1"/>
  <c r="AU70" i="19" a="1"/>
  <c r="AU70" i="19" s="1"/>
  <c r="AT70" i="19" a="1"/>
  <c r="AT70" i="19" s="1"/>
  <c r="AS70" i="19" a="1"/>
  <c r="AS70" i="19" s="1"/>
  <c r="AR70" i="19" a="1"/>
  <c r="AR70" i="19" s="1"/>
  <c r="AQ70" i="19" a="1"/>
  <c r="AQ70" i="19" s="1"/>
  <c r="AP70" i="19" a="1"/>
  <c r="AP70" i="19" s="1"/>
  <c r="AO70" i="19" a="1"/>
  <c r="AO70" i="19" s="1"/>
  <c r="AN70" i="19" a="1"/>
  <c r="AN70" i="19" s="1"/>
  <c r="AM70" i="19" a="1"/>
  <c r="AM70" i="19" s="1"/>
  <c r="AL70" i="19" a="1"/>
  <c r="AL70" i="19" s="1"/>
  <c r="AK70" i="19" a="1"/>
  <c r="AK70" i="19" s="1"/>
  <c r="AZ69" i="19" a="1"/>
  <c r="AZ69" i="19" s="1"/>
  <c r="AY69" i="19" a="1"/>
  <c r="AY69" i="19" s="1"/>
  <c r="AX69" i="19" a="1"/>
  <c r="AX69" i="19" s="1"/>
  <c r="AW69" i="19" a="1"/>
  <c r="AW69" i="19" s="1"/>
  <c r="AV69" i="19" a="1"/>
  <c r="AV69" i="19" s="1"/>
  <c r="AU69" i="19" a="1"/>
  <c r="AU69" i="19" s="1"/>
  <c r="AT69" i="19" a="1"/>
  <c r="AT69" i="19" s="1"/>
  <c r="AS69" i="19" a="1"/>
  <c r="AS69" i="19" s="1"/>
  <c r="AR69" i="19" a="1"/>
  <c r="AR69" i="19" s="1"/>
  <c r="AQ69" i="19" a="1"/>
  <c r="AQ69" i="19" s="1"/>
  <c r="AP69" i="19" a="1"/>
  <c r="AP69" i="19" s="1"/>
  <c r="AO69" i="19" a="1"/>
  <c r="AO69" i="19" s="1"/>
  <c r="AN69" i="19" a="1"/>
  <c r="AN69" i="19" s="1"/>
  <c r="AM69" i="19" a="1"/>
  <c r="AM69" i="19" s="1"/>
  <c r="AL69" i="19" a="1"/>
  <c r="AL69" i="19" s="1"/>
  <c r="AK69" i="19" a="1"/>
  <c r="AK69" i="19" s="1"/>
  <c r="AZ68" i="19" a="1"/>
  <c r="AZ68" i="19" s="1"/>
  <c r="AY68" i="19" a="1"/>
  <c r="AY68" i="19" s="1"/>
  <c r="AX68" i="19" a="1"/>
  <c r="AX68" i="19" s="1"/>
  <c r="AW68" i="19" a="1"/>
  <c r="AW68" i="19" s="1"/>
  <c r="AV68" i="19" a="1"/>
  <c r="AV68" i="19" s="1"/>
  <c r="AU68" i="19" a="1"/>
  <c r="AU68" i="19" s="1"/>
  <c r="AT68" i="19" a="1"/>
  <c r="AT68" i="19" s="1"/>
  <c r="AS68" i="19" a="1"/>
  <c r="AS68" i="19" s="1"/>
  <c r="AR68" i="19" a="1"/>
  <c r="AR68" i="19" s="1"/>
  <c r="AQ68" i="19" a="1"/>
  <c r="AQ68" i="19" s="1"/>
  <c r="AP68" i="19" a="1"/>
  <c r="AP68" i="19" s="1"/>
  <c r="AO68" i="19" a="1"/>
  <c r="AO68" i="19" s="1"/>
  <c r="AN68" i="19" a="1"/>
  <c r="AN68" i="19" s="1"/>
  <c r="AM68" i="19" a="1"/>
  <c r="AM68" i="19" s="1"/>
  <c r="AL68" i="19" a="1"/>
  <c r="AL68" i="19" s="1"/>
  <c r="AK68" i="19" a="1"/>
  <c r="AK68" i="19" s="1"/>
  <c r="AZ67" i="19" a="1"/>
  <c r="AZ67" i="19" s="1"/>
  <c r="AY67" i="19" a="1"/>
  <c r="AY67" i="19" s="1"/>
  <c r="AX67" i="19" a="1"/>
  <c r="AX67" i="19" s="1"/>
  <c r="AW67" i="19" a="1"/>
  <c r="AW67" i="19" s="1"/>
  <c r="AV67" i="19"/>
  <c r="AV67" i="19" a="1"/>
  <c r="AU67" i="19" a="1"/>
  <c r="AU67" i="19" s="1"/>
  <c r="AT67" i="19" a="1"/>
  <c r="AT67" i="19" s="1"/>
  <c r="AS67" i="19" a="1"/>
  <c r="AS67" i="19" s="1"/>
  <c r="AR67" i="19" a="1"/>
  <c r="AR67" i="19" s="1"/>
  <c r="AQ67" i="19" a="1"/>
  <c r="AQ67" i="19" s="1"/>
  <c r="AP67" i="19" a="1"/>
  <c r="AP67" i="19" s="1"/>
  <c r="AO67" i="19" a="1"/>
  <c r="AO67" i="19" s="1"/>
  <c r="AN67" i="19" a="1"/>
  <c r="AN67" i="19" s="1"/>
  <c r="AM67" i="19" a="1"/>
  <c r="AM67" i="19" s="1"/>
  <c r="AL67" i="19" a="1"/>
  <c r="AL67" i="19" s="1"/>
  <c r="AK67" i="19" a="1"/>
  <c r="AK67" i="19" s="1"/>
  <c r="AZ66" i="19" a="1"/>
  <c r="AZ66" i="19" s="1"/>
  <c r="AY66" i="19" a="1"/>
  <c r="AY66" i="19" s="1"/>
  <c r="AX66" i="19" a="1"/>
  <c r="AX66" i="19" s="1"/>
  <c r="AW66" i="19" a="1"/>
  <c r="AW66" i="19" s="1"/>
  <c r="AV66" i="19" a="1"/>
  <c r="AV66" i="19" s="1"/>
  <c r="AU66" i="19" a="1"/>
  <c r="AU66" i="19" s="1"/>
  <c r="AT66" i="19" a="1"/>
  <c r="AT66" i="19" s="1"/>
  <c r="AS66" i="19" a="1"/>
  <c r="AS66" i="19" s="1"/>
  <c r="AR66" i="19" a="1"/>
  <c r="AR66" i="19" s="1"/>
  <c r="AQ66" i="19" a="1"/>
  <c r="AQ66" i="19" s="1"/>
  <c r="AP66" i="19" a="1"/>
  <c r="AP66" i="19" s="1"/>
  <c r="AO66" i="19" a="1"/>
  <c r="AO66" i="19" s="1"/>
  <c r="AN66" i="19" a="1"/>
  <c r="AN66" i="19" s="1"/>
  <c r="AM66" i="19" a="1"/>
  <c r="AM66" i="19" s="1"/>
  <c r="AL66" i="19" a="1"/>
  <c r="AL66" i="19" s="1"/>
  <c r="AK66" i="19" a="1"/>
  <c r="AK66" i="19" s="1"/>
  <c r="AZ65" i="19" a="1"/>
  <c r="AZ65" i="19" s="1"/>
  <c r="AY65" i="19" a="1"/>
  <c r="AY65" i="19" s="1"/>
  <c r="AX65" i="19" a="1"/>
  <c r="AX65" i="19" s="1"/>
  <c r="AW65" i="19" a="1"/>
  <c r="AW65" i="19" s="1"/>
  <c r="AV65" i="19" a="1"/>
  <c r="AV65" i="19" s="1"/>
  <c r="AU65" i="19" a="1"/>
  <c r="AU65" i="19" s="1"/>
  <c r="AT65" i="19" a="1"/>
  <c r="AT65" i="19" s="1"/>
  <c r="AS65" i="19" a="1"/>
  <c r="AS65" i="19" s="1"/>
  <c r="AR65" i="19" a="1"/>
  <c r="AR65" i="19" s="1"/>
  <c r="AQ65" i="19" a="1"/>
  <c r="AQ65" i="19" s="1"/>
  <c r="AP65" i="19" a="1"/>
  <c r="AP65" i="19" s="1"/>
  <c r="AO65" i="19" a="1"/>
  <c r="AO65" i="19" s="1"/>
  <c r="AN65" i="19" a="1"/>
  <c r="AN65" i="19" s="1"/>
  <c r="AM65" i="19" a="1"/>
  <c r="AM65" i="19" s="1"/>
  <c r="AL65" i="19" a="1"/>
  <c r="AL65" i="19" s="1"/>
  <c r="AK65" i="19" a="1"/>
  <c r="AK65" i="19" s="1"/>
  <c r="AZ64" i="19" a="1"/>
  <c r="AZ64" i="19" s="1"/>
  <c r="AY64" i="19" a="1"/>
  <c r="AY64" i="19" s="1"/>
  <c r="AX64" i="19" a="1"/>
  <c r="AX64" i="19" s="1"/>
  <c r="AW64" i="19" a="1"/>
  <c r="AW64" i="19" s="1"/>
  <c r="AV64" i="19" a="1"/>
  <c r="AV64" i="19" s="1"/>
  <c r="AU64" i="19" a="1"/>
  <c r="AU64" i="19" s="1"/>
  <c r="AT64" i="19" a="1"/>
  <c r="AT64" i="19" s="1"/>
  <c r="AS64" i="19" a="1"/>
  <c r="AS64" i="19" s="1"/>
  <c r="AR64" i="19" a="1"/>
  <c r="AR64" i="19" s="1"/>
  <c r="AQ64" i="19" a="1"/>
  <c r="AQ64" i="19" s="1"/>
  <c r="AP64" i="19" a="1"/>
  <c r="AP64" i="19" s="1"/>
  <c r="AO64" i="19" a="1"/>
  <c r="AO64" i="19" s="1"/>
  <c r="AN64" i="19" a="1"/>
  <c r="AN64" i="19" s="1"/>
  <c r="AM64" i="19" a="1"/>
  <c r="AM64" i="19" s="1"/>
  <c r="AL64" i="19" a="1"/>
  <c r="AL64" i="19" s="1"/>
  <c r="AK64" i="19" a="1"/>
  <c r="AK64" i="19" s="1"/>
  <c r="AZ63" i="19" a="1"/>
  <c r="AZ63" i="19" s="1"/>
  <c r="AY63" i="19" a="1"/>
  <c r="AY63" i="19" s="1"/>
  <c r="AX63" i="19" a="1"/>
  <c r="AX63" i="19" s="1"/>
  <c r="AW63" i="19" a="1"/>
  <c r="AW63" i="19" s="1"/>
  <c r="AV63" i="19" a="1"/>
  <c r="AV63" i="19" s="1"/>
  <c r="AU63" i="19" a="1"/>
  <c r="AU63" i="19" s="1"/>
  <c r="AT63" i="19" a="1"/>
  <c r="AT63" i="19" s="1"/>
  <c r="AS63" i="19" a="1"/>
  <c r="AS63" i="19" s="1"/>
  <c r="AR63" i="19" a="1"/>
  <c r="AR63" i="19" s="1"/>
  <c r="AQ63" i="19" a="1"/>
  <c r="AQ63" i="19" s="1"/>
  <c r="AP63" i="19" a="1"/>
  <c r="AP63" i="19" s="1"/>
  <c r="AO63" i="19" a="1"/>
  <c r="AO63" i="19" s="1"/>
  <c r="AN63" i="19" a="1"/>
  <c r="AN63" i="19" s="1"/>
  <c r="AM63" i="19" a="1"/>
  <c r="AM63" i="19" s="1"/>
  <c r="AL63" i="19" a="1"/>
  <c r="AL63" i="19" s="1"/>
  <c r="AK63" i="19" a="1"/>
  <c r="AK63" i="19" s="1"/>
  <c r="AZ62" i="19" a="1"/>
  <c r="AZ62" i="19" s="1"/>
  <c r="AY62" i="19" a="1"/>
  <c r="AY62" i="19" s="1"/>
  <c r="AX62" i="19" a="1"/>
  <c r="AX62" i="19" s="1"/>
  <c r="AW62" i="19" a="1"/>
  <c r="AW62" i="19" s="1"/>
  <c r="AV62" i="19" a="1"/>
  <c r="AV62" i="19" s="1"/>
  <c r="AU62" i="19" a="1"/>
  <c r="AU62" i="19" s="1"/>
  <c r="AT62" i="19"/>
  <c r="AT62" i="19" a="1"/>
  <c r="AS62" i="19" a="1"/>
  <c r="AS62" i="19" s="1"/>
  <c r="AR62" i="19" a="1"/>
  <c r="AR62" i="19" s="1"/>
  <c r="AQ62" i="19" a="1"/>
  <c r="AQ62" i="19" s="1"/>
  <c r="AP62" i="19" a="1"/>
  <c r="AP62" i="19" s="1"/>
  <c r="AO62" i="19" a="1"/>
  <c r="AO62" i="19" s="1"/>
  <c r="AN62" i="19" a="1"/>
  <c r="AN62" i="19" s="1"/>
  <c r="AM62" i="19" a="1"/>
  <c r="AM62" i="19" s="1"/>
  <c r="AL62" i="19" a="1"/>
  <c r="AL62" i="19" s="1"/>
  <c r="AK62" i="19" a="1"/>
  <c r="AK62" i="19" s="1"/>
  <c r="AZ61" i="19" a="1"/>
  <c r="AZ61" i="19" s="1"/>
  <c r="AY61" i="19" a="1"/>
  <c r="AY61" i="19" s="1"/>
  <c r="AX61" i="19" a="1"/>
  <c r="AX61" i="19" s="1"/>
  <c r="AW61" i="19" a="1"/>
  <c r="AW61" i="19" s="1"/>
  <c r="AV61" i="19" a="1"/>
  <c r="AV61" i="19" s="1"/>
  <c r="AU61" i="19" a="1"/>
  <c r="AU61" i="19" s="1"/>
  <c r="AT61" i="19" a="1"/>
  <c r="AT61" i="19" s="1"/>
  <c r="AS61" i="19" a="1"/>
  <c r="AS61" i="19" s="1"/>
  <c r="AR61" i="19" a="1"/>
  <c r="AR61" i="19" s="1"/>
  <c r="AQ61" i="19" a="1"/>
  <c r="AQ61" i="19" s="1"/>
  <c r="AP61" i="19" a="1"/>
  <c r="AP61" i="19" s="1"/>
  <c r="AO61" i="19" a="1"/>
  <c r="AO61" i="19" s="1"/>
  <c r="AN61" i="19" a="1"/>
  <c r="AN61" i="19" s="1"/>
  <c r="AM61" i="19" a="1"/>
  <c r="AM61" i="19" s="1"/>
  <c r="AL61" i="19" a="1"/>
  <c r="AL61" i="19" s="1"/>
  <c r="AK61" i="19" a="1"/>
  <c r="AK61" i="19" s="1"/>
  <c r="AZ60" i="19" a="1"/>
  <c r="AZ60" i="19" s="1"/>
  <c r="AY60" i="19" a="1"/>
  <c r="AY60" i="19" s="1"/>
  <c r="AX60" i="19" a="1"/>
  <c r="AX60" i="19" s="1"/>
  <c r="AW60" i="19" a="1"/>
  <c r="AW60" i="19" s="1"/>
  <c r="AV60" i="19" a="1"/>
  <c r="AV60" i="19" s="1"/>
  <c r="AU60" i="19" a="1"/>
  <c r="AU60" i="19" s="1"/>
  <c r="AT60" i="19" a="1"/>
  <c r="AT60" i="19" s="1"/>
  <c r="AS60" i="19" a="1"/>
  <c r="AS60" i="19" s="1"/>
  <c r="AR60" i="19" a="1"/>
  <c r="AR60" i="19" s="1"/>
  <c r="AQ60" i="19" a="1"/>
  <c r="AQ60" i="19" s="1"/>
  <c r="AP60" i="19" a="1"/>
  <c r="AP60" i="19" s="1"/>
  <c r="AO60" i="19" a="1"/>
  <c r="AO60" i="19" s="1"/>
  <c r="AN60" i="19" a="1"/>
  <c r="AN60" i="19" s="1"/>
  <c r="AM60" i="19" a="1"/>
  <c r="AM60" i="19" s="1"/>
  <c r="AL60" i="19" a="1"/>
  <c r="AL60" i="19" s="1"/>
  <c r="AK60" i="19" a="1"/>
  <c r="AK60" i="19" s="1"/>
  <c r="AZ59" i="19" a="1"/>
  <c r="AZ59" i="19" s="1"/>
  <c r="AY59" i="19" a="1"/>
  <c r="AY59" i="19" s="1"/>
  <c r="AX59" i="19" a="1"/>
  <c r="AX59" i="19" s="1"/>
  <c r="AW59" i="19" a="1"/>
  <c r="AW59" i="19" s="1"/>
  <c r="AV59" i="19" a="1"/>
  <c r="AV59" i="19" s="1"/>
  <c r="AU59" i="19" a="1"/>
  <c r="AU59" i="19" s="1"/>
  <c r="AT59" i="19" a="1"/>
  <c r="AT59" i="19" s="1"/>
  <c r="AS59" i="19" a="1"/>
  <c r="AS59" i="19" s="1"/>
  <c r="AR59" i="19" a="1"/>
  <c r="AR59" i="19" s="1"/>
  <c r="AQ59" i="19" a="1"/>
  <c r="AQ59" i="19" s="1"/>
  <c r="AP59" i="19" a="1"/>
  <c r="AP59" i="19" s="1"/>
  <c r="AO59" i="19" a="1"/>
  <c r="AO59" i="19" s="1"/>
  <c r="AN59" i="19" a="1"/>
  <c r="AN59" i="19" s="1"/>
  <c r="AM59" i="19" a="1"/>
  <c r="AM59" i="19" s="1"/>
  <c r="AL59" i="19" a="1"/>
  <c r="AL59" i="19" s="1"/>
  <c r="AK59" i="19" a="1"/>
  <c r="AK59" i="19" s="1"/>
  <c r="AZ58" i="19" a="1"/>
  <c r="AZ58" i="19" s="1"/>
  <c r="AY58" i="19" a="1"/>
  <c r="AY58" i="19" s="1"/>
  <c r="AX58" i="19" a="1"/>
  <c r="AX58" i="19" s="1"/>
  <c r="AW58" i="19" a="1"/>
  <c r="AW58" i="19" s="1"/>
  <c r="AV58" i="19" a="1"/>
  <c r="AV58" i="19" s="1"/>
  <c r="AU58" i="19" a="1"/>
  <c r="AU58" i="19" s="1"/>
  <c r="AT58" i="19" a="1"/>
  <c r="AT58" i="19" s="1"/>
  <c r="AS58" i="19" a="1"/>
  <c r="AS58" i="19" s="1"/>
  <c r="AR58" i="19" a="1"/>
  <c r="AR58" i="19" s="1"/>
  <c r="AQ58" i="19" a="1"/>
  <c r="AQ58" i="19" s="1"/>
  <c r="AP58" i="19" a="1"/>
  <c r="AP58" i="19" s="1"/>
  <c r="AO58" i="19" a="1"/>
  <c r="AO58" i="19" s="1"/>
  <c r="AN58" i="19" a="1"/>
  <c r="AN58" i="19" s="1"/>
  <c r="AM58" i="19" a="1"/>
  <c r="AM58" i="19" s="1"/>
  <c r="AL58" i="19" a="1"/>
  <c r="AL58" i="19" s="1"/>
  <c r="AK58" i="19" a="1"/>
  <c r="AK58" i="19" s="1"/>
  <c r="AZ57" i="19" a="1"/>
  <c r="AZ57" i="19" s="1"/>
  <c r="AY57" i="19" a="1"/>
  <c r="AY57" i="19" s="1"/>
  <c r="AX57" i="19" a="1"/>
  <c r="AX57" i="19" s="1"/>
  <c r="AW57" i="19" a="1"/>
  <c r="AW57" i="19" s="1"/>
  <c r="AV57" i="19" a="1"/>
  <c r="AV57" i="19" s="1"/>
  <c r="AU57" i="19" a="1"/>
  <c r="AU57" i="19" s="1"/>
  <c r="AT57" i="19" a="1"/>
  <c r="AT57" i="19" s="1"/>
  <c r="AS57" i="19" a="1"/>
  <c r="AS57" i="19" s="1"/>
  <c r="AR57" i="19" a="1"/>
  <c r="AR57" i="19" s="1"/>
  <c r="AQ57" i="19" a="1"/>
  <c r="AQ57" i="19" s="1"/>
  <c r="AP57" i="19" a="1"/>
  <c r="AP57" i="19" s="1"/>
  <c r="AO57" i="19" a="1"/>
  <c r="AO57" i="19" s="1"/>
  <c r="AN57" i="19" a="1"/>
  <c r="AN57" i="19" s="1"/>
  <c r="AM57" i="19" a="1"/>
  <c r="AM57" i="19" s="1"/>
  <c r="AL57" i="19" a="1"/>
  <c r="AL57" i="19" s="1"/>
  <c r="AK57" i="19" a="1"/>
  <c r="AK57" i="19" s="1"/>
  <c r="AZ56" i="19" a="1"/>
  <c r="AZ56" i="19" s="1"/>
  <c r="AY56" i="19" a="1"/>
  <c r="AY56" i="19" s="1"/>
  <c r="AX56" i="19" a="1"/>
  <c r="AX56" i="19" s="1"/>
  <c r="AW56" i="19" a="1"/>
  <c r="AW56" i="19" s="1"/>
  <c r="AV56" i="19" a="1"/>
  <c r="AV56" i="19" s="1"/>
  <c r="AU56" i="19" a="1"/>
  <c r="AU56" i="19" s="1"/>
  <c r="AT56" i="19" a="1"/>
  <c r="AT56" i="19" s="1"/>
  <c r="AS56" i="19" a="1"/>
  <c r="AS56" i="19" s="1"/>
  <c r="AR56" i="19" a="1"/>
  <c r="AR56" i="19" s="1"/>
  <c r="AQ56" i="19" a="1"/>
  <c r="AQ56" i="19" s="1"/>
  <c r="AP56" i="19" a="1"/>
  <c r="AP56" i="19" s="1"/>
  <c r="AO56" i="19" a="1"/>
  <c r="AO56" i="19" s="1"/>
  <c r="AN56" i="19" a="1"/>
  <c r="AN56" i="19" s="1"/>
  <c r="AM56" i="19" a="1"/>
  <c r="AM56" i="19" s="1"/>
  <c r="AL56" i="19" a="1"/>
  <c r="AL56" i="19" s="1"/>
  <c r="AK56" i="19" a="1"/>
  <c r="AK56" i="19" s="1"/>
  <c r="AZ55" i="19" a="1"/>
  <c r="AZ55" i="19" s="1"/>
  <c r="AY55" i="19" a="1"/>
  <c r="AY55" i="19" s="1"/>
  <c r="AX55" i="19" a="1"/>
  <c r="AX55" i="19" s="1"/>
  <c r="AW55" i="19" a="1"/>
  <c r="AW55" i="19" s="1"/>
  <c r="AV55" i="19" a="1"/>
  <c r="AV55" i="19" s="1"/>
  <c r="AU55" i="19" a="1"/>
  <c r="AU55" i="19" s="1"/>
  <c r="AT55" i="19" a="1"/>
  <c r="AT55" i="19" s="1"/>
  <c r="AS55" i="19" a="1"/>
  <c r="AS55" i="19" s="1"/>
  <c r="AR55" i="19" a="1"/>
  <c r="AR55" i="19" s="1"/>
  <c r="AQ55" i="19" a="1"/>
  <c r="AQ55" i="19" s="1"/>
  <c r="AP55" i="19" a="1"/>
  <c r="AP55" i="19" s="1"/>
  <c r="AO55" i="19" a="1"/>
  <c r="AO55" i="19" s="1"/>
  <c r="AN55" i="19" a="1"/>
  <c r="AN55" i="19" s="1"/>
  <c r="AM55" i="19" a="1"/>
  <c r="AM55" i="19" s="1"/>
  <c r="AL55" i="19" a="1"/>
  <c r="AL55" i="19" s="1"/>
  <c r="AK55" i="19" a="1"/>
  <c r="AK55" i="19" s="1"/>
  <c r="AZ54" i="19" a="1"/>
  <c r="AZ54" i="19" s="1"/>
  <c r="AY54" i="19" a="1"/>
  <c r="AY54" i="19" s="1"/>
  <c r="AX54" i="19" a="1"/>
  <c r="AX54" i="19" s="1"/>
  <c r="AW54" i="19" a="1"/>
  <c r="AW54" i="19" s="1"/>
  <c r="AV54" i="19" a="1"/>
  <c r="AV54" i="19" s="1"/>
  <c r="AU54" i="19" a="1"/>
  <c r="AU54" i="19" s="1"/>
  <c r="AT54" i="19" a="1"/>
  <c r="AT54" i="19" s="1"/>
  <c r="AS54" i="19" a="1"/>
  <c r="AS54" i="19" s="1"/>
  <c r="AR54" i="19" a="1"/>
  <c r="AR54" i="19" s="1"/>
  <c r="AQ54" i="19" a="1"/>
  <c r="AQ54" i="19" s="1"/>
  <c r="AP54" i="19" a="1"/>
  <c r="AP54" i="19" s="1"/>
  <c r="AO54" i="19" a="1"/>
  <c r="AO54" i="19" s="1"/>
  <c r="AN54" i="19" a="1"/>
  <c r="AN54" i="19" s="1"/>
  <c r="AM54" i="19" a="1"/>
  <c r="AM54" i="19" s="1"/>
  <c r="AL54" i="19" a="1"/>
  <c r="AL54" i="19" s="1"/>
  <c r="AK54" i="19" a="1"/>
  <c r="AK54" i="19" s="1"/>
  <c r="AZ53" i="19" a="1"/>
  <c r="AZ53" i="19" s="1"/>
  <c r="AY53" i="19" a="1"/>
  <c r="AY53" i="19" s="1"/>
  <c r="AX53" i="19" a="1"/>
  <c r="AX53" i="19" s="1"/>
  <c r="AW53" i="19" a="1"/>
  <c r="AW53" i="19" s="1"/>
  <c r="AV53" i="19" a="1"/>
  <c r="AV53" i="19" s="1"/>
  <c r="AU53" i="19" a="1"/>
  <c r="AU53" i="19" s="1"/>
  <c r="AT53" i="19" a="1"/>
  <c r="AT53" i="19" s="1"/>
  <c r="AS53" i="19" a="1"/>
  <c r="AS53" i="19" s="1"/>
  <c r="AR53" i="19" a="1"/>
  <c r="AR53" i="19" s="1"/>
  <c r="AQ53" i="19" a="1"/>
  <c r="AQ53" i="19" s="1"/>
  <c r="AP53" i="19" a="1"/>
  <c r="AP53" i="19" s="1"/>
  <c r="AO53" i="19" a="1"/>
  <c r="AO53" i="19" s="1"/>
  <c r="AN53" i="19" a="1"/>
  <c r="AN53" i="19" s="1"/>
  <c r="AM53" i="19" a="1"/>
  <c r="AM53" i="19" s="1"/>
  <c r="AL53" i="19" a="1"/>
  <c r="AL53" i="19" s="1"/>
  <c r="AK53" i="19" a="1"/>
  <c r="AK53" i="19" s="1"/>
  <c r="AZ52" i="19" a="1"/>
  <c r="AZ52" i="19" s="1"/>
  <c r="AY52" i="19" a="1"/>
  <c r="AY52" i="19" s="1"/>
  <c r="AX52" i="19" a="1"/>
  <c r="AX52" i="19" s="1"/>
  <c r="AW52" i="19" a="1"/>
  <c r="AW52" i="19" s="1"/>
  <c r="AV52" i="19" a="1"/>
  <c r="AV52" i="19" s="1"/>
  <c r="AU52" i="19" a="1"/>
  <c r="AU52" i="19" s="1"/>
  <c r="AT52" i="19" a="1"/>
  <c r="AT52" i="19" s="1"/>
  <c r="AS52" i="19" a="1"/>
  <c r="AS52" i="19" s="1"/>
  <c r="AR52" i="19" a="1"/>
  <c r="AR52" i="19" s="1"/>
  <c r="AQ52" i="19" a="1"/>
  <c r="AQ52" i="19" s="1"/>
  <c r="AP52" i="19" a="1"/>
  <c r="AP52" i="19" s="1"/>
  <c r="AO52" i="19" a="1"/>
  <c r="AO52" i="19" s="1"/>
  <c r="AN52" i="19" a="1"/>
  <c r="AN52" i="19" s="1"/>
  <c r="AM52" i="19" a="1"/>
  <c r="AM52" i="19" s="1"/>
  <c r="AL52" i="19"/>
  <c r="AL52" i="19" a="1"/>
  <c r="AK52" i="19" a="1"/>
  <c r="AK52" i="19" s="1"/>
  <c r="AZ51" i="19" a="1"/>
  <c r="AZ51" i="19" s="1"/>
  <c r="AY51" i="19" a="1"/>
  <c r="AY51" i="19" s="1"/>
  <c r="AX51" i="19" a="1"/>
  <c r="AX51" i="19" s="1"/>
  <c r="AW51" i="19" a="1"/>
  <c r="AW51" i="19" s="1"/>
  <c r="AV51" i="19" a="1"/>
  <c r="AV51" i="19" s="1"/>
  <c r="AU51" i="19" a="1"/>
  <c r="AU51" i="19" s="1"/>
  <c r="AT51" i="19" a="1"/>
  <c r="AT51" i="19" s="1"/>
  <c r="AS51" i="19" a="1"/>
  <c r="AS51" i="19" s="1"/>
  <c r="AR51" i="19" a="1"/>
  <c r="AR51" i="19" s="1"/>
  <c r="AQ51" i="19" a="1"/>
  <c r="AQ51" i="19" s="1"/>
  <c r="AP51" i="19" a="1"/>
  <c r="AP51" i="19" s="1"/>
  <c r="AO51" i="19" a="1"/>
  <c r="AO51" i="19" s="1"/>
  <c r="AN51" i="19" a="1"/>
  <c r="AN51" i="19" s="1"/>
  <c r="AM51" i="19" a="1"/>
  <c r="AM51" i="19" s="1"/>
  <c r="AL51" i="19" a="1"/>
  <c r="AL51" i="19" s="1"/>
  <c r="AK51" i="19" a="1"/>
  <c r="AK51" i="19" s="1"/>
  <c r="AZ50" i="19" a="1"/>
  <c r="AZ50" i="19" s="1"/>
  <c r="AY50" i="19" a="1"/>
  <c r="AY50" i="19" s="1"/>
  <c r="AX50" i="19" a="1"/>
  <c r="AX50" i="19" s="1"/>
  <c r="AW50" i="19" a="1"/>
  <c r="AW50" i="19" s="1"/>
  <c r="AV50" i="19" a="1"/>
  <c r="AV50" i="19" s="1"/>
  <c r="AU50" i="19" a="1"/>
  <c r="AU50" i="19" s="1"/>
  <c r="AT50" i="19" a="1"/>
  <c r="AT50" i="19" s="1"/>
  <c r="AS50" i="19" a="1"/>
  <c r="AS50" i="19" s="1"/>
  <c r="AR50" i="19" a="1"/>
  <c r="AR50" i="19" s="1"/>
  <c r="AQ50" i="19" a="1"/>
  <c r="AQ50" i="19" s="1"/>
  <c r="AP50" i="19" a="1"/>
  <c r="AP50" i="19" s="1"/>
  <c r="AO50" i="19" a="1"/>
  <c r="AO50" i="19" s="1"/>
  <c r="AN50" i="19" a="1"/>
  <c r="AN50" i="19" s="1"/>
  <c r="AM50" i="19" a="1"/>
  <c r="AM50" i="19" s="1"/>
  <c r="AL50" i="19" a="1"/>
  <c r="AL50" i="19" s="1"/>
  <c r="AK50" i="19" a="1"/>
  <c r="AK50" i="19" s="1"/>
  <c r="AZ49" i="19" a="1"/>
  <c r="AZ49" i="19" s="1"/>
  <c r="AY49" i="19" a="1"/>
  <c r="AY49" i="19" s="1"/>
  <c r="AX49" i="19" a="1"/>
  <c r="AX49" i="19" s="1"/>
  <c r="AW49" i="19" a="1"/>
  <c r="AW49" i="19" s="1"/>
  <c r="AV49" i="19" a="1"/>
  <c r="AV49" i="19" s="1"/>
  <c r="AU49" i="19" a="1"/>
  <c r="AU49" i="19" s="1"/>
  <c r="AT49" i="19" a="1"/>
  <c r="AT49" i="19" s="1"/>
  <c r="AS49" i="19" a="1"/>
  <c r="AS49" i="19" s="1"/>
  <c r="AR49" i="19" a="1"/>
  <c r="AR49" i="19" s="1"/>
  <c r="AQ49" i="19" a="1"/>
  <c r="AQ49" i="19" s="1"/>
  <c r="AP49" i="19" a="1"/>
  <c r="AP49" i="19" s="1"/>
  <c r="AO49" i="19" a="1"/>
  <c r="AO49" i="19" s="1"/>
  <c r="AN49" i="19" a="1"/>
  <c r="AN49" i="19" s="1"/>
  <c r="AM49" i="19" a="1"/>
  <c r="AM49" i="19" s="1"/>
  <c r="AL49" i="19" a="1"/>
  <c r="AL49" i="19" s="1"/>
  <c r="AK49" i="19" a="1"/>
  <c r="AK49" i="19" s="1"/>
  <c r="AZ48" i="19" a="1"/>
  <c r="AZ48" i="19" s="1"/>
  <c r="AY48" i="19" a="1"/>
  <c r="AY48" i="19" s="1"/>
  <c r="AX48" i="19" a="1"/>
  <c r="AX48" i="19" s="1"/>
  <c r="AW48" i="19" a="1"/>
  <c r="AW48" i="19" s="1"/>
  <c r="AV48" i="19" a="1"/>
  <c r="AV48" i="19" s="1"/>
  <c r="AU48" i="19" a="1"/>
  <c r="AU48" i="19" s="1"/>
  <c r="AT48" i="19" a="1"/>
  <c r="AT48" i="19" s="1"/>
  <c r="AS48" i="19" a="1"/>
  <c r="AS48" i="19" s="1"/>
  <c r="AR48" i="19" a="1"/>
  <c r="AR48" i="19" s="1"/>
  <c r="AQ48" i="19" a="1"/>
  <c r="AQ48" i="19" s="1"/>
  <c r="AP48" i="19" a="1"/>
  <c r="AP48" i="19" s="1"/>
  <c r="AO48" i="19" a="1"/>
  <c r="AO48" i="19" s="1"/>
  <c r="AN48" i="19" a="1"/>
  <c r="AN48" i="19" s="1"/>
  <c r="AM48" i="19" a="1"/>
  <c r="AM48" i="19" s="1"/>
  <c r="AL48" i="19"/>
  <c r="AL48" i="19" a="1"/>
  <c r="AK48" i="19" a="1"/>
  <c r="AK48" i="19" s="1"/>
  <c r="AZ47" i="19" a="1"/>
  <c r="AZ47" i="19" s="1"/>
  <c r="AY47" i="19" a="1"/>
  <c r="AY47" i="19" s="1"/>
  <c r="AX47" i="19" a="1"/>
  <c r="AX47" i="19" s="1"/>
  <c r="AW47" i="19" a="1"/>
  <c r="AW47" i="19" s="1"/>
  <c r="AV47" i="19" a="1"/>
  <c r="AV47" i="19" s="1"/>
  <c r="AU47" i="19" a="1"/>
  <c r="AU47" i="19" s="1"/>
  <c r="AT47" i="19" a="1"/>
  <c r="AT47" i="19" s="1"/>
  <c r="AS47" i="19" a="1"/>
  <c r="AS47" i="19" s="1"/>
  <c r="AR47" i="19" a="1"/>
  <c r="AR47" i="19" s="1"/>
  <c r="AQ47" i="19" a="1"/>
  <c r="AQ47" i="19" s="1"/>
  <c r="AP47" i="19" a="1"/>
  <c r="AP47" i="19" s="1"/>
  <c r="AO47" i="19" a="1"/>
  <c r="AO47" i="19" s="1"/>
  <c r="AN47" i="19" a="1"/>
  <c r="AN47" i="19" s="1"/>
  <c r="AM47" i="19" a="1"/>
  <c r="AM47" i="19" s="1"/>
  <c r="AL47" i="19" a="1"/>
  <c r="AL47" i="19" s="1"/>
  <c r="AK47" i="19" a="1"/>
  <c r="AK47" i="19" s="1"/>
  <c r="AZ46" i="19"/>
  <c r="AZ46" i="19" a="1"/>
  <c r="AY46" i="19" a="1"/>
  <c r="AY46" i="19" s="1"/>
  <c r="AX46" i="19" a="1"/>
  <c r="AX46" i="19" s="1"/>
  <c r="AW46" i="19" a="1"/>
  <c r="AW46" i="19" s="1"/>
  <c r="AV46" i="19" a="1"/>
  <c r="AV46" i="19" s="1"/>
  <c r="AU46" i="19" a="1"/>
  <c r="AU46" i="19" s="1"/>
  <c r="AT46" i="19" a="1"/>
  <c r="AT46" i="19" s="1"/>
  <c r="AS46" i="19" a="1"/>
  <c r="AS46" i="19" s="1"/>
  <c r="AR46" i="19" a="1"/>
  <c r="AR46" i="19" s="1"/>
  <c r="AQ46" i="19" a="1"/>
  <c r="AQ46" i="19" s="1"/>
  <c r="AP46" i="19" a="1"/>
  <c r="AP46" i="19" s="1"/>
  <c r="AO46" i="19" a="1"/>
  <c r="AO46" i="19" s="1"/>
  <c r="AN46" i="19" a="1"/>
  <c r="AN46" i="19" s="1"/>
  <c r="AM46" i="19" a="1"/>
  <c r="AM46" i="19" s="1"/>
  <c r="AL46" i="19" a="1"/>
  <c r="AL46" i="19" s="1"/>
  <c r="AK46" i="19" a="1"/>
  <c r="AK46" i="19" s="1"/>
  <c r="AZ45" i="19" a="1"/>
  <c r="AZ45" i="19" s="1"/>
  <c r="AY45" i="19" a="1"/>
  <c r="AY45" i="19" s="1"/>
  <c r="AX45" i="19" a="1"/>
  <c r="AX45" i="19" s="1"/>
  <c r="AW45" i="19" a="1"/>
  <c r="AW45" i="19" s="1"/>
  <c r="AV45" i="19" a="1"/>
  <c r="AV45" i="19" s="1"/>
  <c r="AU45" i="19" a="1"/>
  <c r="AU45" i="19" s="1"/>
  <c r="AT45" i="19" a="1"/>
  <c r="AT45" i="19" s="1"/>
  <c r="AS45" i="19" a="1"/>
  <c r="AS45" i="19" s="1"/>
  <c r="AR45" i="19" a="1"/>
  <c r="AR45" i="19" s="1"/>
  <c r="AQ45" i="19" a="1"/>
  <c r="AQ45" i="19" s="1"/>
  <c r="AP45" i="19" a="1"/>
  <c r="AP45" i="19" s="1"/>
  <c r="AO45" i="19" a="1"/>
  <c r="AO45" i="19" s="1"/>
  <c r="AN45" i="19" a="1"/>
  <c r="AN45" i="19" s="1"/>
  <c r="AM45" i="19" a="1"/>
  <c r="AM45" i="19" s="1"/>
  <c r="AL45" i="19" a="1"/>
  <c r="AL45" i="19" s="1"/>
  <c r="AK45" i="19" a="1"/>
  <c r="AK45" i="19" s="1"/>
  <c r="AZ44" i="19" a="1"/>
  <c r="AZ44" i="19" s="1"/>
  <c r="AY44" i="19" a="1"/>
  <c r="AY44" i="19" s="1"/>
  <c r="AX44" i="19" a="1"/>
  <c r="AX44" i="19" s="1"/>
  <c r="AW44" i="19" a="1"/>
  <c r="AW44" i="19" s="1"/>
  <c r="AV44" i="19" a="1"/>
  <c r="AV44" i="19" s="1"/>
  <c r="AU44" i="19" a="1"/>
  <c r="AU44" i="19" s="1"/>
  <c r="AT44" i="19" a="1"/>
  <c r="AT44" i="19" s="1"/>
  <c r="AS44" i="19" a="1"/>
  <c r="AS44" i="19" s="1"/>
  <c r="AR44" i="19" a="1"/>
  <c r="AR44" i="19" s="1"/>
  <c r="AQ44" i="19" a="1"/>
  <c r="AQ44" i="19" s="1"/>
  <c r="AP44" i="19" a="1"/>
  <c r="AP44" i="19" s="1"/>
  <c r="AO44" i="19" a="1"/>
  <c r="AO44" i="19" s="1"/>
  <c r="AN44" i="19" a="1"/>
  <c r="AN44" i="19" s="1"/>
  <c r="AM44" i="19" a="1"/>
  <c r="AM44" i="19" s="1"/>
  <c r="AL44" i="19" a="1"/>
  <c r="AL44" i="19" s="1"/>
  <c r="AK44" i="19" a="1"/>
  <c r="AK44" i="19" s="1"/>
  <c r="AZ43" i="19" a="1"/>
  <c r="AZ43" i="19" s="1"/>
  <c r="AY43" i="19" a="1"/>
  <c r="AY43" i="19" s="1"/>
  <c r="AX43" i="19" a="1"/>
  <c r="AX43" i="19" s="1"/>
  <c r="AW43" i="19" a="1"/>
  <c r="AW43" i="19" s="1"/>
  <c r="AV43" i="19" a="1"/>
  <c r="AV43" i="19" s="1"/>
  <c r="AU43" i="19" a="1"/>
  <c r="AU43" i="19" s="1"/>
  <c r="AT43" i="19" a="1"/>
  <c r="AT43" i="19" s="1"/>
  <c r="AS43" i="19" a="1"/>
  <c r="AS43" i="19" s="1"/>
  <c r="AR43" i="19" a="1"/>
  <c r="AR43" i="19" s="1"/>
  <c r="AQ43" i="19" a="1"/>
  <c r="AQ43" i="19" s="1"/>
  <c r="AP43" i="19" a="1"/>
  <c r="AP43" i="19" s="1"/>
  <c r="AO43" i="19" a="1"/>
  <c r="AO43" i="19" s="1"/>
  <c r="AN43" i="19" a="1"/>
  <c r="AN43" i="19" s="1"/>
  <c r="AM43" i="19" a="1"/>
  <c r="AM43" i="19" s="1"/>
  <c r="AL43" i="19" a="1"/>
  <c r="AL43" i="19" s="1"/>
  <c r="AK43" i="19" a="1"/>
  <c r="AK43" i="19" s="1"/>
  <c r="AZ42" i="19"/>
  <c r="AZ42" i="19" a="1"/>
  <c r="AY42" i="19" a="1"/>
  <c r="AY42" i="19" s="1"/>
  <c r="AX42" i="19" a="1"/>
  <c r="AX42" i="19" s="1"/>
  <c r="AW42" i="19" a="1"/>
  <c r="AW42" i="19" s="1"/>
  <c r="AV42" i="19" a="1"/>
  <c r="AV42" i="19" s="1"/>
  <c r="AU42" i="19" a="1"/>
  <c r="AU42" i="19" s="1"/>
  <c r="AT42" i="19" a="1"/>
  <c r="AT42" i="19" s="1"/>
  <c r="AS42" i="19" a="1"/>
  <c r="AS42" i="19" s="1"/>
  <c r="AR42" i="19" a="1"/>
  <c r="AR42" i="19" s="1"/>
  <c r="AQ42" i="19" a="1"/>
  <c r="AQ42" i="19" s="1"/>
  <c r="AP42" i="19" a="1"/>
  <c r="AP42" i="19" s="1"/>
  <c r="AO42" i="19" a="1"/>
  <c r="AO42" i="19" s="1"/>
  <c r="AN42" i="19" a="1"/>
  <c r="AN42" i="19" s="1"/>
  <c r="AM42" i="19" a="1"/>
  <c r="AM42" i="19" s="1"/>
  <c r="AL42" i="19" a="1"/>
  <c r="AL42" i="19" s="1"/>
  <c r="AK42" i="19" a="1"/>
  <c r="AK42" i="19" s="1"/>
  <c r="AZ41" i="19" a="1"/>
  <c r="AZ41" i="19" s="1"/>
  <c r="AY41" i="19" a="1"/>
  <c r="AY41" i="19" s="1"/>
  <c r="AX41" i="19" a="1"/>
  <c r="AX41" i="19" s="1"/>
  <c r="AW41" i="19" a="1"/>
  <c r="AW41" i="19" s="1"/>
  <c r="AV41" i="19" a="1"/>
  <c r="AV41" i="19" s="1"/>
  <c r="AU41" i="19" a="1"/>
  <c r="AU41" i="19" s="1"/>
  <c r="AT41" i="19" a="1"/>
  <c r="AT41" i="19" s="1"/>
  <c r="AS41" i="19" a="1"/>
  <c r="AS41" i="19" s="1"/>
  <c r="AR41" i="19" a="1"/>
  <c r="AR41" i="19" s="1"/>
  <c r="AQ41" i="19" a="1"/>
  <c r="AQ41" i="19" s="1"/>
  <c r="AP41" i="19" a="1"/>
  <c r="AP41" i="19" s="1"/>
  <c r="AO41" i="19" a="1"/>
  <c r="AO41" i="19" s="1"/>
  <c r="AN41" i="19" a="1"/>
  <c r="AN41" i="19" s="1"/>
  <c r="AM41" i="19" a="1"/>
  <c r="AM41" i="19" s="1"/>
  <c r="AL41" i="19" a="1"/>
  <c r="AL41" i="19" s="1"/>
  <c r="AK41" i="19" a="1"/>
  <c r="AK41" i="19" s="1"/>
  <c r="AZ40" i="19" a="1"/>
  <c r="AZ40" i="19" s="1"/>
  <c r="AY40" i="19" a="1"/>
  <c r="AY40" i="19" s="1"/>
  <c r="AX40" i="19" a="1"/>
  <c r="AX40" i="19" s="1"/>
  <c r="AW40" i="19" a="1"/>
  <c r="AW40" i="19" s="1"/>
  <c r="AV40" i="19" a="1"/>
  <c r="AV40" i="19" s="1"/>
  <c r="AU40" i="19" a="1"/>
  <c r="AU40" i="19" s="1"/>
  <c r="AT40" i="19" a="1"/>
  <c r="AT40" i="19" s="1"/>
  <c r="AS40" i="19" a="1"/>
  <c r="AS40" i="19" s="1"/>
  <c r="AR40" i="19" a="1"/>
  <c r="AR40" i="19" s="1"/>
  <c r="AQ40" i="19" a="1"/>
  <c r="AQ40" i="19" s="1"/>
  <c r="AP40" i="19" a="1"/>
  <c r="AP40" i="19" s="1"/>
  <c r="AO40" i="19" a="1"/>
  <c r="AO40" i="19" s="1"/>
  <c r="AN40" i="19" a="1"/>
  <c r="AN40" i="19" s="1"/>
  <c r="AM40" i="19" a="1"/>
  <c r="AM40" i="19" s="1"/>
  <c r="AL40" i="19" a="1"/>
  <c r="AL40" i="19" s="1"/>
  <c r="AK40" i="19" a="1"/>
  <c r="AK40" i="19" s="1"/>
  <c r="AZ39" i="19" a="1"/>
  <c r="AZ39" i="19" s="1"/>
  <c r="AY39" i="19" a="1"/>
  <c r="AY39" i="19" s="1"/>
  <c r="AX39" i="19" a="1"/>
  <c r="AX39" i="19" s="1"/>
  <c r="AW39" i="19" a="1"/>
  <c r="AW39" i="19" s="1"/>
  <c r="AV39" i="19" a="1"/>
  <c r="AV39" i="19" s="1"/>
  <c r="AU39" i="19" a="1"/>
  <c r="AU39" i="19" s="1"/>
  <c r="AT39" i="19" a="1"/>
  <c r="AT39" i="19" s="1"/>
  <c r="AS39" i="19" a="1"/>
  <c r="AS39" i="19" s="1"/>
  <c r="AR39" i="19" a="1"/>
  <c r="AR39" i="19" s="1"/>
  <c r="AQ39" i="19" a="1"/>
  <c r="AQ39" i="19" s="1"/>
  <c r="AP39" i="19" a="1"/>
  <c r="AP39" i="19" s="1"/>
  <c r="AO39" i="19" a="1"/>
  <c r="AO39" i="19" s="1"/>
  <c r="AN39" i="19" a="1"/>
  <c r="AN39" i="19" s="1"/>
  <c r="AM39" i="19" a="1"/>
  <c r="AM39" i="19" s="1"/>
  <c r="AL39" i="19" a="1"/>
  <c r="AL39" i="19" s="1"/>
  <c r="AK39" i="19" a="1"/>
  <c r="AK39" i="19" s="1"/>
  <c r="AZ38" i="19" a="1"/>
  <c r="AZ38" i="19" s="1"/>
  <c r="AY38" i="19" a="1"/>
  <c r="AY38" i="19" s="1"/>
  <c r="AX38" i="19" a="1"/>
  <c r="AX38" i="19" s="1"/>
  <c r="AW38" i="19" a="1"/>
  <c r="AW38" i="19" s="1"/>
  <c r="AV38" i="19" a="1"/>
  <c r="AV38" i="19" s="1"/>
  <c r="AU38" i="19" a="1"/>
  <c r="AU38" i="19" s="1"/>
  <c r="AT38" i="19" a="1"/>
  <c r="AT38" i="19" s="1"/>
  <c r="AS38" i="19" a="1"/>
  <c r="AS38" i="19" s="1"/>
  <c r="AR38" i="19" a="1"/>
  <c r="AR38" i="19" s="1"/>
  <c r="AQ38" i="19" a="1"/>
  <c r="AQ38" i="19" s="1"/>
  <c r="AP38" i="19" a="1"/>
  <c r="AP38" i="19" s="1"/>
  <c r="AO38" i="19" a="1"/>
  <c r="AO38" i="19" s="1"/>
  <c r="AN38" i="19" a="1"/>
  <c r="AN38" i="19" s="1"/>
  <c r="AM38" i="19" a="1"/>
  <c r="AM38" i="19" s="1"/>
  <c r="AL38" i="19" a="1"/>
  <c r="AL38" i="19" s="1"/>
  <c r="AK38" i="19" a="1"/>
  <c r="AK38" i="19" s="1"/>
  <c r="AZ37" i="19" a="1"/>
  <c r="AZ37" i="19" s="1"/>
  <c r="AY37" i="19" a="1"/>
  <c r="AY37" i="19" s="1"/>
  <c r="AX37" i="19" a="1"/>
  <c r="AX37" i="19" s="1"/>
  <c r="AW37" i="19" a="1"/>
  <c r="AW37" i="19" s="1"/>
  <c r="AV37" i="19" a="1"/>
  <c r="AV37" i="19" s="1"/>
  <c r="AU37" i="19" a="1"/>
  <c r="AU37" i="19" s="1"/>
  <c r="AT37" i="19" a="1"/>
  <c r="AT37" i="19" s="1"/>
  <c r="AS37" i="19" a="1"/>
  <c r="AS37" i="19" s="1"/>
  <c r="AR37" i="19" a="1"/>
  <c r="AR37" i="19" s="1"/>
  <c r="AQ37" i="19" a="1"/>
  <c r="AQ37" i="19" s="1"/>
  <c r="AP37" i="19" a="1"/>
  <c r="AP37" i="19" s="1"/>
  <c r="AO37" i="19" a="1"/>
  <c r="AO37" i="19" s="1"/>
  <c r="AN37" i="19" a="1"/>
  <c r="AN37" i="19" s="1"/>
  <c r="AM37" i="19" a="1"/>
  <c r="AM37" i="19" s="1"/>
  <c r="AL37" i="19" a="1"/>
  <c r="AL37" i="19" s="1"/>
  <c r="AK37" i="19" a="1"/>
  <c r="AK37" i="19" s="1"/>
  <c r="AZ36" i="19"/>
  <c r="AZ36" i="19" a="1"/>
  <c r="AY36" i="19" a="1"/>
  <c r="AY36" i="19" s="1"/>
  <c r="AX36" i="19" a="1"/>
  <c r="AX36" i="19" s="1"/>
  <c r="AW36" i="19" a="1"/>
  <c r="AW36" i="19" s="1"/>
  <c r="AV36" i="19" a="1"/>
  <c r="AV36" i="19" s="1"/>
  <c r="AU36" i="19" a="1"/>
  <c r="AU36" i="19" s="1"/>
  <c r="AT36" i="19" a="1"/>
  <c r="AT36" i="19" s="1"/>
  <c r="AS36" i="19" a="1"/>
  <c r="AS36" i="19" s="1"/>
  <c r="AR36" i="19" a="1"/>
  <c r="AR36" i="19" s="1"/>
  <c r="AQ36" i="19" a="1"/>
  <c r="AQ36" i="19" s="1"/>
  <c r="AP36" i="19" a="1"/>
  <c r="AP36" i="19" s="1"/>
  <c r="AO36" i="19" a="1"/>
  <c r="AO36" i="19" s="1"/>
  <c r="AN36" i="19" a="1"/>
  <c r="AN36" i="19" s="1"/>
  <c r="AM36" i="19" a="1"/>
  <c r="AM36" i="19" s="1"/>
  <c r="AL36" i="19" a="1"/>
  <c r="AL36" i="19" s="1"/>
  <c r="AK36" i="19" a="1"/>
  <c r="AK36" i="19" s="1"/>
  <c r="AZ35" i="19" a="1"/>
  <c r="AZ35" i="19" s="1"/>
  <c r="AY35" i="19" a="1"/>
  <c r="AY35" i="19" s="1"/>
  <c r="AX35" i="19" a="1"/>
  <c r="AX35" i="19" s="1"/>
  <c r="AW35" i="19" a="1"/>
  <c r="AW35" i="19" s="1"/>
  <c r="AV35" i="19" a="1"/>
  <c r="AV35" i="19" s="1"/>
  <c r="AU35" i="19" a="1"/>
  <c r="AU35" i="19" s="1"/>
  <c r="AT35" i="19" a="1"/>
  <c r="AT35" i="19" s="1"/>
  <c r="AS35" i="19" a="1"/>
  <c r="AS35" i="19" s="1"/>
  <c r="AR35" i="19" a="1"/>
  <c r="AR35" i="19" s="1"/>
  <c r="AQ35" i="19" a="1"/>
  <c r="AQ35" i="19" s="1"/>
  <c r="AP35" i="19" a="1"/>
  <c r="AP35" i="19" s="1"/>
  <c r="AO35" i="19" a="1"/>
  <c r="AO35" i="19" s="1"/>
  <c r="AN35" i="19" a="1"/>
  <c r="AN35" i="19" s="1"/>
  <c r="AM35" i="19" a="1"/>
  <c r="AM35" i="19" s="1"/>
  <c r="AL35" i="19" a="1"/>
  <c r="AL35" i="19" s="1"/>
  <c r="AK35" i="19" a="1"/>
  <c r="AK35" i="19" s="1"/>
  <c r="AZ34" i="19" a="1"/>
  <c r="AZ34" i="19" s="1"/>
  <c r="AY34" i="19" a="1"/>
  <c r="AY34" i="19" s="1"/>
  <c r="AX34" i="19" a="1"/>
  <c r="AX34" i="19" s="1"/>
  <c r="AW34" i="19" a="1"/>
  <c r="AW34" i="19" s="1"/>
  <c r="AV34" i="19" a="1"/>
  <c r="AV34" i="19" s="1"/>
  <c r="AU34" i="19" a="1"/>
  <c r="AU34" i="19" s="1"/>
  <c r="AT34" i="19" a="1"/>
  <c r="AT34" i="19" s="1"/>
  <c r="AS34" i="19" a="1"/>
  <c r="AS34" i="19" s="1"/>
  <c r="AR34" i="19" a="1"/>
  <c r="AR34" i="19" s="1"/>
  <c r="AQ34" i="19" a="1"/>
  <c r="AQ34" i="19" s="1"/>
  <c r="AP34" i="19" a="1"/>
  <c r="AP34" i="19" s="1"/>
  <c r="AO34" i="19" a="1"/>
  <c r="AO34" i="19" s="1"/>
  <c r="AN34" i="19" a="1"/>
  <c r="AN34" i="19" s="1"/>
  <c r="AM34" i="19" a="1"/>
  <c r="AM34" i="19" s="1"/>
  <c r="AL34" i="19" a="1"/>
  <c r="AL34" i="19" s="1"/>
  <c r="AK34" i="19" a="1"/>
  <c r="AK34" i="19" s="1"/>
  <c r="AZ33" i="19" a="1"/>
  <c r="AZ33" i="19" s="1"/>
  <c r="AY33" i="19" a="1"/>
  <c r="AY33" i="19" s="1"/>
  <c r="AX33" i="19" a="1"/>
  <c r="AX33" i="19" s="1"/>
  <c r="AW33" i="19" a="1"/>
  <c r="AW33" i="19" s="1"/>
  <c r="AV33" i="19" a="1"/>
  <c r="AV33" i="19" s="1"/>
  <c r="AU33" i="19" a="1"/>
  <c r="AU33" i="19" s="1"/>
  <c r="AT33" i="19" a="1"/>
  <c r="AT33" i="19" s="1"/>
  <c r="AS33" i="19" a="1"/>
  <c r="AS33" i="19" s="1"/>
  <c r="AR33" i="19" a="1"/>
  <c r="AR33" i="19" s="1"/>
  <c r="AQ33" i="19" a="1"/>
  <c r="AQ33" i="19" s="1"/>
  <c r="AP33" i="19" a="1"/>
  <c r="AP33" i="19" s="1"/>
  <c r="AO33" i="19" a="1"/>
  <c r="AO33" i="19" s="1"/>
  <c r="AN33" i="19" a="1"/>
  <c r="AN33" i="19" s="1"/>
  <c r="AM33" i="19" a="1"/>
  <c r="AM33" i="19" s="1"/>
  <c r="AL33" i="19" a="1"/>
  <c r="AL33" i="19" s="1"/>
  <c r="AK33" i="19" a="1"/>
  <c r="AK33" i="19" s="1"/>
  <c r="AZ32" i="19" a="1"/>
  <c r="AZ32" i="19" s="1"/>
  <c r="AY32" i="19" a="1"/>
  <c r="AY32" i="19" s="1"/>
  <c r="AX32" i="19" a="1"/>
  <c r="AX32" i="19" s="1"/>
  <c r="AW32" i="19" a="1"/>
  <c r="AW32" i="19" s="1"/>
  <c r="AV32" i="19" a="1"/>
  <c r="AV32" i="19" s="1"/>
  <c r="AU32" i="19" a="1"/>
  <c r="AU32" i="19" s="1"/>
  <c r="AT32" i="19" a="1"/>
  <c r="AT32" i="19" s="1"/>
  <c r="AS32" i="19" a="1"/>
  <c r="AS32" i="19" s="1"/>
  <c r="AR32" i="19" a="1"/>
  <c r="AR32" i="19" s="1"/>
  <c r="AQ32" i="19" a="1"/>
  <c r="AQ32" i="19" s="1"/>
  <c r="AP32" i="19" a="1"/>
  <c r="AP32" i="19" s="1"/>
  <c r="AO32" i="19" a="1"/>
  <c r="AO32" i="19" s="1"/>
  <c r="AN32" i="19" a="1"/>
  <c r="AN32" i="19" s="1"/>
  <c r="AM32" i="19" a="1"/>
  <c r="AM32" i="19" s="1"/>
  <c r="AL32" i="19" a="1"/>
  <c r="AL32" i="19" s="1"/>
  <c r="AK32" i="19" a="1"/>
  <c r="AK32" i="19" s="1"/>
  <c r="AZ31" i="19" a="1"/>
  <c r="AZ31" i="19" s="1"/>
  <c r="AY31" i="19" a="1"/>
  <c r="AY31" i="19" s="1"/>
  <c r="AX31" i="19" a="1"/>
  <c r="AX31" i="19" s="1"/>
  <c r="AW31" i="19" a="1"/>
  <c r="AW31" i="19" s="1"/>
  <c r="AV31" i="19" a="1"/>
  <c r="AV31" i="19" s="1"/>
  <c r="AU31" i="19" a="1"/>
  <c r="AU31" i="19" s="1"/>
  <c r="AT31" i="19" a="1"/>
  <c r="AT31" i="19" s="1"/>
  <c r="AS31" i="19" a="1"/>
  <c r="AS31" i="19" s="1"/>
  <c r="AR31" i="19" a="1"/>
  <c r="AR31" i="19" s="1"/>
  <c r="AQ31" i="19" a="1"/>
  <c r="AQ31" i="19" s="1"/>
  <c r="AP31" i="19" a="1"/>
  <c r="AP31" i="19" s="1"/>
  <c r="AO31" i="19" a="1"/>
  <c r="AO31" i="19" s="1"/>
  <c r="AN31" i="19" a="1"/>
  <c r="AN31" i="19" s="1"/>
  <c r="AM31" i="19" a="1"/>
  <c r="AM31" i="19" s="1"/>
  <c r="AL31" i="19" a="1"/>
  <c r="AL31" i="19" s="1"/>
  <c r="AK31" i="19" a="1"/>
  <c r="AK31" i="19" s="1"/>
  <c r="AZ30" i="19" a="1"/>
  <c r="AZ30" i="19" s="1"/>
  <c r="AY30" i="19" a="1"/>
  <c r="AY30" i="19" s="1"/>
  <c r="AX30" i="19" a="1"/>
  <c r="AX30" i="19" s="1"/>
  <c r="AW30" i="19" a="1"/>
  <c r="AW30" i="19" s="1"/>
  <c r="AV30" i="19" a="1"/>
  <c r="AV30" i="19" s="1"/>
  <c r="AU30" i="19" a="1"/>
  <c r="AU30" i="19" s="1"/>
  <c r="AT30" i="19" a="1"/>
  <c r="AT30" i="19" s="1"/>
  <c r="AS30" i="19" a="1"/>
  <c r="AS30" i="19" s="1"/>
  <c r="AR30" i="19" a="1"/>
  <c r="AR30" i="19" s="1"/>
  <c r="AQ30" i="19" a="1"/>
  <c r="AQ30" i="19" s="1"/>
  <c r="AP30" i="19" a="1"/>
  <c r="AP30" i="19" s="1"/>
  <c r="AO30" i="19" a="1"/>
  <c r="AO30" i="19" s="1"/>
  <c r="AN30" i="19" a="1"/>
  <c r="AN30" i="19" s="1"/>
  <c r="AM30" i="19" a="1"/>
  <c r="AM30" i="19" s="1"/>
  <c r="AL30" i="19" a="1"/>
  <c r="AL30" i="19" s="1"/>
  <c r="AK30" i="19" a="1"/>
  <c r="AK30" i="19" s="1"/>
  <c r="AZ29" i="19" a="1"/>
  <c r="AZ29" i="19" s="1"/>
  <c r="AY29" i="19" a="1"/>
  <c r="AY29" i="19" s="1"/>
  <c r="AX29" i="19" a="1"/>
  <c r="AX29" i="19" s="1"/>
  <c r="AW29" i="19" a="1"/>
  <c r="AW29" i="19" s="1"/>
  <c r="AV29" i="19" a="1"/>
  <c r="AV29" i="19" s="1"/>
  <c r="AU29" i="19" a="1"/>
  <c r="AU29" i="19" s="1"/>
  <c r="AT29" i="19" a="1"/>
  <c r="AT29" i="19" s="1"/>
  <c r="AS29" i="19" a="1"/>
  <c r="AS29" i="19" s="1"/>
  <c r="AR29" i="19" a="1"/>
  <c r="AR29" i="19" s="1"/>
  <c r="AQ29" i="19" a="1"/>
  <c r="AQ29" i="19" s="1"/>
  <c r="AP29" i="19" a="1"/>
  <c r="AP29" i="19" s="1"/>
  <c r="AO29" i="19" a="1"/>
  <c r="AO29" i="19" s="1"/>
  <c r="AN29" i="19" a="1"/>
  <c r="AN29" i="19" s="1"/>
  <c r="AM29" i="19" a="1"/>
  <c r="AM29" i="19" s="1"/>
  <c r="AL29" i="19" a="1"/>
  <c r="AL29" i="19" s="1"/>
  <c r="AK29" i="19" a="1"/>
  <c r="AK29" i="19" s="1"/>
  <c r="AZ28" i="19"/>
  <c r="AZ28" i="19" a="1"/>
  <c r="AY28" i="19" a="1"/>
  <c r="AY28" i="19" s="1"/>
  <c r="AX28" i="19" a="1"/>
  <c r="AX28" i="19" s="1"/>
  <c r="AW28" i="19" a="1"/>
  <c r="AW28" i="19" s="1"/>
  <c r="AV28" i="19" a="1"/>
  <c r="AV28" i="19" s="1"/>
  <c r="AU28" i="19" a="1"/>
  <c r="AU28" i="19" s="1"/>
  <c r="AT28" i="19" a="1"/>
  <c r="AT28" i="19" s="1"/>
  <c r="AS28" i="19" a="1"/>
  <c r="AS28" i="19" s="1"/>
  <c r="AR28" i="19" a="1"/>
  <c r="AR28" i="19" s="1"/>
  <c r="AQ28" i="19" a="1"/>
  <c r="AQ28" i="19" s="1"/>
  <c r="AP28" i="19" a="1"/>
  <c r="AP28" i="19" s="1"/>
  <c r="AO28" i="19" a="1"/>
  <c r="AO28" i="19" s="1"/>
  <c r="AN28" i="19" a="1"/>
  <c r="AN28" i="19" s="1"/>
  <c r="AM28" i="19" a="1"/>
  <c r="AM28" i="19" s="1"/>
  <c r="AL28" i="19" a="1"/>
  <c r="AL28" i="19" s="1"/>
  <c r="AK28" i="19" a="1"/>
  <c r="AK28" i="19" s="1"/>
  <c r="AZ27" i="19" a="1"/>
  <c r="AZ27" i="19" s="1"/>
  <c r="AY27" i="19" a="1"/>
  <c r="AY27" i="19" s="1"/>
  <c r="AX27" i="19" a="1"/>
  <c r="AX27" i="19" s="1"/>
  <c r="AW27" i="19" a="1"/>
  <c r="AW27" i="19" s="1"/>
  <c r="AV27" i="19" a="1"/>
  <c r="AV27" i="19" s="1"/>
  <c r="AU27" i="19" a="1"/>
  <c r="AU27" i="19" s="1"/>
  <c r="AT27" i="19" a="1"/>
  <c r="AT27" i="19" s="1"/>
  <c r="AS27" i="19" a="1"/>
  <c r="AS27" i="19" s="1"/>
  <c r="AR27" i="19" a="1"/>
  <c r="AR27" i="19" s="1"/>
  <c r="AQ27" i="19" a="1"/>
  <c r="AQ27" i="19" s="1"/>
  <c r="AP27" i="19" a="1"/>
  <c r="AP27" i="19" s="1"/>
  <c r="AO27" i="19" a="1"/>
  <c r="AO27" i="19" s="1"/>
  <c r="AN27" i="19" a="1"/>
  <c r="AN27" i="19" s="1"/>
  <c r="AM27" i="19" a="1"/>
  <c r="AM27" i="19" s="1"/>
  <c r="AL27" i="19" a="1"/>
  <c r="AL27" i="19" s="1"/>
  <c r="AK27" i="19" a="1"/>
  <c r="AK27" i="19" s="1"/>
  <c r="AZ26" i="19" a="1"/>
  <c r="AZ26" i="19" s="1"/>
  <c r="AY26" i="19" a="1"/>
  <c r="AY26" i="19" s="1"/>
  <c r="AX26" i="19" a="1"/>
  <c r="AX26" i="19" s="1"/>
  <c r="AW26" i="19" a="1"/>
  <c r="AW26" i="19" s="1"/>
  <c r="AV26" i="19" a="1"/>
  <c r="AV26" i="19" s="1"/>
  <c r="AU26" i="19" a="1"/>
  <c r="AU26" i="19" s="1"/>
  <c r="AT26" i="19" a="1"/>
  <c r="AT26" i="19" s="1"/>
  <c r="AS26" i="19" a="1"/>
  <c r="AS26" i="19" s="1"/>
  <c r="AR26" i="19" a="1"/>
  <c r="AR26" i="19" s="1"/>
  <c r="AQ26" i="19" a="1"/>
  <c r="AQ26" i="19" s="1"/>
  <c r="AP26" i="19" a="1"/>
  <c r="AP26" i="19" s="1"/>
  <c r="AO26" i="19" a="1"/>
  <c r="AO26" i="19" s="1"/>
  <c r="AN26" i="19" a="1"/>
  <c r="AN26" i="19" s="1"/>
  <c r="AM26" i="19" a="1"/>
  <c r="AM26" i="19" s="1"/>
  <c r="AL26" i="19" a="1"/>
  <c r="AL26" i="19" s="1"/>
  <c r="AK26" i="19" a="1"/>
  <c r="AK26" i="19" s="1"/>
  <c r="AZ25" i="19" a="1"/>
  <c r="AZ25" i="19" s="1"/>
  <c r="AY25" i="19" a="1"/>
  <c r="AY25" i="19" s="1"/>
  <c r="AX25" i="19" a="1"/>
  <c r="AX25" i="19" s="1"/>
  <c r="AW25" i="19" a="1"/>
  <c r="AW25" i="19" s="1"/>
  <c r="AV25" i="19" a="1"/>
  <c r="AV25" i="19" s="1"/>
  <c r="AU25" i="19" a="1"/>
  <c r="AU25" i="19" s="1"/>
  <c r="AT25" i="19" a="1"/>
  <c r="AT25" i="19" s="1"/>
  <c r="AS25" i="19" a="1"/>
  <c r="AS25" i="19" s="1"/>
  <c r="AR25" i="19" a="1"/>
  <c r="AR25" i="19" s="1"/>
  <c r="AQ25" i="19" a="1"/>
  <c r="AQ25" i="19" s="1"/>
  <c r="AP25" i="19" a="1"/>
  <c r="AP25" i="19" s="1"/>
  <c r="AO25" i="19" a="1"/>
  <c r="AO25" i="19" s="1"/>
  <c r="AN25" i="19" a="1"/>
  <c r="AN25" i="19" s="1"/>
  <c r="AM25" i="19" a="1"/>
  <c r="AM25" i="19" s="1"/>
  <c r="AL25" i="19" a="1"/>
  <c r="AL25" i="19" s="1"/>
  <c r="AK25" i="19" a="1"/>
  <c r="AK25" i="19" s="1"/>
  <c r="AZ24" i="19" a="1"/>
  <c r="AZ24" i="19" s="1"/>
  <c r="AY24" i="19" a="1"/>
  <c r="AY24" i="19" s="1"/>
  <c r="AX24" i="19" a="1"/>
  <c r="AX24" i="19" s="1"/>
  <c r="AW24" i="19" a="1"/>
  <c r="AW24" i="19" s="1"/>
  <c r="AV24" i="19" a="1"/>
  <c r="AV24" i="19" s="1"/>
  <c r="AU24" i="19" a="1"/>
  <c r="AU24" i="19" s="1"/>
  <c r="AT24" i="19" a="1"/>
  <c r="AT24" i="19" s="1"/>
  <c r="AS24" i="19" a="1"/>
  <c r="AS24" i="19" s="1"/>
  <c r="AR24" i="19" a="1"/>
  <c r="AR24" i="19" s="1"/>
  <c r="AQ24" i="19" a="1"/>
  <c r="AQ24" i="19" s="1"/>
  <c r="AP24" i="19" a="1"/>
  <c r="AP24" i="19" s="1"/>
  <c r="AO24" i="19" a="1"/>
  <c r="AO24" i="19" s="1"/>
  <c r="AN24" i="19" a="1"/>
  <c r="AN24" i="19" s="1"/>
  <c r="AM24" i="19" a="1"/>
  <c r="AM24" i="19" s="1"/>
  <c r="AL24" i="19"/>
  <c r="AL24" i="19" a="1"/>
  <c r="AK24" i="19" a="1"/>
  <c r="AK24" i="19" s="1"/>
  <c r="AZ23" i="19" a="1"/>
  <c r="AZ23" i="19" s="1"/>
  <c r="AY23" i="19" a="1"/>
  <c r="AY23" i="19" s="1"/>
  <c r="AX23" i="19" a="1"/>
  <c r="AX23" i="19" s="1"/>
  <c r="AW23" i="19" a="1"/>
  <c r="AW23" i="19" s="1"/>
  <c r="AV23" i="19" a="1"/>
  <c r="AV23" i="19" s="1"/>
  <c r="AU23" i="19" a="1"/>
  <c r="AU23" i="19" s="1"/>
  <c r="AT23" i="19" a="1"/>
  <c r="AT23" i="19" s="1"/>
  <c r="AS23" i="19" a="1"/>
  <c r="AS23" i="19" s="1"/>
  <c r="AR23" i="19" a="1"/>
  <c r="AR23" i="19" s="1"/>
  <c r="AQ23" i="19" a="1"/>
  <c r="AQ23" i="19" s="1"/>
  <c r="AP23" i="19" a="1"/>
  <c r="AP23" i="19" s="1"/>
  <c r="AO23" i="19" a="1"/>
  <c r="AO23" i="19" s="1"/>
  <c r="AN23" i="19" a="1"/>
  <c r="AN23" i="19" s="1"/>
  <c r="AM23" i="19" a="1"/>
  <c r="AM23" i="19" s="1"/>
  <c r="AL23" i="19" a="1"/>
  <c r="AL23" i="19" s="1"/>
  <c r="AK23" i="19" a="1"/>
  <c r="AK23" i="19" s="1"/>
  <c r="AZ22" i="19" a="1"/>
  <c r="AZ22" i="19" s="1"/>
  <c r="AY22" i="19" a="1"/>
  <c r="AY22" i="19" s="1"/>
  <c r="AX22" i="19" a="1"/>
  <c r="AX22" i="19" s="1"/>
  <c r="AW22" i="19" a="1"/>
  <c r="AW22" i="19" s="1"/>
  <c r="AV22" i="19" a="1"/>
  <c r="AV22" i="19" s="1"/>
  <c r="AU22" i="19" a="1"/>
  <c r="AU22" i="19" s="1"/>
  <c r="AT22" i="19" a="1"/>
  <c r="AT22" i="19" s="1"/>
  <c r="AS22" i="19" a="1"/>
  <c r="AS22" i="19" s="1"/>
  <c r="AR22" i="19" a="1"/>
  <c r="AR22" i="19" s="1"/>
  <c r="AQ22" i="19" a="1"/>
  <c r="AQ22" i="19" s="1"/>
  <c r="AP22" i="19" a="1"/>
  <c r="AP22" i="19" s="1"/>
  <c r="AO22" i="19" a="1"/>
  <c r="AO22" i="19" s="1"/>
  <c r="AN22" i="19" a="1"/>
  <c r="AN22" i="19" s="1"/>
  <c r="AM22" i="19" a="1"/>
  <c r="AM22" i="19" s="1"/>
  <c r="AL22" i="19" a="1"/>
  <c r="AL22" i="19" s="1"/>
  <c r="AK22" i="19" a="1"/>
  <c r="AK22" i="19" s="1"/>
  <c r="AZ21" i="19" a="1"/>
  <c r="AZ21" i="19" s="1"/>
  <c r="AY21" i="19" a="1"/>
  <c r="AY21" i="19" s="1"/>
  <c r="AX21" i="19" a="1"/>
  <c r="AX21" i="19" s="1"/>
  <c r="AW21" i="19" a="1"/>
  <c r="AW21" i="19" s="1"/>
  <c r="AV21" i="19" a="1"/>
  <c r="AV21" i="19" s="1"/>
  <c r="AU21" i="19" a="1"/>
  <c r="AU21" i="19" s="1"/>
  <c r="AT21" i="19" a="1"/>
  <c r="AT21" i="19" s="1"/>
  <c r="AS21" i="19" a="1"/>
  <c r="AS21" i="19" s="1"/>
  <c r="AR21" i="19" a="1"/>
  <c r="AR21" i="19" s="1"/>
  <c r="AQ21" i="19" a="1"/>
  <c r="AQ21" i="19" s="1"/>
  <c r="AP21" i="19" a="1"/>
  <c r="AP21" i="19" s="1"/>
  <c r="AO21" i="19" a="1"/>
  <c r="AO21" i="19" s="1"/>
  <c r="AN21" i="19" a="1"/>
  <c r="AN21" i="19" s="1"/>
  <c r="AM21" i="19" a="1"/>
  <c r="AM21" i="19" s="1"/>
  <c r="AL21" i="19" a="1"/>
  <c r="AL21" i="19" s="1"/>
  <c r="AK21" i="19" a="1"/>
  <c r="AK21" i="19" s="1"/>
  <c r="AZ20" i="19" a="1"/>
  <c r="AZ20" i="19" s="1"/>
  <c r="AY20" i="19" a="1"/>
  <c r="AY20" i="19" s="1"/>
  <c r="AX20" i="19" a="1"/>
  <c r="AX20" i="19" s="1"/>
  <c r="AW20" i="19" a="1"/>
  <c r="AW20" i="19" s="1"/>
  <c r="AV20" i="19" a="1"/>
  <c r="AV20" i="19" s="1"/>
  <c r="AU20" i="19" a="1"/>
  <c r="AU20" i="19" s="1"/>
  <c r="AT20" i="19" a="1"/>
  <c r="AT20" i="19" s="1"/>
  <c r="AS20" i="19" a="1"/>
  <c r="AS20" i="19" s="1"/>
  <c r="AR20" i="19" a="1"/>
  <c r="AR20" i="19" s="1"/>
  <c r="AQ20" i="19" a="1"/>
  <c r="AQ20" i="19" s="1"/>
  <c r="AP20" i="19"/>
  <c r="AP20" i="19" a="1"/>
  <c r="AO20" i="19" a="1"/>
  <c r="AO20" i="19" s="1"/>
  <c r="AN20" i="19" a="1"/>
  <c r="AN20" i="19" s="1"/>
  <c r="AM20" i="19" a="1"/>
  <c r="AM20" i="19" s="1"/>
  <c r="AL20" i="19" a="1"/>
  <c r="AL20" i="19" s="1"/>
  <c r="AK20" i="19" a="1"/>
  <c r="AK20" i="19" s="1"/>
  <c r="AZ19" i="19" a="1"/>
  <c r="AZ19" i="19" s="1"/>
  <c r="AY19" i="19" a="1"/>
  <c r="AY19" i="19" s="1"/>
  <c r="AX19" i="19" a="1"/>
  <c r="AX19" i="19" s="1"/>
  <c r="AW19" i="19" a="1"/>
  <c r="AW19" i="19" s="1"/>
  <c r="AV19" i="19" a="1"/>
  <c r="AV19" i="19" s="1"/>
  <c r="AU19" i="19" a="1"/>
  <c r="AU19" i="19" s="1"/>
  <c r="AT19" i="19" a="1"/>
  <c r="AT19" i="19" s="1"/>
  <c r="AS19" i="19" a="1"/>
  <c r="AS19" i="19" s="1"/>
  <c r="AR19" i="19" a="1"/>
  <c r="AR19" i="19" s="1"/>
  <c r="AQ19" i="19" a="1"/>
  <c r="AQ19" i="19" s="1"/>
  <c r="AP19" i="19" a="1"/>
  <c r="AP19" i="19" s="1"/>
  <c r="AO19" i="19" a="1"/>
  <c r="AO19" i="19" s="1"/>
  <c r="AN19" i="19" a="1"/>
  <c r="AN19" i="19" s="1"/>
  <c r="AM19" i="19" a="1"/>
  <c r="AM19" i="19" s="1"/>
  <c r="AL19" i="19"/>
  <c r="AL19" i="19" a="1"/>
  <c r="AK19" i="19" a="1"/>
  <c r="AK19" i="19" s="1"/>
  <c r="AZ18" i="19" a="1"/>
  <c r="AZ18" i="19" s="1"/>
  <c r="AY18" i="19" a="1"/>
  <c r="AY18" i="19" s="1"/>
  <c r="AX18" i="19" a="1"/>
  <c r="AX18" i="19" s="1"/>
  <c r="AW18" i="19" a="1"/>
  <c r="AW18" i="19" s="1"/>
  <c r="AV18" i="19" a="1"/>
  <c r="AV18" i="19" s="1"/>
  <c r="AU18" i="19" a="1"/>
  <c r="AU18" i="19" s="1"/>
  <c r="AT18" i="19" a="1"/>
  <c r="AT18" i="19" s="1"/>
  <c r="AS18" i="19" a="1"/>
  <c r="AS18" i="19" s="1"/>
  <c r="AR18" i="19" a="1"/>
  <c r="AR18" i="19" s="1"/>
  <c r="AQ18" i="19" a="1"/>
  <c r="AQ18" i="19" s="1"/>
  <c r="AP18" i="19" a="1"/>
  <c r="AP18" i="19" s="1"/>
  <c r="AO18" i="19" a="1"/>
  <c r="AO18" i="19" s="1"/>
  <c r="AN18" i="19" a="1"/>
  <c r="AN18" i="19" s="1"/>
  <c r="AM18" i="19" a="1"/>
  <c r="AM18" i="19" s="1"/>
  <c r="AL18" i="19" a="1"/>
  <c r="AL18" i="19" s="1"/>
  <c r="AK18" i="19" a="1"/>
  <c r="AK18" i="19" s="1"/>
  <c r="AZ17" i="19" a="1"/>
  <c r="AZ17" i="19" s="1"/>
  <c r="AY17" i="19" a="1"/>
  <c r="AY17" i="19" s="1"/>
  <c r="AX17" i="19" a="1"/>
  <c r="AX17" i="19" s="1"/>
  <c r="AW17" i="19" a="1"/>
  <c r="AW17" i="19" s="1"/>
  <c r="AV17" i="19" a="1"/>
  <c r="AV17" i="19" s="1"/>
  <c r="AU17" i="19" a="1"/>
  <c r="AU17" i="19" s="1"/>
  <c r="AT17" i="19"/>
  <c r="AT17" i="19" a="1"/>
  <c r="AS17" i="19" a="1"/>
  <c r="AS17" i="19" s="1"/>
  <c r="AR17" i="19" a="1"/>
  <c r="AR17" i="19" s="1"/>
  <c r="AQ17" i="19" a="1"/>
  <c r="AQ17" i="19" s="1"/>
  <c r="AP17" i="19" a="1"/>
  <c r="AP17" i="19" s="1"/>
  <c r="AO17" i="19" a="1"/>
  <c r="AO17" i="19" s="1"/>
  <c r="AN17" i="19" a="1"/>
  <c r="AN17" i="19" s="1"/>
  <c r="AM17" i="19" a="1"/>
  <c r="AM17" i="19" s="1"/>
  <c r="AL17" i="19" a="1"/>
  <c r="AL17" i="19" s="1"/>
  <c r="AK17" i="19" a="1"/>
  <c r="AK17" i="19" s="1"/>
  <c r="AZ16" i="19" a="1"/>
  <c r="AZ16" i="19" s="1"/>
  <c r="AY16" i="19" a="1"/>
  <c r="AY16" i="19" s="1"/>
  <c r="AX16" i="19" a="1"/>
  <c r="AX16" i="19" s="1"/>
  <c r="AW16" i="19" a="1"/>
  <c r="AW16" i="19" s="1"/>
  <c r="AV16" i="19" a="1"/>
  <c r="AV16" i="19" s="1"/>
  <c r="AU16" i="19" a="1"/>
  <c r="AU16" i="19" s="1"/>
  <c r="AT16" i="19" a="1"/>
  <c r="AT16" i="19" s="1"/>
  <c r="AS16" i="19" a="1"/>
  <c r="AS16" i="19" s="1"/>
  <c r="AR16" i="19" a="1"/>
  <c r="AR16" i="19" s="1"/>
  <c r="AQ16" i="19" a="1"/>
  <c r="AQ16" i="19" s="1"/>
  <c r="AP16" i="19"/>
  <c r="AP16" i="19" a="1"/>
  <c r="AO16" i="19" a="1"/>
  <c r="AO16" i="19" s="1"/>
  <c r="AN16" i="19" a="1"/>
  <c r="AN16" i="19" s="1"/>
  <c r="AM16" i="19" a="1"/>
  <c r="AM16" i="19" s="1"/>
  <c r="AL16" i="19" a="1"/>
  <c r="AL16" i="19" s="1"/>
  <c r="AK16" i="19" a="1"/>
  <c r="AK16" i="19" s="1"/>
  <c r="AZ15" i="19" a="1"/>
  <c r="AZ15" i="19" s="1"/>
  <c r="AY15" i="19" a="1"/>
  <c r="AY15" i="19" s="1"/>
  <c r="AX15" i="19" a="1"/>
  <c r="AX15" i="19" s="1"/>
  <c r="AW15" i="19" a="1"/>
  <c r="AW15" i="19" s="1"/>
  <c r="AV15" i="19" a="1"/>
  <c r="AV15" i="19" s="1"/>
  <c r="AU15" i="19" a="1"/>
  <c r="AU15" i="19" s="1"/>
  <c r="AT15" i="19" a="1"/>
  <c r="AT15" i="19" s="1"/>
  <c r="AS15" i="19" a="1"/>
  <c r="AS15" i="19" s="1"/>
  <c r="AR15" i="19" a="1"/>
  <c r="AR15" i="19" s="1"/>
  <c r="AQ15" i="19" a="1"/>
  <c r="AQ15" i="19" s="1"/>
  <c r="AP15" i="19" a="1"/>
  <c r="AP15" i="19" s="1"/>
  <c r="AO15" i="19" a="1"/>
  <c r="AO15" i="19" s="1"/>
  <c r="AN15" i="19" a="1"/>
  <c r="AN15" i="19" s="1"/>
  <c r="AM15" i="19" a="1"/>
  <c r="AM15" i="19" s="1"/>
  <c r="AL15" i="19"/>
  <c r="AL15" i="19" a="1"/>
  <c r="AK15" i="19" a="1"/>
  <c r="AK15" i="19" s="1"/>
  <c r="AZ14" i="19" a="1"/>
  <c r="AZ14" i="19" s="1"/>
  <c r="AY14" i="19" a="1"/>
  <c r="AY14" i="19" s="1"/>
  <c r="AX14" i="19" a="1"/>
  <c r="AX14" i="19" s="1"/>
  <c r="AW14" i="19" a="1"/>
  <c r="AW14" i="19" s="1"/>
  <c r="AV14" i="19" a="1"/>
  <c r="AV14" i="19" s="1"/>
  <c r="AU14" i="19" a="1"/>
  <c r="AU14" i="19" s="1"/>
  <c r="AT14" i="19" a="1"/>
  <c r="AT14" i="19" s="1"/>
  <c r="AS14" i="19" a="1"/>
  <c r="AS14" i="19" s="1"/>
  <c r="AR14" i="19" a="1"/>
  <c r="AR14" i="19" s="1"/>
  <c r="AQ14" i="19" a="1"/>
  <c r="AQ14" i="19" s="1"/>
  <c r="AP14" i="19" a="1"/>
  <c r="AP14" i="19" s="1"/>
  <c r="AO14" i="19" a="1"/>
  <c r="AO14" i="19" s="1"/>
  <c r="AN14" i="19" a="1"/>
  <c r="AN14" i="19" s="1"/>
  <c r="AM14" i="19" a="1"/>
  <c r="AM14" i="19" s="1"/>
  <c r="AL14" i="19" a="1"/>
  <c r="AL14" i="19" s="1"/>
  <c r="AK14" i="19" a="1"/>
  <c r="AK14" i="19" s="1"/>
  <c r="AZ13" i="19" a="1"/>
  <c r="AZ13" i="19" s="1"/>
  <c r="AY13" i="19" a="1"/>
  <c r="AY13" i="19" s="1"/>
  <c r="AX13" i="19" a="1"/>
  <c r="AX13" i="19" s="1"/>
  <c r="AW13" i="19" a="1"/>
  <c r="AW13" i="19" s="1"/>
  <c r="AV13" i="19" a="1"/>
  <c r="AV13" i="19" s="1"/>
  <c r="AU13" i="19" a="1"/>
  <c r="AU13" i="19" s="1"/>
  <c r="AT13" i="19"/>
  <c r="AT13" i="19" a="1"/>
  <c r="AS13" i="19" a="1"/>
  <c r="AS13" i="19" s="1"/>
  <c r="AR13" i="19" a="1"/>
  <c r="AR13" i="19" s="1"/>
  <c r="AQ13" i="19" a="1"/>
  <c r="AQ13" i="19" s="1"/>
  <c r="AP13" i="19" a="1"/>
  <c r="AP13" i="19" s="1"/>
  <c r="AO13" i="19" a="1"/>
  <c r="AO13" i="19" s="1"/>
  <c r="AN13" i="19" a="1"/>
  <c r="AN13" i="19" s="1"/>
  <c r="AM13" i="19" a="1"/>
  <c r="AM13" i="19" s="1"/>
  <c r="AL13" i="19" a="1"/>
  <c r="AL13" i="19" s="1"/>
  <c r="AK13" i="19" a="1"/>
  <c r="AK13" i="19" s="1"/>
  <c r="AZ12" i="19" a="1"/>
  <c r="AZ12" i="19" s="1"/>
  <c r="AY12" i="19" a="1"/>
  <c r="AY12" i="19" s="1"/>
  <c r="AX12" i="19" a="1"/>
  <c r="AX12" i="19" s="1"/>
  <c r="AW12" i="19" a="1"/>
  <c r="AW12" i="19" s="1"/>
  <c r="AV12" i="19" a="1"/>
  <c r="AV12" i="19" s="1"/>
  <c r="AU12" i="19" a="1"/>
  <c r="AU12" i="19" s="1"/>
  <c r="AT12" i="19" a="1"/>
  <c r="AT12" i="19" s="1"/>
  <c r="AS12" i="19" a="1"/>
  <c r="AS12" i="19" s="1"/>
  <c r="AR12" i="19" a="1"/>
  <c r="AR12" i="19" s="1"/>
  <c r="AQ12" i="19" a="1"/>
  <c r="AQ12" i="19" s="1"/>
  <c r="AP12" i="19"/>
  <c r="AP12" i="19" a="1"/>
  <c r="AO12" i="19" a="1"/>
  <c r="AO12" i="19" s="1"/>
  <c r="AN12" i="19" a="1"/>
  <c r="AN12" i="19" s="1"/>
  <c r="AM12" i="19" a="1"/>
  <c r="AM12" i="19" s="1"/>
  <c r="AL12" i="19" a="1"/>
  <c r="AL12" i="19" s="1"/>
  <c r="AK12" i="19" a="1"/>
  <c r="AK12" i="19" s="1"/>
  <c r="AZ11" i="19" a="1"/>
  <c r="AZ11" i="19" s="1"/>
  <c r="AY11" i="19" a="1"/>
  <c r="AY11" i="19" s="1"/>
  <c r="AX11" i="19" a="1"/>
  <c r="AX11" i="19" s="1"/>
  <c r="AW11" i="19" a="1"/>
  <c r="AW11" i="19" s="1"/>
  <c r="AV11" i="19" a="1"/>
  <c r="AV11" i="19" s="1"/>
  <c r="AU11" i="19" a="1"/>
  <c r="AU11" i="19" s="1"/>
  <c r="AT11" i="19" a="1"/>
  <c r="AT11" i="19" s="1"/>
  <c r="AS11" i="19" a="1"/>
  <c r="AS11" i="19" s="1"/>
  <c r="AR11" i="19" a="1"/>
  <c r="AR11" i="19" s="1"/>
  <c r="AQ11" i="19" a="1"/>
  <c r="AQ11" i="19" s="1"/>
  <c r="AP11" i="19" a="1"/>
  <c r="AP11" i="19" s="1"/>
  <c r="AO11" i="19" a="1"/>
  <c r="AO11" i="19" s="1"/>
  <c r="AN11" i="19" a="1"/>
  <c r="AN11" i="19" s="1"/>
  <c r="AM11" i="19" a="1"/>
  <c r="AM11" i="19" s="1"/>
  <c r="AL11" i="19" a="1"/>
  <c r="AL11" i="19" s="1"/>
  <c r="AZ10" i="19" a="1"/>
  <c r="AZ10" i="19" s="1"/>
  <c r="AY10" i="19" a="1"/>
  <c r="AY10" i="19" s="1"/>
  <c r="AX10" i="19" a="1"/>
  <c r="AX10" i="19" s="1"/>
  <c r="AW10" i="19" a="1"/>
  <c r="AW10" i="19" s="1"/>
  <c r="AV10" i="19" a="1"/>
  <c r="AV10" i="19" s="1"/>
  <c r="AU10" i="19" a="1"/>
  <c r="AU10" i="19" s="1"/>
  <c r="AT10" i="19" a="1"/>
  <c r="AT10" i="19" s="1"/>
  <c r="AS10" i="19" a="1"/>
  <c r="AS10" i="19" s="1"/>
  <c r="AR10" i="19" a="1"/>
  <c r="AR10" i="19" s="1"/>
  <c r="AQ10" i="19" a="1"/>
  <c r="AQ10" i="19" s="1"/>
  <c r="AP10" i="19" a="1"/>
  <c r="AP10" i="19" s="1"/>
  <c r="AO10" i="19" a="1"/>
  <c r="AO10" i="19" s="1"/>
  <c r="AN10" i="19" a="1"/>
  <c r="AN10" i="19" s="1"/>
  <c r="AM10" i="19" a="1"/>
  <c r="AM10" i="19" s="1"/>
  <c r="AL10" i="19" a="1"/>
  <c r="AL10" i="19" s="1"/>
  <c r="AK10" i="19" a="1"/>
  <c r="AK10" i="19" s="1"/>
  <c r="AZ9" i="19" a="1"/>
  <c r="AZ9" i="19" s="1"/>
  <c r="AY9" i="19" a="1"/>
  <c r="AY9" i="19" s="1"/>
  <c r="AX9" i="19" a="1"/>
  <c r="AX9" i="19" s="1"/>
  <c r="AW9" i="19" a="1"/>
  <c r="AW9" i="19" s="1"/>
  <c r="AV9" i="19" a="1"/>
  <c r="AV9" i="19" s="1"/>
  <c r="AU9" i="19" a="1"/>
  <c r="AU9" i="19" s="1"/>
  <c r="AT9" i="19" a="1"/>
  <c r="AT9" i="19" s="1"/>
  <c r="AS9" i="19" a="1"/>
  <c r="AS9" i="19" s="1"/>
  <c r="AR9" i="19" a="1"/>
  <c r="AR9" i="19" s="1"/>
  <c r="AQ9" i="19" a="1"/>
  <c r="AQ9" i="19" s="1"/>
  <c r="AP9" i="19" a="1"/>
  <c r="AP9" i="19" s="1"/>
  <c r="AO9" i="19" a="1"/>
  <c r="AO9" i="19" s="1"/>
  <c r="AN9" i="19" a="1"/>
  <c r="AN9" i="19" s="1"/>
  <c r="AM9" i="19" a="1"/>
  <c r="AM9" i="19" s="1"/>
  <c r="AL9" i="19" a="1"/>
  <c r="AL9" i="19" s="1"/>
  <c r="AK9" i="19" a="1"/>
  <c r="AK9" i="19" s="1"/>
  <c r="AZ8" i="19" a="1"/>
  <c r="AZ8" i="19" s="1"/>
  <c r="AY8" i="19" a="1"/>
  <c r="AY8" i="19" s="1"/>
  <c r="AX8" i="19" a="1"/>
  <c r="AX8" i="19" s="1"/>
  <c r="AW8" i="19" a="1"/>
  <c r="AW8" i="19" s="1"/>
  <c r="AV8" i="19" a="1"/>
  <c r="AV8" i="19" s="1"/>
  <c r="AU8" i="19" a="1"/>
  <c r="AU8" i="19" s="1"/>
  <c r="AT8" i="19" a="1"/>
  <c r="AT8" i="19" s="1"/>
  <c r="AS8" i="19" a="1"/>
  <c r="AS8" i="19" s="1"/>
  <c r="AR8" i="19" a="1"/>
  <c r="AR8" i="19" s="1"/>
  <c r="AQ8" i="19" a="1"/>
  <c r="AQ8" i="19" s="1"/>
  <c r="AP8" i="19" a="1"/>
  <c r="AP8" i="19" s="1"/>
  <c r="AO8" i="19" a="1"/>
  <c r="AO8" i="19" s="1"/>
  <c r="AN8" i="19" a="1"/>
  <c r="AN8" i="19" s="1"/>
  <c r="AM8" i="19" a="1"/>
  <c r="AM8" i="19" s="1"/>
  <c r="AL8" i="19" a="1"/>
  <c r="AL8" i="19" s="1"/>
  <c r="AK8" i="19" a="1"/>
  <c r="AK8" i="19" s="1"/>
  <c r="AZ7" i="19" a="1"/>
  <c r="AZ7" i="19" s="1"/>
  <c r="AY7" i="19" a="1"/>
  <c r="AY7" i="19" s="1"/>
  <c r="AX7" i="19" a="1"/>
  <c r="AX7" i="19" s="1"/>
  <c r="AW7" i="19" a="1"/>
  <c r="AW7" i="19" s="1"/>
  <c r="AV7" i="19" a="1"/>
  <c r="AV7" i="19" s="1"/>
  <c r="AU7" i="19" a="1"/>
  <c r="AU7" i="19" s="1"/>
  <c r="AT7" i="19" a="1"/>
  <c r="AT7" i="19" s="1"/>
  <c r="AS7" i="19" a="1"/>
  <c r="AS7" i="19" s="1"/>
  <c r="AR7" i="19" a="1"/>
  <c r="AR7" i="19" s="1"/>
  <c r="AQ7" i="19" a="1"/>
  <c r="AQ7" i="19" s="1"/>
  <c r="AP7" i="19" a="1"/>
  <c r="AP7" i="19" s="1"/>
  <c r="AO7" i="19" a="1"/>
  <c r="AO7" i="19" s="1"/>
  <c r="AN7" i="19" a="1"/>
  <c r="AN7" i="19" s="1"/>
  <c r="AM7" i="19" a="1"/>
  <c r="AM7" i="19" s="1"/>
  <c r="AL7" i="19" a="1"/>
  <c r="AL7" i="19" s="1"/>
  <c r="AK7" i="19" a="1"/>
  <c r="AK7" i="19" s="1"/>
  <c r="AZ6" i="19" a="1"/>
  <c r="AZ6" i="19" s="1"/>
  <c r="AY6" i="19" a="1"/>
  <c r="AY6" i="19" s="1"/>
  <c r="AX6" i="19" a="1"/>
  <c r="AX6" i="19" s="1"/>
  <c r="AW6" i="19" a="1"/>
  <c r="AW6" i="19" s="1"/>
  <c r="AV6" i="19" a="1"/>
  <c r="AV6" i="19" s="1"/>
  <c r="AU6" i="19" a="1"/>
  <c r="AU6" i="19" s="1"/>
  <c r="AT6" i="19" a="1"/>
  <c r="AT6" i="19" s="1"/>
  <c r="AS6" i="19" a="1"/>
  <c r="AS6" i="19" s="1"/>
  <c r="AR6" i="19" a="1"/>
  <c r="AR6" i="19" s="1"/>
  <c r="AQ6" i="19" a="1"/>
  <c r="AQ6" i="19" s="1"/>
  <c r="AP6" i="19" a="1"/>
  <c r="AP6" i="19" s="1"/>
  <c r="AO6" i="19" a="1"/>
  <c r="AO6" i="19" s="1"/>
  <c r="AN6" i="19" a="1"/>
  <c r="AN6" i="19" s="1"/>
  <c r="AM6" i="19" a="1"/>
  <c r="AM6" i="19" s="1"/>
  <c r="AL6" i="19" a="1"/>
  <c r="AL6" i="19" s="1"/>
  <c r="AK6" i="19" a="1"/>
  <c r="AK6" i="19" s="1"/>
  <c r="AZ5" i="19" a="1"/>
  <c r="AZ5" i="19" s="1"/>
  <c r="AY5" i="19" a="1"/>
  <c r="AY5" i="19" s="1"/>
  <c r="AX5" i="19" a="1"/>
  <c r="AX5" i="19" s="1"/>
  <c r="AW5" i="19" a="1"/>
  <c r="AW5" i="19" s="1"/>
  <c r="AV5" i="19" a="1"/>
  <c r="AV5" i="19" s="1"/>
  <c r="AU5" i="19" a="1"/>
  <c r="AU5" i="19" s="1"/>
  <c r="AT5" i="19" a="1"/>
  <c r="AT5" i="19" s="1"/>
  <c r="AS5" i="19" a="1"/>
  <c r="AS5" i="19" s="1"/>
  <c r="AR5" i="19" a="1"/>
  <c r="AR5" i="19" s="1"/>
  <c r="AQ5" i="19" a="1"/>
  <c r="AQ5" i="19" s="1"/>
  <c r="AP5" i="19" a="1"/>
  <c r="AP5" i="19" s="1"/>
  <c r="AO5" i="19" a="1"/>
  <c r="AO5" i="19" s="1"/>
  <c r="AN5" i="19" a="1"/>
  <c r="AN5" i="19" s="1"/>
  <c r="AM5" i="19" a="1"/>
  <c r="AM5" i="19" s="1"/>
  <c r="AL5" i="19" a="1"/>
  <c r="AL5" i="19" s="1"/>
  <c r="AK5" i="19" a="1"/>
  <c r="AK5" i="19" s="1"/>
  <c r="AZ4" i="19" a="1"/>
  <c r="AZ4" i="19" s="1"/>
  <c r="AY4" i="19" a="1"/>
  <c r="AY4" i="19" s="1"/>
  <c r="AX4" i="19" a="1"/>
  <c r="AX4" i="19" s="1"/>
  <c r="AW4" i="19" a="1"/>
  <c r="AW4" i="19" s="1"/>
  <c r="AV4" i="19" a="1"/>
  <c r="AV4" i="19" s="1"/>
  <c r="AU4" i="19" a="1"/>
  <c r="AU4" i="19" s="1"/>
  <c r="AT4" i="19" a="1"/>
  <c r="AT4" i="19" s="1"/>
  <c r="AS4" i="19" a="1"/>
  <c r="AS4" i="19" s="1"/>
  <c r="AR4" i="19" a="1"/>
  <c r="AR4" i="19" s="1"/>
  <c r="AQ4" i="19" a="1"/>
  <c r="AQ4" i="19" s="1"/>
  <c r="AP4" i="19" a="1"/>
  <c r="AP4" i="19" s="1"/>
  <c r="AO4" i="19" a="1"/>
  <c r="AO4" i="19" s="1"/>
  <c r="AN4" i="19" a="1"/>
  <c r="AN4" i="19" s="1"/>
  <c r="AM4" i="19" a="1"/>
  <c r="AM4" i="19" s="1"/>
  <c r="AL4" i="19" a="1"/>
  <c r="AL4" i="19" s="1"/>
  <c r="AK4" i="19" a="1"/>
  <c r="AK4" i="19" s="1"/>
  <c r="AZ3" i="19" a="1"/>
  <c r="AZ3" i="19" s="1"/>
  <c r="AY3" i="19" a="1"/>
  <c r="AY3" i="19" s="1"/>
  <c r="AX3" i="19" a="1"/>
  <c r="AX3" i="19" s="1"/>
  <c r="AW3" i="19" a="1"/>
  <c r="AW3" i="19" s="1"/>
  <c r="AV3" i="19" a="1"/>
  <c r="AV3" i="19" s="1"/>
  <c r="AU3" i="19" a="1"/>
  <c r="AU3" i="19" s="1"/>
  <c r="AT3" i="19" a="1"/>
  <c r="AT3" i="19" s="1"/>
  <c r="AS3" i="19" a="1"/>
  <c r="AS3" i="19" s="1"/>
  <c r="AR3" i="19" a="1"/>
  <c r="AR3" i="19" s="1"/>
  <c r="AQ3" i="19" a="1"/>
  <c r="AQ3" i="19" s="1"/>
  <c r="AP3" i="19" a="1"/>
  <c r="AP3" i="19" s="1"/>
  <c r="AO3" i="19" a="1"/>
  <c r="AO3" i="19" s="1"/>
  <c r="AN3" i="19" a="1"/>
  <c r="AN3" i="19" s="1"/>
  <c r="AM3" i="19" a="1"/>
  <c r="AM3" i="19" s="1"/>
  <c r="AL3" i="19" a="1"/>
  <c r="AL3" i="19" s="1"/>
  <c r="AK3" i="19" a="1"/>
  <c r="AK3" i="19" s="1"/>
  <c r="T1" i="19"/>
  <c r="AE99" i="19"/>
  <c r="W99" i="19"/>
  <c r="T99" i="19"/>
  <c r="S99" i="19"/>
  <c r="AF99" i="19" s="1"/>
  <c r="AI83" i="19"/>
  <c r="S83" i="19"/>
  <c r="AE68" i="19"/>
  <c r="W68" i="19"/>
  <c r="S68" i="19"/>
  <c r="AH67" i="19"/>
  <c r="AF67" i="19"/>
  <c r="AD67" i="19"/>
  <c r="AB67" i="19"/>
  <c r="Z67" i="19"/>
  <c r="X67" i="19"/>
  <c r="V67" i="19"/>
  <c r="T67" i="19"/>
  <c r="S67" i="19"/>
  <c r="AI67" i="19" s="1"/>
  <c r="S52" i="19"/>
  <c r="W52" i="19" s="1"/>
  <c r="AH51" i="19"/>
  <c r="AF51" i="19"/>
  <c r="AD51" i="19"/>
  <c r="AC51" i="19"/>
  <c r="AB51" i="19"/>
  <c r="Z51" i="19"/>
  <c r="Y51" i="19"/>
  <c r="X51" i="19"/>
  <c r="V51" i="19"/>
  <c r="U51" i="19"/>
  <c r="T51" i="19"/>
  <c r="S51" i="19"/>
  <c r="AI51" i="19" s="1"/>
  <c r="S36" i="19"/>
  <c r="AA36" i="19" s="1"/>
  <c r="AF35" i="19"/>
  <c r="AB35" i="19"/>
  <c r="Z35" i="19"/>
  <c r="Y35" i="19"/>
  <c r="X35" i="19"/>
  <c r="V35" i="19"/>
  <c r="U35" i="19"/>
  <c r="T35" i="19"/>
  <c r="S35" i="19"/>
  <c r="AI35" i="19" s="1"/>
  <c r="S22" i="19"/>
  <c r="AH22" i="19" s="1"/>
  <c r="AI21" i="19"/>
  <c r="AH21" i="19"/>
  <c r="AG21" i="19"/>
  <c r="AF21" i="19"/>
  <c r="AE21" i="19"/>
  <c r="AD21" i="19"/>
  <c r="AC21" i="19"/>
  <c r="AB21" i="19"/>
  <c r="AA21" i="19"/>
  <c r="Z21" i="19"/>
  <c r="Y21" i="19"/>
  <c r="X21" i="19"/>
  <c r="W21" i="19"/>
  <c r="V21" i="19"/>
  <c r="U21" i="19"/>
  <c r="T21" i="19"/>
  <c r="AI20" i="19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AI19" i="19"/>
  <c r="AH19" i="19"/>
  <c r="AG19" i="19"/>
  <c r="AF19" i="19"/>
  <c r="AE19" i="19"/>
  <c r="AD19" i="19"/>
  <c r="AC19" i="19"/>
  <c r="AB19" i="19"/>
  <c r="AA19" i="19"/>
  <c r="Z19" i="19"/>
  <c r="Y19" i="19"/>
  <c r="X19" i="19"/>
  <c r="W19" i="19"/>
  <c r="V19" i="19"/>
  <c r="U19" i="19"/>
  <c r="T19" i="19"/>
  <c r="AI18" i="19"/>
  <c r="AH18" i="19"/>
  <c r="AG18" i="19"/>
  <c r="AF18" i="19"/>
  <c r="AE18" i="19"/>
  <c r="AD18" i="19"/>
  <c r="AC18" i="19"/>
  <c r="AB18" i="19"/>
  <c r="AA18" i="19"/>
  <c r="Z18" i="19"/>
  <c r="Y18" i="19"/>
  <c r="X18" i="19"/>
  <c r="W18" i="19"/>
  <c r="V18" i="19"/>
  <c r="U18" i="19"/>
  <c r="T18" i="19"/>
  <c r="AI17" i="19"/>
  <c r="AH17" i="19"/>
  <c r="AG17" i="19"/>
  <c r="AF17" i="19"/>
  <c r="AE17" i="19"/>
  <c r="AD17" i="19"/>
  <c r="AC17" i="19"/>
  <c r="AB17" i="19"/>
  <c r="AA17" i="19"/>
  <c r="Z17" i="19"/>
  <c r="Y17" i="19"/>
  <c r="X17" i="19"/>
  <c r="W17" i="19"/>
  <c r="V17" i="19"/>
  <c r="U17" i="19"/>
  <c r="T17" i="19"/>
  <c r="AI16" i="19"/>
  <c r="AH16" i="19"/>
  <c r="AG16" i="19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AI15" i="19"/>
  <c r="AH15" i="19"/>
  <c r="AG15" i="19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AI14" i="19"/>
  <c r="AH14" i="19"/>
  <c r="AG14" i="19"/>
  <c r="AF14" i="19"/>
  <c r="AE14" i="19"/>
  <c r="AD14" i="19"/>
  <c r="AC14" i="19"/>
  <c r="AB14" i="19"/>
  <c r="AA14" i="19"/>
  <c r="Z14" i="19"/>
  <c r="Y14" i="19"/>
  <c r="X14" i="19"/>
  <c r="W14" i="19"/>
  <c r="V14" i="19"/>
  <c r="U14" i="19"/>
  <c r="T14" i="19"/>
  <c r="AI13" i="19"/>
  <c r="AH13" i="19"/>
  <c r="AG13" i="19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AI12" i="19"/>
  <c r="AH12" i="19"/>
  <c r="AG12" i="19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AI11" i="19"/>
  <c r="AH11" i="19"/>
  <c r="AG11" i="19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AI10" i="19"/>
  <c r="AH10" i="19"/>
  <c r="AG10" i="19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AI9" i="19"/>
  <c r="AH9" i="19"/>
  <c r="AG9" i="19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AI8" i="19"/>
  <c r="AH8" i="19"/>
  <c r="AG8" i="19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AI7" i="19"/>
  <c r="AH7" i="19"/>
  <c r="AG7" i="19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AI4" i="19"/>
  <c r="AH4" i="19"/>
  <c r="AG4" i="19"/>
  <c r="AF4" i="19"/>
  <c r="AE4" i="19"/>
  <c r="AD4" i="19"/>
  <c r="AC4" i="19"/>
  <c r="AB4" i="19"/>
  <c r="AA4" i="19"/>
  <c r="Z4" i="19"/>
  <c r="Y4" i="19"/>
  <c r="X4" i="19"/>
  <c r="W4" i="19"/>
  <c r="V4" i="19"/>
  <c r="U4" i="19"/>
  <c r="T4" i="19"/>
  <c r="AI3" i="19"/>
  <c r="AH3" i="19"/>
  <c r="AG3" i="19"/>
  <c r="AF3" i="19"/>
  <c r="AE3" i="19"/>
  <c r="AD3" i="19"/>
  <c r="AC3" i="19"/>
  <c r="AB3" i="19"/>
  <c r="AA3" i="19"/>
  <c r="Z3" i="19"/>
  <c r="Y3" i="19"/>
  <c r="X3" i="19"/>
  <c r="W3" i="19"/>
  <c r="V3" i="19"/>
  <c r="U3" i="19"/>
  <c r="T3" i="19"/>
  <c r="S19" i="19"/>
  <c r="S20" i="19" s="1"/>
  <c r="S21" i="19" s="1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Q114" i="19"/>
  <c r="P114" i="19"/>
  <c r="O114" i="19"/>
  <c r="N114" i="19"/>
  <c r="M114" i="19"/>
  <c r="L114" i="19"/>
  <c r="K114" i="19"/>
  <c r="J114" i="19"/>
  <c r="I114" i="19"/>
  <c r="H114" i="19"/>
  <c r="G114" i="19"/>
  <c r="F114" i="19"/>
  <c r="E114" i="19"/>
  <c r="D114" i="19"/>
  <c r="C114" i="19"/>
  <c r="B114" i="19"/>
  <c r="Q113" i="19"/>
  <c r="P113" i="19"/>
  <c r="O113" i="19"/>
  <c r="N113" i="19"/>
  <c r="M113" i="19"/>
  <c r="L113" i="19"/>
  <c r="K113" i="19"/>
  <c r="J113" i="19"/>
  <c r="I113" i="19"/>
  <c r="H113" i="19"/>
  <c r="G113" i="19"/>
  <c r="F113" i="19"/>
  <c r="E113" i="19"/>
  <c r="D113" i="19"/>
  <c r="C113" i="19"/>
  <c r="B113" i="19"/>
  <c r="Q112" i="19"/>
  <c r="P112" i="19"/>
  <c r="O112" i="19"/>
  <c r="N112" i="19"/>
  <c r="M112" i="19"/>
  <c r="L112" i="19"/>
  <c r="K112" i="19"/>
  <c r="J112" i="19"/>
  <c r="I112" i="19"/>
  <c r="H112" i="19"/>
  <c r="G112" i="19"/>
  <c r="F112" i="19"/>
  <c r="E112" i="19"/>
  <c r="D112" i="19"/>
  <c r="C112" i="19"/>
  <c r="B112" i="19"/>
  <c r="Q111" i="19"/>
  <c r="P111" i="19"/>
  <c r="O111" i="19"/>
  <c r="N111" i="19"/>
  <c r="M111" i="19"/>
  <c r="L111" i="19"/>
  <c r="K111" i="19"/>
  <c r="J111" i="19"/>
  <c r="I111" i="19"/>
  <c r="H111" i="19"/>
  <c r="G111" i="19"/>
  <c r="F111" i="19"/>
  <c r="E111" i="19"/>
  <c r="D111" i="19"/>
  <c r="C111" i="19"/>
  <c r="B111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/>
  <c r="Q109" i="19"/>
  <c r="P109" i="19"/>
  <c r="O109" i="19"/>
  <c r="N109" i="19"/>
  <c r="M109" i="19"/>
  <c r="L109" i="19"/>
  <c r="K109" i="19"/>
  <c r="J109" i="19"/>
  <c r="I109" i="19"/>
  <c r="H109" i="19"/>
  <c r="G109" i="19"/>
  <c r="F109" i="19"/>
  <c r="E109" i="19"/>
  <c r="D109" i="19"/>
  <c r="C109" i="19"/>
  <c r="B109" i="19"/>
  <c r="Q108" i="19"/>
  <c r="P108" i="19"/>
  <c r="O108" i="19"/>
  <c r="N108" i="19"/>
  <c r="M108" i="19"/>
  <c r="L108" i="19"/>
  <c r="K108" i="19"/>
  <c r="J108" i="19"/>
  <c r="I108" i="19"/>
  <c r="H108" i="19"/>
  <c r="G108" i="19"/>
  <c r="F108" i="19"/>
  <c r="E108" i="19"/>
  <c r="D108" i="19"/>
  <c r="C108" i="19"/>
  <c r="B108" i="19"/>
  <c r="Q107" i="19"/>
  <c r="P107" i="19"/>
  <c r="O107" i="19"/>
  <c r="N107" i="19"/>
  <c r="M107" i="19"/>
  <c r="L107" i="19"/>
  <c r="K107" i="19"/>
  <c r="J107" i="19"/>
  <c r="I107" i="19"/>
  <c r="H107" i="19"/>
  <c r="G107" i="19"/>
  <c r="F107" i="19"/>
  <c r="E107" i="19"/>
  <c r="D107" i="19"/>
  <c r="C107" i="19"/>
  <c r="B107" i="19"/>
  <c r="Q106" i="19"/>
  <c r="P106" i="19"/>
  <c r="O106" i="19"/>
  <c r="N106" i="19"/>
  <c r="M106" i="19"/>
  <c r="L106" i="19"/>
  <c r="K106" i="19"/>
  <c r="J106" i="19"/>
  <c r="I106" i="19"/>
  <c r="H106" i="19"/>
  <c r="G106" i="19"/>
  <c r="F106" i="19"/>
  <c r="E106" i="19"/>
  <c r="D106" i="19"/>
  <c r="C106" i="19"/>
  <c r="B106" i="19"/>
  <c r="Q105" i="19"/>
  <c r="P105" i="19"/>
  <c r="O105" i="19"/>
  <c r="N105" i="19"/>
  <c r="M105" i="19"/>
  <c r="L105" i="19"/>
  <c r="K105" i="19"/>
  <c r="J105" i="19"/>
  <c r="I105" i="19"/>
  <c r="H105" i="19"/>
  <c r="G105" i="19"/>
  <c r="F105" i="19"/>
  <c r="E105" i="19"/>
  <c r="D105" i="19"/>
  <c r="C105" i="19"/>
  <c r="B105" i="19"/>
  <c r="Q104" i="19"/>
  <c r="P104" i="19"/>
  <c r="O104" i="19"/>
  <c r="N104" i="19"/>
  <c r="M104" i="19"/>
  <c r="L104" i="19"/>
  <c r="K104" i="19"/>
  <c r="J104" i="19"/>
  <c r="I104" i="19"/>
  <c r="H104" i="19"/>
  <c r="G104" i="19"/>
  <c r="F104" i="19"/>
  <c r="E104" i="19"/>
  <c r="D104" i="19"/>
  <c r="C104" i="19"/>
  <c r="B104" i="19"/>
  <c r="Q103" i="19"/>
  <c r="P103" i="19"/>
  <c r="O103" i="19"/>
  <c r="N103" i="19"/>
  <c r="M103" i="19"/>
  <c r="L103" i="19"/>
  <c r="K103" i="19"/>
  <c r="J103" i="19"/>
  <c r="I103" i="19"/>
  <c r="H103" i="19"/>
  <c r="G103" i="19"/>
  <c r="F103" i="19"/>
  <c r="E103" i="19"/>
  <c r="D103" i="19"/>
  <c r="C103" i="19"/>
  <c r="B103" i="19"/>
  <c r="Q102" i="19"/>
  <c r="P102" i="19"/>
  <c r="O102" i="19"/>
  <c r="N102" i="19"/>
  <c r="M102" i="19"/>
  <c r="L102" i="19"/>
  <c r="K102" i="19"/>
  <c r="J102" i="19"/>
  <c r="I102" i="19"/>
  <c r="H102" i="19"/>
  <c r="G102" i="19"/>
  <c r="F102" i="19"/>
  <c r="E102" i="19"/>
  <c r="D102" i="19"/>
  <c r="C102" i="19"/>
  <c r="B102" i="19"/>
  <c r="Q101" i="19"/>
  <c r="P101" i="19"/>
  <c r="O101" i="19"/>
  <c r="N101" i="19"/>
  <c r="M101" i="19"/>
  <c r="L101" i="19"/>
  <c r="K101" i="19"/>
  <c r="J101" i="19"/>
  <c r="I101" i="19"/>
  <c r="H101" i="19"/>
  <c r="G101" i="19"/>
  <c r="F101" i="19"/>
  <c r="E101" i="19"/>
  <c r="D101" i="19"/>
  <c r="C101" i="19"/>
  <c r="B101" i="19"/>
  <c r="Q100" i="19"/>
  <c r="P100" i="19"/>
  <c r="O100" i="19"/>
  <c r="N100" i="19"/>
  <c r="M100" i="19"/>
  <c r="L100" i="19"/>
  <c r="K100" i="19"/>
  <c r="J100" i="19"/>
  <c r="I100" i="19"/>
  <c r="H100" i="19"/>
  <c r="G100" i="19"/>
  <c r="F100" i="19"/>
  <c r="E100" i="19"/>
  <c r="D100" i="19"/>
  <c r="C100" i="19"/>
  <c r="B100" i="19"/>
  <c r="Q99" i="19"/>
  <c r="P99" i="19"/>
  <c r="O99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B99" i="19"/>
  <c r="Q98" i="19"/>
  <c r="P98" i="19"/>
  <c r="O98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B98" i="19"/>
  <c r="Q97" i="19"/>
  <c r="P97" i="19"/>
  <c r="O97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B97" i="19"/>
  <c r="Q96" i="19"/>
  <c r="P96" i="19"/>
  <c r="O96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B96" i="19"/>
  <c r="Q95" i="19"/>
  <c r="P95" i="19"/>
  <c r="O95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B95" i="19"/>
  <c r="Q94" i="19"/>
  <c r="P94" i="19"/>
  <c r="O94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B94" i="19"/>
  <c r="Q93" i="19"/>
  <c r="P93" i="19"/>
  <c r="O93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B93" i="19"/>
  <c r="Q92" i="19"/>
  <c r="P92" i="19"/>
  <c r="O92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B92" i="19"/>
  <c r="Q91" i="19"/>
  <c r="P91" i="19"/>
  <c r="O91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1" i="19"/>
  <c r="Q90" i="19"/>
  <c r="P90" i="19"/>
  <c r="O90" i="19"/>
  <c r="N90" i="19"/>
  <c r="M90" i="19"/>
  <c r="L90" i="19"/>
  <c r="K90" i="19"/>
  <c r="J90" i="19"/>
  <c r="I90" i="19"/>
  <c r="H90" i="19"/>
  <c r="G90" i="19"/>
  <c r="F90" i="19"/>
  <c r="E90" i="19"/>
  <c r="D90" i="19"/>
  <c r="C90" i="19"/>
  <c r="B90" i="19"/>
  <c r="Q89" i="19"/>
  <c r="P89" i="19"/>
  <c r="O89" i="19"/>
  <c r="N89" i="19"/>
  <c r="M89" i="19"/>
  <c r="L89" i="19"/>
  <c r="K89" i="19"/>
  <c r="J89" i="19"/>
  <c r="I89" i="19"/>
  <c r="H89" i="19"/>
  <c r="G89" i="19"/>
  <c r="F89" i="19"/>
  <c r="E89" i="19"/>
  <c r="D89" i="19"/>
  <c r="C89" i="19"/>
  <c r="B89" i="19"/>
  <c r="Q88" i="19"/>
  <c r="P88" i="19"/>
  <c r="O88" i="19"/>
  <c r="N88" i="19"/>
  <c r="M88" i="19"/>
  <c r="L88" i="19"/>
  <c r="K88" i="19"/>
  <c r="J88" i="19"/>
  <c r="I88" i="19"/>
  <c r="H88" i="19"/>
  <c r="G88" i="19"/>
  <c r="F88" i="19"/>
  <c r="E88" i="19"/>
  <c r="D88" i="19"/>
  <c r="C88" i="19"/>
  <c r="B88" i="19"/>
  <c r="Q87" i="19"/>
  <c r="P87" i="19"/>
  <c r="O87" i="19"/>
  <c r="N87" i="19"/>
  <c r="M87" i="19"/>
  <c r="L87" i="19"/>
  <c r="K87" i="19"/>
  <c r="J87" i="19"/>
  <c r="I87" i="19"/>
  <c r="H87" i="19"/>
  <c r="G87" i="19"/>
  <c r="F87" i="19"/>
  <c r="E87" i="19"/>
  <c r="D87" i="19"/>
  <c r="C87" i="19"/>
  <c r="B87" i="19"/>
  <c r="Q86" i="19"/>
  <c r="P86" i="19"/>
  <c r="O86" i="19"/>
  <c r="N86" i="19"/>
  <c r="M86" i="19"/>
  <c r="L86" i="19"/>
  <c r="K86" i="19"/>
  <c r="J86" i="19"/>
  <c r="I86" i="19"/>
  <c r="H86" i="19"/>
  <c r="G86" i="19"/>
  <c r="F86" i="19"/>
  <c r="E86" i="19"/>
  <c r="D86" i="19"/>
  <c r="C86" i="19"/>
  <c r="B86" i="19"/>
  <c r="Q85" i="19"/>
  <c r="P85" i="19"/>
  <c r="O85" i="19"/>
  <c r="N85" i="19"/>
  <c r="M85" i="19"/>
  <c r="L85" i="19"/>
  <c r="K85" i="19"/>
  <c r="J85" i="19"/>
  <c r="I85" i="19"/>
  <c r="H85" i="19"/>
  <c r="G85" i="19"/>
  <c r="F85" i="19"/>
  <c r="E85" i="19"/>
  <c r="D85" i="19"/>
  <c r="C85" i="19"/>
  <c r="B85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4" i="19"/>
  <c r="C84" i="19"/>
  <c r="B84" i="19"/>
  <c r="Q83" i="19"/>
  <c r="P83" i="19"/>
  <c r="O83" i="19"/>
  <c r="N83" i="19"/>
  <c r="M83" i="19"/>
  <c r="L83" i="19"/>
  <c r="K83" i="19"/>
  <c r="J83" i="19"/>
  <c r="I83" i="19"/>
  <c r="H83" i="19"/>
  <c r="G83" i="19"/>
  <c r="F83" i="19"/>
  <c r="E83" i="19"/>
  <c r="D83" i="19"/>
  <c r="C83" i="19"/>
  <c r="B83" i="19"/>
  <c r="Q82" i="19"/>
  <c r="P82" i="19"/>
  <c r="O82" i="19"/>
  <c r="N82" i="19"/>
  <c r="M82" i="19"/>
  <c r="L82" i="19"/>
  <c r="K82" i="19"/>
  <c r="J82" i="19"/>
  <c r="I82" i="19"/>
  <c r="H82" i="19"/>
  <c r="G82" i="19"/>
  <c r="F82" i="19"/>
  <c r="E82" i="19"/>
  <c r="D82" i="19"/>
  <c r="C82" i="19"/>
  <c r="B82" i="19"/>
  <c r="Q81" i="19"/>
  <c r="P81" i="19"/>
  <c r="O81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B81" i="19"/>
  <c r="Q80" i="19"/>
  <c r="P80" i="19"/>
  <c r="O80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B80" i="19"/>
  <c r="Q79" i="19"/>
  <c r="P79" i="19"/>
  <c r="O79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B79" i="19"/>
  <c r="Q78" i="19"/>
  <c r="P78" i="19"/>
  <c r="O78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B78" i="19"/>
  <c r="Q77" i="19"/>
  <c r="P77" i="19"/>
  <c r="O77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B77" i="19"/>
  <c r="Q76" i="19"/>
  <c r="P76" i="19"/>
  <c r="O76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B76" i="19"/>
  <c r="Q75" i="19"/>
  <c r="P75" i="19"/>
  <c r="O75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B75" i="19"/>
  <c r="Q74" i="19"/>
  <c r="P74" i="19"/>
  <c r="O74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B74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B73" i="19"/>
  <c r="Q72" i="19"/>
  <c r="P72" i="19"/>
  <c r="O72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B72" i="19"/>
  <c r="Q71" i="19"/>
  <c r="P71" i="19"/>
  <c r="O71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B71" i="19"/>
  <c r="Q70" i="19"/>
  <c r="P70" i="19"/>
  <c r="O70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B70" i="19"/>
  <c r="Q69" i="19"/>
  <c r="P69" i="19"/>
  <c r="O69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B69" i="19"/>
  <c r="Q68" i="19"/>
  <c r="P68" i="19"/>
  <c r="O68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B68" i="19"/>
  <c r="Q67" i="19"/>
  <c r="P67" i="19"/>
  <c r="O67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B67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B66" i="19"/>
  <c r="Q65" i="19"/>
  <c r="P65" i="19"/>
  <c r="O65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B65" i="19"/>
  <c r="Q64" i="19"/>
  <c r="P64" i="19"/>
  <c r="O64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B64" i="19"/>
  <c r="Q63" i="19"/>
  <c r="P63" i="19"/>
  <c r="O63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B63" i="19"/>
  <c r="Q62" i="19"/>
  <c r="P62" i="19"/>
  <c r="O62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B62" i="19"/>
  <c r="Q61" i="19"/>
  <c r="P61" i="19"/>
  <c r="O61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B61" i="19"/>
  <c r="Q60" i="19"/>
  <c r="P60" i="19"/>
  <c r="O60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B60" i="19"/>
  <c r="Q59" i="19"/>
  <c r="P59" i="19"/>
  <c r="O59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B59" i="19"/>
  <c r="Q58" i="19"/>
  <c r="P58" i="19"/>
  <c r="O58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B58" i="19"/>
  <c r="Q57" i="19"/>
  <c r="P57" i="19"/>
  <c r="O57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B57" i="19"/>
  <c r="Q56" i="19"/>
  <c r="P56" i="19"/>
  <c r="O56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B56" i="19"/>
  <c r="Q55" i="19"/>
  <c r="P55" i="19"/>
  <c r="O55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B55" i="19"/>
  <c r="Q54" i="19"/>
  <c r="P54" i="19"/>
  <c r="O54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B54" i="19"/>
  <c r="Q53" i="19"/>
  <c r="P53" i="19"/>
  <c r="O53" i="19"/>
  <c r="N53" i="19"/>
  <c r="M53" i="19"/>
  <c r="L53" i="19"/>
  <c r="K53" i="19"/>
  <c r="J53" i="19"/>
  <c r="I53" i="19"/>
  <c r="H53" i="19"/>
  <c r="G53" i="19"/>
  <c r="F53" i="19"/>
  <c r="E53" i="19"/>
  <c r="D53" i="19"/>
  <c r="C53" i="19"/>
  <c r="B53" i="19"/>
  <c r="Q52" i="19"/>
  <c r="P52" i="19"/>
  <c r="O52" i="19"/>
  <c r="N52" i="19"/>
  <c r="M52" i="19"/>
  <c r="L52" i="19"/>
  <c r="K52" i="19"/>
  <c r="J52" i="19"/>
  <c r="I52" i="19"/>
  <c r="H52" i="19"/>
  <c r="G52" i="19"/>
  <c r="F52" i="19"/>
  <c r="E52" i="19"/>
  <c r="D52" i="19"/>
  <c r="C52" i="19"/>
  <c r="B52" i="19"/>
  <c r="Q51" i="19"/>
  <c r="P51" i="19"/>
  <c r="O51" i="19"/>
  <c r="N51" i="19"/>
  <c r="M51" i="19"/>
  <c r="L51" i="19"/>
  <c r="K51" i="19"/>
  <c r="J51" i="19"/>
  <c r="I51" i="19"/>
  <c r="H51" i="19"/>
  <c r="G51" i="19"/>
  <c r="F51" i="19"/>
  <c r="E51" i="19"/>
  <c r="D51" i="19"/>
  <c r="C51" i="19"/>
  <c r="B51" i="19"/>
  <c r="Q50" i="19"/>
  <c r="P50" i="19"/>
  <c r="O50" i="19"/>
  <c r="N50" i="19"/>
  <c r="M50" i="19"/>
  <c r="L50" i="19"/>
  <c r="K50" i="19"/>
  <c r="J50" i="19"/>
  <c r="I50" i="19"/>
  <c r="H50" i="19"/>
  <c r="G50" i="19"/>
  <c r="F50" i="19"/>
  <c r="E50" i="19"/>
  <c r="D50" i="19"/>
  <c r="C50" i="19"/>
  <c r="B50" i="19"/>
  <c r="Q49" i="19"/>
  <c r="P49" i="19"/>
  <c r="O49" i="19"/>
  <c r="N49" i="19"/>
  <c r="M49" i="19"/>
  <c r="L49" i="19"/>
  <c r="K49" i="19"/>
  <c r="J49" i="19"/>
  <c r="I49" i="19"/>
  <c r="H49" i="19"/>
  <c r="G49" i="19"/>
  <c r="F49" i="19"/>
  <c r="E49" i="19"/>
  <c r="D49" i="19"/>
  <c r="C49" i="19"/>
  <c r="B49" i="19"/>
  <c r="Q48" i="19"/>
  <c r="P48" i="19"/>
  <c r="O48" i="19"/>
  <c r="N48" i="19"/>
  <c r="M48" i="19"/>
  <c r="L48" i="19"/>
  <c r="K48" i="19"/>
  <c r="J48" i="19"/>
  <c r="I48" i="19"/>
  <c r="H48" i="19"/>
  <c r="G48" i="19"/>
  <c r="F48" i="19"/>
  <c r="E48" i="19"/>
  <c r="D48" i="19"/>
  <c r="C48" i="19"/>
  <c r="B48" i="19"/>
  <c r="Q47" i="19"/>
  <c r="P47" i="19"/>
  <c r="O47" i="19"/>
  <c r="N47" i="19"/>
  <c r="M47" i="19"/>
  <c r="L47" i="19"/>
  <c r="K47" i="19"/>
  <c r="J47" i="19"/>
  <c r="I47" i="19"/>
  <c r="H47" i="19"/>
  <c r="G47" i="19"/>
  <c r="F47" i="19"/>
  <c r="E47" i="19"/>
  <c r="D47" i="19"/>
  <c r="C47" i="19"/>
  <c r="B47" i="19"/>
  <c r="Q46" i="19"/>
  <c r="P46" i="19"/>
  <c r="O46" i="19"/>
  <c r="N46" i="19"/>
  <c r="M46" i="19"/>
  <c r="L46" i="19"/>
  <c r="K46" i="19"/>
  <c r="J46" i="19"/>
  <c r="I46" i="19"/>
  <c r="H46" i="19"/>
  <c r="G46" i="19"/>
  <c r="F46" i="19"/>
  <c r="E46" i="19"/>
  <c r="D46" i="19"/>
  <c r="C46" i="19"/>
  <c r="B46" i="19"/>
  <c r="Q45" i="19"/>
  <c r="P45" i="19"/>
  <c r="O45" i="19"/>
  <c r="N45" i="19"/>
  <c r="M45" i="19"/>
  <c r="L45" i="19"/>
  <c r="K45" i="19"/>
  <c r="J45" i="19"/>
  <c r="I45" i="19"/>
  <c r="H45" i="19"/>
  <c r="G45" i="19"/>
  <c r="F45" i="19"/>
  <c r="E45" i="19"/>
  <c r="D45" i="19"/>
  <c r="C45" i="19"/>
  <c r="B45" i="19"/>
  <c r="Q44" i="19"/>
  <c r="P44" i="19"/>
  <c r="O44" i="19"/>
  <c r="N44" i="19"/>
  <c r="M44" i="19"/>
  <c r="L44" i="19"/>
  <c r="K44" i="19"/>
  <c r="J44" i="19"/>
  <c r="I44" i="19"/>
  <c r="H44" i="19"/>
  <c r="G44" i="19"/>
  <c r="F44" i="19"/>
  <c r="E44" i="19"/>
  <c r="D44" i="19"/>
  <c r="C44" i="19"/>
  <c r="B44" i="19"/>
  <c r="Q43" i="19"/>
  <c r="P43" i="19"/>
  <c r="O43" i="19"/>
  <c r="N43" i="19"/>
  <c r="M43" i="19"/>
  <c r="L43" i="19"/>
  <c r="K43" i="19"/>
  <c r="J43" i="19"/>
  <c r="I43" i="19"/>
  <c r="H43" i="19"/>
  <c r="G43" i="19"/>
  <c r="F43" i="19"/>
  <c r="E43" i="19"/>
  <c r="D43" i="19"/>
  <c r="C43" i="19"/>
  <c r="B43" i="19"/>
  <c r="Q42" i="19"/>
  <c r="P42" i="19"/>
  <c r="O42" i="19"/>
  <c r="N42" i="19"/>
  <c r="M42" i="19"/>
  <c r="L42" i="19"/>
  <c r="K42" i="19"/>
  <c r="J42" i="19"/>
  <c r="I42" i="19"/>
  <c r="H42" i="19"/>
  <c r="G42" i="19"/>
  <c r="F42" i="19"/>
  <c r="E42" i="19"/>
  <c r="D42" i="19"/>
  <c r="C42" i="19"/>
  <c r="B42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B41" i="19"/>
  <c r="Q40" i="19"/>
  <c r="P40" i="19"/>
  <c r="O40" i="19"/>
  <c r="N40" i="19"/>
  <c r="M40" i="19"/>
  <c r="L40" i="19"/>
  <c r="K40" i="19"/>
  <c r="J40" i="19"/>
  <c r="I40" i="19"/>
  <c r="H40" i="19"/>
  <c r="G40" i="19"/>
  <c r="F40" i="19"/>
  <c r="E40" i="19"/>
  <c r="D40" i="19"/>
  <c r="C40" i="19"/>
  <c r="B40" i="19"/>
  <c r="Q39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D39" i="19"/>
  <c r="C39" i="19"/>
  <c r="B39" i="19"/>
  <c r="Q38" i="19"/>
  <c r="P38" i="19"/>
  <c r="O38" i="19"/>
  <c r="N38" i="19"/>
  <c r="M38" i="19"/>
  <c r="L38" i="19"/>
  <c r="K38" i="19"/>
  <c r="J38" i="19"/>
  <c r="I38" i="19"/>
  <c r="H38" i="19"/>
  <c r="G38" i="19"/>
  <c r="F38" i="19"/>
  <c r="E38" i="19"/>
  <c r="D38" i="19"/>
  <c r="C38" i="19"/>
  <c r="B38" i="19"/>
  <c r="Q37" i="19"/>
  <c r="P37" i="19"/>
  <c r="O37" i="19"/>
  <c r="N37" i="19"/>
  <c r="M37" i="19"/>
  <c r="L37" i="19"/>
  <c r="K37" i="19"/>
  <c r="J37" i="19"/>
  <c r="I37" i="19"/>
  <c r="H37" i="19"/>
  <c r="G37" i="19"/>
  <c r="F37" i="19"/>
  <c r="E37" i="19"/>
  <c r="D37" i="19"/>
  <c r="C37" i="19"/>
  <c r="B37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B6" i="19"/>
  <c r="Q5" i="19"/>
  <c r="P5" i="19"/>
  <c r="O5" i="19"/>
  <c r="N5" i="19"/>
  <c r="M5" i="19"/>
  <c r="L5" i="19"/>
  <c r="K5" i="19"/>
  <c r="J5" i="19"/>
  <c r="I5" i="19"/>
  <c r="H5" i="19"/>
  <c r="G5" i="19"/>
  <c r="F5" i="19"/>
  <c r="E5" i="19"/>
  <c r="D5" i="19"/>
  <c r="C5" i="19"/>
  <c r="B5" i="19"/>
  <c r="Q4" i="19"/>
  <c r="P4" i="19"/>
  <c r="O4" i="19"/>
  <c r="N4" i="19"/>
  <c r="M4" i="19"/>
  <c r="L4" i="19"/>
  <c r="K4" i="19"/>
  <c r="J4" i="19"/>
  <c r="I4" i="19"/>
  <c r="H4" i="19"/>
  <c r="G4" i="19"/>
  <c r="F4" i="19"/>
  <c r="E4" i="19"/>
  <c r="D4" i="19"/>
  <c r="C4" i="19"/>
  <c r="B4" i="19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C3" i="19"/>
  <c r="B3" i="19"/>
  <c r="A4" i="19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B2" i="19"/>
  <c r="C1" i="19"/>
  <c r="D1" i="19" s="1"/>
  <c r="AD19" i="13"/>
  <c r="AD32" i="13" s="1"/>
  <c r="X19" i="13"/>
  <c r="X32" i="13" s="1"/>
  <c r="V19" i="13" a="1"/>
  <c r="V19" i="13" s="1"/>
  <c r="V32" i="13" s="1"/>
  <c r="AD18" i="13"/>
  <c r="AD31" i="13" s="1"/>
  <c r="X18" i="13"/>
  <c r="X31" i="13" s="1"/>
  <c r="V18" i="13" a="1"/>
  <c r="V18" i="13" s="1"/>
  <c r="V31" i="13" s="1"/>
  <c r="AD17" i="13"/>
  <c r="AD30" i="13" s="1"/>
  <c r="X17" i="13"/>
  <c r="X30" i="13" s="1"/>
  <c r="V17" i="13" a="1"/>
  <c r="V17" i="13" s="1"/>
  <c r="V30" i="13" s="1"/>
  <c r="AD16" i="13"/>
  <c r="AD29" i="13" s="1"/>
  <c r="X16" i="13"/>
  <c r="X29" i="13" s="1"/>
  <c r="V16" i="13" a="1"/>
  <c r="V16" i="13" s="1"/>
  <c r="V29" i="13" s="1"/>
  <c r="AD15" i="13"/>
  <c r="AD28" i="13" s="1"/>
  <c r="X15" i="13"/>
  <c r="X28" i="13" s="1"/>
  <c r="V15" i="13" a="1"/>
  <c r="V15" i="13" s="1"/>
  <c r="V28" i="13" s="1"/>
  <c r="AD14" i="13"/>
  <c r="AD27" i="13" s="1"/>
  <c r="X14" i="13"/>
  <c r="X27" i="13" s="1"/>
  <c r="V14" i="13" a="1"/>
  <c r="V14" i="13" s="1"/>
  <c r="V27" i="13" s="1"/>
  <c r="AD13" i="13"/>
  <c r="AD26" i="13" s="1"/>
  <c r="X13" i="13"/>
  <c r="X26" i="13" s="1"/>
  <c r="AG23" i="21" l="1" a="1"/>
  <c r="AG23" i="21" s="1"/>
  <c r="B36" i="21"/>
  <c r="AG36" i="21" s="1" a="1"/>
  <c r="AG36" i="21" s="1"/>
  <c r="B25" i="21"/>
  <c r="B38" i="21" s="1"/>
  <c r="AG38" i="21" s="1" a="1"/>
  <c r="AG38" i="21" s="1"/>
  <c r="AG24" i="21" a="1"/>
  <c r="AG24" i="21" s="1"/>
  <c r="AE22" i="19"/>
  <c r="AI36" i="19"/>
  <c r="AI52" i="19"/>
  <c r="T22" i="19"/>
  <c r="X22" i="19"/>
  <c r="AB22" i="19"/>
  <c r="AF22" i="19"/>
  <c r="S23" i="19"/>
  <c r="W36" i="19"/>
  <c r="S69" i="19"/>
  <c r="AH68" i="19"/>
  <c r="AD68" i="19"/>
  <c r="Z68" i="19"/>
  <c r="V68" i="19"/>
  <c r="AG68" i="19"/>
  <c r="AC68" i="19"/>
  <c r="Y68" i="19"/>
  <c r="U68" i="19"/>
  <c r="AF68" i="19"/>
  <c r="AB68" i="19"/>
  <c r="X68" i="19"/>
  <c r="T68" i="19"/>
  <c r="AI68" i="19"/>
  <c r="AH83" i="19"/>
  <c r="AD83" i="19"/>
  <c r="Z83" i="19"/>
  <c r="V83" i="19"/>
  <c r="AG83" i="19"/>
  <c r="AC83" i="19"/>
  <c r="Y83" i="19"/>
  <c r="U83" i="19"/>
  <c r="S84" i="19"/>
  <c r="AF83" i="19"/>
  <c r="AB83" i="19"/>
  <c r="X83" i="19"/>
  <c r="T83" i="19"/>
  <c r="AE83" i="19"/>
  <c r="AA83" i="19"/>
  <c r="W83" i="19"/>
  <c r="AA22" i="19"/>
  <c r="AH52" i="19"/>
  <c r="AD52" i="19"/>
  <c r="Z52" i="19"/>
  <c r="V52" i="19"/>
  <c r="AG52" i="19"/>
  <c r="AC52" i="19"/>
  <c r="Y52" i="19"/>
  <c r="U52" i="19"/>
  <c r="S53" i="19"/>
  <c r="AF52" i="19"/>
  <c r="AB52" i="19"/>
  <c r="X52" i="19"/>
  <c r="T52" i="19"/>
  <c r="U22" i="19"/>
  <c r="Y22" i="19"/>
  <c r="AC22" i="19"/>
  <c r="AA52" i="19"/>
  <c r="W22" i="19"/>
  <c r="AI22" i="19"/>
  <c r="AH36" i="19"/>
  <c r="AD36" i="19"/>
  <c r="Z36" i="19"/>
  <c r="V36" i="19"/>
  <c r="AG36" i="19"/>
  <c r="AC36" i="19"/>
  <c r="Y36" i="19"/>
  <c r="U36" i="19"/>
  <c r="S37" i="19"/>
  <c r="AF36" i="19"/>
  <c r="AB36" i="19"/>
  <c r="X36" i="19"/>
  <c r="T36" i="19"/>
  <c r="AG22" i="19"/>
  <c r="V22" i="19"/>
  <c r="Z22" i="19"/>
  <c r="AD22" i="19"/>
  <c r="AE36" i="19"/>
  <c r="AE52" i="19"/>
  <c r="AA68" i="19"/>
  <c r="AC35" i="19"/>
  <c r="AG35" i="19"/>
  <c r="AG51" i="19"/>
  <c r="U67" i="19"/>
  <c r="Y67" i="19"/>
  <c r="AC67" i="19"/>
  <c r="AG67" i="19"/>
  <c r="AD35" i="19"/>
  <c r="AH35" i="19"/>
  <c r="W35" i="19"/>
  <c r="AA35" i="19"/>
  <c r="AE35" i="19"/>
  <c r="W51" i="19"/>
  <c r="AA51" i="19"/>
  <c r="AE51" i="19"/>
  <c r="W67" i="19"/>
  <c r="AA67" i="19"/>
  <c r="AE67" i="19"/>
  <c r="X99" i="19"/>
  <c r="AH99" i="19"/>
  <c r="AD99" i="19"/>
  <c r="Z99" i="19"/>
  <c r="V99" i="19"/>
  <c r="AG99" i="19"/>
  <c r="AC99" i="19"/>
  <c r="Y99" i="19"/>
  <c r="U99" i="19"/>
  <c r="AA99" i="19"/>
  <c r="AI99" i="19"/>
  <c r="AB99" i="19"/>
  <c r="S100" i="19"/>
  <c r="D2" i="19"/>
  <c r="E1" i="19"/>
  <c r="C2" i="19"/>
  <c r="V13" i="13" a="1"/>
  <c r="V13" i="13" s="1"/>
  <c r="V26" i="13" s="1"/>
  <c r="I47" i="11"/>
  <c r="H47" i="11"/>
  <c r="R6" i="13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3" i="11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4" i="12"/>
  <c r="C2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9" i="12"/>
  <c r="C8" i="12"/>
  <c r="C7" i="12"/>
  <c r="C6" i="12"/>
  <c r="C5" i="12"/>
  <c r="C4" i="12"/>
  <c r="C3" i="12"/>
  <c r="M2" i="14"/>
  <c r="J2" i="14"/>
  <c r="I2" i="14"/>
  <c r="L2" i="14" s="1"/>
  <c r="O2" i="14" s="1"/>
  <c r="R2" i="14" s="1"/>
  <c r="U2" i="14" s="1"/>
  <c r="X2" i="14" s="1"/>
  <c r="H2" i="14"/>
  <c r="K2" i="14" s="1"/>
  <c r="G2" i="14"/>
  <c r="F2" i="14"/>
  <c r="E2" i="14"/>
  <c r="C1" i="14"/>
  <c r="M117" i="14" a="1"/>
  <c r="M117" i="14" s="1"/>
  <c r="K117" i="14" a="1"/>
  <c r="K117" i="14" s="1"/>
  <c r="H117" i="14" a="1"/>
  <c r="H117" i="14" s="1"/>
  <c r="G117" i="14" a="1"/>
  <c r="G117" i="14" s="1"/>
  <c r="E117" i="14" a="1"/>
  <c r="E117" i="14" s="1"/>
  <c r="D117" i="14" a="1"/>
  <c r="D117" i="14" s="1"/>
  <c r="M101" i="14" a="1"/>
  <c r="M101" i="14" s="1"/>
  <c r="K101" i="14" a="1"/>
  <c r="K101" i="14" s="1"/>
  <c r="J101" i="14" a="1"/>
  <c r="J101" i="14" s="1"/>
  <c r="H101" i="14" a="1"/>
  <c r="H101" i="14" s="1"/>
  <c r="G101" i="14" a="1"/>
  <c r="G101" i="14" s="1"/>
  <c r="E101" i="14" a="1"/>
  <c r="E101" i="14" s="1"/>
  <c r="D101" i="14" a="1"/>
  <c r="D101" i="14" s="1"/>
  <c r="M85" i="14" a="1"/>
  <c r="M85" i="14" s="1"/>
  <c r="K85" i="14" a="1"/>
  <c r="K85" i="14" s="1"/>
  <c r="J85" i="14" a="1"/>
  <c r="J85" i="14" s="1"/>
  <c r="H85" i="14" a="1"/>
  <c r="H85" i="14" s="1"/>
  <c r="G85" i="14" a="1"/>
  <c r="G85" i="14" s="1"/>
  <c r="E85" i="14" a="1"/>
  <c r="E85" i="14" s="1"/>
  <c r="D85" i="14" a="1"/>
  <c r="D85" i="14" s="1"/>
  <c r="M69" i="14" a="1"/>
  <c r="M69" i="14" s="1"/>
  <c r="K69" i="14" a="1"/>
  <c r="K69" i="14" s="1"/>
  <c r="J69" i="14" a="1"/>
  <c r="J69" i="14" s="1"/>
  <c r="H69" i="14" a="1"/>
  <c r="H69" i="14" s="1"/>
  <c r="G69" i="14" a="1"/>
  <c r="G69" i="14" s="1"/>
  <c r="E69" i="14" a="1"/>
  <c r="E69" i="14" s="1"/>
  <c r="D69" i="14" a="1"/>
  <c r="D69" i="14" s="1"/>
  <c r="M53" i="14" a="1"/>
  <c r="M53" i="14" s="1"/>
  <c r="K53" i="14" a="1"/>
  <c r="K53" i="14" s="1"/>
  <c r="J53" i="14" a="1"/>
  <c r="J53" i="14" s="1"/>
  <c r="H53" i="14" a="1"/>
  <c r="H53" i="14" s="1"/>
  <c r="G53" i="14" a="1"/>
  <c r="G53" i="14" s="1"/>
  <c r="E53" i="14" a="1"/>
  <c r="E53" i="14" s="1"/>
  <c r="D53" i="14" a="1"/>
  <c r="D53" i="14" s="1"/>
  <c r="M37" i="14" a="1"/>
  <c r="M37" i="14" s="1"/>
  <c r="K37" i="14" a="1"/>
  <c r="K37" i="14" s="1"/>
  <c r="J37" i="14" a="1"/>
  <c r="J37" i="14" s="1"/>
  <c r="H37" i="14" a="1"/>
  <c r="H37" i="14" s="1"/>
  <c r="G37" i="14" a="1"/>
  <c r="G37" i="14" s="1"/>
  <c r="D37" i="14" a="1"/>
  <c r="D37" i="14" s="1"/>
  <c r="M21" i="14" a="1"/>
  <c r="M21" i="14" s="1"/>
  <c r="K21" i="14" a="1"/>
  <c r="K21" i="14" s="1"/>
  <c r="J21" i="14" a="1"/>
  <c r="J21" i="14" s="1"/>
  <c r="H21" i="14" a="1"/>
  <c r="H21" i="14" s="1"/>
  <c r="G21" i="14" a="1"/>
  <c r="G21" i="14" s="1"/>
  <c r="E21" i="14" a="1"/>
  <c r="E21" i="14" s="1"/>
  <c r="D21" i="14" a="1"/>
  <c r="D21" i="14" s="1"/>
  <c r="M5" i="14" a="1"/>
  <c r="M5" i="14" s="1"/>
  <c r="K5" i="14" a="1"/>
  <c r="K5" i="14" s="1"/>
  <c r="J5" i="14" a="1"/>
  <c r="J5" i="14" s="1"/>
  <c r="H5" i="14" a="1"/>
  <c r="H5" i="14" s="1"/>
  <c r="G5" i="14" a="1"/>
  <c r="G5" i="14" s="1"/>
  <c r="D5" i="14" a="1"/>
  <c r="D5" i="14" s="1"/>
  <c r="D1" i="12"/>
  <c r="D513" i="11"/>
  <c r="D512" i="11"/>
  <c r="D511" i="11"/>
  <c r="F511" i="11" s="1"/>
  <c r="D510" i="11"/>
  <c r="F510" i="11" s="1"/>
  <c r="D509" i="11"/>
  <c r="F509" i="11" s="1"/>
  <c r="D508" i="11"/>
  <c r="F508" i="11" s="1"/>
  <c r="D507" i="11"/>
  <c r="D506" i="11"/>
  <c r="F506" i="11" s="1"/>
  <c r="D505" i="11"/>
  <c r="F505" i="11" s="1"/>
  <c r="D504" i="11"/>
  <c r="F504" i="11" s="1"/>
  <c r="D503" i="11"/>
  <c r="F503" i="11" s="1"/>
  <c r="D502" i="11"/>
  <c r="D501" i="11"/>
  <c r="D500" i="11"/>
  <c r="F500" i="11" s="1"/>
  <c r="D499" i="11"/>
  <c r="F499" i="11" s="1"/>
  <c r="D498" i="11"/>
  <c r="F498" i="11" s="1"/>
  <c r="D497" i="11"/>
  <c r="F497" i="11" s="1"/>
  <c r="D496" i="11"/>
  <c r="F496" i="11" s="1"/>
  <c r="D495" i="11"/>
  <c r="F495" i="11" s="1"/>
  <c r="D494" i="11"/>
  <c r="F494" i="11" s="1"/>
  <c r="D493" i="11"/>
  <c r="F493" i="11" s="1"/>
  <c r="D492" i="11"/>
  <c r="F492" i="11" s="1"/>
  <c r="D491" i="11"/>
  <c r="F491" i="11" s="1"/>
  <c r="D490" i="11"/>
  <c r="F490" i="11" s="1"/>
  <c r="D489" i="11"/>
  <c r="F489" i="11" s="1"/>
  <c r="D488" i="11"/>
  <c r="F488" i="11" s="1"/>
  <c r="D487" i="11"/>
  <c r="F487" i="11" s="1"/>
  <c r="D486" i="11"/>
  <c r="F486" i="11" s="1"/>
  <c r="D485" i="11"/>
  <c r="F485" i="11" s="1"/>
  <c r="D484" i="11"/>
  <c r="F484" i="11" s="1"/>
  <c r="D483" i="11"/>
  <c r="F483" i="11" s="1"/>
  <c r="D482" i="11"/>
  <c r="F482" i="11" s="1"/>
  <c r="D481" i="11"/>
  <c r="F481" i="11" s="1"/>
  <c r="D480" i="11"/>
  <c r="F480" i="11" s="1"/>
  <c r="D479" i="11"/>
  <c r="F479" i="11" s="1"/>
  <c r="D478" i="11"/>
  <c r="F478" i="11" s="1"/>
  <c r="D477" i="11"/>
  <c r="F477" i="11" s="1"/>
  <c r="D476" i="11"/>
  <c r="F476" i="11" s="1"/>
  <c r="D475" i="11"/>
  <c r="F475" i="11" s="1"/>
  <c r="D474" i="11"/>
  <c r="F474" i="11" s="1"/>
  <c r="D473" i="11"/>
  <c r="F473" i="11" s="1"/>
  <c r="D472" i="11"/>
  <c r="F472" i="11" s="1"/>
  <c r="D471" i="11"/>
  <c r="F471" i="11" s="1"/>
  <c r="D470" i="11"/>
  <c r="F470" i="11" s="1"/>
  <c r="D469" i="11"/>
  <c r="F469" i="11" s="1"/>
  <c r="D468" i="11"/>
  <c r="F468" i="11" s="1"/>
  <c r="D467" i="11"/>
  <c r="F467" i="11" s="1"/>
  <c r="D466" i="11"/>
  <c r="F466" i="11" s="1"/>
  <c r="D465" i="11"/>
  <c r="F465" i="11" s="1"/>
  <c r="D464" i="11"/>
  <c r="F464" i="11" s="1"/>
  <c r="D463" i="11"/>
  <c r="F463" i="11" s="1"/>
  <c r="D462" i="11"/>
  <c r="F462" i="11" s="1"/>
  <c r="D461" i="11"/>
  <c r="F461" i="11" s="1"/>
  <c r="D460" i="11"/>
  <c r="F460" i="11" s="1"/>
  <c r="D459" i="11"/>
  <c r="F459" i="11" s="1"/>
  <c r="D458" i="11"/>
  <c r="F458" i="11" s="1"/>
  <c r="D457" i="11"/>
  <c r="F457" i="11" s="1"/>
  <c r="D456" i="11"/>
  <c r="F456" i="11" s="1"/>
  <c r="D455" i="11"/>
  <c r="F455" i="11" s="1"/>
  <c r="D454" i="11"/>
  <c r="F454" i="11" s="1"/>
  <c r="D453" i="11"/>
  <c r="F453" i="11" s="1"/>
  <c r="D452" i="11"/>
  <c r="F452" i="11" s="1"/>
  <c r="D451" i="11"/>
  <c r="F451" i="11" s="1"/>
  <c r="D450" i="11"/>
  <c r="F450" i="11" s="1"/>
  <c r="D449" i="11"/>
  <c r="F449" i="11" s="1"/>
  <c r="D448" i="11"/>
  <c r="F448" i="11" s="1"/>
  <c r="D447" i="11"/>
  <c r="F447" i="11" s="1"/>
  <c r="D446" i="11"/>
  <c r="F446" i="11" s="1"/>
  <c r="D445" i="11"/>
  <c r="F445" i="11" s="1"/>
  <c r="D444" i="11"/>
  <c r="F444" i="11" s="1"/>
  <c r="D443" i="11"/>
  <c r="F443" i="11" s="1"/>
  <c r="D442" i="11"/>
  <c r="F442" i="11" s="1"/>
  <c r="D441" i="11"/>
  <c r="F441" i="11" s="1"/>
  <c r="D440" i="11"/>
  <c r="F440" i="11" s="1"/>
  <c r="D439" i="11"/>
  <c r="F439" i="11" s="1"/>
  <c r="D438" i="11"/>
  <c r="F438" i="11" s="1"/>
  <c r="D437" i="11"/>
  <c r="F437" i="11" s="1"/>
  <c r="D436" i="11"/>
  <c r="F436" i="11" s="1"/>
  <c r="D435" i="11"/>
  <c r="F435" i="11" s="1"/>
  <c r="D434" i="11"/>
  <c r="F434" i="11" s="1"/>
  <c r="D433" i="11"/>
  <c r="F433" i="11" s="1"/>
  <c r="D432" i="11"/>
  <c r="F432" i="11" s="1"/>
  <c r="D431" i="11"/>
  <c r="F431" i="11" s="1"/>
  <c r="D430" i="11"/>
  <c r="F430" i="11" s="1"/>
  <c r="D429" i="11"/>
  <c r="F429" i="11" s="1"/>
  <c r="D428" i="11"/>
  <c r="F428" i="11" s="1"/>
  <c r="D427" i="11"/>
  <c r="F427" i="11" s="1"/>
  <c r="D426" i="11"/>
  <c r="D425" i="11"/>
  <c r="F425" i="11" s="1"/>
  <c r="D424" i="11"/>
  <c r="F424" i="11" s="1"/>
  <c r="D423" i="11"/>
  <c r="F423" i="11" s="1"/>
  <c r="D422" i="11"/>
  <c r="F422" i="11" s="1"/>
  <c r="D421" i="11"/>
  <c r="F421" i="11" s="1"/>
  <c r="D420" i="11"/>
  <c r="F420" i="11" s="1"/>
  <c r="D419" i="11"/>
  <c r="F419" i="11" s="1"/>
  <c r="D418" i="11"/>
  <c r="F418" i="11" s="1"/>
  <c r="D417" i="11"/>
  <c r="F417" i="11" s="1"/>
  <c r="D416" i="11"/>
  <c r="F416" i="11" s="1"/>
  <c r="D415" i="11"/>
  <c r="F415" i="11" s="1"/>
  <c r="D414" i="11"/>
  <c r="F414" i="11" s="1"/>
  <c r="D413" i="11"/>
  <c r="F413" i="11" s="1"/>
  <c r="D412" i="11"/>
  <c r="F412" i="11" s="1"/>
  <c r="D411" i="11"/>
  <c r="F411" i="11" s="1"/>
  <c r="D410" i="11"/>
  <c r="F410" i="11" s="1"/>
  <c r="D409" i="11"/>
  <c r="F409" i="11" s="1"/>
  <c r="D408" i="11"/>
  <c r="F408" i="11" s="1"/>
  <c r="D407" i="11"/>
  <c r="F407" i="11" s="1"/>
  <c r="D406" i="11"/>
  <c r="F406" i="11" s="1"/>
  <c r="D405" i="11"/>
  <c r="F405" i="11" s="1"/>
  <c r="D404" i="11"/>
  <c r="F404" i="11" s="1"/>
  <c r="D403" i="11"/>
  <c r="F403" i="11" s="1"/>
  <c r="D402" i="11"/>
  <c r="F402" i="11" s="1"/>
  <c r="D401" i="11"/>
  <c r="F401" i="11" s="1"/>
  <c r="D400" i="11"/>
  <c r="F400" i="11" s="1"/>
  <c r="D399" i="11"/>
  <c r="F399" i="11" s="1"/>
  <c r="D398" i="11"/>
  <c r="F398" i="11" s="1"/>
  <c r="D397" i="11"/>
  <c r="F397" i="11" s="1"/>
  <c r="D396" i="11"/>
  <c r="F396" i="11" s="1"/>
  <c r="D395" i="11"/>
  <c r="F395" i="11" s="1"/>
  <c r="D394" i="11"/>
  <c r="F394" i="11" s="1"/>
  <c r="D393" i="11"/>
  <c r="F393" i="11" s="1"/>
  <c r="D392" i="11"/>
  <c r="F392" i="11" s="1"/>
  <c r="D391" i="11"/>
  <c r="F391" i="11" s="1"/>
  <c r="D390" i="11"/>
  <c r="F390" i="11" s="1"/>
  <c r="D389" i="11"/>
  <c r="F389" i="11" s="1"/>
  <c r="D388" i="11"/>
  <c r="F388" i="11" s="1"/>
  <c r="D387" i="11"/>
  <c r="F387" i="11" s="1"/>
  <c r="D386" i="11"/>
  <c r="F386" i="11" s="1"/>
  <c r="D385" i="11"/>
  <c r="F385" i="11" s="1"/>
  <c r="D384" i="11"/>
  <c r="F384" i="11" s="1"/>
  <c r="D383" i="11"/>
  <c r="F383" i="11" s="1"/>
  <c r="D382" i="11"/>
  <c r="F382" i="11" s="1"/>
  <c r="D381" i="11"/>
  <c r="F381" i="11" s="1"/>
  <c r="D380" i="11"/>
  <c r="F380" i="11" s="1"/>
  <c r="D379" i="11"/>
  <c r="F379" i="11" s="1"/>
  <c r="D378" i="11"/>
  <c r="F378" i="11" s="1"/>
  <c r="D377" i="11"/>
  <c r="F377" i="11" s="1"/>
  <c r="D376" i="11"/>
  <c r="F376" i="11" s="1"/>
  <c r="D375" i="11"/>
  <c r="F375" i="11" s="1"/>
  <c r="D374" i="11"/>
  <c r="F374" i="11" s="1"/>
  <c r="D373" i="11"/>
  <c r="F373" i="11" s="1"/>
  <c r="D372" i="11"/>
  <c r="F372" i="11" s="1"/>
  <c r="D371" i="11"/>
  <c r="F371" i="11" s="1"/>
  <c r="D370" i="11"/>
  <c r="F370" i="11" s="1"/>
  <c r="D369" i="11"/>
  <c r="F369" i="11" s="1"/>
  <c r="D368" i="11"/>
  <c r="F368" i="11" s="1"/>
  <c r="D367" i="11"/>
  <c r="F367" i="11" s="1"/>
  <c r="D366" i="11"/>
  <c r="D365" i="11"/>
  <c r="F365" i="11" s="1"/>
  <c r="D364" i="11"/>
  <c r="F364" i="11" s="1"/>
  <c r="D363" i="11"/>
  <c r="F363" i="11" s="1"/>
  <c r="D362" i="11"/>
  <c r="F362" i="11" s="1"/>
  <c r="D361" i="11"/>
  <c r="F361" i="11" s="1"/>
  <c r="D360" i="11"/>
  <c r="F360" i="11" s="1"/>
  <c r="D359" i="11"/>
  <c r="F359" i="11" s="1"/>
  <c r="D358" i="11"/>
  <c r="F358" i="11" s="1"/>
  <c r="D357" i="11"/>
  <c r="F357" i="11" s="1"/>
  <c r="D356" i="11"/>
  <c r="F356" i="11" s="1"/>
  <c r="D355" i="11"/>
  <c r="F355" i="11" s="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F349" i="11" s="1"/>
  <c r="D348" i="11"/>
  <c r="F348" i="11" s="1"/>
  <c r="D347" i="11"/>
  <c r="F347" i="11" s="1"/>
  <c r="D346" i="11"/>
  <c r="F346" i="11" s="1"/>
  <c r="D345" i="11"/>
  <c r="F345" i="11" s="1"/>
  <c r="D344" i="11"/>
  <c r="F344" i="11" s="1"/>
  <c r="D343" i="11"/>
  <c r="F343" i="11" s="1"/>
  <c r="D342" i="11"/>
  <c r="F342" i="11" s="1"/>
  <c r="D341" i="11"/>
  <c r="F341" i="11" s="1"/>
  <c r="D340" i="11"/>
  <c r="F340" i="11" s="1"/>
  <c r="D339" i="11"/>
  <c r="F339" i="11" s="1"/>
  <c r="D338" i="11"/>
  <c r="F338" i="11" s="1"/>
  <c r="D337" i="11"/>
  <c r="F337" i="11" s="1"/>
  <c r="D336" i="11"/>
  <c r="F336" i="11" s="1"/>
  <c r="D335" i="11"/>
  <c r="F335" i="11" s="1"/>
  <c r="D334" i="11"/>
  <c r="F334" i="11" s="1"/>
  <c r="D333" i="11"/>
  <c r="F333" i="11" s="1"/>
  <c r="D332" i="11"/>
  <c r="F332" i="11" s="1"/>
  <c r="D331" i="11"/>
  <c r="F331" i="11" s="1"/>
  <c r="D330" i="11"/>
  <c r="F330" i="11" s="1"/>
  <c r="D329" i="11"/>
  <c r="F329" i="11" s="1"/>
  <c r="D328" i="11"/>
  <c r="F328" i="11" s="1"/>
  <c r="D327" i="11"/>
  <c r="F327" i="11" s="1"/>
  <c r="D326" i="11"/>
  <c r="F326" i="11" s="1"/>
  <c r="D325" i="11"/>
  <c r="F325" i="11" s="1"/>
  <c r="D324" i="11"/>
  <c r="F324" i="11" s="1"/>
  <c r="D323" i="11"/>
  <c r="F323" i="11" s="1"/>
  <c r="D322" i="11"/>
  <c r="F322" i="11" s="1"/>
  <c r="D321" i="11"/>
  <c r="F321" i="11" s="1"/>
  <c r="D320" i="11"/>
  <c r="F320" i="11" s="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F312" i="11" s="1"/>
  <c r="D311" i="11"/>
  <c r="F311" i="11" s="1"/>
  <c r="D310" i="11"/>
  <c r="F310" i="11" s="1"/>
  <c r="D309" i="11"/>
  <c r="D308" i="11"/>
  <c r="F308" i="11" s="1"/>
  <c r="D307" i="11"/>
  <c r="F307" i="11" s="1"/>
  <c r="D306" i="11"/>
  <c r="F306" i="11" s="1"/>
  <c r="D305" i="11"/>
  <c r="F305" i="11" s="1"/>
  <c r="D304" i="11"/>
  <c r="F304" i="11" s="1"/>
  <c r="D303" i="11"/>
  <c r="F303" i="11" s="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F297" i="11" s="1"/>
  <c r="D296" i="11"/>
  <c r="F296" i="11" s="1"/>
  <c r="D295" i="11"/>
  <c r="F295" i="11" s="1"/>
  <c r="D294" i="11"/>
  <c r="F294" i="11" s="1"/>
  <c r="D293" i="11"/>
  <c r="F293" i="11" s="1"/>
  <c r="D292" i="11"/>
  <c r="F292" i="11" s="1"/>
  <c r="D291" i="11"/>
  <c r="F291" i="11" s="1"/>
  <c r="D290" i="11"/>
  <c r="F290" i="11" s="1"/>
  <c r="D289" i="11"/>
  <c r="F289" i="11" s="1"/>
  <c r="D288" i="11"/>
  <c r="F288" i="11" s="1"/>
  <c r="D287" i="11"/>
  <c r="F287" i="11" s="1"/>
  <c r="D286" i="11"/>
  <c r="F286" i="11" s="1"/>
  <c r="D285" i="11"/>
  <c r="F285" i="11" s="1"/>
  <c r="D284" i="11"/>
  <c r="F284" i="11" s="1"/>
  <c r="D283" i="11"/>
  <c r="F283" i="11" s="1"/>
  <c r="D282" i="11"/>
  <c r="F282" i="11" s="1"/>
  <c r="D281" i="11"/>
  <c r="F281" i="11" s="1"/>
  <c r="D280" i="11"/>
  <c r="F280" i="11" s="1"/>
  <c r="D279" i="11"/>
  <c r="F279" i="11" s="1"/>
  <c r="D278" i="11"/>
  <c r="F278" i="11" s="1"/>
  <c r="D277" i="11"/>
  <c r="F277" i="11" s="1"/>
  <c r="D276" i="11"/>
  <c r="F276" i="11" s="1"/>
  <c r="D275" i="11"/>
  <c r="F275" i="11" s="1"/>
  <c r="D274" i="11"/>
  <c r="F274" i="11" s="1"/>
  <c r="D273" i="11"/>
  <c r="F273" i="11" s="1"/>
  <c r="D272" i="11"/>
  <c r="F272" i="11" s="1"/>
  <c r="D271" i="11"/>
  <c r="F271" i="11" s="1"/>
  <c r="D270" i="11"/>
  <c r="F270" i="11" s="1"/>
  <c r="D269" i="11"/>
  <c r="F269" i="11" s="1"/>
  <c r="D268" i="11"/>
  <c r="F268" i="11" s="1"/>
  <c r="D267" i="11"/>
  <c r="F267" i="11" s="1"/>
  <c r="D266" i="11"/>
  <c r="F266" i="11" s="1"/>
  <c r="D265" i="11"/>
  <c r="F265" i="11" s="1"/>
  <c r="D264" i="11"/>
  <c r="F264" i="11" s="1"/>
  <c r="D263" i="11"/>
  <c r="F263" i="11" s="1"/>
  <c r="D262" i="11"/>
  <c r="F262" i="11" s="1"/>
  <c r="D261" i="11"/>
  <c r="F261" i="11" s="1"/>
  <c r="D260" i="11"/>
  <c r="F260" i="11" s="1"/>
  <c r="D259" i="11"/>
  <c r="F259" i="11" s="1"/>
  <c r="D258" i="11"/>
  <c r="F258" i="11" s="1"/>
  <c r="D257" i="11"/>
  <c r="F257" i="11" s="1"/>
  <c r="D256" i="11"/>
  <c r="F256" i="11" s="1"/>
  <c r="D255" i="11"/>
  <c r="F255" i="11" s="1"/>
  <c r="D254" i="11"/>
  <c r="F254" i="11" s="1"/>
  <c r="D253" i="11"/>
  <c r="F253" i="11" s="1"/>
  <c r="D252" i="11"/>
  <c r="F252" i="11" s="1"/>
  <c r="D251" i="11"/>
  <c r="F251" i="11" s="1"/>
  <c r="D250" i="11"/>
  <c r="F250" i="11" s="1"/>
  <c r="D249" i="11"/>
  <c r="D248" i="11"/>
  <c r="F248" i="11" s="1"/>
  <c r="D247" i="11"/>
  <c r="F247" i="11" s="1"/>
  <c r="D246" i="11"/>
  <c r="F246" i="11" s="1"/>
  <c r="D245" i="11"/>
  <c r="F245" i="11" s="1"/>
  <c r="D244" i="11"/>
  <c r="F244" i="11" s="1"/>
  <c r="D243" i="11"/>
  <c r="F243" i="11" s="1"/>
  <c r="D242" i="11"/>
  <c r="F242" i="11" s="1"/>
  <c r="D241" i="11"/>
  <c r="F241" i="11" s="1"/>
  <c r="D240" i="11"/>
  <c r="F240" i="11" s="1"/>
  <c r="D239" i="11"/>
  <c r="F239" i="11" s="1"/>
  <c r="D238" i="11"/>
  <c r="F238" i="11" s="1"/>
  <c r="D237" i="11"/>
  <c r="F237" i="11" s="1"/>
  <c r="D236" i="11"/>
  <c r="F236" i="11" s="1"/>
  <c r="D235" i="11"/>
  <c r="F235" i="11" s="1"/>
  <c r="D234" i="11"/>
  <c r="F234" i="11" s="1"/>
  <c r="D233" i="11"/>
  <c r="F233" i="11" s="1"/>
  <c r="D232" i="11"/>
  <c r="F232" i="11" s="1"/>
  <c r="D231" i="11"/>
  <c r="F231" i="11" s="1"/>
  <c r="D230" i="11"/>
  <c r="F230" i="11" s="1"/>
  <c r="D229" i="11"/>
  <c r="F229" i="11" s="1"/>
  <c r="D228" i="11"/>
  <c r="F228" i="11" s="1"/>
  <c r="D227" i="11"/>
  <c r="F227" i="11" s="1"/>
  <c r="D226" i="11"/>
  <c r="F226" i="11" s="1"/>
  <c r="D225" i="11"/>
  <c r="F225" i="11" s="1"/>
  <c r="D224" i="11"/>
  <c r="F224" i="11" s="1"/>
  <c r="D223" i="11"/>
  <c r="F223" i="11" s="1"/>
  <c r="D222" i="11"/>
  <c r="F222" i="11" s="1"/>
  <c r="D221" i="11"/>
  <c r="F221" i="11" s="1"/>
  <c r="D220" i="11"/>
  <c r="F220" i="11" s="1"/>
  <c r="D219" i="11"/>
  <c r="D218" i="11"/>
  <c r="F218" i="11" s="1"/>
  <c r="D217" i="11"/>
  <c r="F217" i="11" s="1"/>
  <c r="D216" i="11"/>
  <c r="F216" i="11" s="1"/>
  <c r="D215" i="11"/>
  <c r="F215" i="11" s="1"/>
  <c r="D214" i="11"/>
  <c r="F214" i="11" s="1"/>
  <c r="D213" i="11"/>
  <c r="F213" i="11" s="1"/>
  <c r="D212" i="11"/>
  <c r="F212" i="11" s="1"/>
  <c r="D211" i="11"/>
  <c r="D210" i="11"/>
  <c r="F210" i="11" s="1"/>
  <c r="D209" i="11"/>
  <c r="F209" i="11" s="1"/>
  <c r="D208" i="11"/>
  <c r="F208" i="11" s="1"/>
  <c r="D207" i="11"/>
  <c r="D206" i="11"/>
  <c r="F206" i="11" s="1"/>
  <c r="D205" i="11"/>
  <c r="F205" i="11" s="1"/>
  <c r="D204" i="11"/>
  <c r="F204" i="11" s="1"/>
  <c r="D203" i="11"/>
  <c r="F203" i="11" s="1"/>
  <c r="D202" i="11"/>
  <c r="F202" i="11" s="1"/>
  <c r="D201" i="11"/>
  <c r="F201" i="11" s="1"/>
  <c r="D200" i="11"/>
  <c r="F200" i="11" s="1"/>
  <c r="D199" i="11"/>
  <c r="D198" i="11"/>
  <c r="D197" i="11"/>
  <c r="F197" i="11" s="1"/>
  <c r="D196" i="11"/>
  <c r="F196" i="11" s="1"/>
  <c r="D195" i="11"/>
  <c r="F195" i="11" s="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D186" i="11"/>
  <c r="F186" i="11" s="1"/>
  <c r="D185" i="11"/>
  <c r="F185" i="11" s="1"/>
  <c r="D184" i="11"/>
  <c r="F184" i="11" s="1"/>
  <c r="D183" i="11"/>
  <c r="F183" i="11" s="1"/>
  <c r="D182" i="11"/>
  <c r="F182" i="11" s="1"/>
  <c r="D181" i="11"/>
  <c r="F181" i="11" s="1"/>
  <c r="D180" i="11"/>
  <c r="F180" i="11" s="1"/>
  <c r="D179" i="11"/>
  <c r="D178" i="11"/>
  <c r="F178" i="11" s="1"/>
  <c r="D177" i="11"/>
  <c r="F177" i="11" s="1"/>
  <c r="D176" i="11"/>
  <c r="F176" i="11" s="1"/>
  <c r="D175" i="1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F169" i="11" s="1"/>
  <c r="D168" i="11"/>
  <c r="F168" i="11" s="1"/>
  <c r="D167" i="11"/>
  <c r="D166" i="11"/>
  <c r="D165" i="11"/>
  <c r="F165" i="11" s="1"/>
  <c r="D164" i="11"/>
  <c r="F164" i="11" s="1"/>
  <c r="D163" i="11"/>
  <c r="F163" i="11" s="1"/>
  <c r="D162" i="11"/>
  <c r="F162" i="11" s="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D154" i="11"/>
  <c r="F154" i="11" s="1"/>
  <c r="D153" i="11"/>
  <c r="F153" i="11" s="1"/>
  <c r="D152" i="11"/>
  <c r="F152" i="11" s="1"/>
  <c r="D151" i="11"/>
  <c r="F151" i="11" s="1"/>
  <c r="D150" i="11"/>
  <c r="F150" i="11" s="1"/>
  <c r="D149" i="11"/>
  <c r="F149" i="11" s="1"/>
  <c r="D148" i="11"/>
  <c r="F148" i="11" s="1"/>
  <c r="D147" i="11"/>
  <c r="D146" i="11"/>
  <c r="F146" i="11" s="1"/>
  <c r="D145" i="11"/>
  <c r="F145" i="11" s="1"/>
  <c r="D144" i="11"/>
  <c r="F144" i="11" s="1"/>
  <c r="D143" i="1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34" i="11"/>
  <c r="D133" i="11"/>
  <c r="F133" i="11" s="1"/>
  <c r="D132" i="11"/>
  <c r="F132" i="11" s="1"/>
  <c r="D131" i="11"/>
  <c r="F131" i="11" s="1"/>
  <c r="D130" i="11"/>
  <c r="F130" i="11" s="1"/>
  <c r="D129" i="11"/>
  <c r="F129" i="11" s="1"/>
  <c r="D128" i="11"/>
  <c r="F128" i="11" s="1"/>
  <c r="D127" i="11"/>
  <c r="F127" i="11" s="1"/>
  <c r="D126" i="11"/>
  <c r="F126" i="11" s="1"/>
  <c r="D125" i="11"/>
  <c r="F125" i="11" s="1"/>
  <c r="D124" i="11"/>
  <c r="F124" i="11" s="1"/>
  <c r="D123" i="11"/>
  <c r="D122" i="11"/>
  <c r="F122" i="11" s="1"/>
  <c r="D121" i="11"/>
  <c r="F121" i="11" s="1"/>
  <c r="D120" i="11"/>
  <c r="F120" i="11" s="1"/>
  <c r="D119" i="11"/>
  <c r="F119" i="11" s="1"/>
  <c r="D118" i="11"/>
  <c r="F118" i="11" s="1"/>
  <c r="D117" i="11"/>
  <c r="F117" i="11" s="1"/>
  <c r="D116" i="11"/>
  <c r="F116" i="11" s="1"/>
  <c r="D115" i="11"/>
  <c r="D114" i="11"/>
  <c r="F114" i="11" s="1"/>
  <c r="D113" i="11"/>
  <c r="F113" i="11" s="1"/>
  <c r="D112" i="11"/>
  <c r="F112" i="11" s="1"/>
  <c r="D111" i="11"/>
  <c r="D110" i="11"/>
  <c r="F110" i="11" s="1"/>
  <c r="D109" i="11"/>
  <c r="F109" i="11" s="1"/>
  <c r="D108" i="11"/>
  <c r="F108" i="11" s="1"/>
  <c r="D107" i="11"/>
  <c r="F107" i="11" s="1"/>
  <c r="D106" i="11"/>
  <c r="F106" i="11" s="1"/>
  <c r="D105" i="11"/>
  <c r="D104" i="11"/>
  <c r="F104" i="11" s="1"/>
  <c r="D103" i="11"/>
  <c r="D102" i="11"/>
  <c r="F102" i="11" s="1"/>
  <c r="D101" i="11"/>
  <c r="F101" i="11" s="1"/>
  <c r="D100" i="11"/>
  <c r="F100" i="11" s="1"/>
  <c r="D99" i="11"/>
  <c r="F99" i="11" s="1"/>
  <c r="D98" i="11"/>
  <c r="F98" i="11" s="1"/>
  <c r="D97" i="11"/>
  <c r="F97" i="11" s="1"/>
  <c r="D96" i="11"/>
  <c r="F96" i="11" s="1"/>
  <c r="D95" i="11"/>
  <c r="D94" i="11"/>
  <c r="F94" i="11" s="1"/>
  <c r="D93" i="11"/>
  <c r="F93" i="11" s="1"/>
  <c r="D92" i="11"/>
  <c r="F92" i="11" s="1"/>
  <c r="D91" i="11"/>
  <c r="D90" i="11"/>
  <c r="F90" i="11" s="1"/>
  <c r="D89" i="11"/>
  <c r="D88" i="11"/>
  <c r="F88" i="11" s="1"/>
  <c r="D87" i="11"/>
  <c r="D86" i="11"/>
  <c r="F86" i="11" s="1"/>
  <c r="D85" i="11"/>
  <c r="F85" i="11" s="1"/>
  <c r="D84" i="11"/>
  <c r="F84" i="11" s="1"/>
  <c r="D83" i="11"/>
  <c r="D82" i="11"/>
  <c r="F82" i="11" s="1"/>
  <c r="D81" i="11"/>
  <c r="F81" i="11" s="1"/>
  <c r="D80" i="11"/>
  <c r="F80" i="11" s="1"/>
  <c r="D79" i="11"/>
  <c r="F79" i="11" s="1"/>
  <c r="D78" i="11"/>
  <c r="F78" i="11" s="1"/>
  <c r="D77" i="11"/>
  <c r="F77" i="11" s="1"/>
  <c r="D76" i="11"/>
  <c r="F76" i="11" s="1"/>
  <c r="D75" i="11"/>
  <c r="D74" i="11"/>
  <c r="F74" i="11" s="1"/>
  <c r="D73" i="11"/>
  <c r="F73" i="11" s="1"/>
  <c r="D72" i="11"/>
  <c r="F72" i="11" s="1"/>
  <c r="D71" i="11"/>
  <c r="D70" i="11"/>
  <c r="F70" i="11" s="1"/>
  <c r="D69" i="11"/>
  <c r="F69" i="11" s="1"/>
  <c r="D68" i="11"/>
  <c r="F68" i="11" s="1"/>
  <c r="D67" i="11"/>
  <c r="F67" i="11" s="1"/>
  <c r="D66" i="11"/>
  <c r="F66" i="11" s="1"/>
  <c r="D65" i="11"/>
  <c r="F65" i="11" s="1"/>
  <c r="D64" i="11"/>
  <c r="F64" i="11" s="1"/>
  <c r="D63" i="11"/>
  <c r="D62" i="11"/>
  <c r="F62" i="11" s="1"/>
  <c r="D61" i="11"/>
  <c r="F61" i="11" s="1"/>
  <c r="D60" i="11"/>
  <c r="F60" i="11" s="1"/>
  <c r="D59" i="11"/>
  <c r="F59" i="11" s="1"/>
  <c r="D58" i="11"/>
  <c r="F58" i="11" s="1"/>
  <c r="D57" i="11"/>
  <c r="F57" i="11" s="1"/>
  <c r="D56" i="11"/>
  <c r="F56" i="11" s="1"/>
  <c r="D55" i="11"/>
  <c r="D54" i="11"/>
  <c r="F54" i="11" s="1"/>
  <c r="D53" i="11"/>
  <c r="F53" i="11" s="1"/>
  <c r="D52" i="11"/>
  <c r="F52" i="11" s="1"/>
  <c r="D51" i="11"/>
  <c r="F51" i="11" s="1"/>
  <c r="D50" i="11"/>
  <c r="F50" i="11" s="1"/>
  <c r="D49" i="11"/>
  <c r="F49" i="11" s="1"/>
  <c r="D48" i="11"/>
  <c r="F48" i="11" s="1"/>
  <c r="D47" i="11"/>
  <c r="D46" i="11"/>
  <c r="F46" i="11" s="1"/>
  <c r="D45" i="11"/>
  <c r="F45" i="11" s="1"/>
  <c r="D44" i="11"/>
  <c r="F44" i="11" s="1"/>
  <c r="D43" i="11"/>
  <c r="F43" i="11" s="1"/>
  <c r="D42" i="11"/>
  <c r="F42" i="11" s="1"/>
  <c r="D41" i="11"/>
  <c r="F41" i="11" s="1"/>
  <c r="D40" i="11"/>
  <c r="F40" i="11" s="1"/>
  <c r="D39" i="11"/>
  <c r="F39" i="11" s="1"/>
  <c r="D38" i="11"/>
  <c r="F38" i="11" s="1"/>
  <c r="D37" i="11"/>
  <c r="F37" i="11" s="1"/>
  <c r="D36" i="11"/>
  <c r="F36" i="11" s="1"/>
  <c r="D35" i="11"/>
  <c r="D34" i="11"/>
  <c r="F34" i="11" s="1"/>
  <c r="D33" i="11"/>
  <c r="F33" i="11" s="1"/>
  <c r="D32" i="11"/>
  <c r="F32" i="11" s="1"/>
  <c r="D31" i="11"/>
  <c r="D30" i="11"/>
  <c r="F30" i="11" s="1"/>
  <c r="D29" i="11"/>
  <c r="D28" i="11"/>
  <c r="F28" i="11" s="1"/>
  <c r="D27" i="11"/>
  <c r="F27" i="11" s="1"/>
  <c r="D26" i="11"/>
  <c r="F26" i="11" s="1"/>
  <c r="D25" i="11"/>
  <c r="F25" i="11" s="1"/>
  <c r="D24" i="11"/>
  <c r="F24" i="11" s="1"/>
  <c r="D23" i="11"/>
  <c r="D22" i="11"/>
  <c r="F22" i="11" s="1"/>
  <c r="D21" i="11"/>
  <c r="F21" i="11" s="1"/>
  <c r="D20" i="11"/>
  <c r="F20" i="11" s="1"/>
  <c r="D19" i="11"/>
  <c r="F19" i="11" s="1"/>
  <c r="D18" i="11"/>
  <c r="F18" i="11" s="1"/>
  <c r="D17" i="11"/>
  <c r="F17" i="11" s="1"/>
  <c r="D16" i="11"/>
  <c r="F16" i="11" s="1"/>
  <c r="D15" i="11"/>
  <c r="D14" i="11"/>
  <c r="F14" i="11" s="1"/>
  <c r="D13" i="11"/>
  <c r="F13" i="11" s="1"/>
  <c r="D12" i="11"/>
  <c r="F12" i="11" s="1"/>
  <c r="D11" i="11"/>
  <c r="F11" i="11" s="1"/>
  <c r="D10" i="11"/>
  <c r="F10" i="11" s="1"/>
  <c r="D9" i="11"/>
  <c r="F9" i="11" s="1"/>
  <c r="D8" i="11"/>
  <c r="F8" i="11" s="1"/>
  <c r="D7" i="11"/>
  <c r="D6" i="11"/>
  <c r="D5" i="11"/>
  <c r="F5" i="11" s="1"/>
  <c r="D4" i="11"/>
  <c r="F4" i="11" s="1"/>
  <c r="D3" i="11"/>
  <c r="F3" i="11" s="1"/>
  <c r="D2" i="11"/>
  <c r="F2" i="11" s="1"/>
  <c r="F513" i="11"/>
  <c r="F512" i="11"/>
  <c r="F507" i="11"/>
  <c r="F502" i="11"/>
  <c r="F501" i="11"/>
  <c r="F426" i="11"/>
  <c r="F366" i="11"/>
  <c r="F309" i="11"/>
  <c r="F249" i="11"/>
  <c r="F219" i="11"/>
  <c r="F211" i="11"/>
  <c r="F207" i="11"/>
  <c r="F199" i="11"/>
  <c r="F198" i="11"/>
  <c r="F187" i="11"/>
  <c r="F179" i="11"/>
  <c r="F175" i="11"/>
  <c r="F167" i="11"/>
  <c r="F166" i="11"/>
  <c r="F155" i="11"/>
  <c r="F147" i="11"/>
  <c r="F143" i="11"/>
  <c r="F135" i="11"/>
  <c r="F134" i="11"/>
  <c r="F123" i="11"/>
  <c r="F115" i="11"/>
  <c r="F111" i="11"/>
  <c r="F105" i="11"/>
  <c r="F103" i="11"/>
  <c r="F95" i="11"/>
  <c r="F91" i="11"/>
  <c r="F89" i="11"/>
  <c r="F87" i="11"/>
  <c r="F83" i="11"/>
  <c r="F75" i="11"/>
  <c r="F71" i="11"/>
  <c r="F63" i="11"/>
  <c r="F55" i="11"/>
  <c r="F47" i="11"/>
  <c r="F35" i="11"/>
  <c r="F31" i="11"/>
  <c r="F29" i="11"/>
  <c r="F23" i="11"/>
  <c r="F15" i="11"/>
  <c r="F7" i="11"/>
  <c r="F6" i="11"/>
  <c r="C513" i="11"/>
  <c r="E513" i="11" s="1"/>
  <c r="C512" i="11"/>
  <c r="E512" i="11" s="1"/>
  <c r="C511" i="11"/>
  <c r="E511" i="11" s="1"/>
  <c r="C510" i="11"/>
  <c r="E510" i="11" s="1"/>
  <c r="C509" i="11"/>
  <c r="E509" i="11" s="1"/>
  <c r="C508" i="11"/>
  <c r="E508" i="11" s="1"/>
  <c r="C507" i="11"/>
  <c r="E507" i="11" s="1"/>
  <c r="C506" i="11"/>
  <c r="E506" i="11" s="1"/>
  <c r="C505" i="11"/>
  <c r="E505" i="11" s="1"/>
  <c r="C504" i="11"/>
  <c r="E504" i="11" s="1"/>
  <c r="C503" i="11"/>
  <c r="E503" i="11" s="1"/>
  <c r="C502" i="11"/>
  <c r="E502" i="11" s="1"/>
  <c r="C501" i="11"/>
  <c r="E501" i="11" s="1"/>
  <c r="C500" i="11"/>
  <c r="E500" i="11" s="1"/>
  <c r="C499" i="11"/>
  <c r="E499" i="11" s="1"/>
  <c r="C498" i="11"/>
  <c r="E498" i="11" s="1"/>
  <c r="C497" i="11"/>
  <c r="E497" i="11" s="1"/>
  <c r="C496" i="11"/>
  <c r="E496" i="11" s="1"/>
  <c r="C495" i="11"/>
  <c r="E495" i="11" s="1"/>
  <c r="C494" i="11"/>
  <c r="E494" i="11" s="1"/>
  <c r="C493" i="11"/>
  <c r="E493" i="11" s="1"/>
  <c r="C492" i="11"/>
  <c r="E492" i="11" s="1"/>
  <c r="C491" i="11"/>
  <c r="E491" i="11" s="1"/>
  <c r="C490" i="11"/>
  <c r="E490" i="11" s="1"/>
  <c r="C489" i="11"/>
  <c r="E489" i="11" s="1"/>
  <c r="C488" i="11"/>
  <c r="E488" i="11" s="1"/>
  <c r="C487" i="11"/>
  <c r="E487" i="11" s="1"/>
  <c r="C486" i="11"/>
  <c r="E486" i="11" s="1"/>
  <c r="C485" i="11"/>
  <c r="E485" i="11" s="1"/>
  <c r="C484" i="11"/>
  <c r="E484" i="11" s="1"/>
  <c r="C483" i="11"/>
  <c r="E483" i="11" s="1"/>
  <c r="C482" i="11"/>
  <c r="E482" i="11" s="1"/>
  <c r="C481" i="11"/>
  <c r="E481" i="11" s="1"/>
  <c r="C480" i="11"/>
  <c r="E480" i="11" s="1"/>
  <c r="C479" i="11"/>
  <c r="E479" i="11" s="1"/>
  <c r="C478" i="11"/>
  <c r="E478" i="11" s="1"/>
  <c r="C477" i="11"/>
  <c r="E477" i="11" s="1"/>
  <c r="C476" i="11"/>
  <c r="E476" i="11" s="1"/>
  <c r="C475" i="11"/>
  <c r="E475" i="11" s="1"/>
  <c r="C474" i="11"/>
  <c r="E474" i="11" s="1"/>
  <c r="C473" i="11"/>
  <c r="E473" i="11" s="1"/>
  <c r="C472" i="11"/>
  <c r="E472" i="11" s="1"/>
  <c r="C471" i="11"/>
  <c r="E471" i="11" s="1"/>
  <c r="C470" i="11"/>
  <c r="E470" i="11" s="1"/>
  <c r="C469" i="11"/>
  <c r="E469" i="11" s="1"/>
  <c r="C468" i="11"/>
  <c r="E468" i="11" s="1"/>
  <c r="C467" i="11"/>
  <c r="E467" i="11" s="1"/>
  <c r="C466" i="11"/>
  <c r="E466" i="11" s="1"/>
  <c r="C465" i="11"/>
  <c r="E465" i="11" s="1"/>
  <c r="C464" i="11"/>
  <c r="E464" i="11" s="1"/>
  <c r="C463" i="11"/>
  <c r="E463" i="11" s="1"/>
  <c r="C462" i="11"/>
  <c r="E462" i="11" s="1"/>
  <c r="C461" i="11"/>
  <c r="E461" i="11" s="1"/>
  <c r="C460" i="11"/>
  <c r="E460" i="11" s="1"/>
  <c r="C459" i="11"/>
  <c r="E459" i="11" s="1"/>
  <c r="C458" i="11"/>
  <c r="E458" i="11" s="1"/>
  <c r="C457" i="11"/>
  <c r="E457" i="11" s="1"/>
  <c r="C456" i="11"/>
  <c r="E456" i="11" s="1"/>
  <c r="C455" i="11"/>
  <c r="E455" i="11" s="1"/>
  <c r="C454" i="11"/>
  <c r="E454" i="11" s="1"/>
  <c r="C453" i="11"/>
  <c r="E453" i="11" s="1"/>
  <c r="C452" i="11"/>
  <c r="E452" i="11" s="1"/>
  <c r="C451" i="11"/>
  <c r="E451" i="11" s="1"/>
  <c r="C450" i="11"/>
  <c r="E450" i="11" s="1"/>
  <c r="C449" i="11"/>
  <c r="E449" i="11" s="1"/>
  <c r="C448" i="11"/>
  <c r="E448" i="11" s="1"/>
  <c r="C447" i="11"/>
  <c r="E447" i="11" s="1"/>
  <c r="C446" i="11"/>
  <c r="E446" i="11" s="1"/>
  <c r="C445" i="11"/>
  <c r="E445" i="11" s="1"/>
  <c r="C444" i="11"/>
  <c r="E444" i="11" s="1"/>
  <c r="C443" i="11"/>
  <c r="E443" i="11" s="1"/>
  <c r="C442" i="11"/>
  <c r="E442" i="11" s="1"/>
  <c r="C441" i="11"/>
  <c r="E441" i="11" s="1"/>
  <c r="C440" i="11"/>
  <c r="E440" i="11" s="1"/>
  <c r="C439" i="11"/>
  <c r="E439" i="11" s="1"/>
  <c r="C438" i="11"/>
  <c r="E438" i="11" s="1"/>
  <c r="C437" i="11"/>
  <c r="E437" i="11" s="1"/>
  <c r="C436" i="11"/>
  <c r="E436" i="11" s="1"/>
  <c r="C435" i="11"/>
  <c r="E435" i="11" s="1"/>
  <c r="C434" i="11"/>
  <c r="E434" i="11" s="1"/>
  <c r="C433" i="11"/>
  <c r="E433" i="11" s="1"/>
  <c r="C432" i="11"/>
  <c r="E432" i="11" s="1"/>
  <c r="C431" i="11"/>
  <c r="E431" i="11" s="1"/>
  <c r="C430" i="11"/>
  <c r="E430" i="11" s="1"/>
  <c r="C429" i="11"/>
  <c r="E429" i="11" s="1"/>
  <c r="C428" i="11"/>
  <c r="E428" i="11" s="1"/>
  <c r="C427" i="11"/>
  <c r="E427" i="11" s="1"/>
  <c r="C426" i="11"/>
  <c r="E426" i="11" s="1"/>
  <c r="C425" i="11"/>
  <c r="E425" i="11" s="1"/>
  <c r="C424" i="11"/>
  <c r="E424" i="11" s="1"/>
  <c r="C423" i="11"/>
  <c r="E423" i="11" s="1"/>
  <c r="C422" i="11"/>
  <c r="E422" i="11" s="1"/>
  <c r="C421" i="11"/>
  <c r="E421" i="11" s="1"/>
  <c r="C420" i="11"/>
  <c r="E420" i="11" s="1"/>
  <c r="C419" i="11"/>
  <c r="E419" i="11" s="1"/>
  <c r="C418" i="11"/>
  <c r="E418" i="11" s="1"/>
  <c r="C417" i="11"/>
  <c r="E417" i="11" s="1"/>
  <c r="C416" i="11"/>
  <c r="E416" i="11" s="1"/>
  <c r="C415" i="11"/>
  <c r="E415" i="11" s="1"/>
  <c r="C414" i="11"/>
  <c r="E414" i="11" s="1"/>
  <c r="C413" i="11"/>
  <c r="E413" i="11" s="1"/>
  <c r="C412" i="11"/>
  <c r="E412" i="11" s="1"/>
  <c r="C411" i="11"/>
  <c r="E411" i="11" s="1"/>
  <c r="C410" i="11"/>
  <c r="E410" i="11" s="1"/>
  <c r="C409" i="11"/>
  <c r="E409" i="11" s="1"/>
  <c r="C408" i="11"/>
  <c r="E408" i="11" s="1"/>
  <c r="C407" i="11"/>
  <c r="E407" i="11" s="1"/>
  <c r="C406" i="11"/>
  <c r="E406" i="11" s="1"/>
  <c r="C405" i="11"/>
  <c r="E405" i="11" s="1"/>
  <c r="C404" i="11"/>
  <c r="E404" i="11" s="1"/>
  <c r="C403" i="11"/>
  <c r="E403" i="11" s="1"/>
  <c r="C402" i="11"/>
  <c r="E402" i="11" s="1"/>
  <c r="C401" i="11"/>
  <c r="E401" i="11" s="1"/>
  <c r="C400" i="11"/>
  <c r="E400" i="11" s="1"/>
  <c r="C399" i="11"/>
  <c r="E399" i="11" s="1"/>
  <c r="C398" i="11"/>
  <c r="E398" i="11" s="1"/>
  <c r="C397" i="11"/>
  <c r="E397" i="11" s="1"/>
  <c r="C396" i="11"/>
  <c r="E396" i="11" s="1"/>
  <c r="C395" i="11"/>
  <c r="E395" i="11" s="1"/>
  <c r="C394" i="11"/>
  <c r="E394" i="11" s="1"/>
  <c r="C393" i="11"/>
  <c r="E393" i="11" s="1"/>
  <c r="C392" i="11"/>
  <c r="E392" i="11" s="1"/>
  <c r="C391" i="11"/>
  <c r="E391" i="11" s="1"/>
  <c r="C390" i="11"/>
  <c r="E390" i="11" s="1"/>
  <c r="C389" i="11"/>
  <c r="E389" i="11" s="1"/>
  <c r="C388" i="11"/>
  <c r="E388" i="11" s="1"/>
  <c r="C387" i="11"/>
  <c r="E387" i="11" s="1"/>
  <c r="C386" i="11"/>
  <c r="E386" i="11" s="1"/>
  <c r="C385" i="11"/>
  <c r="E385" i="11" s="1"/>
  <c r="C384" i="11"/>
  <c r="E384" i="11" s="1"/>
  <c r="C383" i="11"/>
  <c r="E383" i="11" s="1"/>
  <c r="C382" i="11"/>
  <c r="E382" i="11" s="1"/>
  <c r="C381" i="11"/>
  <c r="E381" i="11" s="1"/>
  <c r="C380" i="11"/>
  <c r="E380" i="11" s="1"/>
  <c r="C379" i="11"/>
  <c r="E379" i="11" s="1"/>
  <c r="C378" i="11"/>
  <c r="E378" i="11" s="1"/>
  <c r="C377" i="11"/>
  <c r="E377" i="11" s="1"/>
  <c r="C376" i="11"/>
  <c r="E376" i="11" s="1"/>
  <c r="C375" i="11"/>
  <c r="E375" i="11" s="1"/>
  <c r="C374" i="11"/>
  <c r="E374" i="11" s="1"/>
  <c r="C373" i="11"/>
  <c r="E373" i="11" s="1"/>
  <c r="C372" i="11"/>
  <c r="E372" i="11" s="1"/>
  <c r="C371" i="11"/>
  <c r="E371" i="11" s="1"/>
  <c r="C370" i="11"/>
  <c r="E370" i="11" s="1"/>
  <c r="C369" i="11"/>
  <c r="E369" i="11" s="1"/>
  <c r="C368" i="11"/>
  <c r="E368" i="11" s="1"/>
  <c r="C367" i="11"/>
  <c r="E367" i="11" s="1"/>
  <c r="C366" i="11"/>
  <c r="E366" i="11" s="1"/>
  <c r="C365" i="11"/>
  <c r="E365" i="11" s="1"/>
  <c r="C364" i="11"/>
  <c r="E364" i="11" s="1"/>
  <c r="C363" i="11"/>
  <c r="E363" i="11" s="1"/>
  <c r="C362" i="11"/>
  <c r="E362" i="11" s="1"/>
  <c r="C361" i="11"/>
  <c r="E361" i="11" s="1"/>
  <c r="C360" i="11"/>
  <c r="E360" i="11" s="1"/>
  <c r="C359" i="11"/>
  <c r="E359" i="11" s="1"/>
  <c r="C358" i="11"/>
  <c r="E358" i="11" s="1"/>
  <c r="C357" i="11"/>
  <c r="E357" i="11" s="1"/>
  <c r="C356" i="11"/>
  <c r="E356" i="11" s="1"/>
  <c r="C355" i="11"/>
  <c r="E355" i="11" s="1"/>
  <c r="C354" i="11"/>
  <c r="E354" i="11" s="1"/>
  <c r="C353" i="11"/>
  <c r="E353" i="11" s="1"/>
  <c r="C352" i="11"/>
  <c r="E352" i="11" s="1"/>
  <c r="C351" i="11"/>
  <c r="E351" i="11" s="1"/>
  <c r="C350" i="11"/>
  <c r="E350" i="11" s="1"/>
  <c r="C349" i="11"/>
  <c r="E349" i="11" s="1"/>
  <c r="C348" i="11"/>
  <c r="E348" i="11" s="1"/>
  <c r="C347" i="11"/>
  <c r="E347" i="11" s="1"/>
  <c r="C346" i="11"/>
  <c r="E346" i="11" s="1"/>
  <c r="C345" i="11"/>
  <c r="E345" i="11" s="1"/>
  <c r="C344" i="11"/>
  <c r="E344" i="11" s="1"/>
  <c r="C343" i="11"/>
  <c r="E343" i="11" s="1"/>
  <c r="C342" i="11"/>
  <c r="E342" i="11" s="1"/>
  <c r="C341" i="11"/>
  <c r="E341" i="11" s="1"/>
  <c r="C340" i="11"/>
  <c r="E340" i="11" s="1"/>
  <c r="C339" i="11"/>
  <c r="E339" i="11" s="1"/>
  <c r="C338" i="11"/>
  <c r="E338" i="11" s="1"/>
  <c r="C337" i="11"/>
  <c r="E337" i="11" s="1"/>
  <c r="C336" i="11"/>
  <c r="E336" i="11" s="1"/>
  <c r="C335" i="11"/>
  <c r="E335" i="11" s="1"/>
  <c r="C334" i="11"/>
  <c r="E334" i="11" s="1"/>
  <c r="C333" i="11"/>
  <c r="E333" i="11" s="1"/>
  <c r="C332" i="11"/>
  <c r="E332" i="11" s="1"/>
  <c r="C331" i="11"/>
  <c r="E331" i="11" s="1"/>
  <c r="C330" i="11"/>
  <c r="E330" i="11" s="1"/>
  <c r="C329" i="11"/>
  <c r="E329" i="11" s="1"/>
  <c r="C328" i="11"/>
  <c r="E328" i="11" s="1"/>
  <c r="C327" i="11"/>
  <c r="E327" i="11" s="1"/>
  <c r="C326" i="11"/>
  <c r="E326" i="11" s="1"/>
  <c r="C325" i="11"/>
  <c r="E325" i="11" s="1"/>
  <c r="C324" i="11"/>
  <c r="E324" i="11" s="1"/>
  <c r="C323" i="11"/>
  <c r="E323" i="11" s="1"/>
  <c r="C322" i="11"/>
  <c r="E322" i="11" s="1"/>
  <c r="C321" i="11"/>
  <c r="E321" i="11" s="1"/>
  <c r="C320" i="11"/>
  <c r="E320" i="11" s="1"/>
  <c r="C319" i="11"/>
  <c r="E319" i="11" s="1"/>
  <c r="C318" i="11"/>
  <c r="E318" i="11" s="1"/>
  <c r="C317" i="11"/>
  <c r="E317" i="11" s="1"/>
  <c r="C316" i="11"/>
  <c r="E316" i="11" s="1"/>
  <c r="C315" i="11"/>
  <c r="E315" i="11" s="1"/>
  <c r="C314" i="11"/>
  <c r="E314" i="11" s="1"/>
  <c r="C313" i="11"/>
  <c r="E313" i="11" s="1"/>
  <c r="C312" i="11"/>
  <c r="E312" i="11" s="1"/>
  <c r="C311" i="11"/>
  <c r="E311" i="11" s="1"/>
  <c r="C310" i="11"/>
  <c r="E310" i="11" s="1"/>
  <c r="C309" i="11"/>
  <c r="E309" i="11" s="1"/>
  <c r="C308" i="11"/>
  <c r="E308" i="11" s="1"/>
  <c r="C307" i="11"/>
  <c r="E307" i="11" s="1"/>
  <c r="C306" i="11"/>
  <c r="E306" i="11" s="1"/>
  <c r="C305" i="11"/>
  <c r="E305" i="11" s="1"/>
  <c r="C304" i="11"/>
  <c r="E304" i="11" s="1"/>
  <c r="C303" i="11"/>
  <c r="E303" i="11" s="1"/>
  <c r="C302" i="11"/>
  <c r="E302" i="11" s="1"/>
  <c r="C301" i="11"/>
  <c r="E301" i="11" s="1"/>
  <c r="C300" i="11"/>
  <c r="E300" i="11" s="1"/>
  <c r="C299" i="11"/>
  <c r="E299" i="11" s="1"/>
  <c r="C298" i="11"/>
  <c r="E298" i="11" s="1"/>
  <c r="C297" i="11"/>
  <c r="E297" i="11" s="1"/>
  <c r="C296" i="11"/>
  <c r="E296" i="11" s="1"/>
  <c r="C295" i="11"/>
  <c r="E295" i="11" s="1"/>
  <c r="C294" i="11"/>
  <c r="E294" i="11" s="1"/>
  <c r="C293" i="11"/>
  <c r="E293" i="11" s="1"/>
  <c r="C292" i="11"/>
  <c r="E292" i="11" s="1"/>
  <c r="C291" i="11"/>
  <c r="E291" i="11" s="1"/>
  <c r="C290" i="11"/>
  <c r="E290" i="11" s="1"/>
  <c r="C289" i="11"/>
  <c r="E289" i="11" s="1"/>
  <c r="C288" i="11"/>
  <c r="E288" i="11" s="1"/>
  <c r="C287" i="11"/>
  <c r="E287" i="11" s="1"/>
  <c r="C286" i="11"/>
  <c r="E286" i="11" s="1"/>
  <c r="C285" i="11"/>
  <c r="E285" i="11" s="1"/>
  <c r="C284" i="11"/>
  <c r="E284" i="11" s="1"/>
  <c r="C283" i="11"/>
  <c r="E283" i="11" s="1"/>
  <c r="C282" i="11"/>
  <c r="E282" i="11" s="1"/>
  <c r="C281" i="11"/>
  <c r="E281" i="11" s="1"/>
  <c r="C280" i="11"/>
  <c r="E280" i="11" s="1"/>
  <c r="C279" i="11"/>
  <c r="E279" i="11" s="1"/>
  <c r="C278" i="11"/>
  <c r="E278" i="11" s="1"/>
  <c r="C277" i="11"/>
  <c r="E277" i="11" s="1"/>
  <c r="C276" i="11"/>
  <c r="E276" i="11" s="1"/>
  <c r="C275" i="11"/>
  <c r="E275" i="11" s="1"/>
  <c r="C274" i="11"/>
  <c r="E274" i="11" s="1"/>
  <c r="C273" i="11"/>
  <c r="E273" i="11" s="1"/>
  <c r="C272" i="11"/>
  <c r="E272" i="11" s="1"/>
  <c r="C271" i="11"/>
  <c r="E271" i="11" s="1"/>
  <c r="C270" i="11"/>
  <c r="E270" i="11" s="1"/>
  <c r="C269" i="11"/>
  <c r="E269" i="11" s="1"/>
  <c r="C268" i="11"/>
  <c r="E268" i="11" s="1"/>
  <c r="C267" i="11"/>
  <c r="E267" i="11" s="1"/>
  <c r="C266" i="11"/>
  <c r="E266" i="11" s="1"/>
  <c r="C265" i="11"/>
  <c r="E265" i="11" s="1"/>
  <c r="C264" i="11"/>
  <c r="E264" i="11" s="1"/>
  <c r="C263" i="11"/>
  <c r="E263" i="11" s="1"/>
  <c r="C262" i="11"/>
  <c r="E262" i="11" s="1"/>
  <c r="C261" i="11"/>
  <c r="E261" i="11" s="1"/>
  <c r="C260" i="11"/>
  <c r="E260" i="11" s="1"/>
  <c r="C259" i="11"/>
  <c r="E259" i="11" s="1"/>
  <c r="C258" i="11"/>
  <c r="E258" i="11" s="1"/>
  <c r="C257" i="11"/>
  <c r="E257" i="11" s="1"/>
  <c r="C256" i="11"/>
  <c r="E256" i="11" s="1"/>
  <c r="C255" i="11"/>
  <c r="E255" i="11" s="1"/>
  <c r="C254" i="11"/>
  <c r="E254" i="11" s="1"/>
  <c r="C253" i="11"/>
  <c r="E253" i="11" s="1"/>
  <c r="C252" i="11"/>
  <c r="E252" i="11" s="1"/>
  <c r="C251" i="11"/>
  <c r="E251" i="11" s="1"/>
  <c r="C250" i="11"/>
  <c r="E250" i="11" s="1"/>
  <c r="C249" i="11"/>
  <c r="E249" i="11" s="1"/>
  <c r="C248" i="11"/>
  <c r="E248" i="11" s="1"/>
  <c r="C247" i="11"/>
  <c r="E247" i="11" s="1"/>
  <c r="C246" i="11"/>
  <c r="E246" i="11" s="1"/>
  <c r="C245" i="11"/>
  <c r="E245" i="11" s="1"/>
  <c r="C244" i="11"/>
  <c r="E244" i="11" s="1"/>
  <c r="C243" i="11"/>
  <c r="E243" i="11" s="1"/>
  <c r="C242" i="11"/>
  <c r="E242" i="11" s="1"/>
  <c r="C241" i="11"/>
  <c r="E241" i="11" s="1"/>
  <c r="C240" i="11"/>
  <c r="E240" i="11" s="1"/>
  <c r="C239" i="11"/>
  <c r="E239" i="11" s="1"/>
  <c r="C238" i="11"/>
  <c r="E238" i="11" s="1"/>
  <c r="C237" i="11"/>
  <c r="E237" i="11" s="1"/>
  <c r="C236" i="11"/>
  <c r="E236" i="11" s="1"/>
  <c r="C235" i="11"/>
  <c r="E235" i="11" s="1"/>
  <c r="C234" i="11"/>
  <c r="E234" i="11" s="1"/>
  <c r="C233" i="11"/>
  <c r="E233" i="11" s="1"/>
  <c r="C232" i="11"/>
  <c r="E232" i="11" s="1"/>
  <c r="C231" i="11"/>
  <c r="E231" i="11" s="1"/>
  <c r="C230" i="11"/>
  <c r="E230" i="11" s="1"/>
  <c r="C229" i="11"/>
  <c r="E229" i="11" s="1"/>
  <c r="C228" i="11"/>
  <c r="E228" i="11" s="1"/>
  <c r="C227" i="11"/>
  <c r="E227" i="11" s="1"/>
  <c r="C226" i="11"/>
  <c r="E226" i="11" s="1"/>
  <c r="C225" i="11"/>
  <c r="E225" i="11" s="1"/>
  <c r="C224" i="11"/>
  <c r="E224" i="11" s="1"/>
  <c r="C223" i="11"/>
  <c r="E223" i="11" s="1"/>
  <c r="C222" i="11"/>
  <c r="E222" i="11" s="1"/>
  <c r="C221" i="11"/>
  <c r="E221" i="11" s="1"/>
  <c r="C220" i="11"/>
  <c r="E220" i="11" s="1"/>
  <c r="C219" i="11"/>
  <c r="E219" i="11" s="1"/>
  <c r="C218" i="11"/>
  <c r="E218" i="11" s="1"/>
  <c r="C217" i="11"/>
  <c r="E217" i="11" s="1"/>
  <c r="C216" i="11"/>
  <c r="E216" i="11" s="1"/>
  <c r="C215" i="11"/>
  <c r="E215" i="11" s="1"/>
  <c r="C214" i="11"/>
  <c r="E214" i="11" s="1"/>
  <c r="C213" i="11"/>
  <c r="E213" i="11" s="1"/>
  <c r="C212" i="11"/>
  <c r="E212" i="11" s="1"/>
  <c r="C211" i="11"/>
  <c r="E211" i="11" s="1"/>
  <c r="C210" i="11"/>
  <c r="E210" i="11" s="1"/>
  <c r="C209" i="11"/>
  <c r="E209" i="11" s="1"/>
  <c r="C208" i="11"/>
  <c r="E208" i="11" s="1"/>
  <c r="C207" i="11"/>
  <c r="E207" i="11" s="1"/>
  <c r="C206" i="11"/>
  <c r="E206" i="11" s="1"/>
  <c r="C205" i="11"/>
  <c r="E205" i="11" s="1"/>
  <c r="C204" i="11"/>
  <c r="E204" i="11" s="1"/>
  <c r="C203" i="11"/>
  <c r="E203" i="11" s="1"/>
  <c r="C202" i="11"/>
  <c r="E202" i="11" s="1"/>
  <c r="C201" i="11"/>
  <c r="E201" i="11" s="1"/>
  <c r="C200" i="11"/>
  <c r="E200" i="11" s="1"/>
  <c r="C199" i="11"/>
  <c r="E199" i="11" s="1"/>
  <c r="C198" i="11"/>
  <c r="E198" i="11" s="1"/>
  <c r="C197" i="11"/>
  <c r="E197" i="11" s="1"/>
  <c r="C196" i="11"/>
  <c r="E196" i="11" s="1"/>
  <c r="C195" i="11"/>
  <c r="E195" i="11" s="1"/>
  <c r="C194" i="11"/>
  <c r="E194" i="11" s="1"/>
  <c r="C193" i="11"/>
  <c r="E193" i="11" s="1"/>
  <c r="C192" i="11"/>
  <c r="E192" i="11" s="1"/>
  <c r="C191" i="11"/>
  <c r="E191" i="11" s="1"/>
  <c r="C190" i="11"/>
  <c r="E190" i="11" s="1"/>
  <c r="C189" i="11"/>
  <c r="E189" i="11" s="1"/>
  <c r="C188" i="11"/>
  <c r="E188" i="11" s="1"/>
  <c r="C187" i="11"/>
  <c r="E187" i="11" s="1"/>
  <c r="C186" i="11"/>
  <c r="E186" i="11" s="1"/>
  <c r="C185" i="11"/>
  <c r="E185" i="11" s="1"/>
  <c r="C184" i="11"/>
  <c r="E184" i="11" s="1"/>
  <c r="C183" i="11"/>
  <c r="E183" i="11" s="1"/>
  <c r="C182" i="11"/>
  <c r="E182" i="11" s="1"/>
  <c r="C181" i="11"/>
  <c r="E181" i="11" s="1"/>
  <c r="C180" i="11"/>
  <c r="E180" i="11" s="1"/>
  <c r="C179" i="11"/>
  <c r="E179" i="11" s="1"/>
  <c r="C178" i="11"/>
  <c r="E178" i="11" s="1"/>
  <c r="C177" i="11"/>
  <c r="E177" i="11" s="1"/>
  <c r="C176" i="11"/>
  <c r="E176" i="11" s="1"/>
  <c r="C175" i="11"/>
  <c r="E175" i="11" s="1"/>
  <c r="C174" i="11"/>
  <c r="E174" i="11" s="1"/>
  <c r="C173" i="11"/>
  <c r="E173" i="11" s="1"/>
  <c r="C172" i="11"/>
  <c r="E172" i="11" s="1"/>
  <c r="C171" i="11"/>
  <c r="E171" i="11" s="1"/>
  <c r="C170" i="11"/>
  <c r="E170" i="11" s="1"/>
  <c r="C169" i="11"/>
  <c r="E169" i="11" s="1"/>
  <c r="C168" i="11"/>
  <c r="E168" i="11" s="1"/>
  <c r="C167" i="11"/>
  <c r="E167" i="11" s="1"/>
  <c r="C166" i="11"/>
  <c r="E166" i="11" s="1"/>
  <c r="C165" i="11"/>
  <c r="E165" i="11" s="1"/>
  <c r="C164" i="11"/>
  <c r="E164" i="11" s="1"/>
  <c r="C163" i="11"/>
  <c r="E163" i="11" s="1"/>
  <c r="C162" i="11"/>
  <c r="E162" i="11" s="1"/>
  <c r="C161" i="11"/>
  <c r="E161" i="11" s="1"/>
  <c r="C160" i="11"/>
  <c r="E160" i="11" s="1"/>
  <c r="C159" i="11"/>
  <c r="E159" i="11" s="1"/>
  <c r="C158" i="11"/>
  <c r="E158" i="11" s="1"/>
  <c r="C157" i="11"/>
  <c r="E157" i="11" s="1"/>
  <c r="C156" i="11"/>
  <c r="E156" i="11" s="1"/>
  <c r="C155" i="11"/>
  <c r="E155" i="11" s="1"/>
  <c r="C154" i="11"/>
  <c r="E154" i="11" s="1"/>
  <c r="C153" i="11"/>
  <c r="E153" i="11" s="1"/>
  <c r="C152" i="11"/>
  <c r="E152" i="11" s="1"/>
  <c r="C151" i="11"/>
  <c r="E151" i="11" s="1"/>
  <c r="C150" i="11"/>
  <c r="E150" i="11" s="1"/>
  <c r="C149" i="11"/>
  <c r="E149" i="11" s="1"/>
  <c r="C148" i="11"/>
  <c r="E148" i="11" s="1"/>
  <c r="C147" i="11"/>
  <c r="E147" i="11" s="1"/>
  <c r="C146" i="11"/>
  <c r="E146" i="11" s="1"/>
  <c r="C145" i="11"/>
  <c r="E145" i="11" s="1"/>
  <c r="C144" i="11"/>
  <c r="E144" i="11" s="1"/>
  <c r="C143" i="11"/>
  <c r="E143" i="11" s="1"/>
  <c r="C142" i="11"/>
  <c r="E142" i="11" s="1"/>
  <c r="C141" i="11"/>
  <c r="E141" i="11" s="1"/>
  <c r="C140" i="11"/>
  <c r="E140" i="11" s="1"/>
  <c r="C139" i="11"/>
  <c r="E139" i="11" s="1"/>
  <c r="C138" i="11"/>
  <c r="E138" i="11" s="1"/>
  <c r="C137" i="11"/>
  <c r="E137" i="11" s="1"/>
  <c r="C136" i="11"/>
  <c r="E136" i="11" s="1"/>
  <c r="C135" i="11"/>
  <c r="E135" i="11" s="1"/>
  <c r="C134" i="11"/>
  <c r="E134" i="11" s="1"/>
  <c r="C133" i="11"/>
  <c r="E133" i="11" s="1"/>
  <c r="C132" i="11"/>
  <c r="E132" i="11" s="1"/>
  <c r="C131" i="11"/>
  <c r="E131" i="11" s="1"/>
  <c r="C130" i="11"/>
  <c r="E130" i="11" s="1"/>
  <c r="C129" i="11"/>
  <c r="E129" i="11" s="1"/>
  <c r="C128" i="11"/>
  <c r="E128" i="11" s="1"/>
  <c r="C127" i="11"/>
  <c r="E127" i="11" s="1"/>
  <c r="C126" i="11"/>
  <c r="E126" i="11" s="1"/>
  <c r="C125" i="11"/>
  <c r="E125" i="11" s="1"/>
  <c r="C124" i="11"/>
  <c r="E124" i="11" s="1"/>
  <c r="C123" i="11"/>
  <c r="E123" i="11" s="1"/>
  <c r="C122" i="11"/>
  <c r="E122" i="11" s="1"/>
  <c r="C121" i="11"/>
  <c r="E121" i="11" s="1"/>
  <c r="C120" i="11"/>
  <c r="E120" i="11" s="1"/>
  <c r="C119" i="11"/>
  <c r="E119" i="11" s="1"/>
  <c r="C118" i="11"/>
  <c r="E118" i="11" s="1"/>
  <c r="C117" i="11"/>
  <c r="E117" i="11" s="1"/>
  <c r="C116" i="11"/>
  <c r="E116" i="11" s="1"/>
  <c r="C115" i="11"/>
  <c r="E115" i="11" s="1"/>
  <c r="C114" i="11"/>
  <c r="E114" i="11" s="1"/>
  <c r="C113" i="11"/>
  <c r="E113" i="11" s="1"/>
  <c r="C112" i="11"/>
  <c r="E112" i="11" s="1"/>
  <c r="C111" i="11"/>
  <c r="E111" i="11" s="1"/>
  <c r="C110" i="11"/>
  <c r="E110" i="11" s="1"/>
  <c r="C109" i="11"/>
  <c r="E109" i="11" s="1"/>
  <c r="C108" i="11"/>
  <c r="E108" i="11" s="1"/>
  <c r="C107" i="11"/>
  <c r="E107" i="11" s="1"/>
  <c r="C106" i="11"/>
  <c r="E106" i="11" s="1"/>
  <c r="C105" i="11"/>
  <c r="E105" i="11" s="1"/>
  <c r="C104" i="11"/>
  <c r="E104" i="11" s="1"/>
  <c r="C103" i="11"/>
  <c r="E103" i="11" s="1"/>
  <c r="C102" i="11"/>
  <c r="E102" i="11" s="1"/>
  <c r="C101" i="11"/>
  <c r="E101" i="11" s="1"/>
  <c r="C100" i="11"/>
  <c r="E100" i="11" s="1"/>
  <c r="C99" i="11"/>
  <c r="E99" i="11" s="1"/>
  <c r="C98" i="11"/>
  <c r="E98" i="11" s="1"/>
  <c r="C97" i="11"/>
  <c r="E97" i="11" s="1"/>
  <c r="C96" i="11"/>
  <c r="E96" i="11" s="1"/>
  <c r="C95" i="11"/>
  <c r="E95" i="11" s="1"/>
  <c r="C94" i="11"/>
  <c r="E94" i="11" s="1"/>
  <c r="C93" i="11"/>
  <c r="E93" i="11" s="1"/>
  <c r="C92" i="11"/>
  <c r="E92" i="11" s="1"/>
  <c r="C91" i="11"/>
  <c r="E91" i="11" s="1"/>
  <c r="C90" i="11"/>
  <c r="E90" i="11" s="1"/>
  <c r="C89" i="11"/>
  <c r="E89" i="11" s="1"/>
  <c r="C88" i="11"/>
  <c r="E88" i="11" s="1"/>
  <c r="C87" i="11"/>
  <c r="E87" i="11" s="1"/>
  <c r="C86" i="11"/>
  <c r="E86" i="11" s="1"/>
  <c r="C85" i="11"/>
  <c r="E85" i="11" s="1"/>
  <c r="C84" i="11"/>
  <c r="E84" i="11" s="1"/>
  <c r="C83" i="11"/>
  <c r="E83" i="11" s="1"/>
  <c r="C82" i="11"/>
  <c r="E82" i="11" s="1"/>
  <c r="C81" i="11"/>
  <c r="E81" i="11" s="1"/>
  <c r="C80" i="11"/>
  <c r="E80" i="11" s="1"/>
  <c r="C79" i="11"/>
  <c r="E79" i="11" s="1"/>
  <c r="C78" i="11"/>
  <c r="E78" i="11" s="1"/>
  <c r="C77" i="11"/>
  <c r="E77" i="11" s="1"/>
  <c r="C76" i="11"/>
  <c r="E76" i="11" s="1"/>
  <c r="C75" i="11"/>
  <c r="E75" i="11" s="1"/>
  <c r="C74" i="11"/>
  <c r="E74" i="11" s="1"/>
  <c r="C73" i="11"/>
  <c r="E73" i="11" s="1"/>
  <c r="C72" i="11"/>
  <c r="E72" i="11" s="1"/>
  <c r="C71" i="11"/>
  <c r="E71" i="11" s="1"/>
  <c r="C70" i="11"/>
  <c r="E70" i="11" s="1"/>
  <c r="C69" i="11"/>
  <c r="E69" i="11" s="1"/>
  <c r="C68" i="11"/>
  <c r="E68" i="11" s="1"/>
  <c r="C67" i="11"/>
  <c r="E67" i="11" s="1"/>
  <c r="C66" i="11"/>
  <c r="E66" i="11" s="1"/>
  <c r="C65" i="11"/>
  <c r="E65" i="11" s="1"/>
  <c r="C64" i="11"/>
  <c r="E64" i="11" s="1"/>
  <c r="C63" i="11"/>
  <c r="E63" i="11" s="1"/>
  <c r="C62" i="11"/>
  <c r="E62" i="11" s="1"/>
  <c r="C61" i="11"/>
  <c r="E61" i="11" s="1"/>
  <c r="C60" i="11"/>
  <c r="E60" i="11" s="1"/>
  <c r="C59" i="11"/>
  <c r="E59" i="11" s="1"/>
  <c r="C58" i="11"/>
  <c r="E58" i="11" s="1"/>
  <c r="C57" i="11"/>
  <c r="E57" i="11" s="1"/>
  <c r="C56" i="11"/>
  <c r="E56" i="11" s="1"/>
  <c r="C55" i="11"/>
  <c r="E55" i="11" s="1"/>
  <c r="C54" i="11"/>
  <c r="E54" i="11" s="1"/>
  <c r="C53" i="11"/>
  <c r="E53" i="11" s="1"/>
  <c r="C52" i="11"/>
  <c r="E52" i="11" s="1"/>
  <c r="C51" i="11"/>
  <c r="E51" i="11" s="1"/>
  <c r="C50" i="11"/>
  <c r="E50" i="11" s="1"/>
  <c r="C49" i="11"/>
  <c r="E49" i="11" s="1"/>
  <c r="C48" i="11"/>
  <c r="E48" i="11" s="1"/>
  <c r="C47" i="11"/>
  <c r="E47" i="11" s="1"/>
  <c r="C46" i="11"/>
  <c r="E46" i="11" s="1"/>
  <c r="C45" i="11"/>
  <c r="E45" i="11" s="1"/>
  <c r="C44" i="11"/>
  <c r="E44" i="11" s="1"/>
  <c r="C43" i="11"/>
  <c r="E43" i="11" s="1"/>
  <c r="C42" i="11"/>
  <c r="E42" i="11" s="1"/>
  <c r="C41" i="11"/>
  <c r="E41" i="11" s="1"/>
  <c r="C40" i="11"/>
  <c r="E40" i="11" s="1"/>
  <c r="C39" i="11"/>
  <c r="E39" i="11" s="1"/>
  <c r="C38" i="11"/>
  <c r="E38" i="11" s="1"/>
  <c r="C37" i="11"/>
  <c r="E37" i="11" s="1"/>
  <c r="C36" i="11"/>
  <c r="E36" i="11" s="1"/>
  <c r="C35" i="11"/>
  <c r="E35" i="11" s="1"/>
  <c r="C34" i="11"/>
  <c r="E34" i="11" s="1"/>
  <c r="C33" i="11"/>
  <c r="E33" i="11" s="1"/>
  <c r="C32" i="11"/>
  <c r="E32" i="11" s="1"/>
  <c r="C31" i="11"/>
  <c r="E31" i="11" s="1"/>
  <c r="C30" i="11"/>
  <c r="E30" i="11" s="1"/>
  <c r="C29" i="11"/>
  <c r="E29" i="11" s="1"/>
  <c r="C28" i="11"/>
  <c r="E28" i="11" s="1"/>
  <c r="C27" i="11"/>
  <c r="E27" i="11" s="1"/>
  <c r="C26" i="11"/>
  <c r="E26" i="11" s="1"/>
  <c r="C25" i="11"/>
  <c r="E25" i="11" s="1"/>
  <c r="C24" i="11"/>
  <c r="E24" i="11" s="1"/>
  <c r="C23" i="11"/>
  <c r="E23" i="11" s="1"/>
  <c r="C22" i="11"/>
  <c r="E22" i="11" s="1"/>
  <c r="C21" i="11"/>
  <c r="E21" i="11" s="1"/>
  <c r="C20" i="11"/>
  <c r="E20" i="11" s="1"/>
  <c r="C19" i="11"/>
  <c r="E19" i="11" s="1"/>
  <c r="C18" i="11"/>
  <c r="E18" i="11" s="1"/>
  <c r="C17" i="11"/>
  <c r="E17" i="11" s="1"/>
  <c r="C16" i="11"/>
  <c r="E16" i="11" s="1"/>
  <c r="C15" i="11"/>
  <c r="E15" i="11" s="1"/>
  <c r="C14" i="11"/>
  <c r="E14" i="11" s="1"/>
  <c r="C13" i="11"/>
  <c r="E13" i="11" s="1"/>
  <c r="C12" i="11"/>
  <c r="E12" i="11" s="1"/>
  <c r="C11" i="11"/>
  <c r="E11" i="11" s="1"/>
  <c r="C10" i="11"/>
  <c r="E10" i="11" s="1"/>
  <c r="C9" i="11"/>
  <c r="E9" i="11" s="1"/>
  <c r="C8" i="11"/>
  <c r="E8" i="11" s="1"/>
  <c r="C7" i="11"/>
  <c r="E7" i="11" s="1"/>
  <c r="C6" i="11"/>
  <c r="E6" i="11" s="1"/>
  <c r="C5" i="11"/>
  <c r="E5" i="11" s="1"/>
  <c r="C4" i="11"/>
  <c r="E4" i="11" s="1"/>
  <c r="C3" i="11"/>
  <c r="E3" i="11" s="1"/>
  <c r="C2" i="11"/>
  <c r="E2" i="11" s="1"/>
  <c r="B112" i="9" a="1"/>
  <c r="B112" i="9" s="1"/>
  <c r="B100" i="9" a="1"/>
  <c r="B100" i="9" s="1"/>
  <c r="B96" i="9" a="1"/>
  <c r="B96" i="9" s="1"/>
  <c r="B72" i="9" a="1"/>
  <c r="B72" i="9" s="1"/>
  <c r="B68" i="9" a="1"/>
  <c r="B68" i="9" s="1"/>
  <c r="B60" i="9" a="1"/>
  <c r="B60" i="9" s="1"/>
  <c r="B56" i="9" a="1"/>
  <c r="B56" i="9" s="1"/>
  <c r="B48" i="9" a="1"/>
  <c r="B48" i="9" s="1"/>
  <c r="B44" i="9" a="1"/>
  <c r="B44" i="9" s="1"/>
  <c r="B20" i="9" a="1"/>
  <c r="B20" i="9" s="1"/>
  <c r="B8" i="9" a="1"/>
  <c r="B8" i="9" s="1"/>
  <c r="B4" i="9" a="1"/>
  <c r="B4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B2" i="9"/>
  <c r="C1" i="9"/>
  <c r="E1" i="7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D1" i="7"/>
  <c r="C8" i="8"/>
  <c r="C156" i="7"/>
  <c r="C155" i="7"/>
  <c r="C154" i="7"/>
  <c r="C153" i="7"/>
  <c r="C152" i="7"/>
  <c r="C151" i="7"/>
  <c r="C150" i="7"/>
  <c r="C149" i="7"/>
  <c r="B139" i="9" s="1" a="1"/>
  <c r="B139" i="9" s="1"/>
  <c r="C148" i="7"/>
  <c r="B138" i="9" s="1" a="1"/>
  <c r="B138" i="9" s="1"/>
  <c r="C147" i="7"/>
  <c r="B137" i="9" s="1" a="1"/>
  <c r="B137" i="9" s="1"/>
  <c r="C146" i="7"/>
  <c r="B136" i="9" s="1" a="1"/>
  <c r="B136" i="9" s="1"/>
  <c r="C145" i="7"/>
  <c r="B135" i="9" s="1" a="1"/>
  <c r="B135" i="9" s="1"/>
  <c r="C144" i="7"/>
  <c r="B134" i="9" s="1" a="1"/>
  <c r="B134" i="9" s="1"/>
  <c r="C143" i="7"/>
  <c r="B133" i="9" s="1" a="1"/>
  <c r="B133" i="9" s="1"/>
  <c r="C142" i="7"/>
  <c r="C141" i="7"/>
  <c r="C140" i="7"/>
  <c r="C139" i="7"/>
  <c r="C138" i="7"/>
  <c r="C137" i="7"/>
  <c r="C136" i="7"/>
  <c r="C135" i="7"/>
  <c r="B126" i="9" s="1" a="1"/>
  <c r="B126" i="9" s="1"/>
  <c r="C134" i="7"/>
  <c r="B125" i="9" s="1" a="1"/>
  <c r="B125" i="9" s="1"/>
  <c r="C133" i="7"/>
  <c r="B124" i="9" s="1" a="1"/>
  <c r="B124" i="9" s="1"/>
  <c r="C132" i="7"/>
  <c r="B123" i="9" s="1" a="1"/>
  <c r="B123" i="9" s="1"/>
  <c r="C131" i="7"/>
  <c r="B122" i="9" s="1" a="1"/>
  <c r="B122" i="9" s="1"/>
  <c r="C130" i="7"/>
  <c r="B121" i="9" s="1" a="1"/>
  <c r="B121" i="9" s="1"/>
  <c r="C129" i="7"/>
  <c r="B120" i="9" s="1" a="1"/>
  <c r="B120" i="9" s="1"/>
  <c r="C128" i="7"/>
  <c r="C127" i="7"/>
  <c r="C126" i="7"/>
  <c r="C125" i="7"/>
  <c r="C124" i="7"/>
  <c r="C123" i="7"/>
  <c r="C122" i="7"/>
  <c r="C121" i="7"/>
  <c r="B113" i="9" s="1" a="1"/>
  <c r="B113" i="9" s="1"/>
  <c r="C120" i="7"/>
  <c r="C119" i="7"/>
  <c r="B111" i="9" s="1" a="1"/>
  <c r="B111" i="9" s="1"/>
  <c r="C118" i="7"/>
  <c r="B110" i="9" s="1" a="1"/>
  <c r="B110" i="9" s="1"/>
  <c r="C117" i="7"/>
  <c r="B109" i="9" s="1" a="1"/>
  <c r="B109" i="9" s="1"/>
  <c r="C116" i="7"/>
  <c r="B108" i="9" s="1" a="1"/>
  <c r="B108" i="9" s="1"/>
  <c r="C115" i="7"/>
  <c r="B107" i="9" s="1" a="1"/>
  <c r="B107" i="9" s="1"/>
  <c r="C114" i="7"/>
  <c r="C113" i="7"/>
  <c r="C112" i="7"/>
  <c r="C111" i="7"/>
  <c r="C110" i="7"/>
  <c r="C109" i="7"/>
  <c r="C108" i="7"/>
  <c r="C107" i="7"/>
  <c r="C106" i="7"/>
  <c r="B99" i="9" s="1" a="1"/>
  <c r="B99" i="9" s="1"/>
  <c r="C105" i="7"/>
  <c r="B98" i="9" s="1" a="1"/>
  <c r="B98" i="9" s="1"/>
  <c r="C104" i="7"/>
  <c r="B97" i="9" s="1" a="1"/>
  <c r="B97" i="9" s="1"/>
  <c r="C103" i="7"/>
  <c r="C102" i="7"/>
  <c r="B95" i="9" s="1" a="1"/>
  <c r="B95" i="9" s="1"/>
  <c r="C101" i="7"/>
  <c r="B94" i="9" s="1" a="1"/>
  <c r="B94" i="9" s="1"/>
  <c r="C100" i="7"/>
  <c r="C99" i="7"/>
  <c r="C98" i="7"/>
  <c r="C97" i="7"/>
  <c r="C96" i="7"/>
  <c r="C95" i="7"/>
  <c r="C94" i="7"/>
  <c r="C93" i="7"/>
  <c r="B87" i="9" s="1" a="1"/>
  <c r="B87" i="9" s="1"/>
  <c r="C92" i="7"/>
  <c r="B86" i="9" s="1" a="1"/>
  <c r="B86" i="9" s="1"/>
  <c r="C91" i="7"/>
  <c r="B85" i="9" s="1" a="1"/>
  <c r="B85" i="9" s="1"/>
  <c r="C90" i="7"/>
  <c r="B84" i="9" s="1" a="1"/>
  <c r="B84" i="9" s="1"/>
  <c r="C89" i="7"/>
  <c r="B83" i="9" s="1" a="1"/>
  <c r="B83" i="9" s="1"/>
  <c r="C88" i="7"/>
  <c r="B82" i="9" s="1" a="1"/>
  <c r="B82" i="9" s="1"/>
  <c r="C87" i="7"/>
  <c r="B81" i="9" s="1" a="1"/>
  <c r="B81" i="9" s="1"/>
  <c r="C86" i="7"/>
  <c r="C85" i="7"/>
  <c r="C84" i="7"/>
  <c r="C83" i="7"/>
  <c r="C82" i="7"/>
  <c r="C81" i="7"/>
  <c r="C80" i="7"/>
  <c r="C79" i="7"/>
  <c r="B74" i="9" s="1" a="1"/>
  <c r="B74" i="9" s="1"/>
  <c r="C78" i="7"/>
  <c r="B73" i="9" s="1" a="1"/>
  <c r="B73" i="9" s="1"/>
  <c r="C77" i="7"/>
  <c r="C76" i="7"/>
  <c r="B71" i="9" s="1" a="1"/>
  <c r="B71" i="9" s="1"/>
  <c r="C75" i="7"/>
  <c r="B70" i="9" s="1" a="1"/>
  <c r="B70" i="9" s="1"/>
  <c r="C74" i="7"/>
  <c r="B69" i="9" s="1" a="1"/>
  <c r="B69" i="9" s="1"/>
  <c r="C73" i="7"/>
  <c r="C72" i="7"/>
  <c r="C71" i="7"/>
  <c r="C70" i="7"/>
  <c r="C69" i="7"/>
  <c r="C68" i="7"/>
  <c r="C67" i="7"/>
  <c r="C66" i="7"/>
  <c r="C65" i="7"/>
  <c r="B61" i="9" s="1" a="1"/>
  <c r="B61" i="9" s="1"/>
  <c r="C64" i="7"/>
  <c r="C63" i="7"/>
  <c r="B59" i="9" s="1" a="1"/>
  <c r="B59" i="9" s="1"/>
  <c r="C62" i="7"/>
  <c r="B58" i="9" s="1" a="1"/>
  <c r="B58" i="9" s="1"/>
  <c r="C61" i="7"/>
  <c r="B57" i="9" s="1" a="1"/>
  <c r="B57" i="9" s="1"/>
  <c r="C60" i="7"/>
  <c r="C59" i="7"/>
  <c r="B55" i="9" s="1" a="1"/>
  <c r="B55" i="9" s="1"/>
  <c r="C58" i="7"/>
  <c r="C57" i="7"/>
  <c r="C56" i="7"/>
  <c r="C55" i="7"/>
  <c r="C54" i="7"/>
  <c r="C53" i="7"/>
  <c r="C52" i="7"/>
  <c r="C51" i="7"/>
  <c r="C50" i="7"/>
  <c r="B47" i="9" s="1" a="1"/>
  <c r="B47" i="9" s="1"/>
  <c r="C49" i="7"/>
  <c r="B46" i="9" s="1" a="1"/>
  <c r="B46" i="9" s="1"/>
  <c r="C48" i="7"/>
  <c r="B45" i="9" s="1" a="1"/>
  <c r="B45" i="9" s="1"/>
  <c r="C47" i="7"/>
  <c r="C46" i="7"/>
  <c r="B43" i="9" s="1" a="1"/>
  <c r="B43" i="9" s="1"/>
  <c r="C45" i="7"/>
  <c r="B42" i="9" s="1" a="1"/>
  <c r="B42" i="9" s="1"/>
  <c r="C44" i="7"/>
  <c r="C43" i="7"/>
  <c r="C42" i="7"/>
  <c r="C41" i="7"/>
  <c r="C40" i="7"/>
  <c r="C39" i="7"/>
  <c r="C38" i="7"/>
  <c r="C37" i="7"/>
  <c r="B35" i="9" s="1" a="1"/>
  <c r="B35" i="9" s="1"/>
  <c r="C36" i="7"/>
  <c r="B34" i="9" s="1" a="1"/>
  <c r="B34" i="9" s="1"/>
  <c r="C35" i="7"/>
  <c r="B33" i="9" s="1" a="1"/>
  <c r="B33" i="9" s="1"/>
  <c r="C34" i="7"/>
  <c r="B32" i="9" s="1" a="1"/>
  <c r="B32" i="9" s="1"/>
  <c r="C33" i="7"/>
  <c r="B31" i="9" s="1" a="1"/>
  <c r="B31" i="9" s="1"/>
  <c r="C32" i="7"/>
  <c r="B30" i="9" s="1" a="1"/>
  <c r="B30" i="9" s="1"/>
  <c r="C31" i="7"/>
  <c r="B29" i="9" s="1" a="1"/>
  <c r="B29" i="9" s="1"/>
  <c r="C30" i="7"/>
  <c r="C29" i="7"/>
  <c r="C28" i="7"/>
  <c r="C27" i="7"/>
  <c r="C26" i="7"/>
  <c r="C25" i="7"/>
  <c r="C24" i="7"/>
  <c r="C23" i="7"/>
  <c r="B22" i="9" s="1" a="1"/>
  <c r="B22" i="9" s="1"/>
  <c r="C22" i="7"/>
  <c r="B21" i="9" s="1" a="1"/>
  <c r="B21" i="9" s="1"/>
  <c r="C21" i="7"/>
  <c r="C20" i="7"/>
  <c r="B19" i="9" s="1" a="1"/>
  <c r="B19" i="9" s="1"/>
  <c r="D19" i="7"/>
  <c r="C19" i="7"/>
  <c r="B18" i="9" s="1" a="1"/>
  <c r="B18" i="9" s="1"/>
  <c r="C18" i="7"/>
  <c r="B17" i="9" s="1" a="1"/>
  <c r="B17" i="9" s="1"/>
  <c r="C17" i="7"/>
  <c r="B16" i="9" s="1" a="1"/>
  <c r="B16" i="9" s="1"/>
  <c r="C16" i="7"/>
  <c r="C15" i="7"/>
  <c r="C14" i="7"/>
  <c r="C13" i="7"/>
  <c r="C12" i="7"/>
  <c r="D11" i="7"/>
  <c r="C11" i="7"/>
  <c r="C10" i="7"/>
  <c r="C9" i="7"/>
  <c r="B9" i="9" s="1" a="1"/>
  <c r="B9" i="9" s="1"/>
  <c r="C8" i="7"/>
  <c r="C7" i="7"/>
  <c r="B7" i="9" s="1" a="1"/>
  <c r="B7" i="9" s="1"/>
  <c r="C6" i="7"/>
  <c r="B6" i="9" s="1" a="1"/>
  <c r="B6" i="9" s="1"/>
  <c r="C5" i="7"/>
  <c r="B5" i="9" s="1" a="1"/>
  <c r="B5" i="9" s="1"/>
  <c r="C4" i="7"/>
  <c r="D3" i="7"/>
  <c r="C3" i="7"/>
  <c r="D2" i="7"/>
  <c r="D28" i="7" s="1"/>
  <c r="J47" i="11" a="1"/>
  <c r="S6" i="13" a="1"/>
  <c r="K47" i="11" a="1"/>
  <c r="U14" i="10"/>
  <c r="X14" i="10" a="1"/>
  <c r="W14" i="10" a="1"/>
  <c r="T14" i="10"/>
  <c r="U13" i="10"/>
  <c r="X13" i="10" a="1"/>
  <c r="T13" i="10"/>
  <c r="W13" i="10" a="1"/>
  <c r="X12" i="10" a="1"/>
  <c r="U12" i="10"/>
  <c r="T12" i="10"/>
  <c r="W12" i="10" a="1"/>
  <c r="X11" i="10" a="1"/>
  <c r="U11" i="10"/>
  <c r="T11" i="10"/>
  <c r="W11" i="10" a="1"/>
  <c r="X10" i="10" a="1"/>
  <c r="U10" i="10"/>
  <c r="T10" i="10"/>
  <c r="W10" i="10" a="1"/>
  <c r="U9" i="10"/>
  <c r="X9" i="10" a="1"/>
  <c r="T9" i="10"/>
  <c r="W9" i="10" a="1"/>
  <c r="U8" i="10"/>
  <c r="X8" i="10" a="1"/>
  <c r="T8" i="10"/>
  <c r="W8" i="10" a="1"/>
  <c r="U7" i="10"/>
  <c r="X7" i="10" a="1"/>
  <c r="T7" i="10"/>
  <c r="W7" i="10" a="1"/>
  <c r="X6" i="10" a="1"/>
  <c r="U6" i="10"/>
  <c r="T6" i="10"/>
  <c r="W6" i="10" a="1"/>
  <c r="X5" i="10" a="1"/>
  <c r="U5" i="10"/>
  <c r="T5" i="10"/>
  <c r="W5" i="10" a="1"/>
  <c r="U4" i="10"/>
  <c r="X4" i="10" a="1"/>
  <c r="W4" i="10" a="1"/>
  <c r="T4" i="10"/>
  <c r="B26" i="21" l="1"/>
  <c r="B39" i="21" s="1"/>
  <c r="AG39" i="21" s="1" a="1"/>
  <c r="AG39" i="21" s="1"/>
  <c r="AG25" i="21" a="1"/>
  <c r="AG25" i="21" s="1"/>
  <c r="AG37" i="19"/>
  <c r="AC37" i="19"/>
  <c r="Y37" i="19"/>
  <c r="U37" i="19"/>
  <c r="S38" i="19"/>
  <c r="AF37" i="19"/>
  <c r="AB37" i="19"/>
  <c r="X37" i="19"/>
  <c r="T37" i="19"/>
  <c r="AI37" i="19"/>
  <c r="AE37" i="19"/>
  <c r="AA37" i="19"/>
  <c r="W37" i="19"/>
  <c r="AD37" i="19"/>
  <c r="Z37" i="19"/>
  <c r="AH37" i="19"/>
  <c r="V37" i="19"/>
  <c r="AI84" i="19"/>
  <c r="AE84" i="19"/>
  <c r="AA84" i="19"/>
  <c r="W84" i="19"/>
  <c r="AF84" i="19"/>
  <c r="Z84" i="19"/>
  <c r="U84" i="19"/>
  <c r="S85" i="19"/>
  <c r="AD84" i="19"/>
  <c r="Y84" i="19"/>
  <c r="T84" i="19"/>
  <c r="AH84" i="19"/>
  <c r="AC84" i="19"/>
  <c r="X84" i="19"/>
  <c r="AG84" i="19"/>
  <c r="AB84" i="19"/>
  <c r="V84" i="19"/>
  <c r="AG100" i="19"/>
  <c r="AC100" i="19"/>
  <c r="Y100" i="19"/>
  <c r="U100" i="19"/>
  <c r="S101" i="19"/>
  <c r="AF100" i="19"/>
  <c r="AB100" i="19"/>
  <c r="X100" i="19"/>
  <c r="T100" i="19"/>
  <c r="AI100" i="19"/>
  <c r="AA100" i="19"/>
  <c r="AH100" i="19"/>
  <c r="Z100" i="19"/>
  <c r="AE100" i="19"/>
  <c r="W100" i="19"/>
  <c r="AD100" i="19"/>
  <c r="V100" i="19"/>
  <c r="S70" i="19"/>
  <c r="AF69" i="19"/>
  <c r="AI69" i="19"/>
  <c r="AE69" i="19"/>
  <c r="AA69" i="19"/>
  <c r="W69" i="19"/>
  <c r="AH69" i="19"/>
  <c r="AD69" i="19"/>
  <c r="Z69" i="19"/>
  <c r="AC69" i="19"/>
  <c r="V69" i="19"/>
  <c r="AB69" i="19"/>
  <c r="U69" i="19"/>
  <c r="Y69" i="19"/>
  <c r="T69" i="19"/>
  <c r="AG69" i="19"/>
  <c r="X69" i="19"/>
  <c r="AG23" i="19"/>
  <c r="AC23" i="19"/>
  <c r="Y23" i="19"/>
  <c r="U23" i="19"/>
  <c r="AD23" i="19"/>
  <c r="S24" i="19"/>
  <c r="AF23" i="19"/>
  <c r="AB23" i="19"/>
  <c r="X23" i="19"/>
  <c r="T23" i="19"/>
  <c r="AH23" i="19"/>
  <c r="V23" i="19"/>
  <c r="AI23" i="19"/>
  <c r="AE23" i="19"/>
  <c r="AA23" i="19"/>
  <c r="W23" i="19"/>
  <c r="Z23" i="19"/>
  <c r="AG53" i="19"/>
  <c r="AC53" i="19"/>
  <c r="Y53" i="19"/>
  <c r="U53" i="19"/>
  <c r="S54" i="19"/>
  <c r="AF53" i="19"/>
  <c r="AB53" i="19"/>
  <c r="X53" i="19"/>
  <c r="T53" i="19"/>
  <c r="AI53" i="19"/>
  <c r="AE53" i="19"/>
  <c r="AA53" i="19"/>
  <c r="W53" i="19"/>
  <c r="AD53" i="19"/>
  <c r="Z53" i="19"/>
  <c r="AH53" i="19"/>
  <c r="V53" i="19"/>
  <c r="F1" i="19"/>
  <c r="E2" i="19"/>
  <c r="S6" i="13"/>
  <c r="T6" i="13" s="1"/>
  <c r="K47" i="11"/>
  <c r="J47" i="11"/>
  <c r="D9" i="7"/>
  <c r="D17" i="7"/>
  <c r="D25" i="7"/>
  <c r="D7" i="7"/>
  <c r="C7" i="9" s="1" a="1"/>
  <c r="C7" i="9" s="1"/>
  <c r="D15" i="7"/>
  <c r="D23" i="7"/>
  <c r="D32" i="7"/>
  <c r="D119" i="7"/>
  <c r="C111" i="9" s="1" a="1"/>
  <c r="C111" i="9" s="1"/>
  <c r="D5" i="7"/>
  <c r="D13" i="7"/>
  <c r="D21" i="7"/>
  <c r="D30" i="7"/>
  <c r="D1" i="9"/>
  <c r="C125" i="9" a="1"/>
  <c r="C125" i="9" s="1"/>
  <c r="C120" i="9" a="1"/>
  <c r="C120" i="9" s="1"/>
  <c r="C113" i="9" a="1"/>
  <c r="C113" i="9" s="1"/>
  <c r="C98" i="9" a="1"/>
  <c r="C98" i="9" s="1"/>
  <c r="C59" i="9" a="1"/>
  <c r="C59" i="9" s="1"/>
  <c r="C20" i="9" a="1"/>
  <c r="C20" i="9" s="1"/>
  <c r="C18" i="9" a="1"/>
  <c r="C18" i="9" s="1"/>
  <c r="C16" i="9" a="1"/>
  <c r="C16" i="9" s="1"/>
  <c r="C9" i="9" a="1"/>
  <c r="C9" i="9" s="1"/>
  <c r="C8" i="9" a="1"/>
  <c r="C8" i="9" s="1"/>
  <c r="C5" i="9" a="1"/>
  <c r="C5" i="9" s="1"/>
  <c r="C34" i="9" a="1"/>
  <c r="C34" i="9" s="1"/>
  <c r="C3" i="9" a="1"/>
  <c r="C3" i="9" s="1"/>
  <c r="C2" i="9"/>
  <c r="C22" i="9" a="1"/>
  <c r="C22" i="9" s="1"/>
  <c r="C30" i="9" a="1"/>
  <c r="C30" i="9" s="1"/>
  <c r="F101" i="14" a="1"/>
  <c r="F101" i="14" s="1"/>
  <c r="E1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2" i="12"/>
  <c r="D113" i="12"/>
  <c r="D111" i="12"/>
  <c r="D109" i="12"/>
  <c r="D107" i="12"/>
  <c r="D105" i="12"/>
  <c r="D103" i="12"/>
  <c r="D114" i="12"/>
  <c r="D112" i="12"/>
  <c r="D110" i="12"/>
  <c r="D108" i="12"/>
  <c r="D106" i="12"/>
  <c r="D10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M86" i="14" s="1" a="1"/>
  <c r="M86" i="14" s="1"/>
  <c r="D55" i="12"/>
  <c r="M70" i="14" s="1" a="1"/>
  <c r="M70" i="14" s="1"/>
  <c r="D54" i="12"/>
  <c r="M54" i="14" s="1" a="1"/>
  <c r="M54" i="14" s="1"/>
  <c r="D53" i="12"/>
  <c r="M38" i="14" s="1" a="1"/>
  <c r="M38" i="14" s="1"/>
  <c r="D52" i="12"/>
  <c r="M22" i="14" s="1" a="1"/>
  <c r="M22" i="14" s="1"/>
  <c r="D51" i="12"/>
  <c r="M6" i="14" s="1" a="1"/>
  <c r="M6" i="14" s="1"/>
  <c r="D50" i="12"/>
  <c r="D49" i="12"/>
  <c r="K102" i="14" s="1" a="1"/>
  <c r="K102" i="14" s="1"/>
  <c r="D48" i="12"/>
  <c r="K86" i="14" s="1" a="1"/>
  <c r="K86" i="14" s="1"/>
  <c r="D47" i="12"/>
  <c r="K70" i="14" s="1" a="1"/>
  <c r="K70" i="14" s="1"/>
  <c r="D46" i="12"/>
  <c r="K54" i="14" s="1" a="1"/>
  <c r="K54" i="14" s="1"/>
  <c r="D45" i="12"/>
  <c r="K38" i="14" s="1" a="1"/>
  <c r="K38" i="14" s="1"/>
  <c r="D44" i="12"/>
  <c r="K22" i="14" s="1" a="1"/>
  <c r="K22" i="14" s="1"/>
  <c r="D43" i="12"/>
  <c r="K6" i="14" s="1" a="1"/>
  <c r="K6" i="14" s="1"/>
  <c r="D42" i="12"/>
  <c r="J118" i="14" s="1" a="1"/>
  <c r="J118" i="14" s="1"/>
  <c r="D41" i="12"/>
  <c r="J102" i="14" s="1" a="1"/>
  <c r="J102" i="14" s="1"/>
  <c r="D40" i="12"/>
  <c r="J86" i="14" s="1" a="1"/>
  <c r="J86" i="14" s="1"/>
  <c r="D39" i="12"/>
  <c r="J70" i="14" s="1" a="1"/>
  <c r="J70" i="14" s="1"/>
  <c r="D38" i="12"/>
  <c r="J54" i="14" s="1" a="1"/>
  <c r="J54" i="14" s="1"/>
  <c r="D37" i="12"/>
  <c r="J38" i="14" s="1" a="1"/>
  <c r="J38" i="14" s="1"/>
  <c r="D36" i="12"/>
  <c r="J22" i="14" s="1" a="1"/>
  <c r="J22" i="14" s="1"/>
  <c r="D35" i="12"/>
  <c r="J6" i="14" s="1" a="1"/>
  <c r="J6" i="14" s="1"/>
  <c r="D34" i="12"/>
  <c r="H118" i="14" s="1" a="1"/>
  <c r="H118" i="14" s="1"/>
  <c r="D33" i="12"/>
  <c r="H102" i="14" s="1" a="1"/>
  <c r="H102" i="14" s="1"/>
  <c r="D83" i="12"/>
  <c r="D79" i="12"/>
  <c r="D75" i="12"/>
  <c r="D81" i="12"/>
  <c r="D76" i="12"/>
  <c r="D82" i="12"/>
  <c r="D32" i="12"/>
  <c r="H86" i="14" s="1" a="1"/>
  <c r="H86" i="14" s="1"/>
  <c r="D31" i="12"/>
  <c r="H70" i="14" s="1" a="1"/>
  <c r="H70" i="14" s="1"/>
  <c r="D30" i="12"/>
  <c r="H54" i="14" s="1" a="1"/>
  <c r="H54" i="14" s="1"/>
  <c r="D29" i="12"/>
  <c r="H38" i="14" s="1" a="1"/>
  <c r="H38" i="14" s="1"/>
  <c r="D28" i="12"/>
  <c r="H22" i="14" s="1" a="1"/>
  <c r="H22" i="14" s="1"/>
  <c r="D27" i="12"/>
  <c r="H6" i="14" s="1" a="1"/>
  <c r="H6" i="14" s="1"/>
  <c r="D26" i="12"/>
  <c r="G118" i="14" s="1" a="1"/>
  <c r="G118" i="14" s="1"/>
  <c r="D25" i="12"/>
  <c r="G102" i="14" s="1" a="1"/>
  <c r="G102" i="14" s="1"/>
  <c r="D24" i="12"/>
  <c r="G86" i="14" s="1" a="1"/>
  <c r="G86" i="14" s="1"/>
  <c r="D23" i="12"/>
  <c r="G70" i="14" s="1" a="1"/>
  <c r="G70" i="14" s="1"/>
  <c r="D22" i="12"/>
  <c r="G54" i="14" s="1" a="1"/>
  <c r="G54" i="14" s="1"/>
  <c r="D21" i="12"/>
  <c r="G38" i="14" s="1" a="1"/>
  <c r="G38" i="14" s="1"/>
  <c r="D20" i="12"/>
  <c r="G22" i="14" s="1" a="1"/>
  <c r="G22" i="14" s="1"/>
  <c r="D19" i="12"/>
  <c r="G6" i="14" s="1" a="1"/>
  <c r="G6" i="14" s="1"/>
  <c r="D18" i="12"/>
  <c r="E118" i="14" s="1" a="1"/>
  <c r="E118" i="14" s="1"/>
  <c r="D17" i="12"/>
  <c r="D16" i="12"/>
  <c r="E86" i="14" s="1" a="1"/>
  <c r="E86" i="14" s="1"/>
  <c r="D15" i="12"/>
  <c r="E70" i="14" s="1" a="1"/>
  <c r="E70" i="14" s="1"/>
  <c r="D14" i="12"/>
  <c r="E54" i="14" s="1" a="1"/>
  <c r="E54" i="14" s="1"/>
  <c r="D13" i="12"/>
  <c r="D12" i="12"/>
  <c r="E22" i="14" s="1" a="1"/>
  <c r="E22" i="14" s="1"/>
  <c r="D11" i="12"/>
  <c r="E6" i="14" s="1" a="1"/>
  <c r="E6" i="14" s="1"/>
  <c r="D118" i="14" a="1"/>
  <c r="D118" i="14" s="1"/>
  <c r="D80" i="12"/>
  <c r="D77" i="12"/>
  <c r="D74" i="12"/>
  <c r="D9" i="12"/>
  <c r="D102" i="14" s="1" a="1"/>
  <c r="D102" i="14" s="1"/>
  <c r="D8" i="12"/>
  <c r="D86" i="14" s="1" a="1"/>
  <c r="D86" i="14" s="1"/>
  <c r="D7" i="12"/>
  <c r="D70" i="14" s="1" a="1"/>
  <c r="D70" i="14" s="1"/>
  <c r="D6" i="12"/>
  <c r="D54" i="14" s="1" a="1"/>
  <c r="D54" i="14" s="1"/>
  <c r="D5" i="12"/>
  <c r="D38" i="14" s="1" a="1"/>
  <c r="D38" i="14" s="1"/>
  <c r="D4" i="12"/>
  <c r="D22" i="14" s="1" a="1"/>
  <c r="D22" i="14" s="1"/>
  <c r="D3" i="12"/>
  <c r="D6" i="14" s="1" a="1"/>
  <c r="D6" i="14" s="1"/>
  <c r="D78" i="12"/>
  <c r="P2" i="14"/>
  <c r="M118" i="14" a="1"/>
  <c r="M118" i="14" s="1"/>
  <c r="M102" i="14" a="1"/>
  <c r="M102" i="14" s="1"/>
  <c r="K118" i="14" a="1"/>
  <c r="K118" i="14" s="1"/>
  <c r="N2" i="14"/>
  <c r="J117" i="14" a="1"/>
  <c r="J117" i="14" s="1"/>
  <c r="L117" i="14" s="1" a="1"/>
  <c r="L117" i="14" s="1"/>
  <c r="I85" i="14" a="1"/>
  <c r="I85" i="14" s="1"/>
  <c r="I5" i="14" a="1"/>
  <c r="I5" i="14" s="1"/>
  <c r="L6" i="14" a="1"/>
  <c r="L6" i="14" s="1"/>
  <c r="F21" i="14" a="1"/>
  <c r="F21" i="14" s="1"/>
  <c r="E5" i="14" a="1"/>
  <c r="E5" i="14" s="1"/>
  <c r="F5" i="14" s="1" a="1"/>
  <c r="F5" i="14" s="1"/>
  <c r="E38" i="14" a="1"/>
  <c r="E38" i="14" s="1"/>
  <c r="E102" i="14" a="1"/>
  <c r="E102" i="14" s="1"/>
  <c r="E37" i="14" a="1"/>
  <c r="E37" i="14" s="1"/>
  <c r="F37" i="14" s="1" a="1"/>
  <c r="F37" i="14" s="1"/>
  <c r="L5" i="14" a="1"/>
  <c r="L5" i="14" s="1"/>
  <c r="I6" i="14" a="1"/>
  <c r="I6" i="14" s="1"/>
  <c r="L102" i="14" a="1"/>
  <c r="L102" i="14" s="1"/>
  <c r="I21" i="14" a="1"/>
  <c r="I21" i="14" s="1"/>
  <c r="I22" i="14" a="1"/>
  <c r="I22" i="14" s="1"/>
  <c r="L38" i="14" a="1"/>
  <c r="L38" i="14" s="1"/>
  <c r="L21" i="14" a="1"/>
  <c r="L21" i="14" s="1"/>
  <c r="L37" i="14" a="1"/>
  <c r="L37" i="14" s="1"/>
  <c r="I69" i="14" a="1"/>
  <c r="I69" i="14" s="1"/>
  <c r="F53" i="14" a="1"/>
  <c r="F53" i="14" s="1"/>
  <c r="I53" i="14" a="1"/>
  <c r="I53" i="14" s="1"/>
  <c r="L69" i="14" a="1"/>
  <c r="L69" i="14" s="1"/>
  <c r="L53" i="14" a="1"/>
  <c r="L53" i="14" s="1"/>
  <c r="F69" i="14" a="1"/>
  <c r="F69" i="14" s="1"/>
  <c r="I117" i="14" a="1"/>
  <c r="I117" i="14" s="1"/>
  <c r="F117" i="14" a="1"/>
  <c r="F117" i="14" s="1"/>
  <c r="I101" i="14" a="1"/>
  <c r="I101" i="14" s="1"/>
  <c r="I37" i="14" a="1"/>
  <c r="I37" i="14" s="1"/>
  <c r="F85" i="14" a="1"/>
  <c r="F85" i="14" s="1"/>
  <c r="L85" i="14" a="1"/>
  <c r="L85" i="14" s="1"/>
  <c r="L101" i="14" a="1"/>
  <c r="L101" i="14" s="1"/>
  <c r="W4" i="10"/>
  <c r="AD5" i="21" s="1"/>
  <c r="AD22" i="21" s="1"/>
  <c r="AH22" i="21" s="1"/>
  <c r="AJ22" i="21" s="1"/>
  <c r="AK22" i="21" s="1" a="1"/>
  <c r="AK22" i="21" s="1"/>
  <c r="X4" i="10"/>
  <c r="AE5" i="21" s="1"/>
  <c r="AE35" i="21" s="1"/>
  <c r="AH35" i="21" s="1"/>
  <c r="AJ35" i="21" s="1"/>
  <c r="AK35" i="21" s="1" a="1"/>
  <c r="AK35" i="21" s="1"/>
  <c r="W11" i="10"/>
  <c r="AD12" i="21" s="1"/>
  <c r="AD29" i="21" s="1"/>
  <c r="X11" i="10"/>
  <c r="AE12" i="21" s="1"/>
  <c r="AE42" i="21" s="1"/>
  <c r="W5" i="10"/>
  <c r="AD6" i="21" s="1"/>
  <c r="AD23" i="21" s="1"/>
  <c r="AH23" i="21" s="1"/>
  <c r="AJ23" i="21" s="1"/>
  <c r="W7" i="10"/>
  <c r="AD8" i="21" s="1"/>
  <c r="AD25" i="21" s="1"/>
  <c r="W9" i="10"/>
  <c r="AD10" i="21" s="1"/>
  <c r="AD27" i="21" s="1"/>
  <c r="W13" i="10"/>
  <c r="AD14" i="21" s="1"/>
  <c r="AD31" i="21" s="1"/>
  <c r="X5" i="10"/>
  <c r="AE6" i="21" s="1"/>
  <c r="AE36" i="21" s="1"/>
  <c r="AH36" i="21" s="1"/>
  <c r="AJ36" i="21" s="1"/>
  <c r="X7" i="10"/>
  <c r="AE8" i="21" s="1"/>
  <c r="AE38" i="21" s="1"/>
  <c r="AH38" i="21" s="1"/>
  <c r="AJ38" i="21" s="1"/>
  <c r="X9" i="10"/>
  <c r="AE10" i="21" s="1"/>
  <c r="AE40" i="21" s="1"/>
  <c r="X13" i="10"/>
  <c r="AE14" i="21" s="1"/>
  <c r="AE44" i="21" s="1"/>
  <c r="W6" i="10"/>
  <c r="AD7" i="21" s="1"/>
  <c r="AD24" i="21" s="1"/>
  <c r="AH24" i="21" s="1"/>
  <c r="AJ24" i="21" s="1"/>
  <c r="W8" i="10"/>
  <c r="AD9" i="21" s="1"/>
  <c r="AD26" i="21" s="1"/>
  <c r="W10" i="10"/>
  <c r="AD11" i="21" s="1"/>
  <c r="AD28" i="21" s="1"/>
  <c r="W12" i="10"/>
  <c r="AD13" i="21" s="1"/>
  <c r="AD30" i="21" s="1"/>
  <c r="W14" i="10"/>
  <c r="AD15" i="21" s="1"/>
  <c r="AD32" i="21" s="1"/>
  <c r="X6" i="10"/>
  <c r="AE7" i="21" s="1"/>
  <c r="AE37" i="21" s="1"/>
  <c r="AH37" i="21" s="1"/>
  <c r="AJ37" i="21" s="1"/>
  <c r="AL37" i="21" s="1"/>
  <c r="AM37" i="21" s="1" a="1"/>
  <c r="AM37" i="21" s="1"/>
  <c r="X8" i="10"/>
  <c r="AE9" i="21" s="1"/>
  <c r="AE39" i="21" s="1"/>
  <c r="X10" i="10"/>
  <c r="AE11" i="21" s="1"/>
  <c r="AE41" i="21" s="1"/>
  <c r="X12" i="10"/>
  <c r="AE13" i="21" s="1"/>
  <c r="AE43" i="21" s="1"/>
  <c r="X14" i="10"/>
  <c r="AE15" i="21" s="1"/>
  <c r="AE45" i="21" s="1"/>
  <c r="C9" i="8"/>
  <c r="H7" i="8"/>
  <c r="D35" i="7"/>
  <c r="C33" i="9" s="1" a="1"/>
  <c r="C33" i="9" s="1"/>
  <c r="D33" i="7"/>
  <c r="C31" i="9" s="1" a="1"/>
  <c r="C31" i="9" s="1"/>
  <c r="D31" i="7"/>
  <c r="C29" i="9" s="1" a="1"/>
  <c r="C29" i="9" s="1"/>
  <c r="D29" i="7"/>
  <c r="D111" i="7"/>
  <c r="D36" i="7"/>
  <c r="D27" i="7"/>
  <c r="D4" i="7"/>
  <c r="C4" i="9" s="1" a="1"/>
  <c r="C4" i="9" s="1"/>
  <c r="D6" i="7"/>
  <c r="C6" i="9" s="1" a="1"/>
  <c r="C6" i="9" s="1"/>
  <c r="D8" i="7"/>
  <c r="D10" i="7"/>
  <c r="D12" i="7"/>
  <c r="D14" i="7"/>
  <c r="D16" i="7"/>
  <c r="D18" i="7"/>
  <c r="C17" i="9" s="1" a="1"/>
  <c r="C17" i="9" s="1"/>
  <c r="D20" i="7"/>
  <c r="C19" i="9" s="1" a="1"/>
  <c r="C19" i="9" s="1"/>
  <c r="D22" i="7"/>
  <c r="C21" i="9" s="1" a="1"/>
  <c r="C21" i="9" s="1"/>
  <c r="D24" i="7"/>
  <c r="D26" i="7"/>
  <c r="D34" i="7"/>
  <c r="C32" i="9" s="1" a="1"/>
  <c r="C32" i="9" s="1"/>
  <c r="E1" i="9"/>
  <c r="D2" i="9"/>
  <c r="D156" i="7"/>
  <c r="D152" i="7"/>
  <c r="D146" i="7"/>
  <c r="C136" i="9" s="1" a="1"/>
  <c r="C136" i="9" s="1"/>
  <c r="D142" i="7"/>
  <c r="D138" i="7"/>
  <c r="D135" i="7"/>
  <c r="C126" i="9" s="1" a="1"/>
  <c r="C126" i="9" s="1"/>
  <c r="D134" i="7"/>
  <c r="D133" i="7"/>
  <c r="C124" i="9" s="1" a="1"/>
  <c r="C124" i="9" s="1"/>
  <c r="D132" i="7"/>
  <c r="C123" i="9" s="1" a="1"/>
  <c r="C123" i="9" s="1"/>
  <c r="D131" i="7"/>
  <c r="C122" i="9" s="1" a="1"/>
  <c r="C122" i="9" s="1"/>
  <c r="D130" i="7"/>
  <c r="C121" i="9" s="1" a="1"/>
  <c r="C121" i="9" s="1"/>
  <c r="D129" i="7"/>
  <c r="D128" i="7"/>
  <c r="D127" i="7"/>
  <c r="D126" i="7"/>
  <c r="D125" i="7"/>
  <c r="D124" i="7"/>
  <c r="D155" i="7"/>
  <c r="D151" i="7"/>
  <c r="D145" i="7"/>
  <c r="C135" i="9" s="1" a="1"/>
  <c r="C135" i="9" s="1"/>
  <c r="D141" i="7"/>
  <c r="D137" i="7"/>
  <c r="D154" i="7"/>
  <c r="D150" i="7"/>
  <c r="D148" i="7"/>
  <c r="C138" i="9" s="1" a="1"/>
  <c r="C138" i="9" s="1"/>
  <c r="D144" i="7"/>
  <c r="C134" i="9" s="1" a="1"/>
  <c r="C134" i="9" s="1"/>
  <c r="D140" i="7"/>
  <c r="D136" i="7"/>
  <c r="D147" i="7"/>
  <c r="C137" i="9" s="1" a="1"/>
  <c r="C137" i="9" s="1"/>
  <c r="D143" i="7"/>
  <c r="C133" i="9" s="1" a="1"/>
  <c r="C133" i="9" s="1"/>
  <c r="D139" i="7"/>
  <c r="D123" i="7"/>
  <c r="D122" i="7"/>
  <c r="D118" i="7"/>
  <c r="C110" i="9" s="1" a="1"/>
  <c r="C110" i="9" s="1"/>
  <c r="D114" i="7"/>
  <c r="D110" i="7"/>
  <c r="D106" i="7"/>
  <c r="C99" i="9" s="1" a="1"/>
  <c r="C99" i="9" s="1"/>
  <c r="D103" i="7"/>
  <c r="C96" i="9" s="1" a="1"/>
  <c r="C96" i="9" s="1"/>
  <c r="D153" i="7"/>
  <c r="D121" i="7"/>
  <c r="D117" i="7"/>
  <c r="C109" i="9" s="1" a="1"/>
  <c r="C109" i="9" s="1"/>
  <c r="D113" i="7"/>
  <c r="D109" i="7"/>
  <c r="D102" i="7"/>
  <c r="C95" i="9" s="1" a="1"/>
  <c r="C95" i="9" s="1"/>
  <c r="D120" i="7"/>
  <c r="C112" i="9" s="1" a="1"/>
  <c r="C112" i="9" s="1"/>
  <c r="D116" i="7"/>
  <c r="C108" i="9" s="1" a="1"/>
  <c r="C108" i="9" s="1"/>
  <c r="D112" i="7"/>
  <c r="D108" i="7"/>
  <c r="D101" i="7"/>
  <c r="C94" i="9" s="1" a="1"/>
  <c r="C94" i="9" s="1"/>
  <c r="D100" i="7"/>
  <c r="D99" i="7"/>
  <c r="D98" i="7"/>
  <c r="D97" i="7"/>
  <c r="D96" i="7"/>
  <c r="D95" i="7"/>
  <c r="D94" i="7"/>
  <c r="D93" i="7"/>
  <c r="C87" i="9" s="1" a="1"/>
  <c r="C87" i="9" s="1"/>
  <c r="D92" i="7"/>
  <c r="C86" i="9" s="1" a="1"/>
  <c r="C86" i="9" s="1"/>
  <c r="D91" i="7"/>
  <c r="C85" i="9" s="1" a="1"/>
  <c r="C85" i="9" s="1"/>
  <c r="D90" i="7"/>
  <c r="C84" i="9" s="1" a="1"/>
  <c r="C84" i="9" s="1"/>
  <c r="D89" i="7"/>
  <c r="C83" i="9" s="1" a="1"/>
  <c r="C83" i="9" s="1"/>
  <c r="D88" i="7"/>
  <c r="C82" i="9" s="1" a="1"/>
  <c r="C82" i="9" s="1"/>
  <c r="D87" i="7"/>
  <c r="C81" i="9" s="1" a="1"/>
  <c r="C81" i="9" s="1"/>
  <c r="D86" i="7"/>
  <c r="D85" i="7"/>
  <c r="D84" i="7"/>
  <c r="D83" i="7"/>
  <c r="D82" i="7"/>
  <c r="D81" i="7"/>
  <c r="D80" i="7"/>
  <c r="D79" i="7"/>
  <c r="C74" i="9" s="1" a="1"/>
  <c r="C74" i="9" s="1"/>
  <c r="D78" i="7"/>
  <c r="C73" i="9" s="1" a="1"/>
  <c r="C73" i="9" s="1"/>
  <c r="D77" i="7"/>
  <c r="C72" i="9" s="1" a="1"/>
  <c r="C72" i="9" s="1"/>
  <c r="D76" i="7"/>
  <c r="C71" i="9" s="1" a="1"/>
  <c r="C71" i="9" s="1"/>
  <c r="D75" i="7"/>
  <c r="C70" i="9" s="1" a="1"/>
  <c r="C70" i="9" s="1"/>
  <c r="D74" i="7"/>
  <c r="C69" i="9" s="1" a="1"/>
  <c r="C69" i="9" s="1"/>
  <c r="D73" i="7"/>
  <c r="C68" i="9" s="1" a="1"/>
  <c r="C68" i="9" s="1"/>
  <c r="D72" i="7"/>
  <c r="D71" i="7"/>
  <c r="D70" i="7"/>
  <c r="D149" i="7"/>
  <c r="C139" i="9" s="1" a="1"/>
  <c r="C139" i="9" s="1"/>
  <c r="D69" i="7"/>
  <c r="D68" i="7"/>
  <c r="D67" i="7"/>
  <c r="D66" i="7"/>
  <c r="D65" i="7"/>
  <c r="C61" i="9" s="1" a="1"/>
  <c r="C61" i="9" s="1"/>
  <c r="D64" i="7"/>
  <c r="C60" i="9" s="1" a="1"/>
  <c r="C60" i="9" s="1"/>
  <c r="D63" i="7"/>
  <c r="D62" i="7"/>
  <c r="C58" i="9" s="1" a="1"/>
  <c r="C58" i="9" s="1"/>
  <c r="D61" i="7"/>
  <c r="C57" i="9" s="1" a="1"/>
  <c r="C57" i="9" s="1"/>
  <c r="D60" i="7"/>
  <c r="C56" i="9" s="1" a="1"/>
  <c r="C56" i="9" s="1"/>
  <c r="D59" i="7"/>
  <c r="C55" i="9" s="1" a="1"/>
  <c r="C55" i="9" s="1"/>
  <c r="D58" i="7"/>
  <c r="D57" i="7"/>
  <c r="D56" i="7"/>
  <c r="D55" i="7"/>
  <c r="D54" i="7"/>
  <c r="D53" i="7"/>
  <c r="D52" i="7"/>
  <c r="D51" i="7"/>
  <c r="C48" i="9" s="1" a="1"/>
  <c r="C48" i="9" s="1"/>
  <c r="D50" i="7"/>
  <c r="C47" i="9" s="1" a="1"/>
  <c r="C47" i="9" s="1"/>
  <c r="D49" i="7"/>
  <c r="C46" i="9" s="1" a="1"/>
  <c r="C46" i="9" s="1"/>
  <c r="D48" i="7"/>
  <c r="C45" i="9" s="1" a="1"/>
  <c r="C45" i="9" s="1"/>
  <c r="D47" i="7"/>
  <c r="C44" i="9" s="1" a="1"/>
  <c r="C44" i="9" s="1"/>
  <c r="D46" i="7"/>
  <c r="C43" i="9" s="1" a="1"/>
  <c r="C43" i="9" s="1"/>
  <c r="D45" i="7"/>
  <c r="C42" i="9" s="1" a="1"/>
  <c r="C42" i="9" s="1"/>
  <c r="D44" i="7"/>
  <c r="D43" i="7"/>
  <c r="D42" i="7"/>
  <c r="D41" i="7"/>
  <c r="D40" i="7"/>
  <c r="D39" i="7"/>
  <c r="D38" i="7"/>
  <c r="D37" i="7"/>
  <c r="C35" i="9" s="1" a="1"/>
  <c r="C35" i="9" s="1"/>
  <c r="D105" i="7"/>
  <c r="D107" i="7"/>
  <c r="C100" i="9" s="1" a="1"/>
  <c r="C100" i="9" s="1"/>
  <c r="D115" i="7"/>
  <c r="C107" i="9" s="1" a="1"/>
  <c r="C107" i="9" s="1"/>
  <c r="E2" i="7"/>
  <c r="D104" i="7"/>
  <c r="C97" i="9" s="1" a="1"/>
  <c r="C97" i="9" s="1"/>
  <c r="X7" i="5" a="1"/>
  <c r="U7" i="4"/>
  <c r="X13" i="6" a="1"/>
  <c r="T6" i="4"/>
  <c r="U13" i="4"/>
  <c r="T8" i="1"/>
  <c r="W8" i="6" a="1"/>
  <c r="W10" i="1" a="1"/>
  <c r="X7" i="1" a="1"/>
  <c r="W7" i="4" a="1"/>
  <c r="U14" i="1"/>
  <c r="W5" i="5" a="1"/>
  <c r="U5" i="6"/>
  <c r="T12" i="4"/>
  <c r="U10" i="5"/>
  <c r="U12" i="5"/>
  <c r="X4" i="5" a="1"/>
  <c r="W10" i="5" a="1"/>
  <c r="W7" i="5" a="1"/>
  <c r="T14" i="5"/>
  <c r="W12" i="6" a="1"/>
  <c r="U8" i="5"/>
  <c r="T7" i="5"/>
  <c r="T6" i="1"/>
  <c r="X5" i="1" a="1"/>
  <c r="T14" i="6"/>
  <c r="X9" i="5" a="1"/>
  <c r="W6" i="5" a="1"/>
  <c r="W4" i="4" a="1"/>
  <c r="T10" i="6"/>
  <c r="X14" i="6" a="1"/>
  <c r="W7" i="6" a="1"/>
  <c r="W14" i="5" a="1"/>
  <c r="U7" i="1"/>
  <c r="W8" i="4" a="1"/>
  <c r="W9" i="5" a="1"/>
  <c r="X6" i="4" a="1"/>
  <c r="U9" i="5"/>
  <c r="X10" i="4" a="1"/>
  <c r="W5" i="1" a="1"/>
  <c r="U11" i="4"/>
  <c r="T12" i="1"/>
  <c r="U14" i="4"/>
  <c r="X8" i="4" a="1"/>
  <c r="T11" i="6"/>
  <c r="U8" i="1"/>
  <c r="X12" i="4" a="1"/>
  <c r="U8" i="6"/>
  <c r="W11" i="6" a="1"/>
  <c r="X11" i="1" a="1"/>
  <c r="X5" i="6" a="1"/>
  <c r="W4" i="5" a="1"/>
  <c r="U9" i="1"/>
  <c r="W14" i="4" a="1"/>
  <c r="T11" i="4"/>
  <c r="W12" i="1" a="1"/>
  <c r="U14" i="5"/>
  <c r="X12" i="1" a="1"/>
  <c r="T9" i="6"/>
  <c r="X11" i="4" a="1"/>
  <c r="X13" i="1" a="1"/>
  <c r="T5" i="6"/>
  <c r="W14" i="1" a="1"/>
  <c r="X13" i="5" a="1"/>
  <c r="T4" i="1"/>
  <c r="T5" i="4"/>
  <c r="X14" i="4" a="1"/>
  <c r="U11" i="1"/>
  <c r="W6" i="4" a="1"/>
  <c r="T11" i="1"/>
  <c r="T11" i="5"/>
  <c r="W13" i="1" a="1"/>
  <c r="X5" i="4" a="1"/>
  <c r="T4" i="4"/>
  <c r="U4" i="5"/>
  <c r="U13" i="1"/>
  <c r="T10" i="1"/>
  <c r="X6" i="1" a="1"/>
  <c r="U13" i="6"/>
  <c r="X5" i="5" a="1"/>
  <c r="T13" i="5"/>
  <c r="X4" i="4" a="1"/>
  <c r="X14" i="5" a="1"/>
  <c r="W6" i="6" a="1"/>
  <c r="T5" i="1"/>
  <c r="T14" i="4"/>
  <c r="X9" i="1" a="1"/>
  <c r="T5" i="5"/>
  <c r="T12" i="5"/>
  <c r="W10" i="4" a="1"/>
  <c r="X12" i="5" a="1"/>
  <c r="T4" i="6"/>
  <c r="X11" i="6" a="1"/>
  <c r="W11" i="1" a="1"/>
  <c r="T7" i="4"/>
  <c r="X8" i="1" a="1"/>
  <c r="X11" i="5" a="1"/>
  <c r="W4" i="1" a="1"/>
  <c r="W11" i="4" a="1"/>
  <c r="W5" i="4" a="1"/>
  <c r="X9" i="6" a="1"/>
  <c r="U9" i="4"/>
  <c r="U5" i="5"/>
  <c r="X7" i="4" a="1"/>
  <c r="U4" i="6"/>
  <c r="U13" i="5"/>
  <c r="W13" i="4" a="1"/>
  <c r="X4" i="6" a="1"/>
  <c r="T12" i="6"/>
  <c r="X6" i="5" a="1"/>
  <c r="U5" i="1"/>
  <c r="U9" i="6"/>
  <c r="T13" i="4"/>
  <c r="U5" i="4"/>
  <c r="T10" i="4"/>
  <c r="U10" i="1"/>
  <c r="U12" i="6"/>
  <c r="T9" i="1"/>
  <c r="U12" i="1"/>
  <c r="W12" i="5" a="1"/>
  <c r="W7" i="1" a="1"/>
  <c r="U7" i="5"/>
  <c r="U11" i="5"/>
  <c r="W12" i="4" a="1"/>
  <c r="T9" i="5"/>
  <c r="U10" i="4"/>
  <c r="U10" i="6"/>
  <c r="T8" i="4"/>
  <c r="T6" i="6"/>
  <c r="U6" i="1"/>
  <c r="U6" i="6"/>
  <c r="U6" i="5"/>
  <c r="T8" i="5"/>
  <c r="W14" i="6" a="1"/>
  <c r="W8" i="5" a="1"/>
  <c r="T7" i="1"/>
  <c r="X12" i="6" a="1"/>
  <c r="W13" i="5" a="1"/>
  <c r="W8" i="1" a="1"/>
  <c r="T4" i="5"/>
  <c r="U4" i="4"/>
  <c r="W6" i="1" a="1"/>
  <c r="W13" i="6" a="1"/>
  <c r="W10" i="6" a="1"/>
  <c r="U4" i="1"/>
  <c r="X4" i="1" a="1"/>
  <c r="W9" i="1" a="1"/>
  <c r="T8" i="6"/>
  <c r="U8" i="4"/>
  <c r="U7" i="6"/>
  <c r="U12" i="4"/>
  <c r="T10" i="5"/>
  <c r="X14" i="1" a="1"/>
  <c r="U14" i="6"/>
  <c r="X6" i="6" a="1"/>
  <c r="X10" i="5" a="1"/>
  <c r="W4" i="6" a="1"/>
  <c r="T7" i="6"/>
  <c r="U11" i="6"/>
  <c r="T13" i="1"/>
  <c r="T13" i="6"/>
  <c r="X8" i="5" a="1"/>
  <c r="X13" i="4" a="1"/>
  <c r="W9" i="4" a="1"/>
  <c r="X9" i="4" a="1"/>
  <c r="T14" i="1"/>
  <c r="X8" i="6" a="1"/>
  <c r="X10" i="6" a="1"/>
  <c r="W11" i="5" a="1"/>
  <c r="T6" i="5"/>
  <c r="U6" i="4"/>
  <c r="T9" i="4"/>
  <c r="W5" i="6" a="1"/>
  <c r="X10" i="1" a="1"/>
  <c r="W9" i="6" a="1"/>
  <c r="X7" i="6" a="1"/>
  <c r="AH39" i="21" l="1"/>
  <c r="AJ39" i="21" s="1"/>
  <c r="AL39" i="21" s="1"/>
  <c r="AM39" i="21" s="1" a="1"/>
  <c r="AM39" i="21" s="1"/>
  <c r="AL24" i="21"/>
  <c r="AM24" i="21" s="1" a="1"/>
  <c r="AM24" i="21" s="1"/>
  <c r="AK24" i="21" a="1"/>
  <c r="AK24" i="21" s="1"/>
  <c r="AL35" i="21"/>
  <c r="AM35" i="21" s="1" a="1"/>
  <c r="AM35" i="21" s="1"/>
  <c r="AN35" i="21" s="1"/>
  <c r="AP35" i="21" s="1"/>
  <c r="AR35" i="21" s="1" a="1"/>
  <c r="AR35" i="21" s="1"/>
  <c r="AS35" i="21" s="1"/>
  <c r="AT35" i="21" s="1"/>
  <c r="AK37" i="21" a="1"/>
  <c r="AK37" i="21" s="1"/>
  <c r="AN37" i="21" s="1"/>
  <c r="AP37" i="21" s="1"/>
  <c r="AR37" i="21" s="1" a="1"/>
  <c r="AR37" i="21" s="1"/>
  <c r="AS37" i="21" s="1"/>
  <c r="AT37" i="21" s="1"/>
  <c r="AL38" i="21"/>
  <c r="AM38" i="21" s="1" a="1"/>
  <c r="AM38" i="21" s="1"/>
  <c r="AK38" i="21" a="1"/>
  <c r="AK38" i="21" s="1"/>
  <c r="AH25" i="21"/>
  <c r="AJ25" i="21" s="1"/>
  <c r="AL25" i="21" s="1"/>
  <c r="AM25" i="21" s="1" a="1"/>
  <c r="AM25" i="21" s="1"/>
  <c r="AL36" i="21"/>
  <c r="AM36" i="21" s="1" a="1"/>
  <c r="AM36" i="21" s="1"/>
  <c r="AK36" i="21" a="1"/>
  <c r="AK36" i="21" s="1"/>
  <c r="AK23" i="21" a="1"/>
  <c r="AK23" i="21" s="1"/>
  <c r="AL23" i="21"/>
  <c r="AM23" i="21" s="1" a="1"/>
  <c r="AM23" i="21" s="1"/>
  <c r="AL22" i="21"/>
  <c r="AM22" i="21" s="1" a="1"/>
  <c r="AM22" i="21" s="1"/>
  <c r="AN22" i="21" s="1"/>
  <c r="AP22" i="21" s="1"/>
  <c r="AQ22" i="21" s="1" a="1"/>
  <c r="AQ22" i="21" s="1"/>
  <c r="AQ52" i="21" s="1"/>
  <c r="BC52" i="21" s="1"/>
  <c r="BF52" i="21" s="1"/>
  <c r="BI52" i="21" s="1"/>
  <c r="AK39" i="21" a="1"/>
  <c r="AK39" i="21" s="1"/>
  <c r="B27" i="21"/>
  <c r="B40" i="21" s="1"/>
  <c r="AG40" i="21" s="1" a="1"/>
  <c r="AG40" i="21" s="1"/>
  <c r="AH40" i="21" s="1"/>
  <c r="AJ40" i="21" s="1"/>
  <c r="AG26" i="21" a="1"/>
  <c r="AG26" i="21" s="1"/>
  <c r="AH26" i="21" s="1"/>
  <c r="AJ26" i="21" s="1"/>
  <c r="T42" i="13"/>
  <c r="W42" i="13" s="1"/>
  <c r="Y42" i="13" s="1"/>
  <c r="T32" i="13"/>
  <c r="T28" i="13"/>
  <c r="T18" i="13"/>
  <c r="W18" i="13" s="1"/>
  <c r="W31" i="13" s="1"/>
  <c r="T14" i="13"/>
  <c r="W14" i="13" s="1"/>
  <c r="W27" i="13" s="1"/>
  <c r="T19" i="13"/>
  <c r="W19" i="13" s="1"/>
  <c r="W32" i="13" s="1"/>
  <c r="T45" i="13"/>
  <c r="W45" i="13" s="1"/>
  <c r="Y45" i="13" s="1"/>
  <c r="T41" i="13"/>
  <c r="W41" i="13" s="1"/>
  <c r="Y41" i="13" s="1"/>
  <c r="T31" i="13"/>
  <c r="T27" i="13"/>
  <c r="T17" i="13"/>
  <c r="W17" i="13" s="1"/>
  <c r="W30" i="13" s="1"/>
  <c r="T13" i="13"/>
  <c r="W13" i="13" s="1"/>
  <c r="W26" i="13" s="1"/>
  <c r="T43" i="13"/>
  <c r="W43" i="13" s="1"/>
  <c r="Y43" i="13" s="1"/>
  <c r="T29" i="13"/>
  <c r="T44" i="13"/>
  <c r="W44" i="13" s="1"/>
  <c r="Y44" i="13" s="1"/>
  <c r="T40" i="13"/>
  <c r="W40" i="13" s="1"/>
  <c r="Y40" i="13" s="1"/>
  <c r="T30" i="13"/>
  <c r="T26" i="13"/>
  <c r="T16" i="13"/>
  <c r="W16" i="13" s="1"/>
  <c r="W29" i="13" s="1"/>
  <c r="T39" i="13"/>
  <c r="W39" i="13" s="1"/>
  <c r="Y39" i="13" s="1"/>
  <c r="T15" i="13"/>
  <c r="W15" i="13" s="1"/>
  <c r="W28" i="13" s="1"/>
  <c r="AI70" i="19"/>
  <c r="AE70" i="19"/>
  <c r="AA70" i="19"/>
  <c r="W70" i="19"/>
  <c r="AH70" i="19"/>
  <c r="AD70" i="19"/>
  <c r="Z70" i="19"/>
  <c r="V70" i="19"/>
  <c r="AG70" i="19"/>
  <c r="AC70" i="19"/>
  <c r="Y70" i="19"/>
  <c r="U70" i="19"/>
  <c r="AB70" i="19"/>
  <c r="X70" i="19"/>
  <c r="S71" i="19"/>
  <c r="T70" i="19"/>
  <c r="AF70" i="19"/>
  <c r="S102" i="19"/>
  <c r="AF101" i="19"/>
  <c r="AB101" i="19"/>
  <c r="X101" i="19"/>
  <c r="T101" i="19"/>
  <c r="AI101" i="19"/>
  <c r="AE101" i="19"/>
  <c r="AA101" i="19"/>
  <c r="W101" i="19"/>
  <c r="AH101" i="19"/>
  <c r="Z101" i="19"/>
  <c r="AG101" i="19"/>
  <c r="Y101" i="19"/>
  <c r="AD101" i="19"/>
  <c r="V101" i="19"/>
  <c r="AC101" i="19"/>
  <c r="U101" i="19"/>
  <c r="S55" i="19"/>
  <c r="AF54" i="19"/>
  <c r="AB54" i="19"/>
  <c r="X54" i="19"/>
  <c r="T54" i="19"/>
  <c r="AI54" i="19"/>
  <c r="AE54" i="19"/>
  <c r="AA54" i="19"/>
  <c r="W54" i="19"/>
  <c r="AH54" i="19"/>
  <c r="AD54" i="19"/>
  <c r="Z54" i="19"/>
  <c r="V54" i="19"/>
  <c r="AC54" i="19"/>
  <c r="AG54" i="19"/>
  <c r="Y54" i="19"/>
  <c r="U54" i="19"/>
  <c r="S25" i="19"/>
  <c r="AF24" i="19"/>
  <c r="AB24" i="19"/>
  <c r="X24" i="19"/>
  <c r="T24" i="19"/>
  <c r="Y24" i="19"/>
  <c r="AI24" i="19"/>
  <c r="AE24" i="19"/>
  <c r="AA24" i="19"/>
  <c r="W24" i="19"/>
  <c r="AC24" i="19"/>
  <c r="AH24" i="19"/>
  <c r="AD24" i="19"/>
  <c r="Z24" i="19"/>
  <c r="V24" i="19"/>
  <c r="AG24" i="19"/>
  <c r="U24" i="19"/>
  <c r="S86" i="19"/>
  <c r="AF85" i="19"/>
  <c r="AB85" i="19"/>
  <c r="AI85" i="19"/>
  <c r="AE85" i="19"/>
  <c r="AA85" i="19"/>
  <c r="W85" i="19"/>
  <c r="AH85" i="19"/>
  <c r="AD85" i="19"/>
  <c r="Z85" i="19"/>
  <c r="V85" i="19"/>
  <c r="AC85" i="19"/>
  <c r="T85" i="19"/>
  <c r="Y85" i="19"/>
  <c r="X85" i="19"/>
  <c r="AG85" i="19"/>
  <c r="U85" i="19"/>
  <c r="S39" i="19"/>
  <c r="AF38" i="19"/>
  <c r="AB38" i="19"/>
  <c r="X38" i="19"/>
  <c r="T38" i="19"/>
  <c r="AI38" i="19"/>
  <c r="AE38" i="19"/>
  <c r="AA38" i="19"/>
  <c r="W38" i="19"/>
  <c r="AH38" i="19"/>
  <c r="AD38" i="19"/>
  <c r="Z38" i="19"/>
  <c r="V38" i="19"/>
  <c r="AC38" i="19"/>
  <c r="AG38" i="19"/>
  <c r="Y38" i="19"/>
  <c r="U38" i="19"/>
  <c r="G1" i="19"/>
  <c r="F2" i="19"/>
  <c r="F54" i="14" a="1"/>
  <c r="F54" i="14" s="1"/>
  <c r="L54" i="14" a="1"/>
  <c r="L54" i="14" s="1"/>
  <c r="I86" i="14" a="1"/>
  <c r="I86" i="14" s="1"/>
  <c r="L118" i="14" a="1"/>
  <c r="L118" i="14" s="1"/>
  <c r="F6" i="14" a="1"/>
  <c r="F6" i="14" s="1"/>
  <c r="I118" i="14" a="1"/>
  <c r="I118" i="14" s="1"/>
  <c r="F22" i="14" a="1"/>
  <c r="F22" i="14" s="1"/>
  <c r="F86" i="14" a="1"/>
  <c r="F86" i="14" s="1"/>
  <c r="I38" i="14" a="1"/>
  <c r="I38" i="14" s="1"/>
  <c r="F118" i="14" a="1"/>
  <c r="F118" i="14" s="1"/>
  <c r="I102" i="14" a="1"/>
  <c r="I102" i="14" s="1"/>
  <c r="L70" i="14" a="1"/>
  <c r="L70" i="14" s="1"/>
  <c r="I54" i="14" a="1"/>
  <c r="I54" i="14" s="1"/>
  <c r="F70" i="14" a="1"/>
  <c r="F70" i="14" s="1"/>
  <c r="L22" i="14" a="1"/>
  <c r="L22" i="14" s="1"/>
  <c r="I70" i="14" a="1"/>
  <c r="I70" i="14" s="1"/>
  <c r="L86" i="14" a="1"/>
  <c r="L86" i="14" s="1"/>
  <c r="F38" i="14" a="1"/>
  <c r="F38" i="14" s="1"/>
  <c r="F1" i="12"/>
  <c r="E2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P119" i="14" s="1" a="1"/>
  <c r="P119" i="14" s="1"/>
  <c r="E73" i="12"/>
  <c r="E72" i="12"/>
  <c r="E71" i="12"/>
  <c r="E70" i="12"/>
  <c r="P55" i="14" s="1" a="1"/>
  <c r="P55" i="14" s="1"/>
  <c r="E69" i="12"/>
  <c r="E68" i="12"/>
  <c r="E67" i="12"/>
  <c r="E66" i="12"/>
  <c r="E65" i="12"/>
  <c r="E64" i="12"/>
  <c r="E63" i="12"/>
  <c r="E62" i="12"/>
  <c r="N55" i="14" s="1" a="1"/>
  <c r="N55" i="14" s="1"/>
  <c r="E61" i="12"/>
  <c r="E60" i="12"/>
  <c r="E59" i="12"/>
  <c r="E58" i="12"/>
  <c r="M119" i="14" s="1" a="1"/>
  <c r="M119" i="14" s="1"/>
  <c r="E32" i="12"/>
  <c r="H87" i="14" s="1" a="1"/>
  <c r="H87" i="14" s="1"/>
  <c r="E31" i="12"/>
  <c r="H71" i="14" s="1" a="1"/>
  <c r="H71" i="14" s="1"/>
  <c r="E30" i="12"/>
  <c r="H55" i="14" s="1" a="1"/>
  <c r="H55" i="14" s="1"/>
  <c r="E29" i="12"/>
  <c r="H39" i="14" s="1" a="1"/>
  <c r="H39" i="14" s="1"/>
  <c r="E28" i="12"/>
  <c r="H23" i="14" s="1" a="1"/>
  <c r="H23" i="14" s="1"/>
  <c r="E27" i="12"/>
  <c r="H7" i="14" s="1" a="1"/>
  <c r="H7" i="14" s="1"/>
  <c r="E26" i="12"/>
  <c r="G119" i="14" s="1" a="1"/>
  <c r="G119" i="14" s="1"/>
  <c r="E25" i="12"/>
  <c r="G103" i="14" s="1" a="1"/>
  <c r="G103" i="14" s="1"/>
  <c r="E24" i="12"/>
  <c r="G87" i="14" s="1" a="1"/>
  <c r="G87" i="14" s="1"/>
  <c r="E23" i="12"/>
  <c r="G71" i="14" s="1" a="1"/>
  <c r="G71" i="14" s="1"/>
  <c r="E22" i="12"/>
  <c r="G55" i="14" s="1" a="1"/>
  <c r="G55" i="14" s="1"/>
  <c r="E21" i="12"/>
  <c r="G39" i="14" s="1" a="1"/>
  <c r="G39" i="14" s="1"/>
  <c r="E20" i="12"/>
  <c r="G23" i="14" s="1" a="1"/>
  <c r="G23" i="14" s="1"/>
  <c r="E19" i="12"/>
  <c r="G7" i="14" s="1" a="1"/>
  <c r="G7" i="14" s="1"/>
  <c r="E18" i="12"/>
  <c r="E119" i="14" s="1" a="1"/>
  <c r="E119" i="14" s="1"/>
  <c r="E17" i="12"/>
  <c r="E103" i="14" s="1" a="1"/>
  <c r="E103" i="14" s="1"/>
  <c r="E16" i="12"/>
  <c r="E87" i="14" s="1" a="1"/>
  <c r="E87" i="14" s="1"/>
  <c r="E15" i="12"/>
  <c r="E71" i="14" s="1" a="1"/>
  <c r="E71" i="14" s="1"/>
  <c r="E14" i="12"/>
  <c r="E55" i="14" s="1" a="1"/>
  <c r="E55" i="14" s="1"/>
  <c r="E13" i="12"/>
  <c r="E39" i="14" s="1" a="1"/>
  <c r="E39" i="14" s="1"/>
  <c r="E12" i="12"/>
  <c r="E23" i="14" s="1" a="1"/>
  <c r="E23" i="14" s="1"/>
  <c r="E11" i="12"/>
  <c r="E7" i="14" s="1" a="1"/>
  <c r="E7" i="14" s="1"/>
  <c r="D119" i="14" a="1"/>
  <c r="D119" i="14" s="1"/>
  <c r="E56" i="12"/>
  <c r="M87" i="14" s="1" a="1"/>
  <c r="M87" i="14" s="1"/>
  <c r="E54" i="12"/>
  <c r="M55" i="14" s="1" a="1"/>
  <c r="M55" i="14" s="1"/>
  <c r="E52" i="12"/>
  <c r="M23" i="14" s="1" a="1"/>
  <c r="M23" i="14" s="1"/>
  <c r="E50" i="12"/>
  <c r="K119" i="14" s="1" a="1"/>
  <c r="K119" i="14" s="1"/>
  <c r="E48" i="12"/>
  <c r="K87" i="14" s="1" a="1"/>
  <c r="K87" i="14" s="1"/>
  <c r="E46" i="12"/>
  <c r="K55" i="14" s="1" a="1"/>
  <c r="K55" i="14" s="1"/>
  <c r="E44" i="12"/>
  <c r="K23" i="14" s="1" a="1"/>
  <c r="K23" i="14" s="1"/>
  <c r="E42" i="12"/>
  <c r="J119" i="14" s="1" a="1"/>
  <c r="J119" i="14" s="1"/>
  <c r="E9" i="12"/>
  <c r="D103" i="14" s="1" a="1"/>
  <c r="D103" i="14" s="1"/>
  <c r="E8" i="12"/>
  <c r="D87" i="14" s="1" a="1"/>
  <c r="D87" i="14" s="1"/>
  <c r="E7" i="12"/>
  <c r="D71" i="14" s="1" a="1"/>
  <c r="D71" i="14" s="1"/>
  <c r="E6" i="12"/>
  <c r="D55" i="14" s="1" a="1"/>
  <c r="D55" i="14" s="1"/>
  <c r="E5" i="12"/>
  <c r="D39" i="14" s="1" a="1"/>
  <c r="D39" i="14" s="1"/>
  <c r="E4" i="12"/>
  <c r="D23" i="14" s="1" a="1"/>
  <c r="D23" i="14" s="1"/>
  <c r="E3" i="12"/>
  <c r="D7" i="14" s="1" a="1"/>
  <c r="D7" i="14" s="1"/>
  <c r="E57" i="12"/>
  <c r="M103" i="14" s="1" a="1"/>
  <c r="M103" i="14" s="1"/>
  <c r="E55" i="12"/>
  <c r="M71" i="14" s="1" a="1"/>
  <c r="M71" i="14" s="1"/>
  <c r="E53" i="12"/>
  <c r="M39" i="14" s="1" a="1"/>
  <c r="M39" i="14" s="1"/>
  <c r="E51" i="12"/>
  <c r="M7" i="14" s="1" a="1"/>
  <c r="M7" i="14" s="1"/>
  <c r="E49" i="12"/>
  <c r="K103" i="14" s="1" a="1"/>
  <c r="K103" i="14" s="1"/>
  <c r="E47" i="12"/>
  <c r="K71" i="14" s="1" a="1"/>
  <c r="K71" i="14" s="1"/>
  <c r="E45" i="12"/>
  <c r="K39" i="14" s="1" a="1"/>
  <c r="K39" i="14" s="1"/>
  <c r="E43" i="12"/>
  <c r="K7" i="14" s="1" a="1"/>
  <c r="K7" i="14" s="1"/>
  <c r="E41" i="12"/>
  <c r="J103" i="14" s="1" a="1"/>
  <c r="J103" i="14" s="1"/>
  <c r="E39" i="12"/>
  <c r="J71" i="14" s="1" a="1"/>
  <c r="J71" i="14" s="1"/>
  <c r="E37" i="12"/>
  <c r="J39" i="14" s="1" a="1"/>
  <c r="J39" i="14" s="1"/>
  <c r="E35" i="12"/>
  <c r="J7" i="14" s="1" a="1"/>
  <c r="J7" i="14" s="1"/>
  <c r="E33" i="12"/>
  <c r="H103" i="14" s="1" a="1"/>
  <c r="H103" i="14" s="1"/>
  <c r="E38" i="12"/>
  <c r="J55" i="14" s="1" a="1"/>
  <c r="J55" i="14" s="1"/>
  <c r="E40" i="12"/>
  <c r="J87" i="14" s="1" a="1"/>
  <c r="J87" i="14" s="1"/>
  <c r="E36" i="12"/>
  <c r="J23" i="14" s="1" a="1"/>
  <c r="J23" i="14" s="1"/>
  <c r="E34" i="12"/>
  <c r="H119" i="14" s="1" a="1"/>
  <c r="H119" i="14" s="1"/>
  <c r="I119" i="14" s="1" a="1"/>
  <c r="I119" i="14" s="1"/>
  <c r="F102" i="14" a="1"/>
  <c r="F102" i="14" s="1"/>
  <c r="P117" i="14" a="1"/>
  <c r="P117" i="14" s="1"/>
  <c r="P101" i="14" a="1"/>
  <c r="P101" i="14" s="1"/>
  <c r="S2" i="14"/>
  <c r="P103" i="14" a="1"/>
  <c r="P103" i="14" s="1"/>
  <c r="P118" i="14" a="1"/>
  <c r="P118" i="14" s="1"/>
  <c r="P86" i="14" a="1"/>
  <c r="P86" i="14" s="1"/>
  <c r="P71" i="14" a="1"/>
  <c r="P71" i="14" s="1"/>
  <c r="P85" i="14" a="1"/>
  <c r="P85" i="14" s="1"/>
  <c r="P70" i="14" a="1"/>
  <c r="P70" i="14" s="1"/>
  <c r="P53" i="14" a="1"/>
  <c r="P53" i="14" s="1"/>
  <c r="P38" i="14" a="1"/>
  <c r="P38" i="14" s="1"/>
  <c r="P87" i="14" a="1"/>
  <c r="P87" i="14" s="1"/>
  <c r="P37" i="14" a="1"/>
  <c r="P37" i="14" s="1"/>
  <c r="P102" i="14" a="1"/>
  <c r="P102" i="14" s="1"/>
  <c r="P69" i="14" a="1"/>
  <c r="P69" i="14" s="1"/>
  <c r="P39" i="14" a="1"/>
  <c r="P39" i="14" s="1"/>
  <c r="P54" i="14" a="1"/>
  <c r="P54" i="14" s="1"/>
  <c r="P23" i="14" a="1"/>
  <c r="P23" i="14" s="1"/>
  <c r="P6" i="14" a="1"/>
  <c r="P6" i="14" s="1"/>
  <c r="P22" i="14" a="1"/>
  <c r="P22" i="14" s="1"/>
  <c r="P5" i="14" a="1"/>
  <c r="P5" i="14" s="1"/>
  <c r="P21" i="14" a="1"/>
  <c r="P21" i="14" s="1"/>
  <c r="P7" i="14" a="1"/>
  <c r="P7" i="14" s="1"/>
  <c r="N102" i="14" a="1"/>
  <c r="N102" i="14" s="1"/>
  <c r="O102" i="14" s="1" a="1"/>
  <c r="O102" i="14" s="1"/>
  <c r="N117" i="14" a="1"/>
  <c r="N117" i="14" s="1"/>
  <c r="O117" i="14" s="1" a="1"/>
  <c r="O117" i="14" s="1"/>
  <c r="N101" i="14" a="1"/>
  <c r="N101" i="14" s="1"/>
  <c r="O101" i="14" s="1" a="1"/>
  <c r="O101" i="14" s="1"/>
  <c r="N87" i="14" a="1"/>
  <c r="N87" i="14" s="1"/>
  <c r="N69" i="14" a="1"/>
  <c r="N69" i="14" s="1"/>
  <c r="O69" i="14" s="1" a="1"/>
  <c r="O69" i="14" s="1"/>
  <c r="Q2" i="14"/>
  <c r="N119" i="14" a="1"/>
  <c r="N119" i="14" s="1"/>
  <c r="N118" i="14" a="1"/>
  <c r="N118" i="14" s="1"/>
  <c r="O118" i="14" s="1" a="1"/>
  <c r="O118" i="14" s="1"/>
  <c r="N103" i="14" a="1"/>
  <c r="N103" i="14" s="1"/>
  <c r="N86" i="14" a="1"/>
  <c r="N86" i="14" s="1"/>
  <c r="O86" i="14" s="1" a="1"/>
  <c r="O86" i="14" s="1"/>
  <c r="N71" i="14" a="1"/>
  <c r="N71" i="14" s="1"/>
  <c r="N54" i="14" a="1"/>
  <c r="N54" i="14" s="1"/>
  <c r="O54" i="14" s="1" a="1"/>
  <c r="O54" i="14" s="1"/>
  <c r="N53" i="14" a="1"/>
  <c r="N53" i="14" s="1"/>
  <c r="O53" i="14" s="1" a="1"/>
  <c r="O53" i="14" s="1"/>
  <c r="N38" i="14" a="1"/>
  <c r="N38" i="14" s="1"/>
  <c r="O38" i="14" s="1" a="1"/>
  <c r="O38" i="14" s="1"/>
  <c r="N85" i="14" a="1"/>
  <c r="N85" i="14" s="1"/>
  <c r="O85" i="14" s="1" a="1"/>
  <c r="O85" i="14" s="1"/>
  <c r="N70" i="14" a="1"/>
  <c r="N70" i="14" s="1"/>
  <c r="O70" i="14" s="1" a="1"/>
  <c r="O70" i="14" s="1"/>
  <c r="N37" i="14" a="1"/>
  <c r="N37" i="14" s="1"/>
  <c r="O37" i="14" s="1" a="1"/>
  <c r="O37" i="14" s="1"/>
  <c r="N39" i="14" a="1"/>
  <c r="N39" i="14" s="1"/>
  <c r="O39" i="14" s="1" a="1"/>
  <c r="O39" i="14" s="1"/>
  <c r="N7" i="14" a="1"/>
  <c r="N7" i="14" s="1"/>
  <c r="O7" i="14" s="1" a="1"/>
  <c r="O7" i="14" s="1"/>
  <c r="N5" i="14" a="1"/>
  <c r="N5" i="14" s="1"/>
  <c r="O5" i="14" s="1" a="1"/>
  <c r="O5" i="14" s="1"/>
  <c r="N23" i="14" a="1"/>
  <c r="N23" i="14" s="1"/>
  <c r="N21" i="14" a="1"/>
  <c r="N21" i="14" s="1"/>
  <c r="O21" i="14" s="1" a="1"/>
  <c r="O21" i="14" s="1"/>
  <c r="N6" i="14" a="1"/>
  <c r="N6" i="14" s="1"/>
  <c r="O6" i="14" s="1" a="1"/>
  <c r="O6" i="14" s="1"/>
  <c r="N22" i="14" a="1"/>
  <c r="N22" i="14" s="1"/>
  <c r="O22" i="14" s="1" a="1"/>
  <c r="O22" i="14" s="1"/>
  <c r="H8" i="8"/>
  <c r="G8" i="8"/>
  <c r="C10" i="8"/>
  <c r="G9" i="8"/>
  <c r="F1" i="9"/>
  <c r="E2" i="9"/>
  <c r="E156" i="7"/>
  <c r="E155" i="7"/>
  <c r="E154" i="7"/>
  <c r="E153" i="7"/>
  <c r="E152" i="7"/>
  <c r="E151" i="7"/>
  <c r="E150" i="7"/>
  <c r="E149" i="7"/>
  <c r="D139" i="9" s="1" a="1"/>
  <c r="D139" i="9" s="1"/>
  <c r="E145" i="7"/>
  <c r="D135" i="9" s="1" a="1"/>
  <c r="D135" i="9" s="1"/>
  <c r="E141" i="7"/>
  <c r="E137" i="7"/>
  <c r="E148" i="7"/>
  <c r="D138" i="9" s="1" a="1"/>
  <c r="D138" i="9" s="1"/>
  <c r="E144" i="7"/>
  <c r="D134" i="9" s="1" a="1"/>
  <c r="D134" i="9" s="1"/>
  <c r="E140" i="7"/>
  <c r="E136" i="7"/>
  <c r="E147" i="7"/>
  <c r="D137" i="9" s="1" a="1"/>
  <c r="D137" i="9" s="1"/>
  <c r="E143" i="7"/>
  <c r="D133" i="9" s="1" a="1"/>
  <c r="D133" i="9" s="1"/>
  <c r="E139" i="7"/>
  <c r="E132" i="7"/>
  <c r="D123" i="9" s="1" a="1"/>
  <c r="D123" i="9" s="1"/>
  <c r="E128" i="7"/>
  <c r="E124" i="7"/>
  <c r="E135" i="7"/>
  <c r="D126" i="9" s="1" a="1"/>
  <c r="D126" i="9" s="1"/>
  <c r="E131" i="7"/>
  <c r="D122" i="9" s="1" a="1"/>
  <c r="D122" i="9" s="1"/>
  <c r="E127" i="7"/>
  <c r="E123" i="7"/>
  <c r="E134" i="7"/>
  <c r="D125" i="9" s="1" a="1"/>
  <c r="D125" i="9" s="1"/>
  <c r="E130" i="7"/>
  <c r="D121" i="9" s="1" a="1"/>
  <c r="D121" i="9" s="1"/>
  <c r="E126" i="7"/>
  <c r="E122" i="7"/>
  <c r="E121" i="7"/>
  <c r="D113" i="9" s="1" a="1"/>
  <c r="D113" i="9" s="1"/>
  <c r="E120" i="7"/>
  <c r="D112" i="9" s="1" a="1"/>
  <c r="D112" i="9" s="1"/>
  <c r="E119" i="7"/>
  <c r="D111" i="9" s="1" a="1"/>
  <c r="D111" i="9" s="1"/>
  <c r="E118" i="7"/>
  <c r="D110" i="9" s="1" a="1"/>
  <c r="D110" i="9" s="1"/>
  <c r="E117" i="7"/>
  <c r="D109" i="9" s="1" a="1"/>
  <c r="D109" i="9" s="1"/>
  <c r="E116" i="7"/>
  <c r="D108" i="9" s="1" a="1"/>
  <c r="D108" i="9" s="1"/>
  <c r="E115" i="7"/>
  <c r="D107" i="9" s="1" a="1"/>
  <c r="D107" i="9" s="1"/>
  <c r="E114" i="7"/>
  <c r="E113" i="7"/>
  <c r="E112" i="7"/>
  <c r="E111" i="7"/>
  <c r="E110" i="7"/>
  <c r="E109" i="7"/>
  <c r="E108" i="7"/>
  <c r="E107" i="7"/>
  <c r="D100" i="9" s="1" a="1"/>
  <c r="D100" i="9" s="1"/>
  <c r="E106" i="7"/>
  <c r="D99" i="9" s="1" a="1"/>
  <c r="D99" i="9" s="1"/>
  <c r="E105" i="7"/>
  <c r="D98" i="9" s="1" a="1"/>
  <c r="D98" i="9" s="1"/>
  <c r="E146" i="7"/>
  <c r="D136" i="9" s="1" a="1"/>
  <c r="D136" i="9" s="1"/>
  <c r="E138" i="7"/>
  <c r="E133" i="7"/>
  <c r="D124" i="9" s="1" a="1"/>
  <c r="D124" i="9" s="1"/>
  <c r="E129" i="7"/>
  <c r="D120" i="9" s="1" a="1"/>
  <c r="D120" i="9" s="1"/>
  <c r="E125" i="7"/>
  <c r="E102" i="7"/>
  <c r="D95" i="9" s="1" a="1"/>
  <c r="D95" i="9" s="1"/>
  <c r="E101" i="7"/>
  <c r="D94" i="9" s="1" a="1"/>
  <c r="D94" i="9" s="1"/>
  <c r="E100" i="7"/>
  <c r="E99" i="7"/>
  <c r="E98" i="7"/>
  <c r="E97" i="7"/>
  <c r="E96" i="7"/>
  <c r="E95" i="7"/>
  <c r="E94" i="7"/>
  <c r="E93" i="7"/>
  <c r="D87" i="9" s="1" a="1"/>
  <c r="D87" i="9" s="1"/>
  <c r="E92" i="7"/>
  <c r="D86" i="9" s="1" a="1"/>
  <c r="D86" i="9" s="1"/>
  <c r="E91" i="7"/>
  <c r="D85" i="9" s="1" a="1"/>
  <c r="D85" i="9" s="1"/>
  <c r="E90" i="7"/>
  <c r="D84" i="9" s="1" a="1"/>
  <c r="D84" i="9" s="1"/>
  <c r="E89" i="7"/>
  <c r="D83" i="9" s="1" a="1"/>
  <c r="D83" i="9" s="1"/>
  <c r="E88" i="7"/>
  <c r="D82" i="9" s="1" a="1"/>
  <c r="D82" i="9" s="1"/>
  <c r="E87" i="7"/>
  <c r="D81" i="9" s="1" a="1"/>
  <c r="D81" i="9" s="1"/>
  <c r="E86" i="7"/>
  <c r="E85" i="7"/>
  <c r="E84" i="7"/>
  <c r="E83" i="7"/>
  <c r="E82" i="7"/>
  <c r="E81" i="7"/>
  <c r="E80" i="7"/>
  <c r="E79" i="7"/>
  <c r="D74" i="9" s="1" a="1"/>
  <c r="D74" i="9" s="1"/>
  <c r="E78" i="7"/>
  <c r="D73" i="9" s="1" a="1"/>
  <c r="D73" i="9" s="1"/>
  <c r="E77" i="7"/>
  <c r="D72" i="9" s="1" a="1"/>
  <c r="D72" i="9" s="1"/>
  <c r="E76" i="7"/>
  <c r="D71" i="9" s="1" a="1"/>
  <c r="D71" i="9" s="1"/>
  <c r="E75" i="7"/>
  <c r="D70" i="9" s="1" a="1"/>
  <c r="D70" i="9" s="1"/>
  <c r="E74" i="7"/>
  <c r="D69" i="9" s="1" a="1"/>
  <c r="D69" i="9" s="1"/>
  <c r="E73" i="7"/>
  <c r="D68" i="9" s="1" a="1"/>
  <c r="D68" i="9" s="1"/>
  <c r="E72" i="7"/>
  <c r="E71" i="7"/>
  <c r="E70" i="7"/>
  <c r="E69" i="7"/>
  <c r="E68" i="7"/>
  <c r="E67" i="7"/>
  <c r="E66" i="7"/>
  <c r="E142" i="7"/>
  <c r="E104" i="7"/>
  <c r="D97" i="9" s="1" a="1"/>
  <c r="D97" i="9" s="1"/>
  <c r="E65" i="7"/>
  <c r="D61" i="9" s="1" a="1"/>
  <c r="D61" i="9" s="1"/>
  <c r="E64" i="7"/>
  <c r="D60" i="9" s="1" a="1"/>
  <c r="D60" i="9" s="1"/>
  <c r="E63" i="7"/>
  <c r="D59" i="9" s="1" a="1"/>
  <c r="D59" i="9" s="1"/>
  <c r="E62" i="7"/>
  <c r="D58" i="9" s="1" a="1"/>
  <c r="D58" i="9" s="1"/>
  <c r="E61" i="7"/>
  <c r="D57" i="9" s="1" a="1"/>
  <c r="D57" i="9" s="1"/>
  <c r="E60" i="7"/>
  <c r="D56" i="9" s="1" a="1"/>
  <c r="D56" i="9" s="1"/>
  <c r="E59" i="7"/>
  <c r="D55" i="9" s="1" a="1"/>
  <c r="D55" i="9" s="1"/>
  <c r="E58" i="7"/>
  <c r="E57" i="7"/>
  <c r="E56" i="7"/>
  <c r="E55" i="7"/>
  <c r="E54" i="7"/>
  <c r="E53" i="7"/>
  <c r="E52" i="7"/>
  <c r="E51" i="7"/>
  <c r="D48" i="9" s="1" a="1"/>
  <c r="D48" i="9" s="1"/>
  <c r="E50" i="7"/>
  <c r="D47" i="9" s="1" a="1"/>
  <c r="D47" i="9" s="1"/>
  <c r="E49" i="7"/>
  <c r="D46" i="9" s="1" a="1"/>
  <c r="D46" i="9" s="1"/>
  <c r="E48" i="7"/>
  <c r="D45" i="9" s="1" a="1"/>
  <c r="D45" i="9" s="1"/>
  <c r="E47" i="7"/>
  <c r="D44" i="9" s="1" a="1"/>
  <c r="D44" i="9" s="1"/>
  <c r="E46" i="7"/>
  <c r="D43" i="9" s="1" a="1"/>
  <c r="D43" i="9" s="1"/>
  <c r="E45" i="7"/>
  <c r="D42" i="9" s="1" a="1"/>
  <c r="D42" i="9" s="1"/>
  <c r="E44" i="7"/>
  <c r="E43" i="7"/>
  <c r="E42" i="7"/>
  <c r="E41" i="7"/>
  <c r="E40" i="7"/>
  <c r="E39" i="7"/>
  <c r="E38" i="7"/>
  <c r="E37" i="7"/>
  <c r="D35" i="9" s="1" a="1"/>
  <c r="D35" i="9" s="1"/>
  <c r="E36" i="7"/>
  <c r="D34" i="9" s="1" a="1"/>
  <c r="D34" i="9" s="1"/>
  <c r="E35" i="7"/>
  <c r="D33" i="9" s="1" a="1"/>
  <c r="D33" i="9" s="1"/>
  <c r="E34" i="7"/>
  <c r="D32" i="9" s="1" a="1"/>
  <c r="D32" i="9" s="1"/>
  <c r="E33" i="7"/>
  <c r="D31" i="9" s="1" a="1"/>
  <c r="D31" i="9" s="1"/>
  <c r="E32" i="7"/>
  <c r="D30" i="9" s="1" a="1"/>
  <c r="D30" i="9" s="1"/>
  <c r="E31" i="7"/>
  <c r="D29" i="9" s="1" a="1"/>
  <c r="D29" i="9" s="1"/>
  <c r="E30" i="7"/>
  <c r="E29" i="7"/>
  <c r="E28" i="7"/>
  <c r="E27" i="7"/>
  <c r="E26" i="7"/>
  <c r="E25" i="7"/>
  <c r="E24" i="7"/>
  <c r="E23" i="7"/>
  <c r="D22" i="9" s="1" a="1"/>
  <c r="D22" i="9" s="1"/>
  <c r="E22" i="7"/>
  <c r="D21" i="9" s="1" a="1"/>
  <c r="D21" i="9" s="1"/>
  <c r="E21" i="7"/>
  <c r="D20" i="9" s="1" a="1"/>
  <c r="D20" i="9" s="1"/>
  <c r="E20" i="7"/>
  <c r="D19" i="9" s="1" a="1"/>
  <c r="D19" i="9" s="1"/>
  <c r="E19" i="7"/>
  <c r="D18" i="9" s="1" a="1"/>
  <c r="D18" i="9" s="1"/>
  <c r="E18" i="7"/>
  <c r="D17" i="9" s="1" a="1"/>
  <c r="D17" i="9" s="1"/>
  <c r="E17" i="7"/>
  <c r="D16" i="9" s="1" a="1"/>
  <c r="D16" i="9" s="1"/>
  <c r="E16" i="7"/>
  <c r="E15" i="7"/>
  <c r="E14" i="7"/>
  <c r="E9" i="7"/>
  <c r="D9" i="9" s="1" a="1"/>
  <c r="D9" i="9" s="1"/>
  <c r="E13" i="7"/>
  <c r="E12" i="7"/>
  <c r="E11" i="7"/>
  <c r="E10" i="7"/>
  <c r="E8" i="7"/>
  <c r="D8" i="9" s="1" a="1"/>
  <c r="D8" i="9" s="1"/>
  <c r="E7" i="7"/>
  <c r="D7" i="9" s="1" a="1"/>
  <c r="D7" i="9" s="1"/>
  <c r="E6" i="7"/>
  <c r="D6" i="9" s="1" a="1"/>
  <c r="D6" i="9" s="1"/>
  <c r="E5" i="7"/>
  <c r="D5" i="9" s="1" a="1"/>
  <c r="D5" i="9" s="1"/>
  <c r="E4" i="7"/>
  <c r="D4" i="9" s="1" a="1"/>
  <c r="D4" i="9" s="1"/>
  <c r="E3" i="7"/>
  <c r="D3" i="9" s="1" a="1"/>
  <c r="D3" i="9" s="1"/>
  <c r="E103" i="7"/>
  <c r="D96" i="9" s="1" a="1"/>
  <c r="D96" i="9" s="1"/>
  <c r="F2" i="7"/>
  <c r="W6" i="6"/>
  <c r="X7" i="6"/>
  <c r="X9" i="6"/>
  <c r="W10" i="6"/>
  <c r="X11" i="6"/>
  <c r="W12" i="6"/>
  <c r="X13" i="6"/>
  <c r="W14" i="6"/>
  <c r="W4" i="6"/>
  <c r="X5" i="6"/>
  <c r="W8" i="6"/>
  <c r="W5" i="6"/>
  <c r="X6" i="6"/>
  <c r="W7" i="6"/>
  <c r="X8" i="6"/>
  <c r="W9" i="6"/>
  <c r="X10" i="6"/>
  <c r="W11" i="6"/>
  <c r="X12" i="6"/>
  <c r="W13" i="6"/>
  <c r="X14" i="6"/>
  <c r="X4" i="6"/>
  <c r="W14" i="5"/>
  <c r="X11" i="1"/>
  <c r="W10" i="1"/>
  <c r="X9" i="1"/>
  <c r="X11" i="4"/>
  <c r="W14" i="4"/>
  <c r="X8" i="4"/>
  <c r="W4" i="5"/>
  <c r="X5" i="5"/>
  <c r="W6" i="5"/>
  <c r="X7" i="5"/>
  <c r="W8" i="5"/>
  <c r="X9" i="5"/>
  <c r="W10" i="5"/>
  <c r="X11" i="5"/>
  <c r="W12" i="5"/>
  <c r="X13" i="5"/>
  <c r="W12" i="1"/>
  <c r="X4" i="1"/>
  <c r="W9" i="1"/>
  <c r="W8" i="1"/>
  <c r="X10" i="1"/>
  <c r="X9" i="4"/>
  <c r="W12" i="4"/>
  <c r="X6" i="4"/>
  <c r="W9" i="4"/>
  <c r="X14" i="4"/>
  <c r="W11" i="4"/>
  <c r="X5" i="1"/>
  <c r="W11" i="1"/>
  <c r="W5" i="1"/>
  <c r="X7" i="1"/>
  <c r="X6" i="1"/>
  <c r="W6" i="1"/>
  <c r="W4" i="4"/>
  <c r="W10" i="4"/>
  <c r="X4" i="4"/>
  <c r="W7" i="4"/>
  <c r="X12" i="4"/>
  <c r="X5" i="4"/>
  <c r="X4" i="5"/>
  <c r="W5" i="5"/>
  <c r="X6" i="5"/>
  <c r="W7" i="5"/>
  <c r="X8" i="5"/>
  <c r="W9" i="5"/>
  <c r="X10" i="5"/>
  <c r="W11" i="5"/>
  <c r="X12" i="5"/>
  <c r="W13" i="5"/>
  <c r="X14" i="5"/>
  <c r="W7" i="1"/>
  <c r="X12" i="1"/>
  <c r="W8" i="4"/>
  <c r="W4" i="1"/>
  <c r="W13" i="1"/>
  <c r="X14" i="1"/>
  <c r="X8" i="1"/>
  <c r="W14" i="1"/>
  <c r="X13" i="1"/>
  <c r="W6" i="4"/>
  <c r="X13" i="4"/>
  <c r="W5" i="4"/>
  <c r="X10" i="4"/>
  <c r="W13" i="4"/>
  <c r="X7" i="4"/>
  <c r="AU37" i="21" a="1"/>
  <c r="AU35" i="21" a="1"/>
  <c r="BL52" i="21" a="1"/>
  <c r="AK25" i="21" l="1" a="1"/>
  <c r="AK25" i="21" s="1"/>
  <c r="AN25" i="21" s="1"/>
  <c r="AP25" i="21" s="1"/>
  <c r="AQ25" i="21" s="1" a="1"/>
  <c r="AQ25" i="21" s="1"/>
  <c r="AN38" i="21"/>
  <c r="AP38" i="21" s="1"/>
  <c r="AV38" i="21" s="1"/>
  <c r="AX38" i="21" s="1" a="1"/>
  <c r="AX38" i="21" s="1"/>
  <c r="AY38" i="21" s="1"/>
  <c r="AZ38" i="21" s="1"/>
  <c r="AR54" i="21"/>
  <c r="AN24" i="21"/>
  <c r="AP24" i="21" s="1"/>
  <c r="AV37" i="21"/>
  <c r="AX37" i="21" s="1" a="1"/>
  <c r="AX37" i="21" s="1"/>
  <c r="AX54" i="21" s="1"/>
  <c r="BE54" i="21" s="1"/>
  <c r="BH54" i="21" s="1"/>
  <c r="BK54" i="21" s="1"/>
  <c r="AV22" i="21"/>
  <c r="AW22" i="21" s="1" a="1"/>
  <c r="AW22" i="21" s="1"/>
  <c r="AW52" i="21" s="1"/>
  <c r="AN36" i="21"/>
  <c r="AP36" i="21" s="1"/>
  <c r="AN23" i="21"/>
  <c r="AP23" i="21" s="1"/>
  <c r="AS22" i="21"/>
  <c r="AT22" i="21" s="1"/>
  <c r="AR38" i="21" a="1"/>
  <c r="AR38" i="21" s="1"/>
  <c r="AS38" i="21" s="1"/>
  <c r="AT38" i="21" s="1"/>
  <c r="AV35" i="21"/>
  <c r="AX35" i="21" s="1" a="1"/>
  <c r="AX35" i="21" s="1"/>
  <c r="AU37" i="21"/>
  <c r="AR52" i="21"/>
  <c r="BL52" i="21"/>
  <c r="AU35" i="21"/>
  <c r="AN39" i="21"/>
  <c r="AP39" i="21" s="1"/>
  <c r="AK40" i="21" a="1"/>
  <c r="AK40" i="21" s="1"/>
  <c r="AL40" i="21"/>
  <c r="AM40" i="21" s="1" a="1"/>
  <c r="AM40" i="21" s="1"/>
  <c r="AL26" i="21"/>
  <c r="AM26" i="21" s="1" a="1"/>
  <c r="AM26" i="21" s="1"/>
  <c r="AK26" i="21" a="1"/>
  <c r="AK26" i="21" s="1"/>
  <c r="B28" i="21"/>
  <c r="B41" i="21" s="1"/>
  <c r="AG41" i="21" s="1" a="1"/>
  <c r="AG41" i="21" s="1"/>
  <c r="AH41" i="21" s="1"/>
  <c r="AJ41" i="21" s="1"/>
  <c r="AG27" i="21" a="1"/>
  <c r="AG27" i="21" s="1"/>
  <c r="AH27" i="21" s="1"/>
  <c r="AJ27" i="21" s="1"/>
  <c r="AA42" i="13"/>
  <c r="AK42" i="13" s="1" a="1"/>
  <c r="AK42" i="13" s="1"/>
  <c r="AL42" i="13" s="1"/>
  <c r="AM42" i="13" s="1"/>
  <c r="AF42" i="13" a="1"/>
  <c r="AF42" i="13" s="1"/>
  <c r="AG42" i="13" s="1"/>
  <c r="AH42" i="13" s="1"/>
  <c r="AA45" i="13"/>
  <c r="AK45" i="13" s="1" a="1"/>
  <c r="AK45" i="13" s="1"/>
  <c r="AL45" i="13" s="1"/>
  <c r="AM45" i="13" s="1"/>
  <c r="AF45" i="13" a="1"/>
  <c r="AF45" i="13" s="1"/>
  <c r="AG45" i="13" s="1"/>
  <c r="AH45" i="13" s="1"/>
  <c r="AF41" i="13" a="1"/>
  <c r="AF41" i="13" s="1"/>
  <c r="AG41" i="13" s="1"/>
  <c r="AH41" i="13" s="1"/>
  <c r="AA41" i="13"/>
  <c r="AK41" i="13" s="1" a="1"/>
  <c r="AK41" i="13" s="1"/>
  <c r="AL41" i="13" s="1"/>
  <c r="AM41" i="13" s="1"/>
  <c r="AA39" i="13"/>
  <c r="AK39" i="13" s="1" a="1"/>
  <c r="AK39" i="13" s="1"/>
  <c r="AL39" i="13" s="1"/>
  <c r="AM39" i="13" s="1"/>
  <c r="AF39" i="13" a="1"/>
  <c r="AF39" i="13" s="1"/>
  <c r="AG39" i="13" s="1"/>
  <c r="AH39" i="13" s="1"/>
  <c r="AF43" i="13" a="1"/>
  <c r="AF43" i="13" s="1"/>
  <c r="AG43" i="13" s="1"/>
  <c r="AH43" i="13" s="1"/>
  <c r="AA43" i="13"/>
  <c r="AK43" i="13" s="1" a="1"/>
  <c r="AK43" i="13" s="1"/>
  <c r="AL43" i="13" s="1"/>
  <c r="AM43" i="13" s="1"/>
  <c r="AA40" i="13"/>
  <c r="AK40" i="13" s="1" a="1"/>
  <c r="AK40" i="13" s="1"/>
  <c r="AL40" i="13" s="1"/>
  <c r="AM40" i="13" s="1"/>
  <c r="AF40" i="13" a="1"/>
  <c r="AF40" i="13" s="1"/>
  <c r="AG40" i="13" s="1"/>
  <c r="AH40" i="13" s="1"/>
  <c r="AA44" i="13"/>
  <c r="AK44" i="13" s="1" a="1"/>
  <c r="AK44" i="13" s="1"/>
  <c r="AL44" i="13" s="1"/>
  <c r="AM44" i="13" s="1"/>
  <c r="AF44" i="13" a="1"/>
  <c r="AF44" i="13" s="1"/>
  <c r="AG44" i="13" s="1"/>
  <c r="AH44" i="13" s="1"/>
  <c r="AI25" i="19"/>
  <c r="AE25" i="19"/>
  <c r="AA25" i="19"/>
  <c r="W25" i="19"/>
  <c r="AB25" i="19"/>
  <c r="T25" i="19"/>
  <c r="AH25" i="19"/>
  <c r="AD25" i="19"/>
  <c r="Z25" i="19"/>
  <c r="V25" i="19"/>
  <c r="AF25" i="19"/>
  <c r="X25" i="19"/>
  <c r="AG25" i="19"/>
  <c r="AC25" i="19"/>
  <c r="Y25" i="19"/>
  <c r="U25" i="19"/>
  <c r="S26" i="19"/>
  <c r="AI55" i="19"/>
  <c r="AE55" i="19"/>
  <c r="AA55" i="19"/>
  <c r="W55" i="19"/>
  <c r="AH55" i="19"/>
  <c r="AD55" i="19"/>
  <c r="Z55" i="19"/>
  <c r="V55" i="19"/>
  <c r="AG55" i="19"/>
  <c r="AC55" i="19"/>
  <c r="Y55" i="19"/>
  <c r="U55" i="19"/>
  <c r="AB55" i="19"/>
  <c r="X55" i="19"/>
  <c r="S56" i="19"/>
  <c r="T55" i="19"/>
  <c r="AF55" i="19"/>
  <c r="AH71" i="19"/>
  <c r="AD71" i="19"/>
  <c r="Z71" i="19"/>
  <c r="V71" i="19"/>
  <c r="AG71" i="19"/>
  <c r="AC71" i="19"/>
  <c r="Y71" i="19"/>
  <c r="U71" i="19"/>
  <c r="S72" i="19"/>
  <c r="AF71" i="19"/>
  <c r="AB71" i="19"/>
  <c r="X71" i="19"/>
  <c r="T71" i="19"/>
  <c r="AA71" i="19"/>
  <c r="W71" i="19"/>
  <c r="AI71" i="19"/>
  <c r="AE71" i="19"/>
  <c r="AI39" i="19"/>
  <c r="AE39" i="19"/>
  <c r="AA39" i="19"/>
  <c r="W39" i="19"/>
  <c r="AH39" i="19"/>
  <c r="AD39" i="19"/>
  <c r="Z39" i="19"/>
  <c r="V39" i="19"/>
  <c r="AG39" i="19"/>
  <c r="AC39" i="19"/>
  <c r="Y39" i="19"/>
  <c r="U39" i="19"/>
  <c r="AB39" i="19"/>
  <c r="X39" i="19"/>
  <c r="S40" i="19"/>
  <c r="T39" i="19"/>
  <c r="AF39" i="19"/>
  <c r="AI102" i="19"/>
  <c r="AE102" i="19"/>
  <c r="AA102" i="19"/>
  <c r="W102" i="19"/>
  <c r="AH102" i="19"/>
  <c r="AD102" i="19"/>
  <c r="Z102" i="19"/>
  <c r="V102" i="19"/>
  <c r="AG102" i="19"/>
  <c r="Y102" i="19"/>
  <c r="AF102" i="19"/>
  <c r="X102" i="19"/>
  <c r="AC102" i="19"/>
  <c r="U102" i="19"/>
  <c r="S103" i="19"/>
  <c r="AB102" i="19"/>
  <c r="T102" i="19"/>
  <c r="AI86" i="19"/>
  <c r="AE86" i="19"/>
  <c r="AA86" i="19"/>
  <c r="W86" i="19"/>
  <c r="AH86" i="19"/>
  <c r="AD86" i="19"/>
  <c r="Z86" i="19"/>
  <c r="V86" i="19"/>
  <c r="AG86" i="19"/>
  <c r="AC86" i="19"/>
  <c r="Y86" i="19"/>
  <c r="U86" i="19"/>
  <c r="AB86" i="19"/>
  <c r="X86" i="19"/>
  <c r="S87" i="19"/>
  <c r="T86" i="19"/>
  <c r="AF86" i="19"/>
  <c r="G2" i="19"/>
  <c r="H1" i="19"/>
  <c r="Y14" i="13"/>
  <c r="Y15" i="13"/>
  <c r="Y18" i="13"/>
  <c r="Y16" i="13"/>
  <c r="Y29" i="13" s="1"/>
  <c r="Y17" i="13"/>
  <c r="Y13" i="13"/>
  <c r="Z13" i="13" s="1" a="1"/>
  <c r="Z13" i="13" s="1"/>
  <c r="Y19" i="13"/>
  <c r="O23" i="14" a="1"/>
  <c r="O23" i="14" s="1"/>
  <c r="O103" i="14" a="1"/>
  <c r="O103" i="14" s="1"/>
  <c r="O119" i="14" a="1"/>
  <c r="O119" i="14" s="1"/>
  <c r="O87" i="14" a="1"/>
  <c r="O87" i="14" s="1"/>
  <c r="L87" i="14" a="1"/>
  <c r="L87" i="14" s="1"/>
  <c r="O55" i="14" a="1"/>
  <c r="O55" i="14" s="1"/>
  <c r="L119" i="14" a="1"/>
  <c r="L119" i="14" s="1"/>
  <c r="F39" i="14" a="1"/>
  <c r="F39" i="14" s="1"/>
  <c r="I39" i="14" a="1"/>
  <c r="I39" i="14" s="1"/>
  <c r="L103" i="14" a="1"/>
  <c r="L103" i="14" s="1"/>
  <c r="F119" i="14" a="1"/>
  <c r="F119" i="14" s="1"/>
  <c r="L7" i="14" a="1"/>
  <c r="L7" i="14" s="1"/>
  <c r="L23" i="14" a="1"/>
  <c r="L23" i="14" s="1"/>
  <c r="F7" i="14" a="1"/>
  <c r="F7" i="14" s="1"/>
  <c r="F71" i="14" a="1"/>
  <c r="F71" i="14" s="1"/>
  <c r="I7" i="14" a="1"/>
  <c r="I7" i="14" s="1"/>
  <c r="I71" i="14" a="1"/>
  <c r="I71" i="14" s="1"/>
  <c r="G1" i="12"/>
  <c r="F2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1" i="12"/>
  <c r="F97" i="12"/>
  <c r="F93" i="12"/>
  <c r="F89" i="12"/>
  <c r="S104" i="14" s="1" a="1"/>
  <c r="S104" i="14" s="1"/>
  <c r="F85" i="12"/>
  <c r="F100" i="12"/>
  <c r="F96" i="12"/>
  <c r="F92" i="12"/>
  <c r="F88" i="12"/>
  <c r="F84" i="12"/>
  <c r="F99" i="12"/>
  <c r="F95" i="12"/>
  <c r="F91" i="12"/>
  <c r="F87" i="12"/>
  <c r="F83" i="12"/>
  <c r="S8" i="14" s="1" a="1"/>
  <c r="S8" i="14" s="1"/>
  <c r="F82" i="12"/>
  <c r="Q120" i="14" s="1" a="1"/>
  <c r="Q120" i="14" s="1"/>
  <c r="F81" i="12"/>
  <c r="F80" i="12"/>
  <c r="F79" i="12"/>
  <c r="Q72" i="14" s="1" a="1"/>
  <c r="Q72" i="14" s="1"/>
  <c r="F78" i="12"/>
  <c r="Q56" i="14" s="1" a="1"/>
  <c r="Q56" i="14" s="1"/>
  <c r="F77" i="12"/>
  <c r="F76" i="12"/>
  <c r="F75" i="12"/>
  <c r="F74" i="12"/>
  <c r="P120" i="14" s="1" a="1"/>
  <c r="P120" i="14" s="1"/>
  <c r="F61" i="12"/>
  <c r="N40" i="14" s="1" a="1"/>
  <c r="N40" i="14" s="1"/>
  <c r="F72" i="12"/>
  <c r="P88" i="14" s="1" a="1"/>
  <c r="P88" i="14" s="1"/>
  <c r="F68" i="12"/>
  <c r="P24" i="14" s="1" a="1"/>
  <c r="P24" i="14" s="1"/>
  <c r="F64" i="12"/>
  <c r="N88" i="14" s="1" a="1"/>
  <c r="N88" i="14" s="1"/>
  <c r="F62" i="12"/>
  <c r="N56" i="14" s="1" a="1"/>
  <c r="N56" i="14" s="1"/>
  <c r="F58" i="12"/>
  <c r="M120" i="14" s="1" a="1"/>
  <c r="M120" i="14" s="1"/>
  <c r="F102" i="12"/>
  <c r="F94" i="12"/>
  <c r="F86" i="12"/>
  <c r="F71" i="12"/>
  <c r="P72" i="14" s="1" a="1"/>
  <c r="P72" i="14" s="1"/>
  <c r="F67" i="12"/>
  <c r="P8" i="14" s="1" a="1"/>
  <c r="P8" i="14" s="1"/>
  <c r="F63" i="12"/>
  <c r="N72" i="14" s="1" a="1"/>
  <c r="N72" i="14" s="1"/>
  <c r="F59" i="12"/>
  <c r="N8" i="14" s="1" a="1"/>
  <c r="N8" i="14" s="1"/>
  <c r="F57" i="12"/>
  <c r="M104" i="14" s="1" a="1"/>
  <c r="M104" i="14" s="1"/>
  <c r="F55" i="12"/>
  <c r="M72" i="14" s="1" a="1"/>
  <c r="M72" i="14" s="1"/>
  <c r="F53" i="12"/>
  <c r="M40" i="14" s="1" a="1"/>
  <c r="M40" i="14" s="1"/>
  <c r="F51" i="12"/>
  <c r="M8" i="14" s="1" a="1"/>
  <c r="M8" i="14" s="1"/>
  <c r="F49" i="12"/>
  <c r="K104" i="14" s="1" a="1"/>
  <c r="K104" i="14" s="1"/>
  <c r="F47" i="12"/>
  <c r="K72" i="14" s="1" a="1"/>
  <c r="K72" i="14" s="1"/>
  <c r="F45" i="12"/>
  <c r="K40" i="14" s="1" a="1"/>
  <c r="K40" i="14" s="1"/>
  <c r="F43" i="12"/>
  <c r="K8" i="14" s="1" a="1"/>
  <c r="K8" i="14" s="1"/>
  <c r="F41" i="12"/>
  <c r="J104" i="14" s="1" a="1"/>
  <c r="J104" i="14" s="1"/>
  <c r="F39" i="12"/>
  <c r="J72" i="14" s="1" a="1"/>
  <c r="J72" i="14" s="1"/>
  <c r="F37" i="12"/>
  <c r="J40" i="14" s="1" a="1"/>
  <c r="J40" i="14" s="1"/>
  <c r="F35" i="12"/>
  <c r="J8" i="14" s="1" a="1"/>
  <c r="J8" i="14" s="1"/>
  <c r="F33" i="12"/>
  <c r="H104" i="14" s="1" a="1"/>
  <c r="H104" i="14" s="1"/>
  <c r="F70" i="12"/>
  <c r="P56" i="14" s="1" a="1"/>
  <c r="P56" i="14" s="1"/>
  <c r="F66" i="12"/>
  <c r="N120" i="14" s="1" a="1"/>
  <c r="N120" i="14" s="1"/>
  <c r="F60" i="12"/>
  <c r="N24" i="14" s="1" a="1"/>
  <c r="N24" i="14" s="1"/>
  <c r="F98" i="12"/>
  <c r="F90" i="12"/>
  <c r="F73" i="12"/>
  <c r="P104" i="14" s="1" a="1"/>
  <c r="P104" i="14" s="1"/>
  <c r="F69" i="12"/>
  <c r="P40" i="14" s="1" a="1"/>
  <c r="P40" i="14" s="1"/>
  <c r="F65" i="12"/>
  <c r="N104" i="14" s="1" a="1"/>
  <c r="N104" i="14" s="1"/>
  <c r="O104" i="14" s="1" a="1"/>
  <c r="O104" i="14" s="1"/>
  <c r="F56" i="12"/>
  <c r="M88" i="14" s="1" a="1"/>
  <c r="M88" i="14" s="1"/>
  <c r="F54" i="12"/>
  <c r="M56" i="14" s="1" a="1"/>
  <c r="M56" i="14" s="1"/>
  <c r="F52" i="12"/>
  <c r="M24" i="14" s="1" a="1"/>
  <c r="M24" i="14" s="1"/>
  <c r="F50" i="12"/>
  <c r="K120" i="14" s="1" a="1"/>
  <c r="K120" i="14" s="1"/>
  <c r="F48" i="12"/>
  <c r="K88" i="14" s="1" a="1"/>
  <c r="K88" i="14" s="1"/>
  <c r="F46" i="12"/>
  <c r="K56" i="14" s="1" a="1"/>
  <c r="K56" i="14" s="1"/>
  <c r="F44" i="12"/>
  <c r="K24" i="14" s="1" a="1"/>
  <c r="K24" i="14" s="1"/>
  <c r="F42" i="12"/>
  <c r="J120" i="14" s="1" a="1"/>
  <c r="J120" i="14" s="1"/>
  <c r="F40" i="12"/>
  <c r="J88" i="14" s="1" a="1"/>
  <c r="J88" i="14" s="1"/>
  <c r="F38" i="12"/>
  <c r="J56" i="14" s="1" a="1"/>
  <c r="J56" i="14" s="1"/>
  <c r="F36" i="12"/>
  <c r="J24" i="14" s="1" a="1"/>
  <c r="J24" i="14" s="1"/>
  <c r="F34" i="12"/>
  <c r="H120" i="14" s="1" a="1"/>
  <c r="H120" i="14" s="1"/>
  <c r="F25" i="12"/>
  <c r="G104" i="14" s="1" a="1"/>
  <c r="G104" i="14" s="1"/>
  <c r="F21" i="12"/>
  <c r="G40" i="14" s="1" a="1"/>
  <c r="G40" i="14" s="1"/>
  <c r="F17" i="12"/>
  <c r="E104" i="14" s="1" a="1"/>
  <c r="E104" i="14" s="1"/>
  <c r="F13" i="12"/>
  <c r="E40" i="14" s="1" a="1"/>
  <c r="E40" i="14" s="1"/>
  <c r="F9" i="12"/>
  <c r="D104" i="14" s="1" a="1"/>
  <c r="D104" i="14" s="1"/>
  <c r="F8" i="12"/>
  <c r="D88" i="14" s="1" a="1"/>
  <c r="D88" i="14" s="1"/>
  <c r="F7" i="12"/>
  <c r="D72" i="14" s="1" a="1"/>
  <c r="D72" i="14" s="1"/>
  <c r="F6" i="12"/>
  <c r="D56" i="14" s="1" a="1"/>
  <c r="D56" i="14" s="1"/>
  <c r="F5" i="12"/>
  <c r="D40" i="14" s="1" a="1"/>
  <c r="D40" i="14" s="1"/>
  <c r="F4" i="12"/>
  <c r="D24" i="14" s="1" a="1"/>
  <c r="D24" i="14" s="1"/>
  <c r="F3" i="12"/>
  <c r="D8" i="14" s="1" a="1"/>
  <c r="D8" i="14" s="1"/>
  <c r="F32" i="12"/>
  <c r="H88" i="14" s="1" a="1"/>
  <c r="H88" i="14" s="1"/>
  <c r="F31" i="12"/>
  <c r="H72" i="14" s="1" a="1"/>
  <c r="H72" i="14" s="1"/>
  <c r="F30" i="12"/>
  <c r="H56" i="14" s="1" a="1"/>
  <c r="H56" i="14" s="1"/>
  <c r="F29" i="12"/>
  <c r="H40" i="14" s="1" a="1"/>
  <c r="H40" i="14" s="1"/>
  <c r="F26" i="12"/>
  <c r="G120" i="14" s="1" a="1"/>
  <c r="G120" i="14" s="1"/>
  <c r="F22" i="12"/>
  <c r="G56" i="14" s="1" a="1"/>
  <c r="G56" i="14" s="1"/>
  <c r="F18" i="12"/>
  <c r="E120" i="14" s="1" a="1"/>
  <c r="E120" i="14" s="1"/>
  <c r="F14" i="12"/>
  <c r="E56" i="14" s="1" a="1"/>
  <c r="E56" i="14" s="1"/>
  <c r="D120" i="14" a="1"/>
  <c r="D120" i="14" s="1"/>
  <c r="F27" i="12"/>
  <c r="H8" i="14" s="1" a="1"/>
  <c r="H8" i="14" s="1"/>
  <c r="F23" i="12"/>
  <c r="G72" i="14" s="1" a="1"/>
  <c r="G72" i="14" s="1"/>
  <c r="F19" i="12"/>
  <c r="G8" i="14" s="1" a="1"/>
  <c r="G8" i="14" s="1"/>
  <c r="F15" i="12"/>
  <c r="E72" i="14" s="1" a="1"/>
  <c r="E72" i="14" s="1"/>
  <c r="F11" i="12"/>
  <c r="E8" i="14" s="1" a="1"/>
  <c r="E8" i="14" s="1"/>
  <c r="F28" i="12"/>
  <c r="H24" i="14" s="1" a="1"/>
  <c r="H24" i="14" s="1"/>
  <c r="F24" i="12"/>
  <c r="G88" i="14" s="1" a="1"/>
  <c r="G88" i="14" s="1"/>
  <c r="F20" i="12"/>
  <c r="G24" i="14" s="1" a="1"/>
  <c r="G24" i="14" s="1"/>
  <c r="F16" i="12"/>
  <c r="E88" i="14" s="1" a="1"/>
  <c r="E88" i="14" s="1"/>
  <c r="F12" i="12"/>
  <c r="E24" i="14" s="1" a="1"/>
  <c r="E24" i="14" s="1"/>
  <c r="L71" i="14" a="1"/>
  <c r="L71" i="14" s="1"/>
  <c r="F103" i="14" a="1"/>
  <c r="F103" i="14" s="1"/>
  <c r="O71" i="14" a="1"/>
  <c r="O71" i="14" s="1"/>
  <c r="I103" i="14" a="1"/>
  <c r="I103" i="14" s="1"/>
  <c r="F55" i="14" a="1"/>
  <c r="F55" i="14" s="1"/>
  <c r="I55" i="14" a="1"/>
  <c r="I55" i="14" s="1"/>
  <c r="L39" i="14" a="1"/>
  <c r="L39" i="14" s="1"/>
  <c r="L55" i="14" a="1"/>
  <c r="L55" i="14" s="1"/>
  <c r="F23" i="14" a="1"/>
  <c r="F23" i="14" s="1"/>
  <c r="F87" i="14" a="1"/>
  <c r="F87" i="14" s="1"/>
  <c r="I23" i="14" a="1"/>
  <c r="I23" i="14" s="1"/>
  <c r="I87" i="14" a="1"/>
  <c r="I87" i="14" s="1"/>
  <c r="S118" i="14" a="1"/>
  <c r="S118" i="14" s="1"/>
  <c r="S120" i="14" a="1"/>
  <c r="S120" i="14" s="1"/>
  <c r="S102" i="14" a="1"/>
  <c r="S102" i="14" s="1"/>
  <c r="V2" i="14"/>
  <c r="S119" i="14" a="1"/>
  <c r="S119" i="14" s="1"/>
  <c r="S117" i="14" a="1"/>
  <c r="S117" i="14" s="1"/>
  <c r="S103" i="14" a="1"/>
  <c r="S103" i="14" s="1"/>
  <c r="S85" i="14" a="1"/>
  <c r="S85" i="14" s="1"/>
  <c r="S72" i="14" a="1"/>
  <c r="S72" i="14" s="1"/>
  <c r="S70" i="14" a="1"/>
  <c r="S70" i="14" s="1"/>
  <c r="S87" i="14" a="1"/>
  <c r="S87" i="14" s="1"/>
  <c r="S69" i="14" a="1"/>
  <c r="S69" i="14" s="1"/>
  <c r="S101" i="14" a="1"/>
  <c r="S101" i="14" s="1"/>
  <c r="S86" i="14" a="1"/>
  <c r="S86" i="14" s="1"/>
  <c r="S71" i="14" a="1"/>
  <c r="S71" i="14" s="1"/>
  <c r="S88" i="14" a="1"/>
  <c r="S88" i="14" s="1"/>
  <c r="S39" i="14" a="1"/>
  <c r="S39" i="14" s="1"/>
  <c r="S56" i="14" a="1"/>
  <c r="S56" i="14" s="1"/>
  <c r="S54" i="14" a="1"/>
  <c r="S54" i="14" s="1"/>
  <c r="S53" i="14" a="1"/>
  <c r="S53" i="14" s="1"/>
  <c r="S40" i="14" a="1"/>
  <c r="S40" i="14" s="1"/>
  <c r="S38" i="14" a="1"/>
  <c r="S38" i="14" s="1"/>
  <c r="S37" i="14" a="1"/>
  <c r="S37" i="14" s="1"/>
  <c r="S24" i="14" a="1"/>
  <c r="S24" i="14" s="1"/>
  <c r="S5" i="14" a="1"/>
  <c r="S5" i="14" s="1"/>
  <c r="S55" i="14" a="1"/>
  <c r="S55" i="14" s="1"/>
  <c r="S22" i="14" a="1"/>
  <c r="S22" i="14" s="1"/>
  <c r="S21" i="14" a="1"/>
  <c r="S21" i="14" s="1"/>
  <c r="S7" i="14" a="1"/>
  <c r="S7" i="14" s="1"/>
  <c r="S23" i="14" a="1"/>
  <c r="S23" i="14" s="1"/>
  <c r="S6" i="14" a="1"/>
  <c r="S6" i="14" s="1"/>
  <c r="T2" i="14"/>
  <c r="Q119" i="14" a="1"/>
  <c r="Q119" i="14" s="1"/>
  <c r="R119" i="14" s="1" a="1"/>
  <c r="R119" i="14" s="1"/>
  <c r="Q103" i="14" a="1"/>
  <c r="Q103" i="14" s="1"/>
  <c r="R103" i="14" s="1" a="1"/>
  <c r="R103" i="14" s="1"/>
  <c r="Q118" i="14" a="1"/>
  <c r="Q118" i="14" s="1"/>
  <c r="R118" i="14" s="1" a="1"/>
  <c r="R118" i="14" s="1"/>
  <c r="Q104" i="14" a="1"/>
  <c r="Q104" i="14" s="1"/>
  <c r="Q88" i="14" a="1"/>
  <c r="Q88" i="14" s="1"/>
  <c r="Q117" i="14" a="1"/>
  <c r="Q117" i="14" s="1"/>
  <c r="R117" i="14" s="1" a="1"/>
  <c r="R117" i="14" s="1"/>
  <c r="Q85" i="14" a="1"/>
  <c r="Q85" i="14" s="1"/>
  <c r="R85" i="14" s="1" a="1"/>
  <c r="R85" i="14" s="1"/>
  <c r="Q70" i="14" a="1"/>
  <c r="Q70" i="14" s="1"/>
  <c r="R70" i="14" s="1" a="1"/>
  <c r="R70" i="14" s="1"/>
  <c r="Q102" i="14" a="1"/>
  <c r="Q102" i="14" s="1"/>
  <c r="R102" i="14" s="1" a="1"/>
  <c r="R102" i="14" s="1"/>
  <c r="Q87" i="14" a="1"/>
  <c r="Q87" i="14" s="1"/>
  <c r="R87" i="14" s="1" a="1"/>
  <c r="R87" i="14" s="1"/>
  <c r="Q69" i="14" a="1"/>
  <c r="Q69" i="14" s="1"/>
  <c r="R69" i="14" s="1" a="1"/>
  <c r="R69" i="14" s="1"/>
  <c r="Q101" i="14" a="1"/>
  <c r="Q101" i="14" s="1"/>
  <c r="R101" i="14" s="1" a="1"/>
  <c r="R101" i="14" s="1"/>
  <c r="Q55" i="14" a="1"/>
  <c r="Q55" i="14" s="1"/>
  <c r="R55" i="14" s="1" a="1"/>
  <c r="R55" i="14" s="1"/>
  <c r="Q37" i="14" a="1"/>
  <c r="Q37" i="14" s="1"/>
  <c r="R37" i="14" s="1" a="1"/>
  <c r="R37" i="14" s="1"/>
  <c r="Q86" i="14" a="1"/>
  <c r="Q86" i="14" s="1"/>
  <c r="R86" i="14" s="1" a="1"/>
  <c r="R86" i="14" s="1"/>
  <c r="Q71" i="14" a="1"/>
  <c r="Q71" i="14" s="1"/>
  <c r="R71" i="14" s="1" a="1"/>
  <c r="R71" i="14" s="1"/>
  <c r="Q39" i="14" a="1"/>
  <c r="Q39" i="14" s="1"/>
  <c r="R39" i="14" s="1" a="1"/>
  <c r="R39" i="14" s="1"/>
  <c r="Q54" i="14" a="1"/>
  <c r="Q54" i="14" s="1"/>
  <c r="R54" i="14" s="1" a="1"/>
  <c r="R54" i="14" s="1"/>
  <c r="Q53" i="14" a="1"/>
  <c r="Q53" i="14" s="1"/>
  <c r="R53" i="14" s="1" a="1"/>
  <c r="R53" i="14" s="1"/>
  <c r="Q22" i="14" a="1"/>
  <c r="Q22" i="14" s="1"/>
  <c r="R22" i="14" s="1" a="1"/>
  <c r="R22" i="14" s="1"/>
  <c r="Q8" i="14" a="1"/>
  <c r="Q8" i="14" s="1"/>
  <c r="Q40" i="14" a="1"/>
  <c r="Q40" i="14" s="1"/>
  <c r="Q38" i="14" a="1"/>
  <c r="Q38" i="14" s="1"/>
  <c r="R38" i="14" s="1" a="1"/>
  <c r="R38" i="14" s="1"/>
  <c r="Q24" i="14" a="1"/>
  <c r="Q24" i="14" s="1"/>
  <c r="Q5" i="14" a="1"/>
  <c r="Q5" i="14" s="1"/>
  <c r="R5" i="14" s="1" a="1"/>
  <c r="R5" i="14" s="1"/>
  <c r="Q6" i="14" a="1"/>
  <c r="Q6" i="14" s="1"/>
  <c r="R6" i="14" s="1" a="1"/>
  <c r="R6" i="14" s="1"/>
  <c r="Q21" i="14" a="1"/>
  <c r="Q21" i="14" s="1"/>
  <c r="R21" i="14" s="1" a="1"/>
  <c r="R21" i="14" s="1"/>
  <c r="Q7" i="14" a="1"/>
  <c r="Q7" i="14" s="1"/>
  <c r="R7" i="14" s="1" a="1"/>
  <c r="R7" i="14" s="1"/>
  <c r="Q23" i="14" a="1"/>
  <c r="Q23" i="14" s="1"/>
  <c r="R23" i="14" s="1" a="1"/>
  <c r="R23" i="14" s="1"/>
  <c r="H9" i="8"/>
  <c r="C11" i="8"/>
  <c r="G10" i="8"/>
  <c r="G1" i="9"/>
  <c r="F2" i="9"/>
  <c r="F156" i="7"/>
  <c r="F155" i="7"/>
  <c r="F154" i="7"/>
  <c r="F153" i="7"/>
  <c r="F152" i="7"/>
  <c r="F151" i="7"/>
  <c r="F150" i="7"/>
  <c r="F149" i="7"/>
  <c r="E139" i="9" s="1" a="1"/>
  <c r="E139" i="9" s="1"/>
  <c r="F148" i="7"/>
  <c r="E138" i="9" s="1" a="1"/>
  <c r="E138" i="9" s="1"/>
  <c r="F147" i="7"/>
  <c r="E137" i="9" s="1" a="1"/>
  <c r="E137" i="9" s="1"/>
  <c r="F146" i="7"/>
  <c r="E136" i="9" s="1" a="1"/>
  <c r="E136" i="9" s="1"/>
  <c r="F145" i="7"/>
  <c r="E135" i="9" s="1" a="1"/>
  <c r="E135" i="9" s="1"/>
  <c r="F144" i="7"/>
  <c r="E134" i="9" s="1" a="1"/>
  <c r="E134" i="9" s="1"/>
  <c r="F143" i="7"/>
  <c r="E133" i="9" s="1" a="1"/>
  <c r="E133" i="9" s="1"/>
  <c r="F142" i="7"/>
  <c r="F141" i="7"/>
  <c r="F140" i="7"/>
  <c r="F139" i="7"/>
  <c r="F138" i="7"/>
  <c r="F137" i="7"/>
  <c r="F136" i="7"/>
  <c r="F135" i="7"/>
  <c r="E126" i="9" s="1" a="1"/>
  <c r="E126" i="9" s="1"/>
  <c r="F134" i="7"/>
  <c r="E125" i="9" s="1" a="1"/>
  <c r="E125" i="9" s="1"/>
  <c r="F133" i="7"/>
  <c r="E124" i="9" s="1" a="1"/>
  <c r="E124" i="9" s="1"/>
  <c r="F132" i="7"/>
  <c r="E123" i="9" s="1" a="1"/>
  <c r="E123" i="9" s="1"/>
  <c r="F131" i="7"/>
  <c r="E122" i="9" s="1" a="1"/>
  <c r="E122" i="9" s="1"/>
  <c r="F130" i="7"/>
  <c r="E121" i="9" s="1" a="1"/>
  <c r="E121" i="9" s="1"/>
  <c r="F129" i="7"/>
  <c r="E120" i="9" s="1" a="1"/>
  <c r="E120" i="9" s="1"/>
  <c r="F128" i="7"/>
  <c r="F127" i="7"/>
  <c r="F126" i="7"/>
  <c r="F125" i="7"/>
  <c r="F124" i="7"/>
  <c r="F123" i="7"/>
  <c r="F122" i="7"/>
  <c r="F121" i="7"/>
  <c r="E113" i="9" s="1" a="1"/>
  <c r="E113" i="9" s="1"/>
  <c r="F120" i="7"/>
  <c r="E112" i="9" s="1" a="1"/>
  <c r="E112" i="9" s="1"/>
  <c r="F119" i="7"/>
  <c r="E111" i="9" s="1" a="1"/>
  <c r="E111" i="9" s="1"/>
  <c r="F118" i="7"/>
  <c r="E110" i="9" s="1" a="1"/>
  <c r="E110" i="9" s="1"/>
  <c r="F117" i="7"/>
  <c r="E109" i="9" s="1" a="1"/>
  <c r="E109" i="9" s="1"/>
  <c r="F116" i="7"/>
  <c r="E108" i="9" s="1" a="1"/>
  <c r="E108" i="9" s="1"/>
  <c r="F115" i="7"/>
  <c r="E107" i="9" s="1" a="1"/>
  <c r="E107" i="9" s="1"/>
  <c r="F114" i="7"/>
  <c r="F113" i="7"/>
  <c r="F112" i="7"/>
  <c r="F111" i="7"/>
  <c r="F110" i="7"/>
  <c r="F109" i="7"/>
  <c r="F108" i="7"/>
  <c r="F107" i="7"/>
  <c r="E100" i="9" s="1" a="1"/>
  <c r="E100" i="9" s="1"/>
  <c r="F106" i="7"/>
  <c r="E99" i="9" s="1" a="1"/>
  <c r="E99" i="9" s="1"/>
  <c r="F101" i="7"/>
  <c r="E94" i="9" s="1" a="1"/>
  <c r="E94" i="9" s="1"/>
  <c r="F100" i="7"/>
  <c r="F99" i="7"/>
  <c r="F98" i="7"/>
  <c r="F97" i="7"/>
  <c r="F96" i="7"/>
  <c r="F95" i="7"/>
  <c r="F94" i="7"/>
  <c r="F93" i="7"/>
  <c r="E87" i="9" s="1" a="1"/>
  <c r="E87" i="9" s="1"/>
  <c r="F92" i="7"/>
  <c r="E86" i="9" s="1" a="1"/>
  <c r="E86" i="9" s="1"/>
  <c r="F91" i="7"/>
  <c r="E85" i="9" s="1" a="1"/>
  <c r="E85" i="9" s="1"/>
  <c r="F90" i="7"/>
  <c r="E84" i="9" s="1" a="1"/>
  <c r="E84" i="9" s="1"/>
  <c r="F89" i="7"/>
  <c r="E83" i="9" s="1" a="1"/>
  <c r="E83" i="9" s="1"/>
  <c r="F88" i="7"/>
  <c r="E82" i="9" s="1" a="1"/>
  <c r="E82" i="9" s="1"/>
  <c r="F87" i="7"/>
  <c r="E81" i="9" s="1" a="1"/>
  <c r="E81" i="9" s="1"/>
  <c r="F86" i="7"/>
  <c r="F85" i="7"/>
  <c r="F84" i="7"/>
  <c r="F83" i="7"/>
  <c r="F82" i="7"/>
  <c r="F104" i="7"/>
  <c r="E97" i="9" s="1" a="1"/>
  <c r="E97" i="9" s="1"/>
  <c r="F105" i="7"/>
  <c r="E98" i="9" s="1" a="1"/>
  <c r="E98" i="9" s="1"/>
  <c r="F103" i="7"/>
  <c r="E96" i="9" s="1" a="1"/>
  <c r="E96" i="9" s="1"/>
  <c r="F69" i="7"/>
  <c r="F68" i="7"/>
  <c r="F67" i="7"/>
  <c r="F66" i="7"/>
  <c r="F80" i="7"/>
  <c r="F76" i="7"/>
  <c r="E71" i="9" s="1" a="1"/>
  <c r="E71" i="9" s="1"/>
  <c r="F72" i="7"/>
  <c r="F31" i="7"/>
  <c r="E29" i="9" s="1" a="1"/>
  <c r="E29" i="9" s="1"/>
  <c r="F30" i="7"/>
  <c r="F29" i="7"/>
  <c r="F28" i="7"/>
  <c r="F27" i="7"/>
  <c r="F26" i="7"/>
  <c r="F25" i="7"/>
  <c r="F24" i="7"/>
  <c r="F23" i="7"/>
  <c r="E22" i="9" s="1" a="1"/>
  <c r="E22" i="9" s="1"/>
  <c r="F22" i="7"/>
  <c r="E21" i="9" s="1" a="1"/>
  <c r="E21" i="9" s="1"/>
  <c r="F21" i="7"/>
  <c r="E20" i="9" s="1" a="1"/>
  <c r="E20" i="9" s="1"/>
  <c r="F20" i="7"/>
  <c r="E19" i="9" s="1" a="1"/>
  <c r="E19" i="9" s="1"/>
  <c r="F19" i="7"/>
  <c r="E18" i="9" s="1" a="1"/>
  <c r="E18" i="9" s="1"/>
  <c r="F18" i="7"/>
  <c r="E17" i="9" s="1" a="1"/>
  <c r="E17" i="9" s="1"/>
  <c r="F17" i="7"/>
  <c r="E16" i="9" s="1" a="1"/>
  <c r="E16" i="9" s="1"/>
  <c r="F16" i="7"/>
  <c r="F15" i="7"/>
  <c r="F14" i="7"/>
  <c r="F13" i="7"/>
  <c r="F12" i="7"/>
  <c r="F11" i="7"/>
  <c r="F10" i="7"/>
  <c r="F9" i="7"/>
  <c r="E9" i="9" s="1" a="1"/>
  <c r="E9" i="9" s="1"/>
  <c r="F8" i="7"/>
  <c r="E8" i="9" s="1" a="1"/>
  <c r="E8" i="9" s="1"/>
  <c r="F7" i="7"/>
  <c r="E7" i="9" s="1" a="1"/>
  <c r="E7" i="9" s="1"/>
  <c r="F6" i="7"/>
  <c r="E6" i="9" s="1" a="1"/>
  <c r="E6" i="9" s="1"/>
  <c r="F5" i="7"/>
  <c r="E5" i="9" s="1" a="1"/>
  <c r="E5" i="9" s="1"/>
  <c r="F4" i="7"/>
  <c r="E4" i="9" s="1" a="1"/>
  <c r="E4" i="9" s="1"/>
  <c r="F3" i="7"/>
  <c r="E3" i="9" s="1" a="1"/>
  <c r="E3" i="9" s="1"/>
  <c r="F102" i="7"/>
  <c r="E95" i="9" s="1" a="1"/>
  <c r="E95" i="9" s="1"/>
  <c r="F78" i="7"/>
  <c r="E73" i="9" s="1" a="1"/>
  <c r="E73" i="9" s="1"/>
  <c r="F74" i="7"/>
  <c r="E69" i="9" s="1" a="1"/>
  <c r="E69" i="9" s="1"/>
  <c r="F70" i="7"/>
  <c r="F79" i="7"/>
  <c r="E74" i="9" s="1" a="1"/>
  <c r="E74" i="9" s="1"/>
  <c r="F75" i="7"/>
  <c r="E70" i="9" s="1" a="1"/>
  <c r="E70" i="9" s="1"/>
  <c r="F71" i="7"/>
  <c r="F65" i="7"/>
  <c r="E61" i="9" s="1" a="1"/>
  <c r="E61" i="9" s="1"/>
  <c r="F64" i="7"/>
  <c r="E60" i="9" s="1" a="1"/>
  <c r="E60" i="9" s="1"/>
  <c r="F63" i="7"/>
  <c r="E59" i="9" s="1" a="1"/>
  <c r="E59" i="9" s="1"/>
  <c r="F62" i="7"/>
  <c r="E58" i="9" s="1" a="1"/>
  <c r="E58" i="9" s="1"/>
  <c r="F61" i="7"/>
  <c r="E57" i="9" s="1" a="1"/>
  <c r="E57" i="9" s="1"/>
  <c r="F60" i="7"/>
  <c r="E56" i="9" s="1" a="1"/>
  <c r="E56" i="9" s="1"/>
  <c r="F59" i="7"/>
  <c r="E55" i="9" s="1" a="1"/>
  <c r="E55" i="9" s="1"/>
  <c r="F58" i="7"/>
  <c r="F57" i="7"/>
  <c r="F56" i="7"/>
  <c r="F55" i="7"/>
  <c r="F54" i="7"/>
  <c r="F53" i="7"/>
  <c r="F52" i="7"/>
  <c r="F51" i="7"/>
  <c r="E48" i="9" s="1" a="1"/>
  <c r="E48" i="9" s="1"/>
  <c r="F50" i="7"/>
  <c r="E47" i="9" s="1" a="1"/>
  <c r="E47" i="9" s="1"/>
  <c r="F49" i="7"/>
  <c r="E46" i="9" s="1" a="1"/>
  <c r="E46" i="9" s="1"/>
  <c r="F48" i="7"/>
  <c r="E45" i="9" s="1" a="1"/>
  <c r="E45" i="9" s="1"/>
  <c r="F47" i="7"/>
  <c r="E44" i="9" s="1" a="1"/>
  <c r="E44" i="9" s="1"/>
  <c r="F46" i="7"/>
  <c r="E43" i="9" s="1" a="1"/>
  <c r="E43" i="9" s="1"/>
  <c r="F45" i="7"/>
  <c r="E42" i="9" s="1" a="1"/>
  <c r="E42" i="9" s="1"/>
  <c r="F44" i="7"/>
  <c r="F43" i="7"/>
  <c r="F42" i="7"/>
  <c r="F41" i="7"/>
  <c r="F40" i="7"/>
  <c r="F39" i="7"/>
  <c r="F38" i="7"/>
  <c r="F37" i="7"/>
  <c r="E35" i="9" s="1" a="1"/>
  <c r="E35" i="9" s="1"/>
  <c r="F33" i="7"/>
  <c r="E31" i="9" s="1" a="1"/>
  <c r="E31" i="9" s="1"/>
  <c r="F36" i="7"/>
  <c r="E34" i="9" s="1" a="1"/>
  <c r="E34" i="9" s="1"/>
  <c r="F32" i="7"/>
  <c r="E30" i="9" s="1" a="1"/>
  <c r="E30" i="9" s="1"/>
  <c r="F81" i="7"/>
  <c r="F73" i="7"/>
  <c r="E68" i="9" s="1" a="1"/>
  <c r="E68" i="9" s="1"/>
  <c r="F34" i="7"/>
  <c r="E32" i="9" s="1" a="1"/>
  <c r="E32" i="9" s="1"/>
  <c r="G2" i="7"/>
  <c r="F77" i="7"/>
  <c r="E72" i="9" s="1" a="1"/>
  <c r="E72" i="9" s="1"/>
  <c r="F35" i="7"/>
  <c r="E33" i="9" s="1" a="1"/>
  <c r="E33" i="9" s="1"/>
  <c r="AN41" i="13" a="1"/>
  <c r="AI42" i="13" a="1"/>
  <c r="AI45" i="13" a="1"/>
  <c r="AN44" i="13" a="1"/>
  <c r="AN42" i="13" a="1"/>
  <c r="AI41" i="13" a="1"/>
  <c r="AI44" i="13" a="1"/>
  <c r="AN40" i="13" a="1"/>
  <c r="AI39" i="13" a="1"/>
  <c r="AI40" i="13" a="1"/>
  <c r="AN43" i="13" a="1"/>
  <c r="AI43" i="13" a="1"/>
  <c r="AN39" i="13" a="1"/>
  <c r="AN45" i="13" a="1"/>
  <c r="BA38" i="21" a="1"/>
  <c r="AU38" i="21" a="1"/>
  <c r="BN54" i="21" a="1"/>
  <c r="AU22" i="21" a="1"/>
  <c r="AA17" i="13" l="1"/>
  <c r="Y30" i="13"/>
  <c r="AA14" i="13"/>
  <c r="Y27" i="13"/>
  <c r="Z27" i="13" s="1" a="1"/>
  <c r="Z27" i="13" s="1"/>
  <c r="AA19" i="13"/>
  <c r="Y32" i="13"/>
  <c r="AA18" i="13"/>
  <c r="Y31" i="13"/>
  <c r="Z31" i="13" s="1" a="1"/>
  <c r="Z31" i="13" s="1"/>
  <c r="Y26" i="13"/>
  <c r="Z26" i="13" s="1" a="1"/>
  <c r="Z26" i="13" s="1"/>
  <c r="AA15" i="13"/>
  <c r="Y28" i="13"/>
  <c r="Z28" i="13" s="1" a="1"/>
  <c r="Z28" i="13" s="1"/>
  <c r="AX55" i="21"/>
  <c r="BE55" i="21" s="1"/>
  <c r="BH55" i="21" s="1"/>
  <c r="BK55" i="21" s="1"/>
  <c r="AY37" i="21"/>
  <c r="AZ37" i="21" s="1"/>
  <c r="AY22" i="21"/>
  <c r="AZ22" i="21" s="1"/>
  <c r="AR36" i="21" a="1"/>
  <c r="AR36" i="21" s="1"/>
  <c r="AV36" i="21"/>
  <c r="AX36" i="21" s="1" a="1"/>
  <c r="AX36" i="21" s="1"/>
  <c r="AQ24" i="21" a="1"/>
  <c r="AQ24" i="21" s="1"/>
  <c r="AV24" i="21"/>
  <c r="AW24" i="21" s="1" a="1"/>
  <c r="AW24" i="21" s="1"/>
  <c r="AU22" i="21"/>
  <c r="AV23" i="21"/>
  <c r="AW23" i="21" s="1" a="1"/>
  <c r="AW23" i="21" s="1"/>
  <c r="AQ23" i="21" a="1"/>
  <c r="AQ23" i="21" s="1"/>
  <c r="AR55" i="21"/>
  <c r="BD52" i="21"/>
  <c r="BG52" i="21" s="1"/>
  <c r="BJ52" i="21" s="1"/>
  <c r="AV25" i="21"/>
  <c r="AW25" i="21" s="1" a="1"/>
  <c r="AW25" i="21" s="1"/>
  <c r="AY25" i="21" s="1"/>
  <c r="AZ25" i="21" s="1"/>
  <c r="AY35" i="21"/>
  <c r="AZ35" i="21" s="1"/>
  <c r="AX52" i="21"/>
  <c r="BE52" i="21" s="1"/>
  <c r="BH52" i="21" s="1"/>
  <c r="BK52" i="21" s="1"/>
  <c r="AU38" i="21"/>
  <c r="BN54" i="21"/>
  <c r="BA38" i="21"/>
  <c r="J52" i="21"/>
  <c r="F52" i="21"/>
  <c r="G52" i="21"/>
  <c r="I52" i="21"/>
  <c r="E52" i="21"/>
  <c r="H52" i="21"/>
  <c r="D52" i="21"/>
  <c r="AS25" i="21"/>
  <c r="AT25" i="21" s="1"/>
  <c r="AQ55" i="21"/>
  <c r="BC55" i="21" s="1"/>
  <c r="BF55" i="21" s="1"/>
  <c r="BI55" i="21" s="1"/>
  <c r="AN40" i="21"/>
  <c r="AP40" i="21" s="1"/>
  <c r="AV40" i="21" s="1"/>
  <c r="AX40" i="21" s="1" a="1"/>
  <c r="AX40" i="21" s="1"/>
  <c r="AV39" i="21"/>
  <c r="AX39" i="21" s="1" a="1"/>
  <c r="AX39" i="21" s="1"/>
  <c r="AR39" i="21" a="1"/>
  <c r="AR39" i="21" s="1"/>
  <c r="AL41" i="21"/>
  <c r="AM41" i="21" s="1" a="1"/>
  <c r="AM41" i="21" s="1"/>
  <c r="AK41" i="21" a="1"/>
  <c r="AK41" i="21" s="1"/>
  <c r="AN26" i="21"/>
  <c r="AP26" i="21" s="1"/>
  <c r="AV26" i="21" s="1"/>
  <c r="AW26" i="21" s="1" a="1"/>
  <c r="AW26" i="21" s="1"/>
  <c r="B29" i="21"/>
  <c r="B42" i="21" s="1"/>
  <c r="AG42" i="21" s="1" a="1"/>
  <c r="AG42" i="21" s="1"/>
  <c r="AH42" i="21" s="1"/>
  <c r="AJ42" i="21" s="1"/>
  <c r="AG28" i="21" a="1"/>
  <c r="AG28" i="21" s="1"/>
  <c r="AH28" i="21" s="1"/>
  <c r="AJ28" i="21" s="1"/>
  <c r="AK27" i="21" a="1"/>
  <c r="AK27" i="21" s="1"/>
  <c r="AL27" i="21"/>
  <c r="AM27" i="21" s="1" a="1"/>
  <c r="AM27" i="21" s="1"/>
  <c r="AN40" i="13"/>
  <c r="N40" i="13" s="1"/>
  <c r="AN39" i="13"/>
  <c r="O39" i="13" s="1"/>
  <c r="AI40" i="13"/>
  <c r="AI39" i="13"/>
  <c r="AI45" i="13"/>
  <c r="F45" i="13" s="1"/>
  <c r="AI44" i="13"/>
  <c r="H44" i="13" s="1"/>
  <c r="AN43" i="13"/>
  <c r="AN41" i="13"/>
  <c r="P41" i="13" s="1"/>
  <c r="AI42" i="13"/>
  <c r="F42" i="13" s="1"/>
  <c r="AI43" i="13"/>
  <c r="AI41" i="13"/>
  <c r="O40" i="13"/>
  <c r="AN45" i="13"/>
  <c r="J45" i="13" s="1"/>
  <c r="AN44" i="13"/>
  <c r="N44" i="13" s="1"/>
  <c r="AN42" i="13"/>
  <c r="M42" i="13" s="1"/>
  <c r="I45" i="13"/>
  <c r="I42" i="13"/>
  <c r="G44" i="13"/>
  <c r="AH87" i="19"/>
  <c r="AD87" i="19"/>
  <c r="Z87" i="19"/>
  <c r="V87" i="19"/>
  <c r="AG87" i="19"/>
  <c r="AC87" i="19"/>
  <c r="Y87" i="19"/>
  <c r="U87" i="19"/>
  <c r="S88" i="19"/>
  <c r="AF87" i="19"/>
  <c r="AB87" i="19"/>
  <c r="X87" i="19"/>
  <c r="T87" i="19"/>
  <c r="AA87" i="19"/>
  <c r="W87" i="19"/>
  <c r="AI87" i="19"/>
  <c r="AE87" i="19"/>
  <c r="AH56" i="19"/>
  <c r="AD56" i="19"/>
  <c r="Z56" i="19"/>
  <c r="V56" i="19"/>
  <c r="AG56" i="19"/>
  <c r="AC56" i="19"/>
  <c r="Y56" i="19"/>
  <c r="U56" i="19"/>
  <c r="S57" i="19"/>
  <c r="AF56" i="19"/>
  <c r="AB56" i="19"/>
  <c r="X56" i="19"/>
  <c r="T56" i="19"/>
  <c r="AA56" i="19"/>
  <c r="W56" i="19"/>
  <c r="AE56" i="19"/>
  <c r="AI56" i="19"/>
  <c r="AH103" i="19"/>
  <c r="AD103" i="19"/>
  <c r="Z103" i="19"/>
  <c r="V103" i="19"/>
  <c r="AG103" i="19"/>
  <c r="AC103" i="19"/>
  <c r="Y103" i="19"/>
  <c r="U103" i="19"/>
  <c r="AF103" i="19"/>
  <c r="X103" i="19"/>
  <c r="AE103" i="19"/>
  <c r="W103" i="19"/>
  <c r="S104" i="19"/>
  <c r="AB103" i="19"/>
  <c r="T103" i="19"/>
  <c r="AA103" i="19"/>
  <c r="AI103" i="19"/>
  <c r="AG72" i="19"/>
  <c r="AC72" i="19"/>
  <c r="Y72" i="19"/>
  <c r="U72" i="19"/>
  <c r="S73" i="19"/>
  <c r="AF72" i="19"/>
  <c r="AB72" i="19"/>
  <c r="X72" i="19"/>
  <c r="T72" i="19"/>
  <c r="AI72" i="19"/>
  <c r="AE72" i="19"/>
  <c r="AA72" i="19"/>
  <c r="W72" i="19"/>
  <c r="Z72" i="19"/>
  <c r="V72" i="19"/>
  <c r="AH72" i="19"/>
  <c r="AD72" i="19"/>
  <c r="AH40" i="19"/>
  <c r="AD40" i="19"/>
  <c r="Z40" i="19"/>
  <c r="V40" i="19"/>
  <c r="AG40" i="19"/>
  <c r="AC40" i="19"/>
  <c r="Y40" i="19"/>
  <c r="U40" i="19"/>
  <c r="S41" i="19"/>
  <c r="AF40" i="19"/>
  <c r="AB40" i="19"/>
  <c r="X40" i="19"/>
  <c r="T40" i="19"/>
  <c r="AA40" i="19"/>
  <c r="W40" i="19"/>
  <c r="AE40" i="19"/>
  <c r="AI40" i="19"/>
  <c r="AH26" i="19"/>
  <c r="AD26" i="19"/>
  <c r="Z26" i="19"/>
  <c r="V26" i="19"/>
  <c r="AI26" i="19"/>
  <c r="W26" i="19"/>
  <c r="AG26" i="19"/>
  <c r="AC26" i="19"/>
  <c r="Y26" i="19"/>
  <c r="U26" i="19"/>
  <c r="AA26" i="19"/>
  <c r="S27" i="19"/>
  <c r="AF26" i="19"/>
  <c r="AB26" i="19"/>
  <c r="X26" i="19"/>
  <c r="T26" i="19"/>
  <c r="AE26" i="19"/>
  <c r="I1" i="19"/>
  <c r="H2" i="19"/>
  <c r="AA13" i="13"/>
  <c r="AB13" i="13" s="1" a="1"/>
  <c r="AB13" i="13" s="1"/>
  <c r="AC13" i="13" s="1"/>
  <c r="AC26" i="13" s="1"/>
  <c r="AB14" i="13" a="1"/>
  <c r="AB14" i="13" s="1"/>
  <c r="AA27" i="13"/>
  <c r="AB27" i="13" s="1" a="1"/>
  <c r="AB27" i="13" s="1"/>
  <c r="Z16" i="13" a="1"/>
  <c r="Z16" i="13" s="1"/>
  <c r="Z29" i="13" a="1"/>
  <c r="Z29" i="13" s="1"/>
  <c r="Z15" i="13" a="1"/>
  <c r="Z15" i="13" s="1"/>
  <c r="AB15" i="13" a="1"/>
  <c r="AB15" i="13" s="1"/>
  <c r="AA28" i="13"/>
  <c r="AB28" i="13" s="1" a="1"/>
  <c r="AB28" i="13" s="1"/>
  <c r="AA16" i="13"/>
  <c r="AB19" i="13" a="1"/>
  <c r="AB19" i="13" s="1"/>
  <c r="AA32" i="13"/>
  <c r="AB32" i="13" s="1" a="1"/>
  <c r="AB32" i="13" s="1"/>
  <c r="AB18" i="13" a="1"/>
  <c r="AB18" i="13" s="1"/>
  <c r="AA31" i="13"/>
  <c r="AB31" i="13" s="1" a="1"/>
  <c r="AB31" i="13" s="1"/>
  <c r="AB17" i="13" a="1"/>
  <c r="AB17" i="13" s="1"/>
  <c r="AA30" i="13"/>
  <c r="AB30" i="13" s="1" a="1"/>
  <c r="AB30" i="13" s="1"/>
  <c r="Z19" i="13" a="1"/>
  <c r="Z19" i="13" s="1"/>
  <c r="Z32" i="13" a="1"/>
  <c r="Z32" i="13" s="1"/>
  <c r="Z17" i="13" a="1"/>
  <c r="Z17" i="13" s="1"/>
  <c r="Z30" i="13" a="1"/>
  <c r="Z30" i="13" s="1"/>
  <c r="Z18" i="13" a="1"/>
  <c r="Z18" i="13" s="1"/>
  <c r="Z14" i="13" a="1"/>
  <c r="Z14" i="13" s="1"/>
  <c r="F24" i="14" a="1"/>
  <c r="F24" i="14" s="1"/>
  <c r="R88" i="14" a="1"/>
  <c r="R88" i="14" s="1"/>
  <c r="R72" i="14" a="1"/>
  <c r="R72" i="14" s="1"/>
  <c r="R8" i="14" a="1"/>
  <c r="R8" i="14" s="1"/>
  <c r="F56" i="14" a="1"/>
  <c r="F56" i="14" s="1"/>
  <c r="I24" i="14" a="1"/>
  <c r="I24" i="14" s="1"/>
  <c r="F120" i="14" a="1"/>
  <c r="F120" i="14" s="1"/>
  <c r="O120" i="14" a="1"/>
  <c r="O120" i="14" s="1"/>
  <c r="I56" i="14" a="1"/>
  <c r="I56" i="14" s="1"/>
  <c r="O72" i="14" a="1"/>
  <c r="O72" i="14" s="1"/>
  <c r="O88" i="14" a="1"/>
  <c r="O88" i="14" s="1"/>
  <c r="R56" i="14" a="1"/>
  <c r="R56" i="14" s="1"/>
  <c r="R120" i="14" a="1"/>
  <c r="R120" i="14" s="1"/>
  <c r="F8" i="14" a="1"/>
  <c r="F8" i="14" s="1"/>
  <c r="I8" i="14" a="1"/>
  <c r="I8" i="14" s="1"/>
  <c r="R40" i="14" a="1"/>
  <c r="R40" i="14" s="1"/>
  <c r="L56" i="14" a="1"/>
  <c r="L56" i="14" s="1"/>
  <c r="F88" i="14" a="1"/>
  <c r="F88" i="14" s="1"/>
  <c r="L88" i="14" a="1"/>
  <c r="L88" i="14" s="1"/>
  <c r="L72" i="14" a="1"/>
  <c r="L72" i="14" s="1"/>
  <c r="H1" i="12"/>
  <c r="G100" i="12"/>
  <c r="G96" i="12"/>
  <c r="T89" i="14" s="1" a="1"/>
  <c r="T89" i="14" s="1"/>
  <c r="G92" i="12"/>
  <c r="G88" i="12"/>
  <c r="S89" i="14" s="1" a="1"/>
  <c r="S89" i="14" s="1"/>
  <c r="G84" i="12"/>
  <c r="S25" i="14" s="1" a="1"/>
  <c r="S25" i="14" s="1"/>
  <c r="G114" i="12"/>
  <c r="G112" i="12"/>
  <c r="G110" i="12"/>
  <c r="G108" i="12"/>
  <c r="G106" i="12"/>
  <c r="V121" i="14" s="1" a="1"/>
  <c r="V121" i="14" s="1"/>
  <c r="G104" i="12"/>
  <c r="V89" i="14" s="1" a="1"/>
  <c r="V89" i="14" s="1"/>
  <c r="G99" i="12"/>
  <c r="G95" i="12"/>
  <c r="G91" i="12"/>
  <c r="T9" i="14" s="1" a="1"/>
  <c r="T9" i="14" s="1"/>
  <c r="G87" i="12"/>
  <c r="S73" i="14" s="1" a="1"/>
  <c r="S73" i="14" s="1"/>
  <c r="G83" i="12"/>
  <c r="S9" i="14" s="1" a="1"/>
  <c r="S9" i="14" s="1"/>
  <c r="G82" i="12"/>
  <c r="Q121" i="14" s="1" a="1"/>
  <c r="Q121" i="14" s="1"/>
  <c r="G81" i="12"/>
  <c r="Q105" i="14" s="1" a="1"/>
  <c r="Q105" i="14" s="1"/>
  <c r="G80" i="12"/>
  <c r="Q89" i="14" s="1" a="1"/>
  <c r="Q89" i="14" s="1"/>
  <c r="G79" i="12"/>
  <c r="Q73" i="14" s="1" a="1"/>
  <c r="Q73" i="14" s="1"/>
  <c r="G78" i="12"/>
  <c r="Q57" i="14" s="1" a="1"/>
  <c r="Q57" i="14" s="1"/>
  <c r="G77" i="12"/>
  <c r="Q41" i="14" s="1" a="1"/>
  <c r="Q41" i="14" s="1"/>
  <c r="G76" i="12"/>
  <c r="Q25" i="14" s="1" a="1"/>
  <c r="Q25" i="14" s="1"/>
  <c r="G75" i="12"/>
  <c r="Q9" i="14" s="1" a="1"/>
  <c r="Q9" i="14" s="1"/>
  <c r="G102" i="12"/>
  <c r="G98" i="12"/>
  <c r="T121" i="14" s="1" a="1"/>
  <c r="T121" i="14" s="1"/>
  <c r="G94" i="12"/>
  <c r="T57" i="14" s="1" a="1"/>
  <c r="T57" i="14" s="1"/>
  <c r="G90" i="12"/>
  <c r="S121" i="14" s="1" a="1"/>
  <c r="S121" i="14" s="1"/>
  <c r="G86" i="12"/>
  <c r="S57" i="14" s="1" a="1"/>
  <c r="S57" i="14" s="1"/>
  <c r="G2" i="12"/>
  <c r="G113" i="12"/>
  <c r="G111" i="12"/>
  <c r="G109" i="12"/>
  <c r="G107" i="12"/>
  <c r="G105" i="12"/>
  <c r="V105" i="14" s="1" a="1"/>
  <c r="V105" i="14" s="1"/>
  <c r="G103" i="12"/>
  <c r="G101" i="12"/>
  <c r="G97" i="12"/>
  <c r="G93" i="12"/>
  <c r="T41" i="14" s="1" a="1"/>
  <c r="T41" i="14" s="1"/>
  <c r="G89" i="12"/>
  <c r="S105" i="14" s="1" a="1"/>
  <c r="S105" i="14" s="1"/>
  <c r="G85" i="12"/>
  <c r="S41" i="14" s="1" a="1"/>
  <c r="S41" i="14" s="1"/>
  <c r="G73" i="12"/>
  <c r="P105" i="14" s="1" a="1"/>
  <c r="P105" i="14" s="1"/>
  <c r="G72" i="12"/>
  <c r="P89" i="14" s="1" a="1"/>
  <c r="P89" i="14" s="1"/>
  <c r="G71" i="12"/>
  <c r="P73" i="14" s="1" a="1"/>
  <c r="P73" i="14" s="1"/>
  <c r="G70" i="12"/>
  <c r="P57" i="14" s="1" a="1"/>
  <c r="P57" i="14" s="1"/>
  <c r="G69" i="12"/>
  <c r="P41" i="14" s="1" a="1"/>
  <c r="P41" i="14" s="1"/>
  <c r="G68" i="12"/>
  <c r="P25" i="14" s="1" a="1"/>
  <c r="P25" i="14" s="1"/>
  <c r="G67" i="12"/>
  <c r="P9" i="14" s="1" a="1"/>
  <c r="P9" i="14" s="1"/>
  <c r="G66" i="12"/>
  <c r="N121" i="14" s="1" a="1"/>
  <c r="N121" i="14" s="1"/>
  <c r="G65" i="12"/>
  <c r="N105" i="14" s="1" a="1"/>
  <c r="N105" i="14" s="1"/>
  <c r="G64" i="12"/>
  <c r="N89" i="14" s="1" a="1"/>
  <c r="N89" i="14" s="1"/>
  <c r="G63" i="12"/>
  <c r="N73" i="14" s="1" a="1"/>
  <c r="N73" i="14" s="1"/>
  <c r="G74" i="12"/>
  <c r="P121" i="14" s="1" a="1"/>
  <c r="P121" i="14" s="1"/>
  <c r="G60" i="12"/>
  <c r="N25" i="14" s="1" a="1"/>
  <c r="N25" i="14" s="1"/>
  <c r="G59" i="12"/>
  <c r="N9" i="14" s="1" a="1"/>
  <c r="N9" i="14" s="1"/>
  <c r="G57" i="12"/>
  <c r="M105" i="14" s="1" a="1"/>
  <c r="M105" i="14" s="1"/>
  <c r="G55" i="12"/>
  <c r="M73" i="14" s="1" a="1"/>
  <c r="M73" i="14" s="1"/>
  <c r="G53" i="12"/>
  <c r="M41" i="14" s="1" a="1"/>
  <c r="M41" i="14" s="1"/>
  <c r="G51" i="12"/>
  <c r="M9" i="14" s="1" a="1"/>
  <c r="M9" i="14" s="1"/>
  <c r="G49" i="12"/>
  <c r="K105" i="14" s="1" a="1"/>
  <c r="K105" i="14" s="1"/>
  <c r="G47" i="12"/>
  <c r="K73" i="14" s="1" a="1"/>
  <c r="K73" i="14" s="1"/>
  <c r="G45" i="12"/>
  <c r="K41" i="14" s="1" a="1"/>
  <c r="K41" i="14" s="1"/>
  <c r="G43" i="12"/>
  <c r="K9" i="14" s="1" a="1"/>
  <c r="K9" i="14" s="1"/>
  <c r="G41" i="12"/>
  <c r="J105" i="14" s="1" a="1"/>
  <c r="J105" i="14" s="1"/>
  <c r="G56" i="12"/>
  <c r="M89" i="14" s="1" a="1"/>
  <c r="M89" i="14" s="1"/>
  <c r="G54" i="12"/>
  <c r="M57" i="14" s="1" a="1"/>
  <c r="M57" i="14" s="1"/>
  <c r="G52" i="12"/>
  <c r="M25" i="14" s="1" a="1"/>
  <c r="M25" i="14" s="1"/>
  <c r="G50" i="12"/>
  <c r="K121" i="14" s="1" a="1"/>
  <c r="K121" i="14" s="1"/>
  <c r="G48" i="12"/>
  <c r="K89" i="14" s="1" a="1"/>
  <c r="K89" i="14" s="1"/>
  <c r="G46" i="12"/>
  <c r="K57" i="14" s="1" a="1"/>
  <c r="K57" i="14" s="1"/>
  <c r="G44" i="12"/>
  <c r="K25" i="14" s="1" a="1"/>
  <c r="K25" i="14" s="1"/>
  <c r="G42" i="12"/>
  <c r="J121" i="14" s="1" a="1"/>
  <c r="J121" i="14" s="1"/>
  <c r="G40" i="12"/>
  <c r="J89" i="14" s="1" a="1"/>
  <c r="J89" i="14" s="1"/>
  <c r="G38" i="12"/>
  <c r="J57" i="14" s="1" a="1"/>
  <c r="J57" i="14" s="1"/>
  <c r="G36" i="12"/>
  <c r="J25" i="14" s="1" a="1"/>
  <c r="J25" i="14" s="1"/>
  <c r="G34" i="12"/>
  <c r="H121" i="14" s="1" a="1"/>
  <c r="H121" i="14" s="1"/>
  <c r="G62" i="12"/>
  <c r="N57" i="14" s="1" a="1"/>
  <c r="N57" i="14" s="1"/>
  <c r="G61" i="12"/>
  <c r="N41" i="14" s="1" a="1"/>
  <c r="N41" i="14" s="1"/>
  <c r="O41" i="14" s="1" a="1"/>
  <c r="O41" i="14" s="1"/>
  <c r="G58" i="12"/>
  <c r="M121" i="14" s="1" a="1"/>
  <c r="M121" i="14" s="1"/>
  <c r="G32" i="12"/>
  <c r="H89" i="14" s="1" a="1"/>
  <c r="H89" i="14" s="1"/>
  <c r="G31" i="12"/>
  <c r="H73" i="14" s="1" a="1"/>
  <c r="H73" i="14" s="1"/>
  <c r="G30" i="12"/>
  <c r="H57" i="14" s="1" a="1"/>
  <c r="H57" i="14" s="1"/>
  <c r="G29" i="12"/>
  <c r="H41" i="14" s="1" a="1"/>
  <c r="H41" i="14" s="1"/>
  <c r="G39" i="12"/>
  <c r="J73" i="14" s="1" a="1"/>
  <c r="J73" i="14" s="1"/>
  <c r="G26" i="12"/>
  <c r="G121" i="14" s="1" a="1"/>
  <c r="G121" i="14" s="1"/>
  <c r="G22" i="12"/>
  <c r="G57" i="14" s="1" a="1"/>
  <c r="G57" i="14" s="1"/>
  <c r="G18" i="12"/>
  <c r="E121" i="14" s="1" a="1"/>
  <c r="E121" i="14" s="1"/>
  <c r="G14" i="12"/>
  <c r="E57" i="14" s="1" a="1"/>
  <c r="E57" i="14" s="1"/>
  <c r="D121" i="14" a="1"/>
  <c r="D121" i="14" s="1"/>
  <c r="G33" i="12"/>
  <c r="H105" i="14" s="1" a="1"/>
  <c r="H105" i="14" s="1"/>
  <c r="G27" i="12"/>
  <c r="H9" i="14" s="1" a="1"/>
  <c r="H9" i="14" s="1"/>
  <c r="G23" i="12"/>
  <c r="G73" i="14" s="1" a="1"/>
  <c r="G73" i="14" s="1"/>
  <c r="G19" i="12"/>
  <c r="G9" i="14" s="1" a="1"/>
  <c r="G9" i="14" s="1"/>
  <c r="G15" i="12"/>
  <c r="E73" i="14" s="1" a="1"/>
  <c r="E73" i="14" s="1"/>
  <c r="G11" i="12"/>
  <c r="E9" i="14" s="1" a="1"/>
  <c r="E9" i="14" s="1"/>
  <c r="G35" i="12"/>
  <c r="J9" i="14" s="1" a="1"/>
  <c r="J9" i="14" s="1"/>
  <c r="G28" i="12"/>
  <c r="H25" i="14" s="1" a="1"/>
  <c r="H25" i="14" s="1"/>
  <c r="G24" i="12"/>
  <c r="G89" i="14" s="1" a="1"/>
  <c r="G89" i="14" s="1"/>
  <c r="G20" i="12"/>
  <c r="G25" i="14" s="1" a="1"/>
  <c r="G25" i="14" s="1"/>
  <c r="G16" i="12"/>
  <c r="E89" i="14" s="1" a="1"/>
  <c r="E89" i="14" s="1"/>
  <c r="G12" i="12"/>
  <c r="E25" i="14" s="1" a="1"/>
  <c r="E25" i="14" s="1"/>
  <c r="G37" i="12"/>
  <c r="J41" i="14" s="1" a="1"/>
  <c r="J41" i="14" s="1"/>
  <c r="G25" i="12"/>
  <c r="G105" i="14" s="1" a="1"/>
  <c r="G105" i="14" s="1"/>
  <c r="G21" i="12"/>
  <c r="G41" i="14" s="1" a="1"/>
  <c r="G41" i="14" s="1"/>
  <c r="G17" i="12"/>
  <c r="E105" i="14" s="1" a="1"/>
  <c r="E105" i="14" s="1"/>
  <c r="G13" i="12"/>
  <c r="E41" i="14" s="1" a="1"/>
  <c r="E41" i="14" s="1"/>
  <c r="G9" i="12"/>
  <c r="D105" i="14" s="1" a="1"/>
  <c r="D105" i="14" s="1"/>
  <c r="G8" i="12"/>
  <c r="D89" i="14" s="1" a="1"/>
  <c r="D89" i="14" s="1"/>
  <c r="G7" i="12"/>
  <c r="D73" i="14" s="1" a="1"/>
  <c r="D73" i="14" s="1"/>
  <c r="G6" i="12"/>
  <c r="D57" i="14" s="1" a="1"/>
  <c r="D57" i="14" s="1"/>
  <c r="G5" i="12"/>
  <c r="D41" i="14" s="1" a="1"/>
  <c r="D41" i="14" s="1"/>
  <c r="G4" i="12"/>
  <c r="D25" i="14" s="1" a="1"/>
  <c r="D25" i="14" s="1"/>
  <c r="G3" i="12"/>
  <c r="D9" i="14" s="1" a="1"/>
  <c r="D9" i="14" s="1"/>
  <c r="R24" i="14" a="1"/>
  <c r="R24" i="14" s="1"/>
  <c r="R104" i="14" a="1"/>
  <c r="R104" i="14" s="1"/>
  <c r="F72" i="14" a="1"/>
  <c r="F72" i="14" s="1"/>
  <c r="I88" i="14" a="1"/>
  <c r="I88" i="14" s="1"/>
  <c r="F40" i="14" a="1"/>
  <c r="F40" i="14" s="1"/>
  <c r="I120" i="14" a="1"/>
  <c r="I120" i="14" s="1"/>
  <c r="L120" i="14" a="1"/>
  <c r="L120" i="14" s="1"/>
  <c r="I104" i="14" a="1"/>
  <c r="I104" i="14" s="1"/>
  <c r="L104" i="14" a="1"/>
  <c r="L104" i="14" s="1"/>
  <c r="L40" i="14" a="1"/>
  <c r="L40" i="14" s="1"/>
  <c r="I72" i="14" a="1"/>
  <c r="I72" i="14" s="1"/>
  <c r="I40" i="14" a="1"/>
  <c r="I40" i="14" s="1"/>
  <c r="F104" i="14" a="1"/>
  <c r="F104" i="14" s="1"/>
  <c r="L24" i="14" a="1"/>
  <c r="L24" i="14" s="1"/>
  <c r="O24" i="14" a="1"/>
  <c r="O24" i="14" s="1"/>
  <c r="L8" i="14" a="1"/>
  <c r="L8" i="14" s="1"/>
  <c r="O8" i="14" a="1"/>
  <c r="O8" i="14" s="1"/>
  <c r="O56" i="14" a="1"/>
  <c r="O56" i="14" s="1"/>
  <c r="O40" i="14" a="1"/>
  <c r="O40" i="14" s="1"/>
  <c r="T120" i="14" a="1"/>
  <c r="T120" i="14" s="1"/>
  <c r="U120" i="14" s="1" a="1"/>
  <c r="U120" i="14" s="1"/>
  <c r="T102" i="14" a="1"/>
  <c r="T102" i="14" s="1"/>
  <c r="U102" i="14" s="1" a="1"/>
  <c r="U102" i="14" s="1"/>
  <c r="W2" i="14"/>
  <c r="T117" i="14" a="1"/>
  <c r="T117" i="14" s="1"/>
  <c r="U117" i="14" s="1" a="1"/>
  <c r="U117" i="14" s="1"/>
  <c r="T104" i="14" a="1"/>
  <c r="T104" i="14" s="1"/>
  <c r="U104" i="14" s="1" a="1"/>
  <c r="U104" i="14" s="1"/>
  <c r="T101" i="14" a="1"/>
  <c r="T101" i="14" s="1"/>
  <c r="U101" i="14" s="1" a="1"/>
  <c r="U101" i="14" s="1"/>
  <c r="T87" i="14" a="1"/>
  <c r="T87" i="14" s="1"/>
  <c r="U87" i="14" s="1" a="1"/>
  <c r="U87" i="14" s="1"/>
  <c r="T69" i="14" a="1"/>
  <c r="T69" i="14" s="1"/>
  <c r="U69" i="14" s="1" a="1"/>
  <c r="U69" i="14" s="1"/>
  <c r="T86" i="14" a="1"/>
  <c r="T86" i="14" s="1"/>
  <c r="U86" i="14" s="1" a="1"/>
  <c r="U86" i="14" s="1"/>
  <c r="T71" i="14" a="1"/>
  <c r="T71" i="14" s="1"/>
  <c r="U71" i="14" s="1" a="1"/>
  <c r="U71" i="14" s="1"/>
  <c r="T105" i="14" a="1"/>
  <c r="T105" i="14" s="1"/>
  <c r="T88" i="14" a="1"/>
  <c r="T88" i="14" s="1"/>
  <c r="U88" i="14" s="1" a="1"/>
  <c r="U88" i="14" s="1"/>
  <c r="T73" i="14" a="1"/>
  <c r="T73" i="14" s="1"/>
  <c r="T119" i="14" a="1"/>
  <c r="T119" i="14" s="1"/>
  <c r="U119" i="14" s="1" a="1"/>
  <c r="U119" i="14" s="1"/>
  <c r="T56" i="14" a="1"/>
  <c r="T56" i="14" s="1"/>
  <c r="U56" i="14" s="1" a="1"/>
  <c r="U56" i="14" s="1"/>
  <c r="T54" i="14" a="1"/>
  <c r="T54" i="14" s="1"/>
  <c r="U54" i="14" s="1" a="1"/>
  <c r="U54" i="14" s="1"/>
  <c r="T118" i="14" a="1"/>
  <c r="T118" i="14" s="1"/>
  <c r="U118" i="14" s="1" a="1"/>
  <c r="U118" i="14" s="1"/>
  <c r="T85" i="14" a="1"/>
  <c r="T85" i="14" s="1"/>
  <c r="U85" i="14" s="1" a="1"/>
  <c r="U85" i="14" s="1"/>
  <c r="T70" i="14" a="1"/>
  <c r="T70" i="14" s="1"/>
  <c r="U70" i="14" s="1" a="1"/>
  <c r="U70" i="14" s="1"/>
  <c r="T53" i="14" a="1"/>
  <c r="T53" i="14" s="1"/>
  <c r="U53" i="14" s="1" a="1"/>
  <c r="U53" i="14" s="1"/>
  <c r="T40" i="14" a="1"/>
  <c r="T40" i="14" s="1"/>
  <c r="U40" i="14" s="1" a="1"/>
  <c r="U40" i="14" s="1"/>
  <c r="T38" i="14" a="1"/>
  <c r="T38" i="14" s="1"/>
  <c r="U38" i="14" s="1" a="1"/>
  <c r="U38" i="14" s="1"/>
  <c r="T55" i="14" a="1"/>
  <c r="T55" i="14" s="1"/>
  <c r="U55" i="14" s="1" a="1"/>
  <c r="U55" i="14" s="1"/>
  <c r="T37" i="14" a="1"/>
  <c r="T37" i="14" s="1"/>
  <c r="U37" i="14" s="1" a="1"/>
  <c r="U37" i="14" s="1"/>
  <c r="T21" i="14" a="1"/>
  <c r="T21" i="14" s="1"/>
  <c r="U21" i="14" s="1" a="1"/>
  <c r="U21" i="14" s="1"/>
  <c r="T7" i="14" a="1"/>
  <c r="T7" i="14" s="1"/>
  <c r="U7" i="14" s="1" a="1"/>
  <c r="U7" i="14" s="1"/>
  <c r="T103" i="14" a="1"/>
  <c r="T103" i="14" s="1"/>
  <c r="U103" i="14" s="1" a="1"/>
  <c r="U103" i="14" s="1"/>
  <c r="T72" i="14" a="1"/>
  <c r="T72" i="14" s="1"/>
  <c r="U72" i="14" s="1" a="1"/>
  <c r="U72" i="14" s="1"/>
  <c r="T25" i="14" a="1"/>
  <c r="T25" i="14" s="1"/>
  <c r="U25" i="14" s="1" a="1"/>
  <c r="U25" i="14" s="1"/>
  <c r="T23" i="14" a="1"/>
  <c r="T23" i="14" s="1"/>
  <c r="U23" i="14" s="1" a="1"/>
  <c r="U23" i="14" s="1"/>
  <c r="T6" i="14" a="1"/>
  <c r="T6" i="14" s="1"/>
  <c r="U6" i="14" s="1" a="1"/>
  <c r="U6" i="14" s="1"/>
  <c r="T39" i="14" a="1"/>
  <c r="T39" i="14" s="1"/>
  <c r="U39" i="14" s="1" a="1"/>
  <c r="U39" i="14" s="1"/>
  <c r="T22" i="14" a="1"/>
  <c r="T22" i="14" s="1"/>
  <c r="U22" i="14" s="1" a="1"/>
  <c r="U22" i="14" s="1"/>
  <c r="T8" i="14" a="1"/>
  <c r="T8" i="14" s="1"/>
  <c r="U8" i="14" s="1" a="1"/>
  <c r="U8" i="14" s="1"/>
  <c r="T24" i="14" a="1"/>
  <c r="T24" i="14" s="1"/>
  <c r="U24" i="14" s="1" a="1"/>
  <c r="U24" i="14" s="1"/>
  <c r="T5" i="14" a="1"/>
  <c r="T5" i="14" s="1"/>
  <c r="U5" i="14" s="1" a="1"/>
  <c r="U5" i="14" s="1"/>
  <c r="V117" i="14" a="1"/>
  <c r="V117" i="14" s="1"/>
  <c r="V104" i="14" a="1"/>
  <c r="V104" i="14" s="1"/>
  <c r="V101" i="14" a="1"/>
  <c r="V101" i="14" s="1"/>
  <c r="V119" i="14" a="1"/>
  <c r="V119" i="14" s="1"/>
  <c r="V103" i="14" a="1"/>
  <c r="V103" i="14" s="1"/>
  <c r="V120" i="14" a="1"/>
  <c r="V120" i="14" s="1"/>
  <c r="V86" i="14" a="1"/>
  <c r="V86" i="14" s="1"/>
  <c r="V71" i="14" a="1"/>
  <c r="V71" i="14" s="1"/>
  <c r="V102" i="14" a="1"/>
  <c r="V102" i="14" s="1"/>
  <c r="V88" i="14" a="1"/>
  <c r="V88" i="14" s="1"/>
  <c r="V73" i="14" a="1"/>
  <c r="V73" i="14" s="1"/>
  <c r="V118" i="14" a="1"/>
  <c r="V118" i="14" s="1"/>
  <c r="V85" i="14" a="1"/>
  <c r="V85" i="14" s="1"/>
  <c r="V72" i="14" a="1"/>
  <c r="V72" i="14" s="1"/>
  <c r="V70" i="14" a="1"/>
  <c r="V70" i="14" s="1"/>
  <c r="V87" i="14" a="1"/>
  <c r="V87" i="14" s="1"/>
  <c r="V53" i="14" a="1"/>
  <c r="V53" i="14" s="1"/>
  <c r="V40" i="14" a="1"/>
  <c r="V40" i="14" s="1"/>
  <c r="V38" i="14" a="1"/>
  <c r="V38" i="14" s="1"/>
  <c r="V69" i="14" a="1"/>
  <c r="V69" i="14" s="1"/>
  <c r="V55" i="14" a="1"/>
  <c r="V55" i="14" s="1"/>
  <c r="V37" i="14" a="1"/>
  <c r="V37" i="14" s="1"/>
  <c r="V57" i="14" a="1"/>
  <c r="V57" i="14" s="1"/>
  <c r="V39" i="14" a="1"/>
  <c r="V39" i="14" s="1"/>
  <c r="V25" i="14" a="1"/>
  <c r="V25" i="14" s="1"/>
  <c r="V23" i="14" a="1"/>
  <c r="V23" i="14" s="1"/>
  <c r="V9" i="14" a="1"/>
  <c r="V9" i="14" s="1"/>
  <c r="V6" i="14" a="1"/>
  <c r="V6" i="14" s="1"/>
  <c r="V22" i="14" a="1"/>
  <c r="V22" i="14" s="1"/>
  <c r="V8" i="14" a="1"/>
  <c r="V8" i="14" s="1"/>
  <c r="V54" i="14" a="1"/>
  <c r="V54" i="14" s="1"/>
  <c r="V21" i="14" a="1"/>
  <c r="V21" i="14" s="1"/>
  <c r="V7" i="14" a="1"/>
  <c r="V7" i="14" s="1"/>
  <c r="V56" i="14" a="1"/>
  <c r="V56" i="14" s="1"/>
  <c r="V41" i="14" a="1"/>
  <c r="V41" i="14" s="1"/>
  <c r="V24" i="14" a="1"/>
  <c r="V24" i="14" s="1"/>
  <c r="V5" i="14" a="1"/>
  <c r="V5" i="14" s="1"/>
  <c r="H10" i="8"/>
  <c r="C12" i="8"/>
  <c r="G11" i="8"/>
  <c r="H1" i="9"/>
  <c r="G2" i="9"/>
  <c r="G156" i="7"/>
  <c r="G155" i="7"/>
  <c r="G154" i="7"/>
  <c r="G153" i="7"/>
  <c r="G152" i="7"/>
  <c r="G151" i="7"/>
  <c r="G150" i="7"/>
  <c r="G149" i="7"/>
  <c r="F139" i="9" s="1" a="1"/>
  <c r="F139" i="9" s="1"/>
  <c r="G148" i="7"/>
  <c r="F138" i="9" s="1" a="1"/>
  <c r="F138" i="9" s="1"/>
  <c r="G147" i="7"/>
  <c r="F137" i="9" s="1" a="1"/>
  <c r="F137" i="9" s="1"/>
  <c r="G146" i="7"/>
  <c r="F136" i="9" s="1" a="1"/>
  <c r="F136" i="9" s="1"/>
  <c r="G145" i="7"/>
  <c r="F135" i="9" s="1" a="1"/>
  <c r="F135" i="9" s="1"/>
  <c r="G144" i="7"/>
  <c r="F134" i="9" s="1" a="1"/>
  <c r="F134" i="9" s="1"/>
  <c r="G143" i="7"/>
  <c r="F133" i="9" s="1" a="1"/>
  <c r="F133" i="9" s="1"/>
  <c r="G142" i="7"/>
  <c r="G141" i="7"/>
  <c r="G140" i="7"/>
  <c r="G139" i="7"/>
  <c r="G138" i="7"/>
  <c r="G137" i="7"/>
  <c r="G136" i="7"/>
  <c r="G135" i="7"/>
  <c r="F126" i="9" s="1" a="1"/>
  <c r="F126" i="9" s="1"/>
  <c r="G134" i="7"/>
  <c r="F125" i="9" s="1" a="1"/>
  <c r="F125" i="9" s="1"/>
  <c r="G133" i="7"/>
  <c r="F124" i="9" s="1" a="1"/>
  <c r="F124" i="9" s="1"/>
  <c r="G132" i="7"/>
  <c r="F123" i="9" s="1" a="1"/>
  <c r="F123" i="9" s="1"/>
  <c r="G131" i="7"/>
  <c r="F122" i="9" s="1" a="1"/>
  <c r="F122" i="9" s="1"/>
  <c r="G130" i="7"/>
  <c r="F121" i="9" s="1" a="1"/>
  <c r="F121" i="9" s="1"/>
  <c r="G129" i="7"/>
  <c r="F120" i="9" s="1" a="1"/>
  <c r="F120" i="9" s="1"/>
  <c r="G128" i="7"/>
  <c r="G127" i="7"/>
  <c r="G126" i="7"/>
  <c r="G125" i="7"/>
  <c r="G124" i="7"/>
  <c r="G123" i="7"/>
  <c r="G122" i="7"/>
  <c r="G121" i="7"/>
  <c r="F113" i="9" s="1" a="1"/>
  <c r="F113" i="9" s="1"/>
  <c r="G120" i="7"/>
  <c r="F112" i="9" s="1" a="1"/>
  <c r="F112" i="9" s="1"/>
  <c r="G119" i="7"/>
  <c r="F111" i="9" s="1" a="1"/>
  <c r="F111" i="9" s="1"/>
  <c r="G118" i="7"/>
  <c r="F110" i="9" s="1" a="1"/>
  <c r="F110" i="9" s="1"/>
  <c r="G117" i="7"/>
  <c r="F109" i="9" s="1" a="1"/>
  <c r="F109" i="9" s="1"/>
  <c r="G116" i="7"/>
  <c r="F108" i="9" s="1" a="1"/>
  <c r="F108" i="9" s="1"/>
  <c r="G115" i="7"/>
  <c r="F107" i="9" s="1" a="1"/>
  <c r="F107" i="9" s="1"/>
  <c r="G114" i="7"/>
  <c r="G113" i="7"/>
  <c r="G112" i="7"/>
  <c r="G111" i="7"/>
  <c r="G110" i="7"/>
  <c r="G109" i="7"/>
  <c r="G108" i="7"/>
  <c r="G107" i="7"/>
  <c r="F100" i="9" s="1" a="1"/>
  <c r="F100" i="9" s="1"/>
  <c r="G106" i="7"/>
  <c r="F99" i="9" s="1" a="1"/>
  <c r="F99" i="9" s="1"/>
  <c r="G105" i="7"/>
  <c r="F98" i="9" s="1" a="1"/>
  <c r="F98" i="9" s="1"/>
  <c r="G104" i="7"/>
  <c r="F97" i="9" s="1" a="1"/>
  <c r="F97" i="9" s="1"/>
  <c r="G103" i="7"/>
  <c r="F96" i="9" s="1" a="1"/>
  <c r="F96" i="9" s="1"/>
  <c r="G102" i="7"/>
  <c r="F95" i="9" s="1" a="1"/>
  <c r="F95" i="9" s="1"/>
  <c r="G101" i="7"/>
  <c r="F94" i="9" s="1" a="1"/>
  <c r="F94" i="9" s="1"/>
  <c r="G100" i="7"/>
  <c r="G96" i="7"/>
  <c r="G92" i="7"/>
  <c r="F86" i="9" s="1" a="1"/>
  <c r="F86" i="9" s="1"/>
  <c r="G88" i="7"/>
  <c r="F82" i="9" s="1" a="1"/>
  <c r="F82" i="9" s="1"/>
  <c r="G84" i="7"/>
  <c r="G79" i="7"/>
  <c r="F74" i="9" s="1" a="1"/>
  <c r="F74" i="9" s="1"/>
  <c r="G75" i="7"/>
  <c r="F70" i="9" s="1" a="1"/>
  <c r="F70" i="9" s="1"/>
  <c r="G71" i="7"/>
  <c r="G65" i="7"/>
  <c r="F61" i="9" s="1" a="1"/>
  <c r="F61" i="9" s="1"/>
  <c r="G64" i="7"/>
  <c r="F60" i="9" s="1" a="1"/>
  <c r="F60" i="9" s="1"/>
  <c r="G63" i="7"/>
  <c r="F59" i="9" s="1" a="1"/>
  <c r="F59" i="9" s="1"/>
  <c r="G62" i="7"/>
  <c r="F58" i="9" s="1" a="1"/>
  <c r="F58" i="9" s="1"/>
  <c r="G61" i="7"/>
  <c r="F57" i="9" s="1" a="1"/>
  <c r="F57" i="9" s="1"/>
  <c r="G60" i="7"/>
  <c r="F56" i="9" s="1" a="1"/>
  <c r="F56" i="9" s="1"/>
  <c r="G59" i="7"/>
  <c r="F55" i="9" s="1" a="1"/>
  <c r="F55" i="9" s="1"/>
  <c r="G58" i="7"/>
  <c r="G57" i="7"/>
  <c r="G56" i="7"/>
  <c r="G55" i="7"/>
  <c r="G54" i="7"/>
  <c r="G53" i="7"/>
  <c r="G52" i="7"/>
  <c r="G51" i="7"/>
  <c r="F48" i="9" s="1" a="1"/>
  <c r="F48" i="9" s="1"/>
  <c r="G50" i="7"/>
  <c r="F47" i="9" s="1" a="1"/>
  <c r="F47" i="9" s="1"/>
  <c r="G49" i="7"/>
  <c r="F46" i="9" s="1" a="1"/>
  <c r="F46" i="9" s="1"/>
  <c r="G48" i="7"/>
  <c r="F45" i="9" s="1" a="1"/>
  <c r="F45" i="9" s="1"/>
  <c r="G47" i="7"/>
  <c r="F44" i="9" s="1" a="1"/>
  <c r="F44" i="9" s="1"/>
  <c r="G46" i="7"/>
  <c r="F43" i="9" s="1" a="1"/>
  <c r="F43" i="9" s="1"/>
  <c r="G45" i="7"/>
  <c r="F42" i="9" s="1" a="1"/>
  <c r="F42" i="9" s="1"/>
  <c r="G44" i="7"/>
  <c r="G43" i="7"/>
  <c r="G42" i="7"/>
  <c r="G41" i="7"/>
  <c r="G40" i="7"/>
  <c r="G39" i="7"/>
  <c r="G38" i="7"/>
  <c r="G37" i="7"/>
  <c r="F35" i="9" s="1" a="1"/>
  <c r="F35" i="9" s="1"/>
  <c r="G32" i="7"/>
  <c r="F30" i="9" s="1" a="1"/>
  <c r="F30" i="9" s="1"/>
  <c r="H2" i="7"/>
  <c r="G98" i="7"/>
  <c r="G94" i="7"/>
  <c r="G90" i="7"/>
  <c r="F84" i="9" s="1" a="1"/>
  <c r="F84" i="9" s="1"/>
  <c r="G86" i="7"/>
  <c r="G82" i="7"/>
  <c r="G97" i="7"/>
  <c r="G93" i="7"/>
  <c r="F87" i="9" s="1" a="1"/>
  <c r="F87" i="9" s="1"/>
  <c r="G89" i="7"/>
  <c r="F83" i="9" s="1" a="1"/>
  <c r="F83" i="9" s="1"/>
  <c r="G85" i="7"/>
  <c r="G78" i="7"/>
  <c r="F73" i="9" s="1" a="1"/>
  <c r="F73" i="9" s="1"/>
  <c r="G74" i="7"/>
  <c r="F69" i="9" s="1" a="1"/>
  <c r="F69" i="9" s="1"/>
  <c r="G70" i="7"/>
  <c r="G68" i="7"/>
  <c r="G66" i="7"/>
  <c r="G36" i="7"/>
  <c r="F34" i="9" s="1" a="1"/>
  <c r="F34" i="9" s="1"/>
  <c r="G35" i="7"/>
  <c r="F33" i="9" s="1" a="1"/>
  <c r="F33" i="9" s="1"/>
  <c r="G34" i="7"/>
  <c r="F32" i="9" s="1" a="1"/>
  <c r="F32" i="9" s="1"/>
  <c r="G33" i="7"/>
  <c r="F31" i="9" s="1" a="1"/>
  <c r="F31" i="9" s="1"/>
  <c r="G81" i="7"/>
  <c r="G77" i="7"/>
  <c r="F72" i="9" s="1" a="1"/>
  <c r="F72" i="9" s="1"/>
  <c r="G73" i="7"/>
  <c r="F68" i="9" s="1" a="1"/>
  <c r="F68" i="9" s="1"/>
  <c r="G80" i="7"/>
  <c r="G76" i="7"/>
  <c r="F71" i="9" s="1" a="1"/>
  <c r="F71" i="9" s="1"/>
  <c r="G72" i="7"/>
  <c r="G99" i="7"/>
  <c r="G91" i="7"/>
  <c r="F85" i="9" s="1" a="1"/>
  <c r="F85" i="9" s="1"/>
  <c r="G83" i="7"/>
  <c r="G67" i="7"/>
  <c r="G31" i="7"/>
  <c r="F29" i="9" s="1" a="1"/>
  <c r="F29" i="9" s="1"/>
  <c r="G30" i="7"/>
  <c r="G29" i="7"/>
  <c r="G28" i="7"/>
  <c r="G27" i="7"/>
  <c r="G26" i="7"/>
  <c r="G25" i="7"/>
  <c r="G24" i="7"/>
  <c r="G23" i="7"/>
  <c r="F22" i="9" s="1" a="1"/>
  <c r="F22" i="9" s="1"/>
  <c r="G22" i="7"/>
  <c r="F21" i="9" s="1" a="1"/>
  <c r="F21" i="9" s="1"/>
  <c r="G21" i="7"/>
  <c r="F20" i="9" s="1" a="1"/>
  <c r="F20" i="9" s="1"/>
  <c r="G20" i="7"/>
  <c r="F19" i="9" s="1" a="1"/>
  <c r="F19" i="9" s="1"/>
  <c r="G19" i="7"/>
  <c r="F18" i="9" s="1" a="1"/>
  <c r="F18" i="9" s="1"/>
  <c r="G18" i="7"/>
  <c r="F17" i="9" s="1" a="1"/>
  <c r="F17" i="9" s="1"/>
  <c r="G17" i="7"/>
  <c r="F16" i="9" s="1" a="1"/>
  <c r="F16" i="9" s="1"/>
  <c r="G16" i="7"/>
  <c r="G15" i="7"/>
  <c r="G14" i="7"/>
  <c r="G13" i="7"/>
  <c r="G12" i="7"/>
  <c r="G11" i="7"/>
  <c r="G10" i="7"/>
  <c r="G9" i="7"/>
  <c r="F9" i="9" s="1" a="1"/>
  <c r="F9" i="9" s="1"/>
  <c r="G8" i="7"/>
  <c r="F8" i="9" s="1" a="1"/>
  <c r="F8" i="9" s="1"/>
  <c r="G7" i="7"/>
  <c r="F7" i="9" s="1" a="1"/>
  <c r="F7" i="9" s="1"/>
  <c r="G6" i="7"/>
  <c r="F6" i="9" s="1" a="1"/>
  <c r="F6" i="9" s="1"/>
  <c r="G5" i="7"/>
  <c r="F5" i="9" s="1" a="1"/>
  <c r="F5" i="9" s="1"/>
  <c r="G4" i="7"/>
  <c r="F4" i="9" s="1" a="1"/>
  <c r="F4" i="9" s="1"/>
  <c r="G3" i="7"/>
  <c r="F3" i="9" s="1" a="1"/>
  <c r="F3" i="9" s="1"/>
  <c r="G87" i="7"/>
  <c r="F81" i="9" s="1" a="1"/>
  <c r="F81" i="9" s="1"/>
  <c r="G95" i="7"/>
  <c r="G69" i="7"/>
  <c r="BN55" i="21" a="1"/>
  <c r="BL55" i="21" a="1"/>
  <c r="BA25" i="21" a="1"/>
  <c r="AU25" i="21" a="1"/>
  <c r="BA37" i="21" a="1"/>
  <c r="BN52" i="21" a="1"/>
  <c r="BA35" i="21" a="1"/>
  <c r="BM52" i="21" a="1"/>
  <c r="BA22" i="21" a="1"/>
  <c r="C42" i="13" l="1"/>
  <c r="E44" i="13"/>
  <c r="F44" i="13"/>
  <c r="D44" i="13"/>
  <c r="G42" i="13"/>
  <c r="D42" i="13"/>
  <c r="H42" i="13"/>
  <c r="E42" i="13"/>
  <c r="AA26" i="13"/>
  <c r="AB26" i="13" s="1" a="1"/>
  <c r="AB26" i="13" s="1"/>
  <c r="C44" i="13"/>
  <c r="I44" i="13"/>
  <c r="N39" i="13"/>
  <c r="G45" i="13"/>
  <c r="H45" i="13"/>
  <c r="L40" i="13"/>
  <c r="J40" i="13"/>
  <c r="M40" i="13"/>
  <c r="C45" i="13"/>
  <c r="E45" i="13"/>
  <c r="D45" i="13"/>
  <c r="BN55" i="21"/>
  <c r="X55" i="21" s="1"/>
  <c r="BA37" i="21"/>
  <c r="BA22" i="21"/>
  <c r="AW54" i="21"/>
  <c r="BD54" i="21" s="1"/>
  <c r="BG54" i="21" s="1"/>
  <c r="BJ54" i="21" s="1"/>
  <c r="AY24" i="21"/>
  <c r="AZ24" i="21" s="1"/>
  <c r="AS24" i="21"/>
  <c r="AT24" i="21" s="1"/>
  <c r="AQ54" i="21"/>
  <c r="BC54" i="21" s="1"/>
  <c r="BF54" i="21" s="1"/>
  <c r="BI54" i="21" s="1"/>
  <c r="AX53" i="21"/>
  <c r="BE53" i="21" s="1"/>
  <c r="BH53" i="21" s="1"/>
  <c r="BK53" i="21" s="1"/>
  <c r="AY36" i="21"/>
  <c r="AZ36" i="21" s="1"/>
  <c r="AS36" i="21"/>
  <c r="AT36" i="21" s="1"/>
  <c r="AR53" i="21"/>
  <c r="AQ53" i="21"/>
  <c r="BC53" i="21" s="1"/>
  <c r="BF53" i="21" s="1"/>
  <c r="BI53" i="21" s="1"/>
  <c r="AS23" i="21"/>
  <c r="AT23" i="21" s="1"/>
  <c r="AY23" i="21"/>
  <c r="AZ23" i="21" s="1"/>
  <c r="AW53" i="21"/>
  <c r="AR40" i="21" a="1"/>
  <c r="AR40" i="21" s="1"/>
  <c r="AR57" i="21" s="1"/>
  <c r="BM52" i="21"/>
  <c r="R52" i="21" s="1"/>
  <c r="AN27" i="21"/>
  <c r="AP27" i="21" s="1"/>
  <c r="AV27" i="21" s="1"/>
  <c r="AW27" i="21" s="1" a="1"/>
  <c r="AW27" i="21" s="1"/>
  <c r="BN52" i="21"/>
  <c r="BA35" i="21"/>
  <c r="AW55" i="21"/>
  <c r="BD55" i="21" s="1"/>
  <c r="BG55" i="21" s="1"/>
  <c r="BJ55" i="21" s="1"/>
  <c r="BA25" i="21"/>
  <c r="BL55" i="21"/>
  <c r="AU25" i="21"/>
  <c r="AY40" i="21"/>
  <c r="AZ40" i="21" s="1"/>
  <c r="AX57" i="21"/>
  <c r="BE57" i="21" s="1"/>
  <c r="BH57" i="21" s="1"/>
  <c r="BK57" i="21" s="1"/>
  <c r="AY26" i="21"/>
  <c r="AZ26" i="21" s="1"/>
  <c r="AW56" i="21"/>
  <c r="AS39" i="21"/>
  <c r="AT39" i="21" s="1"/>
  <c r="AR56" i="21"/>
  <c r="AY39" i="21"/>
  <c r="AZ39" i="21" s="1"/>
  <c r="AX56" i="21"/>
  <c r="BE56" i="21" s="1"/>
  <c r="BH56" i="21" s="1"/>
  <c r="BK56" i="21" s="1"/>
  <c r="Z54" i="21"/>
  <c r="V54" i="21"/>
  <c r="Y54" i="21"/>
  <c r="U54" i="21"/>
  <c r="X54" i="21"/>
  <c r="T54" i="21"/>
  <c r="W54" i="21"/>
  <c r="AQ26" i="21" a="1"/>
  <c r="AQ26" i="21" s="1"/>
  <c r="AN41" i="21"/>
  <c r="AP41" i="21" s="1"/>
  <c r="AK42" i="21" a="1"/>
  <c r="AK42" i="21" s="1"/>
  <c r="AL42" i="21"/>
  <c r="AM42" i="21" s="1" a="1"/>
  <c r="AM42" i="21" s="1"/>
  <c r="AL28" i="21"/>
  <c r="AM28" i="21" s="1" a="1"/>
  <c r="AM28" i="21" s="1"/>
  <c r="AK28" i="21" a="1"/>
  <c r="AK28" i="21" s="1"/>
  <c r="B30" i="21"/>
  <c r="B43" i="21" s="1"/>
  <c r="AG43" i="21" s="1" a="1"/>
  <c r="AG43" i="21" s="1"/>
  <c r="AH43" i="21" s="1"/>
  <c r="AJ43" i="21" s="1"/>
  <c r="AG29" i="21" a="1"/>
  <c r="AG29" i="21" s="1"/>
  <c r="AH29" i="21" s="1"/>
  <c r="AJ29" i="21" s="1"/>
  <c r="M39" i="13"/>
  <c r="K39" i="13"/>
  <c r="L39" i="13"/>
  <c r="L42" i="13"/>
  <c r="K40" i="13"/>
  <c r="N41" i="13"/>
  <c r="J41" i="13"/>
  <c r="K41" i="13"/>
  <c r="M41" i="13"/>
  <c r="O41" i="13"/>
  <c r="L41" i="13"/>
  <c r="E39" i="13"/>
  <c r="G39" i="13"/>
  <c r="F39" i="13"/>
  <c r="I39" i="13"/>
  <c r="D39" i="13"/>
  <c r="H39" i="13"/>
  <c r="C39" i="13"/>
  <c r="P40" i="13"/>
  <c r="H41" i="13"/>
  <c r="F41" i="13"/>
  <c r="D41" i="13"/>
  <c r="I41" i="13"/>
  <c r="G41" i="13"/>
  <c r="C41" i="13"/>
  <c r="E41" i="13"/>
  <c r="J43" i="13"/>
  <c r="O43" i="13"/>
  <c r="K43" i="13"/>
  <c r="M43" i="13"/>
  <c r="N43" i="13"/>
  <c r="L43" i="13"/>
  <c r="P43" i="13"/>
  <c r="H40" i="13"/>
  <c r="F40" i="13"/>
  <c r="D40" i="13"/>
  <c r="E40" i="13"/>
  <c r="I40" i="13"/>
  <c r="G40" i="13"/>
  <c r="C40" i="13"/>
  <c r="F43" i="13"/>
  <c r="D43" i="13"/>
  <c r="I43" i="13"/>
  <c r="G43" i="13"/>
  <c r="H43" i="13"/>
  <c r="E43" i="13"/>
  <c r="C43" i="13"/>
  <c r="P39" i="13"/>
  <c r="J39" i="13"/>
  <c r="P45" i="13"/>
  <c r="N45" i="13"/>
  <c r="J42" i="13"/>
  <c r="N42" i="13"/>
  <c r="M44" i="13"/>
  <c r="K42" i="13"/>
  <c r="L45" i="13"/>
  <c r="K44" i="13"/>
  <c r="J44" i="13"/>
  <c r="O44" i="13"/>
  <c r="K45" i="13"/>
  <c r="M45" i="13"/>
  <c r="P44" i="13"/>
  <c r="O45" i="13"/>
  <c r="P42" i="13"/>
  <c r="O42" i="13"/>
  <c r="L44" i="13"/>
  <c r="S74" i="19"/>
  <c r="AF73" i="19"/>
  <c r="AB73" i="19"/>
  <c r="X73" i="19"/>
  <c r="T73" i="19"/>
  <c r="AI73" i="19"/>
  <c r="AE73" i="19"/>
  <c r="AA73" i="19"/>
  <c r="W73" i="19"/>
  <c r="AH73" i="19"/>
  <c r="AD73" i="19"/>
  <c r="Z73" i="19"/>
  <c r="V73" i="19"/>
  <c r="Y73" i="19"/>
  <c r="U73" i="19"/>
  <c r="AG73" i="19"/>
  <c r="AC73" i="19"/>
  <c r="AG104" i="19"/>
  <c r="AC104" i="19"/>
  <c r="Y104" i="19"/>
  <c r="U104" i="19"/>
  <c r="S105" i="19"/>
  <c r="AF104" i="19"/>
  <c r="AB104" i="19"/>
  <c r="X104" i="19"/>
  <c r="T104" i="19"/>
  <c r="AE104" i="19"/>
  <c r="W104" i="19"/>
  <c r="AD104" i="19"/>
  <c r="V104" i="19"/>
  <c r="AI104" i="19"/>
  <c r="AA104" i="19"/>
  <c r="AH104" i="19"/>
  <c r="Z104" i="19"/>
  <c r="AG57" i="19"/>
  <c r="AC57" i="19"/>
  <c r="Y57" i="19"/>
  <c r="U57" i="19"/>
  <c r="S58" i="19"/>
  <c r="AF57" i="19"/>
  <c r="AB57" i="19"/>
  <c r="X57" i="19"/>
  <c r="T57" i="19"/>
  <c r="AI57" i="19"/>
  <c r="AE57" i="19"/>
  <c r="AA57" i="19"/>
  <c r="W57" i="19"/>
  <c r="Z57" i="19"/>
  <c r="AD57" i="19"/>
  <c r="V57" i="19"/>
  <c r="AH57" i="19"/>
  <c r="AG27" i="19"/>
  <c r="AC27" i="19"/>
  <c r="Y27" i="19"/>
  <c r="U27" i="19"/>
  <c r="S28" i="19"/>
  <c r="AF27" i="19"/>
  <c r="AB27" i="19"/>
  <c r="X27" i="19"/>
  <c r="T27" i="19"/>
  <c r="AD27" i="19"/>
  <c r="V27" i="19"/>
  <c r="AI27" i="19"/>
  <c r="AE27" i="19"/>
  <c r="AA27" i="19"/>
  <c r="W27" i="19"/>
  <c r="AH27" i="19"/>
  <c r="Z27" i="19"/>
  <c r="AG41" i="19"/>
  <c r="AC41" i="19"/>
  <c r="Y41" i="19"/>
  <c r="U41" i="19"/>
  <c r="S42" i="19"/>
  <c r="AF41" i="19"/>
  <c r="AB41" i="19"/>
  <c r="X41" i="19"/>
  <c r="T41" i="19"/>
  <c r="AI41" i="19"/>
  <c r="AE41" i="19"/>
  <c r="AA41" i="19"/>
  <c r="W41" i="19"/>
  <c r="Z41" i="19"/>
  <c r="AD41" i="19"/>
  <c r="V41" i="19"/>
  <c r="AH41" i="19"/>
  <c r="AG88" i="19"/>
  <c r="AC88" i="19"/>
  <c r="Y88" i="19"/>
  <c r="U88" i="19"/>
  <c r="S89" i="19"/>
  <c r="AF88" i="19"/>
  <c r="AB88" i="19"/>
  <c r="X88" i="19"/>
  <c r="T88" i="19"/>
  <c r="AI88" i="19"/>
  <c r="AE88" i="19"/>
  <c r="AA88" i="19"/>
  <c r="W88" i="19"/>
  <c r="Z88" i="19"/>
  <c r="V88" i="19"/>
  <c r="AH88" i="19"/>
  <c r="AD88" i="19"/>
  <c r="J1" i="19"/>
  <c r="I2" i="19"/>
  <c r="AC14" i="13"/>
  <c r="AC19" i="13"/>
  <c r="AC32" i="13" s="1"/>
  <c r="AC17" i="13"/>
  <c r="AC30" i="13" s="1"/>
  <c r="AC15" i="13"/>
  <c r="AC28" i="13" s="1"/>
  <c r="AC18" i="13"/>
  <c r="AE13" i="13"/>
  <c r="AE26" i="13" s="1"/>
  <c r="AB16" i="13" a="1"/>
  <c r="AB16" i="13" s="1"/>
  <c r="AC16" i="13" s="1"/>
  <c r="AC29" i="13" s="1"/>
  <c r="AA29" i="13"/>
  <c r="AB29" i="13" s="1" a="1"/>
  <c r="AB29" i="13" s="1"/>
  <c r="U105" i="14" a="1"/>
  <c r="U105" i="14" s="1"/>
  <c r="I41" i="14" a="1"/>
  <c r="I41" i="14" s="1"/>
  <c r="I9" i="14" a="1"/>
  <c r="I9" i="14" s="1"/>
  <c r="F121" i="14" a="1"/>
  <c r="F121" i="14" s="1"/>
  <c r="L9" i="14" a="1"/>
  <c r="L9" i="14" s="1"/>
  <c r="O105" i="14" a="1"/>
  <c r="O105" i="14" s="1"/>
  <c r="U121" i="14" a="1"/>
  <c r="U121" i="14" s="1"/>
  <c r="U9" i="14" a="1"/>
  <c r="U9" i="14" s="1"/>
  <c r="O89" i="14" a="1"/>
  <c r="O89" i="14" s="1"/>
  <c r="U57" i="14" a="1"/>
  <c r="U57" i="14" s="1"/>
  <c r="F9" i="14" a="1"/>
  <c r="F9" i="14" s="1"/>
  <c r="U41" i="14" a="1"/>
  <c r="U41" i="14" s="1"/>
  <c r="F73" i="14" a="1"/>
  <c r="F73" i="14" s="1"/>
  <c r="U89" i="14" a="1"/>
  <c r="U89" i="14" s="1"/>
  <c r="L25" i="14" a="1"/>
  <c r="L25" i="14" s="1"/>
  <c r="O9" i="14" a="1"/>
  <c r="O9" i="14" s="1"/>
  <c r="R25" i="14" a="1"/>
  <c r="R25" i="14" s="1"/>
  <c r="R89" i="14" a="1"/>
  <c r="R89" i="14" s="1"/>
  <c r="F41" i="14" a="1"/>
  <c r="F41" i="14" s="1"/>
  <c r="I57" i="14" a="1"/>
  <c r="I57" i="14" s="1"/>
  <c r="L41" i="14" a="1"/>
  <c r="L41" i="14" s="1"/>
  <c r="R105" i="14" a="1"/>
  <c r="R105" i="14" s="1"/>
  <c r="F105" i="14" a="1"/>
  <c r="F105" i="14" s="1"/>
  <c r="F25" i="14" a="1"/>
  <c r="F25" i="14" s="1"/>
  <c r="I25" i="14" a="1"/>
  <c r="I25" i="14" s="1"/>
  <c r="I73" i="14" a="1"/>
  <c r="I73" i="14" s="1"/>
  <c r="O57" i="14" a="1"/>
  <c r="O57" i="14" s="1"/>
  <c r="L89" i="14" a="1"/>
  <c r="L89" i="14" s="1"/>
  <c r="L73" i="14" a="1"/>
  <c r="L73" i="14" s="1"/>
  <c r="O121" i="14" a="1"/>
  <c r="O121" i="14" s="1"/>
  <c r="R57" i="14" a="1"/>
  <c r="R57" i="14" s="1"/>
  <c r="R121" i="14" a="1"/>
  <c r="R121" i="14" s="1"/>
  <c r="U73" i="14" a="1"/>
  <c r="U73" i="14" s="1"/>
  <c r="I105" i="14" a="1"/>
  <c r="I105" i="14" s="1"/>
  <c r="L57" i="14" a="1"/>
  <c r="L57" i="14" s="1"/>
  <c r="O25" i="14" a="1"/>
  <c r="O25" i="14" s="1"/>
  <c r="R41" i="14" a="1"/>
  <c r="R41" i="14" s="1"/>
  <c r="F89" i="14" a="1"/>
  <c r="F89" i="14" s="1"/>
  <c r="F57" i="14" a="1"/>
  <c r="F57" i="14" s="1"/>
  <c r="I89" i="14" a="1"/>
  <c r="I89" i="14" s="1"/>
  <c r="I121" i="14" a="1"/>
  <c r="I121" i="14" s="1"/>
  <c r="L121" i="14" a="1"/>
  <c r="L121" i="14" s="1"/>
  <c r="L105" i="14" a="1"/>
  <c r="L105" i="14" s="1"/>
  <c r="O73" i="14" a="1"/>
  <c r="O73" i="14" s="1"/>
  <c r="R9" i="14" a="1"/>
  <c r="R9" i="14" s="1"/>
  <c r="R73" i="14" a="1"/>
  <c r="R73" i="14" s="1"/>
  <c r="I1" i="12"/>
  <c r="H2" i="12"/>
  <c r="H114" i="12"/>
  <c r="H113" i="12"/>
  <c r="H112" i="12"/>
  <c r="H111" i="12"/>
  <c r="H110" i="12"/>
  <c r="H109" i="12"/>
  <c r="W42" i="14" s="1" a="1"/>
  <c r="W42" i="14" s="1"/>
  <c r="H108" i="12"/>
  <c r="H107" i="12"/>
  <c r="H106" i="12"/>
  <c r="V122" i="14" s="1" a="1"/>
  <c r="V122" i="14" s="1"/>
  <c r="H105" i="12"/>
  <c r="V106" i="14" s="1" a="1"/>
  <c r="V106" i="14" s="1"/>
  <c r="H104" i="12"/>
  <c r="V90" i="14" s="1" a="1"/>
  <c r="V90" i="14" s="1"/>
  <c r="H103" i="12"/>
  <c r="V74" i="14" s="1" a="1"/>
  <c r="V74" i="14" s="1"/>
  <c r="H99" i="12"/>
  <c r="V10" i="14" s="1" a="1"/>
  <c r="V10" i="14" s="1"/>
  <c r="H95" i="12"/>
  <c r="T74" i="14" s="1" a="1"/>
  <c r="T74" i="14" s="1"/>
  <c r="H91" i="12"/>
  <c r="T10" i="14" s="1" a="1"/>
  <c r="T10" i="14" s="1"/>
  <c r="H87" i="12"/>
  <c r="S74" i="14" s="1" a="1"/>
  <c r="S74" i="14" s="1"/>
  <c r="H83" i="12"/>
  <c r="S10" i="14" s="1" a="1"/>
  <c r="S10" i="14" s="1"/>
  <c r="H82" i="12"/>
  <c r="Q122" i="14" s="1" a="1"/>
  <c r="Q122" i="14" s="1"/>
  <c r="H81" i="12"/>
  <c r="Q106" i="14" s="1" a="1"/>
  <c r="Q106" i="14" s="1"/>
  <c r="H80" i="12"/>
  <c r="Q90" i="14" s="1" a="1"/>
  <c r="Q90" i="14" s="1"/>
  <c r="H79" i="12"/>
  <c r="Q74" i="14" s="1" a="1"/>
  <c r="Q74" i="14" s="1"/>
  <c r="H78" i="12"/>
  <c r="Q58" i="14" s="1" a="1"/>
  <c r="Q58" i="14" s="1"/>
  <c r="H77" i="12"/>
  <c r="Q42" i="14" s="1" a="1"/>
  <c r="Q42" i="14" s="1"/>
  <c r="H76" i="12"/>
  <c r="Q26" i="14" s="1" a="1"/>
  <c r="Q26" i="14" s="1"/>
  <c r="H75" i="12"/>
  <c r="Q10" i="14" s="1" a="1"/>
  <c r="Q10" i="14" s="1"/>
  <c r="H74" i="12"/>
  <c r="P122" i="14" s="1" a="1"/>
  <c r="P122" i="14" s="1"/>
  <c r="H102" i="12"/>
  <c r="V58" i="14" s="1" a="1"/>
  <c r="V58" i="14" s="1"/>
  <c r="H98" i="12"/>
  <c r="T122" i="14" s="1" a="1"/>
  <c r="T122" i="14" s="1"/>
  <c r="H94" i="12"/>
  <c r="T58" i="14" s="1" a="1"/>
  <c r="T58" i="14" s="1"/>
  <c r="H90" i="12"/>
  <c r="S122" i="14" s="1" a="1"/>
  <c r="S122" i="14" s="1"/>
  <c r="H86" i="12"/>
  <c r="S58" i="14" s="1" a="1"/>
  <c r="S58" i="14" s="1"/>
  <c r="H101" i="12"/>
  <c r="V42" i="14" s="1" a="1"/>
  <c r="V42" i="14" s="1"/>
  <c r="H97" i="12"/>
  <c r="T106" i="14" s="1" a="1"/>
  <c r="T106" i="14" s="1"/>
  <c r="H93" i="12"/>
  <c r="T42" i="14" s="1" a="1"/>
  <c r="T42" i="14" s="1"/>
  <c r="H89" i="12"/>
  <c r="S106" i="14" s="1" a="1"/>
  <c r="S106" i="14" s="1"/>
  <c r="H85" i="12"/>
  <c r="S42" i="14" s="1" a="1"/>
  <c r="S42" i="14" s="1"/>
  <c r="H57" i="12"/>
  <c r="M106" i="14" s="1" a="1"/>
  <c r="M106" i="14" s="1"/>
  <c r="H56" i="12"/>
  <c r="M90" i="14" s="1" a="1"/>
  <c r="M90" i="14" s="1"/>
  <c r="H55" i="12"/>
  <c r="M74" i="14" s="1" a="1"/>
  <c r="M74" i="14" s="1"/>
  <c r="H54" i="12"/>
  <c r="M58" i="14" s="1" a="1"/>
  <c r="M58" i="14" s="1"/>
  <c r="H53" i="12"/>
  <c r="M42" i="14" s="1" a="1"/>
  <c r="M42" i="14" s="1"/>
  <c r="H52" i="12"/>
  <c r="M26" i="14" s="1" a="1"/>
  <c r="M26" i="14" s="1"/>
  <c r="H51" i="12"/>
  <c r="M10" i="14" s="1" a="1"/>
  <c r="M10" i="14" s="1"/>
  <c r="H50" i="12"/>
  <c r="K122" i="14" s="1" a="1"/>
  <c r="K122" i="14" s="1"/>
  <c r="H49" i="12"/>
  <c r="K106" i="14" s="1" a="1"/>
  <c r="K106" i="14" s="1"/>
  <c r="H48" i="12"/>
  <c r="K90" i="14" s="1" a="1"/>
  <c r="K90" i="14" s="1"/>
  <c r="H47" i="12"/>
  <c r="K74" i="14" s="1" a="1"/>
  <c r="K74" i="14" s="1"/>
  <c r="H46" i="12"/>
  <c r="K58" i="14" s="1" a="1"/>
  <c r="K58" i="14" s="1"/>
  <c r="H45" i="12"/>
  <c r="K42" i="14" s="1" a="1"/>
  <c r="K42" i="14" s="1"/>
  <c r="H44" i="12"/>
  <c r="K26" i="14" s="1" a="1"/>
  <c r="K26" i="14" s="1"/>
  <c r="H43" i="12"/>
  <c r="K10" i="14" s="1" a="1"/>
  <c r="K10" i="14" s="1"/>
  <c r="H42" i="12"/>
  <c r="J122" i="14" s="1" a="1"/>
  <c r="J122" i="14" s="1"/>
  <c r="H41" i="12"/>
  <c r="J106" i="14" s="1" a="1"/>
  <c r="J106" i="14" s="1"/>
  <c r="H40" i="12"/>
  <c r="J90" i="14" s="1" a="1"/>
  <c r="J90" i="14" s="1"/>
  <c r="H39" i="12"/>
  <c r="J74" i="14" s="1" a="1"/>
  <c r="J74" i="14" s="1"/>
  <c r="H38" i="12"/>
  <c r="J58" i="14" s="1" a="1"/>
  <c r="J58" i="14" s="1"/>
  <c r="H37" i="12"/>
  <c r="J42" i="14" s="1" a="1"/>
  <c r="J42" i="14" s="1"/>
  <c r="H36" i="12"/>
  <c r="J26" i="14" s="1" a="1"/>
  <c r="J26" i="14" s="1"/>
  <c r="H35" i="12"/>
  <c r="J10" i="14" s="1" a="1"/>
  <c r="J10" i="14" s="1"/>
  <c r="H34" i="12"/>
  <c r="H122" i="14" s="1" a="1"/>
  <c r="H122" i="14" s="1"/>
  <c r="H33" i="12"/>
  <c r="H106" i="14" s="1" a="1"/>
  <c r="H106" i="14" s="1"/>
  <c r="H72" i="12"/>
  <c r="P90" i="14" s="1" a="1"/>
  <c r="P90" i="14" s="1"/>
  <c r="H70" i="12"/>
  <c r="P58" i="14" s="1" a="1"/>
  <c r="P58" i="14" s="1"/>
  <c r="H68" i="12"/>
  <c r="P26" i="14" s="1" a="1"/>
  <c r="P26" i="14" s="1"/>
  <c r="H66" i="12"/>
  <c r="N122" i="14" s="1" a="1"/>
  <c r="N122" i="14" s="1"/>
  <c r="H64" i="12"/>
  <c r="N90" i="14" s="1" a="1"/>
  <c r="N90" i="14" s="1"/>
  <c r="H59" i="12"/>
  <c r="N10" i="14" s="1" a="1"/>
  <c r="N10" i="14" s="1"/>
  <c r="O10" i="14" s="1" a="1"/>
  <c r="O10" i="14" s="1"/>
  <c r="H100" i="12"/>
  <c r="V26" i="14" s="1" a="1"/>
  <c r="V26" i="14" s="1"/>
  <c r="H92" i="12"/>
  <c r="T26" i="14" s="1" a="1"/>
  <c r="T26" i="14" s="1"/>
  <c r="H84" i="12"/>
  <c r="S26" i="14" s="1" a="1"/>
  <c r="S26" i="14" s="1"/>
  <c r="H71" i="12"/>
  <c r="P74" i="14" s="1" a="1"/>
  <c r="P74" i="14" s="1"/>
  <c r="H67" i="12"/>
  <c r="P10" i="14" s="1" a="1"/>
  <c r="P10" i="14" s="1"/>
  <c r="H63" i="12"/>
  <c r="N74" i="14" s="1" a="1"/>
  <c r="N74" i="14" s="1"/>
  <c r="H60" i="12"/>
  <c r="N26" i="14" s="1" a="1"/>
  <c r="N26" i="14" s="1"/>
  <c r="O26" i="14" s="1" a="1"/>
  <c r="O26" i="14" s="1"/>
  <c r="H96" i="12"/>
  <c r="T90" i="14" s="1" a="1"/>
  <c r="T90" i="14" s="1"/>
  <c r="H88" i="12"/>
  <c r="S90" i="14" s="1" a="1"/>
  <c r="S90" i="14" s="1"/>
  <c r="H73" i="12"/>
  <c r="P106" i="14" s="1" a="1"/>
  <c r="P106" i="14" s="1"/>
  <c r="H69" i="12"/>
  <c r="P42" i="14" s="1" a="1"/>
  <c r="P42" i="14" s="1"/>
  <c r="H65" i="12"/>
  <c r="N106" i="14" s="1" a="1"/>
  <c r="N106" i="14" s="1"/>
  <c r="H62" i="12"/>
  <c r="N58" i="14" s="1" a="1"/>
  <c r="N58" i="14" s="1"/>
  <c r="O58" i="14" s="1" a="1"/>
  <c r="O58" i="14" s="1"/>
  <c r="H61" i="12"/>
  <c r="N42" i="14" s="1" a="1"/>
  <c r="N42" i="14" s="1"/>
  <c r="O42" i="14" s="1" a="1"/>
  <c r="O42" i="14" s="1"/>
  <c r="H58" i="12"/>
  <c r="M122" i="14" s="1" a="1"/>
  <c r="M122" i="14" s="1"/>
  <c r="H32" i="12"/>
  <c r="H90" i="14" s="1" a="1"/>
  <c r="H90" i="14" s="1"/>
  <c r="H31" i="12"/>
  <c r="H74" i="14" s="1" a="1"/>
  <c r="H74" i="14" s="1"/>
  <c r="H30" i="12"/>
  <c r="H58" i="14" s="1" a="1"/>
  <c r="H58" i="14" s="1"/>
  <c r="H29" i="12"/>
  <c r="H42" i="14" s="1" a="1"/>
  <c r="H42" i="14" s="1"/>
  <c r="H28" i="12"/>
  <c r="H26" i="14" s="1" a="1"/>
  <c r="H26" i="14" s="1"/>
  <c r="H27" i="12"/>
  <c r="H10" i="14" s="1" a="1"/>
  <c r="H10" i="14" s="1"/>
  <c r="H26" i="12"/>
  <c r="G122" i="14" s="1" a="1"/>
  <c r="G122" i="14" s="1"/>
  <c r="H25" i="12"/>
  <c r="G106" i="14" s="1" a="1"/>
  <c r="G106" i="14" s="1"/>
  <c r="H24" i="12"/>
  <c r="G90" i="14" s="1" a="1"/>
  <c r="G90" i="14" s="1"/>
  <c r="H23" i="12"/>
  <c r="G74" i="14" s="1" a="1"/>
  <c r="G74" i="14" s="1"/>
  <c r="H22" i="12"/>
  <c r="G58" i="14" s="1" a="1"/>
  <c r="G58" i="14" s="1"/>
  <c r="H21" i="12"/>
  <c r="G42" i="14" s="1" a="1"/>
  <c r="G42" i="14" s="1"/>
  <c r="H20" i="12"/>
  <c r="G26" i="14" s="1" a="1"/>
  <c r="G26" i="14" s="1"/>
  <c r="H19" i="12"/>
  <c r="G10" i="14" s="1" a="1"/>
  <c r="G10" i="14" s="1"/>
  <c r="H18" i="12"/>
  <c r="E122" i="14" s="1" a="1"/>
  <c r="E122" i="14" s="1"/>
  <c r="H17" i="12"/>
  <c r="E106" i="14" s="1" a="1"/>
  <c r="E106" i="14" s="1"/>
  <c r="H16" i="12"/>
  <c r="E90" i="14" s="1" a="1"/>
  <c r="E90" i="14" s="1"/>
  <c r="H15" i="12"/>
  <c r="E74" i="14" s="1" a="1"/>
  <c r="E74" i="14" s="1"/>
  <c r="H14" i="12"/>
  <c r="E58" i="14" s="1" a="1"/>
  <c r="E58" i="14" s="1"/>
  <c r="H13" i="12"/>
  <c r="E42" i="14" s="1" a="1"/>
  <c r="E42" i="14" s="1"/>
  <c r="H12" i="12"/>
  <c r="E26" i="14" s="1" a="1"/>
  <c r="E26" i="14" s="1"/>
  <c r="H11" i="12"/>
  <c r="E10" i="14" s="1" a="1"/>
  <c r="E10" i="14" s="1"/>
  <c r="D122" i="14" a="1"/>
  <c r="D122" i="14" s="1"/>
  <c r="H9" i="12"/>
  <c r="D106" i="14" s="1" a="1"/>
  <c r="D106" i="14" s="1"/>
  <c r="H8" i="12"/>
  <c r="D90" i="14" s="1" a="1"/>
  <c r="D90" i="14" s="1"/>
  <c r="H7" i="12"/>
  <c r="D74" i="14" s="1" a="1"/>
  <c r="D74" i="14" s="1"/>
  <c r="H6" i="12"/>
  <c r="D58" i="14" s="1" a="1"/>
  <c r="D58" i="14" s="1"/>
  <c r="H5" i="12"/>
  <c r="D42" i="14" s="1" a="1"/>
  <c r="D42" i="14" s="1"/>
  <c r="H4" i="12"/>
  <c r="D26" i="14" s="1" a="1"/>
  <c r="D26" i="14" s="1"/>
  <c r="H3" i="12"/>
  <c r="D10" i="14" s="1" a="1"/>
  <c r="D10" i="14" s="1"/>
  <c r="W122" i="14" a="1"/>
  <c r="W122" i="14" s="1"/>
  <c r="X122" i="14" s="1" a="1"/>
  <c r="X122" i="14" s="1"/>
  <c r="W119" i="14" a="1"/>
  <c r="W119" i="14" s="1"/>
  <c r="X119" i="14" s="1" a="1"/>
  <c r="X119" i="14" s="1"/>
  <c r="W106" i="14" a="1"/>
  <c r="W106" i="14" s="1"/>
  <c r="W103" i="14" a="1"/>
  <c r="W103" i="14" s="1"/>
  <c r="X103" i="14" s="1" a="1"/>
  <c r="X103" i="14" s="1"/>
  <c r="W121" i="14" a="1"/>
  <c r="W121" i="14" s="1"/>
  <c r="X121" i="14" s="1" a="1"/>
  <c r="X121" i="14" s="1"/>
  <c r="W118" i="14" a="1"/>
  <c r="W118" i="14" s="1"/>
  <c r="X118" i="14" s="1" a="1"/>
  <c r="X118" i="14" s="1"/>
  <c r="W105" i="14" a="1"/>
  <c r="W105" i="14" s="1"/>
  <c r="X105" i="14" s="1" a="1"/>
  <c r="X105" i="14" s="1"/>
  <c r="W120" i="14" a="1"/>
  <c r="W120" i="14" s="1"/>
  <c r="X120" i="14" s="1" a="1"/>
  <c r="X120" i="14" s="1"/>
  <c r="W102" i="14" a="1"/>
  <c r="W102" i="14" s="1"/>
  <c r="X102" i="14" s="1" a="1"/>
  <c r="X102" i="14" s="1"/>
  <c r="W88" i="14" a="1"/>
  <c r="W88" i="14" s="1"/>
  <c r="X88" i="14" s="1" a="1"/>
  <c r="X88" i="14" s="1"/>
  <c r="W73" i="14" a="1"/>
  <c r="W73" i="14" s="1"/>
  <c r="X73" i="14" s="1" a="1"/>
  <c r="X73" i="14" s="1"/>
  <c r="W101" i="14" a="1"/>
  <c r="W101" i="14" s="1"/>
  <c r="X101" i="14" s="1" a="1"/>
  <c r="X101" i="14" s="1"/>
  <c r="W90" i="14" a="1"/>
  <c r="W90" i="14" s="1"/>
  <c r="W85" i="14" a="1"/>
  <c r="W85" i="14" s="1"/>
  <c r="X85" i="14" s="1" a="1"/>
  <c r="X85" i="14" s="1"/>
  <c r="W72" i="14" a="1"/>
  <c r="W72" i="14" s="1"/>
  <c r="X72" i="14" s="1" a="1"/>
  <c r="X72" i="14" s="1"/>
  <c r="W70" i="14" a="1"/>
  <c r="W70" i="14" s="1"/>
  <c r="X70" i="14" s="1" a="1"/>
  <c r="X70" i="14" s="1"/>
  <c r="W104" i="14" a="1"/>
  <c r="W104" i="14" s="1"/>
  <c r="X104" i="14" s="1" a="1"/>
  <c r="X104" i="14" s="1"/>
  <c r="W87" i="14" a="1"/>
  <c r="W87" i="14" s="1"/>
  <c r="X87" i="14" s="1" a="1"/>
  <c r="X87" i="14" s="1"/>
  <c r="W74" i="14" a="1"/>
  <c r="W74" i="14" s="1"/>
  <c r="W69" i="14" a="1"/>
  <c r="W69" i="14" s="1"/>
  <c r="X69" i="14" s="1" a="1"/>
  <c r="X69" i="14" s="1"/>
  <c r="W89" i="14" a="1"/>
  <c r="W89" i="14" s="1"/>
  <c r="X89" i="14" s="1" a="1"/>
  <c r="X89" i="14" s="1"/>
  <c r="W86" i="14" a="1"/>
  <c r="W86" i="14" s="1"/>
  <c r="X86" i="14" s="1" a="1"/>
  <c r="X86" i="14" s="1"/>
  <c r="W71" i="14" a="1"/>
  <c r="W71" i="14" s="1"/>
  <c r="X71" i="14" s="1" a="1"/>
  <c r="X71" i="14" s="1"/>
  <c r="W58" i="14" a="1"/>
  <c r="W58" i="14" s="1"/>
  <c r="W55" i="14" a="1"/>
  <c r="W55" i="14" s="1"/>
  <c r="X55" i="14" s="1" a="1"/>
  <c r="X55" i="14" s="1"/>
  <c r="W37" i="14" a="1"/>
  <c r="W37" i="14" s="1"/>
  <c r="X37" i="14" s="1" a="1"/>
  <c r="X37" i="14" s="1"/>
  <c r="W57" i="14" a="1"/>
  <c r="W57" i="14" s="1"/>
  <c r="X57" i="14" s="1" a="1"/>
  <c r="X57" i="14" s="1"/>
  <c r="W39" i="14" a="1"/>
  <c r="W39" i="14" s="1"/>
  <c r="X39" i="14" s="1" a="1"/>
  <c r="X39" i="14" s="1"/>
  <c r="W56" i="14" a="1"/>
  <c r="W56" i="14" s="1"/>
  <c r="X56" i="14" s="1" a="1"/>
  <c r="X56" i="14" s="1"/>
  <c r="W54" i="14" a="1"/>
  <c r="W54" i="14" s="1"/>
  <c r="X54" i="14" s="1" a="1"/>
  <c r="X54" i="14" s="1"/>
  <c r="W41" i="14" a="1"/>
  <c r="W41" i="14" s="1"/>
  <c r="X41" i="14" s="1" a="1"/>
  <c r="X41" i="14" s="1"/>
  <c r="W117" i="14" a="1"/>
  <c r="W117" i="14" s="1"/>
  <c r="X117" i="14" s="1" a="1"/>
  <c r="X117" i="14" s="1"/>
  <c r="W38" i="14" a="1"/>
  <c r="W38" i="14" s="1"/>
  <c r="X38" i="14" s="1" a="1"/>
  <c r="X38" i="14" s="1"/>
  <c r="W22" i="14" a="1"/>
  <c r="W22" i="14" s="1"/>
  <c r="X22" i="14" s="1" a="1"/>
  <c r="X22" i="14" s="1"/>
  <c r="W8" i="14" a="1"/>
  <c r="W8" i="14" s="1"/>
  <c r="X8" i="14" s="1" a="1"/>
  <c r="X8" i="14" s="1"/>
  <c r="W53" i="14" a="1"/>
  <c r="W53" i="14" s="1"/>
  <c r="X53" i="14" s="1" a="1"/>
  <c r="X53" i="14" s="1"/>
  <c r="W25" i="14" a="1"/>
  <c r="W25" i="14" s="1"/>
  <c r="X25" i="14" s="1" a="1"/>
  <c r="X25" i="14" s="1"/>
  <c r="W6" i="14" a="1"/>
  <c r="W6" i="14" s="1"/>
  <c r="X6" i="14" s="1" a="1"/>
  <c r="X6" i="14" s="1"/>
  <c r="W26" i="14" a="1"/>
  <c r="W26" i="14" s="1"/>
  <c r="W24" i="14" a="1"/>
  <c r="W24" i="14" s="1"/>
  <c r="X24" i="14" s="1" a="1"/>
  <c r="X24" i="14" s="1"/>
  <c r="W10" i="14" a="1"/>
  <c r="W10" i="14" s="1"/>
  <c r="X10" i="14" s="1" a="1"/>
  <c r="X10" i="14" s="1"/>
  <c r="W5" i="14" a="1"/>
  <c r="W5" i="14" s="1"/>
  <c r="X5" i="14" s="1" a="1"/>
  <c r="X5" i="14" s="1"/>
  <c r="W23" i="14" a="1"/>
  <c r="W23" i="14" s="1"/>
  <c r="X23" i="14" s="1" a="1"/>
  <c r="X23" i="14" s="1"/>
  <c r="W9" i="14" a="1"/>
  <c r="W9" i="14" s="1"/>
  <c r="X9" i="14" s="1" a="1"/>
  <c r="X9" i="14" s="1"/>
  <c r="W40" i="14" a="1"/>
  <c r="W40" i="14" s="1"/>
  <c r="X40" i="14" s="1" a="1"/>
  <c r="X40" i="14" s="1"/>
  <c r="W21" i="14" a="1"/>
  <c r="W21" i="14" s="1"/>
  <c r="X21" i="14" s="1" a="1"/>
  <c r="X21" i="14" s="1"/>
  <c r="W7" i="14" a="1"/>
  <c r="W7" i="14" s="1"/>
  <c r="X7" i="14" s="1" a="1"/>
  <c r="X7" i="14" s="1"/>
  <c r="C13" i="8"/>
  <c r="G12" i="8"/>
  <c r="H11" i="8"/>
  <c r="I1" i="9"/>
  <c r="H2" i="9"/>
  <c r="I2" i="7"/>
  <c r="H155" i="7"/>
  <c r="H151" i="7"/>
  <c r="H148" i="7"/>
  <c r="G138" i="9" s="1" a="1"/>
  <c r="G138" i="9" s="1"/>
  <c r="H144" i="7"/>
  <c r="G134" i="9" s="1" a="1"/>
  <c r="G134" i="9" s="1"/>
  <c r="H140" i="7"/>
  <c r="H136" i="7"/>
  <c r="H135" i="7"/>
  <c r="G126" i="9" s="1" a="1"/>
  <c r="G126" i="9" s="1"/>
  <c r="H134" i="7"/>
  <c r="G125" i="9" s="1" a="1"/>
  <c r="G125" i="9" s="1"/>
  <c r="H133" i="7"/>
  <c r="G124" i="9" s="1" a="1"/>
  <c r="G124" i="9" s="1"/>
  <c r="H132" i="7"/>
  <c r="G123" i="9" s="1" a="1"/>
  <c r="G123" i="9" s="1"/>
  <c r="H131" i="7"/>
  <c r="G122" i="9" s="1" a="1"/>
  <c r="G122" i="9" s="1"/>
  <c r="H130" i="7"/>
  <c r="G121" i="9" s="1" a="1"/>
  <c r="G121" i="9" s="1"/>
  <c r="H129" i="7"/>
  <c r="G120" i="9" s="1" a="1"/>
  <c r="G120" i="9" s="1"/>
  <c r="H128" i="7"/>
  <c r="H127" i="7"/>
  <c r="H126" i="7"/>
  <c r="H125" i="7"/>
  <c r="H124" i="7"/>
  <c r="H123" i="7"/>
  <c r="H154" i="7"/>
  <c r="H150" i="7"/>
  <c r="H147" i="7"/>
  <c r="G137" i="9" s="1" a="1"/>
  <c r="G137" i="9" s="1"/>
  <c r="H143" i="7"/>
  <c r="G133" i="9" s="1" a="1"/>
  <c r="G133" i="9" s="1"/>
  <c r="H139" i="7"/>
  <c r="H153" i="7"/>
  <c r="H149" i="7"/>
  <c r="G139" i="9" s="1" a="1"/>
  <c r="G139" i="9" s="1"/>
  <c r="H146" i="7"/>
  <c r="G136" i="9" s="1" a="1"/>
  <c r="G136" i="9" s="1"/>
  <c r="H142" i="7"/>
  <c r="H138" i="7"/>
  <c r="H122" i="7"/>
  <c r="H156" i="7"/>
  <c r="H152" i="7"/>
  <c r="H145" i="7"/>
  <c r="G135" i="9" s="1" a="1"/>
  <c r="G135" i="9" s="1"/>
  <c r="H141" i="7"/>
  <c r="H137" i="7"/>
  <c r="H121" i="7"/>
  <c r="G113" i="9" s="1" a="1"/>
  <c r="G113" i="9" s="1"/>
  <c r="H117" i="7"/>
  <c r="G109" i="9" s="1" a="1"/>
  <c r="G109" i="9" s="1"/>
  <c r="H113" i="7"/>
  <c r="H109" i="7"/>
  <c r="H104" i="7"/>
  <c r="G97" i="9" s="1" a="1"/>
  <c r="G97" i="9" s="1"/>
  <c r="H120" i="7"/>
  <c r="G112" i="9" s="1" a="1"/>
  <c r="G112" i="9" s="1"/>
  <c r="H116" i="7"/>
  <c r="G108" i="9" s="1" a="1"/>
  <c r="G108" i="9" s="1"/>
  <c r="H112" i="7"/>
  <c r="H108" i="7"/>
  <c r="H105" i="7"/>
  <c r="G98" i="9" s="1" a="1"/>
  <c r="G98" i="9" s="1"/>
  <c r="H103" i="7"/>
  <c r="G96" i="9" s="1" a="1"/>
  <c r="G96" i="9" s="1"/>
  <c r="H119" i="7"/>
  <c r="G111" i="9" s="1" a="1"/>
  <c r="G111" i="9" s="1"/>
  <c r="H115" i="7"/>
  <c r="G107" i="9" s="1" a="1"/>
  <c r="G107" i="9" s="1"/>
  <c r="H111" i="7"/>
  <c r="H107" i="7"/>
  <c r="G100" i="9" s="1" a="1"/>
  <c r="G100" i="9" s="1"/>
  <c r="H102" i="7"/>
  <c r="G95" i="9" s="1" a="1"/>
  <c r="G95" i="9" s="1"/>
  <c r="H100" i="7"/>
  <c r="H99" i="7"/>
  <c r="H98" i="7"/>
  <c r="H97" i="7"/>
  <c r="H96" i="7"/>
  <c r="H95" i="7"/>
  <c r="H94" i="7"/>
  <c r="H93" i="7"/>
  <c r="G87" i="9" s="1" a="1"/>
  <c r="G87" i="9" s="1"/>
  <c r="H92" i="7"/>
  <c r="G86" i="9" s="1" a="1"/>
  <c r="G86" i="9" s="1"/>
  <c r="H91" i="7"/>
  <c r="G85" i="9" s="1" a="1"/>
  <c r="G85" i="9" s="1"/>
  <c r="H90" i="7"/>
  <c r="G84" i="9" s="1" a="1"/>
  <c r="G84" i="9" s="1"/>
  <c r="H89" i="7"/>
  <c r="G83" i="9" s="1" a="1"/>
  <c r="G83" i="9" s="1"/>
  <c r="H88" i="7"/>
  <c r="G82" i="9" s="1" a="1"/>
  <c r="G82" i="9" s="1"/>
  <c r="H87" i="7"/>
  <c r="G81" i="9" s="1" a="1"/>
  <c r="G81" i="9" s="1"/>
  <c r="H86" i="7"/>
  <c r="H85" i="7"/>
  <c r="H84" i="7"/>
  <c r="H83" i="7"/>
  <c r="H82" i="7"/>
  <c r="H81" i="7"/>
  <c r="H80" i="7"/>
  <c r="H79" i="7"/>
  <c r="G74" i="9" s="1" a="1"/>
  <c r="G74" i="9" s="1"/>
  <c r="H78" i="7"/>
  <c r="G73" i="9" s="1" a="1"/>
  <c r="G73" i="9" s="1"/>
  <c r="H77" i="7"/>
  <c r="G72" i="9" s="1" a="1"/>
  <c r="G72" i="9" s="1"/>
  <c r="H76" i="7"/>
  <c r="G71" i="9" s="1" a="1"/>
  <c r="G71" i="9" s="1"/>
  <c r="H75" i="7"/>
  <c r="G70" i="9" s="1" a="1"/>
  <c r="G70" i="9" s="1"/>
  <c r="H74" i="7"/>
  <c r="G69" i="9" s="1" a="1"/>
  <c r="G69" i="9" s="1"/>
  <c r="H73" i="7"/>
  <c r="G68" i="9" s="1" a="1"/>
  <c r="G68" i="9" s="1"/>
  <c r="H72" i="7"/>
  <c r="H71" i="7"/>
  <c r="H70" i="7"/>
  <c r="H118" i="7"/>
  <c r="G110" i="9" s="1" a="1"/>
  <c r="G110" i="9" s="1"/>
  <c r="H114" i="7"/>
  <c r="H110" i="7"/>
  <c r="H106" i="7"/>
  <c r="G99" i="9" s="1" a="1"/>
  <c r="G99" i="9" s="1"/>
  <c r="H65" i="7"/>
  <c r="G61" i="9" s="1" a="1"/>
  <c r="G61" i="9" s="1"/>
  <c r="H64" i="7"/>
  <c r="G60" i="9" s="1" a="1"/>
  <c r="G60" i="9" s="1"/>
  <c r="H63" i="7"/>
  <c r="G59" i="9" s="1" a="1"/>
  <c r="G59" i="9" s="1"/>
  <c r="H62" i="7"/>
  <c r="G58" i="9" s="1" a="1"/>
  <c r="G58" i="9" s="1"/>
  <c r="H61" i="7"/>
  <c r="G57" i="9" s="1" a="1"/>
  <c r="G57" i="9" s="1"/>
  <c r="H60" i="7"/>
  <c r="G56" i="9" s="1" a="1"/>
  <c r="G56" i="9" s="1"/>
  <c r="H59" i="7"/>
  <c r="G55" i="9" s="1" a="1"/>
  <c r="G55" i="9" s="1"/>
  <c r="H58" i="7"/>
  <c r="H57" i="7"/>
  <c r="H56" i="7"/>
  <c r="H55" i="7"/>
  <c r="H54" i="7"/>
  <c r="H53" i="7"/>
  <c r="H52" i="7"/>
  <c r="H51" i="7"/>
  <c r="G48" i="9" s="1" a="1"/>
  <c r="G48" i="9" s="1"/>
  <c r="H50" i="7"/>
  <c r="G47" i="9" s="1" a="1"/>
  <c r="G47" i="9" s="1"/>
  <c r="H49" i="7"/>
  <c r="G46" i="9" s="1" a="1"/>
  <c r="G46" i="9" s="1"/>
  <c r="H48" i="7"/>
  <c r="G45" i="9" s="1" a="1"/>
  <c r="G45" i="9" s="1"/>
  <c r="H47" i="7"/>
  <c r="G44" i="9" s="1" a="1"/>
  <c r="G44" i="9" s="1"/>
  <c r="H46" i="7"/>
  <c r="G43" i="9" s="1" a="1"/>
  <c r="G43" i="9" s="1"/>
  <c r="H45" i="7"/>
  <c r="G42" i="9" s="1" a="1"/>
  <c r="G42" i="9" s="1"/>
  <c r="H44" i="7"/>
  <c r="H43" i="7"/>
  <c r="H42" i="7"/>
  <c r="H41" i="7"/>
  <c r="H40" i="7"/>
  <c r="H39" i="7"/>
  <c r="H38" i="7"/>
  <c r="H37" i="7"/>
  <c r="G35" i="9" s="1" a="1"/>
  <c r="G35" i="9" s="1"/>
  <c r="H68" i="7"/>
  <c r="H66" i="7"/>
  <c r="H36" i="7"/>
  <c r="G34" i="9" s="1" a="1"/>
  <c r="G34" i="9" s="1"/>
  <c r="H35" i="7"/>
  <c r="G33" i="9" s="1" a="1"/>
  <c r="G33" i="9" s="1"/>
  <c r="H34" i="7"/>
  <c r="G32" i="9" s="1" a="1"/>
  <c r="G32" i="9" s="1"/>
  <c r="H33" i="7"/>
  <c r="G31" i="9" s="1" a="1"/>
  <c r="G31" i="9" s="1"/>
  <c r="H32" i="7"/>
  <c r="G30" i="9" s="1" a="1"/>
  <c r="G30" i="9" s="1"/>
  <c r="H67" i="7"/>
  <c r="H101" i="7"/>
  <c r="G94" i="9" s="1" a="1"/>
  <c r="G94" i="9" s="1"/>
  <c r="H69" i="7"/>
  <c r="H28" i="7"/>
  <c r="H24" i="7"/>
  <c r="H20" i="7"/>
  <c r="G19" i="9" s="1" a="1"/>
  <c r="G19" i="9" s="1"/>
  <c r="H18" i="7"/>
  <c r="G17" i="9" s="1" a="1"/>
  <c r="G17" i="9" s="1"/>
  <c r="H16" i="7"/>
  <c r="H14" i="7"/>
  <c r="H12" i="7"/>
  <c r="H10" i="7"/>
  <c r="H8" i="7"/>
  <c r="G8" i="9" s="1" a="1"/>
  <c r="G8" i="9" s="1"/>
  <c r="H6" i="7"/>
  <c r="G6" i="9" s="1" a="1"/>
  <c r="G6" i="9" s="1"/>
  <c r="H4" i="7"/>
  <c r="G4" i="9" s="1" a="1"/>
  <c r="G4" i="9" s="1"/>
  <c r="H30" i="7"/>
  <c r="H26" i="7"/>
  <c r="H19" i="7"/>
  <c r="G18" i="9" s="1" a="1"/>
  <c r="G18" i="9" s="1"/>
  <c r="H17" i="7"/>
  <c r="G16" i="9" s="1" a="1"/>
  <c r="G16" i="9" s="1"/>
  <c r="H9" i="7"/>
  <c r="G9" i="9" s="1" a="1"/>
  <c r="G9" i="9" s="1"/>
  <c r="H3" i="7"/>
  <c r="G3" i="9" s="1" a="1"/>
  <c r="G3" i="9" s="1"/>
  <c r="H29" i="7"/>
  <c r="H25" i="7"/>
  <c r="H21" i="7"/>
  <c r="G20" i="9" s="1" a="1"/>
  <c r="G20" i="9" s="1"/>
  <c r="H31" i="7"/>
  <c r="G29" i="9" s="1" a="1"/>
  <c r="G29" i="9" s="1"/>
  <c r="H27" i="7"/>
  <c r="H23" i="7"/>
  <c r="G22" i="9" s="1" a="1"/>
  <c r="G22" i="9" s="1"/>
  <c r="H22" i="7"/>
  <c r="G21" i="9" s="1" a="1"/>
  <c r="G21" i="9" s="1"/>
  <c r="H13" i="7"/>
  <c r="H11" i="7"/>
  <c r="H5" i="7"/>
  <c r="G5" i="9" s="1" a="1"/>
  <c r="G5" i="9" s="1"/>
  <c r="H15" i="7"/>
  <c r="H7" i="7"/>
  <c r="G7" i="9" s="1" a="1"/>
  <c r="G7" i="9" s="1"/>
  <c r="BA40" i="21" a="1"/>
  <c r="BN57" i="21" a="1"/>
  <c r="BN56" i="21" a="1"/>
  <c r="AU39" i="21" a="1"/>
  <c r="BA39" i="21" a="1"/>
  <c r="BA26" i="21" a="1"/>
  <c r="BM55" i="21" a="1"/>
  <c r="BM54" i="21" a="1"/>
  <c r="AU24" i="21" a="1"/>
  <c r="BL54" i="21" a="1"/>
  <c r="BA24" i="21" a="1"/>
  <c r="BA36" i="21" a="1"/>
  <c r="AU36" i="21" a="1"/>
  <c r="BN53" i="21" a="1"/>
  <c r="BA23" i="21" a="1"/>
  <c r="AU23" i="21" a="1"/>
  <c r="BL53" i="21" a="1"/>
  <c r="BD53" i="21" l="1"/>
  <c r="BG53" i="21" s="1"/>
  <c r="BJ53" i="21" s="1"/>
  <c r="Z55" i="21"/>
  <c r="AQ27" i="21" a="1"/>
  <c r="AQ27" i="21" s="1"/>
  <c r="AS27" i="21" s="1"/>
  <c r="AT27" i="21" s="1"/>
  <c r="W55" i="21"/>
  <c r="T55" i="21"/>
  <c r="U55" i="21"/>
  <c r="Y55" i="21"/>
  <c r="V55" i="21"/>
  <c r="AE18" i="13"/>
  <c r="AC31" i="13"/>
  <c r="AE14" i="13"/>
  <c r="AC27" i="13"/>
  <c r="Q52" i="21"/>
  <c r="N52" i="21"/>
  <c r="L52" i="21"/>
  <c r="P52" i="21"/>
  <c r="BL54" i="21"/>
  <c r="AU36" i="21"/>
  <c r="AU24" i="21"/>
  <c r="BA36" i="21"/>
  <c r="BA24" i="21"/>
  <c r="BN53" i="21"/>
  <c r="BM54" i="21"/>
  <c r="BA23" i="21"/>
  <c r="AU23" i="21"/>
  <c r="BL53" i="21"/>
  <c r="AS40" i="21"/>
  <c r="AT40" i="21" s="1"/>
  <c r="M52" i="21"/>
  <c r="O52" i="21"/>
  <c r="BM55" i="21"/>
  <c r="N55" i="21" s="1"/>
  <c r="U52" i="21"/>
  <c r="X52" i="21"/>
  <c r="W52" i="21"/>
  <c r="T52" i="21"/>
  <c r="Y52" i="21"/>
  <c r="Z52" i="21"/>
  <c r="V52" i="21"/>
  <c r="BD56" i="21"/>
  <c r="BG56" i="21" s="1"/>
  <c r="BJ56" i="21" s="1"/>
  <c r="BA39" i="21"/>
  <c r="BN56" i="21"/>
  <c r="AU39" i="21"/>
  <c r="BN57" i="21"/>
  <c r="BA26" i="21"/>
  <c r="BA40" i="21"/>
  <c r="AS26" i="21"/>
  <c r="AT26" i="21" s="1"/>
  <c r="AQ56" i="21"/>
  <c r="BC56" i="21" s="1"/>
  <c r="BF56" i="21" s="1"/>
  <c r="BI56" i="21" s="1"/>
  <c r="G55" i="21"/>
  <c r="J55" i="21"/>
  <c r="F55" i="21"/>
  <c r="I55" i="21"/>
  <c r="E55" i="21"/>
  <c r="H55" i="21"/>
  <c r="D55" i="21"/>
  <c r="AY27" i="21"/>
  <c r="AZ27" i="21" s="1"/>
  <c r="AW57" i="21"/>
  <c r="BD57" i="21" s="1"/>
  <c r="BG57" i="21" s="1"/>
  <c r="BJ57" i="21" s="1"/>
  <c r="AN42" i="21"/>
  <c r="AP42" i="21" s="1"/>
  <c r="AK43" i="21" a="1"/>
  <c r="AK43" i="21" s="1"/>
  <c r="AL43" i="21"/>
  <c r="AM43" i="21" s="1" a="1"/>
  <c r="AM43" i="21" s="1"/>
  <c r="AV41" i="21"/>
  <c r="AX41" i="21" s="1" a="1"/>
  <c r="AX41" i="21" s="1"/>
  <c r="AR41" i="21" a="1"/>
  <c r="AR41" i="21" s="1"/>
  <c r="AK29" i="21" a="1"/>
  <c r="AK29" i="21" s="1"/>
  <c r="AL29" i="21"/>
  <c r="AM29" i="21" s="1" a="1"/>
  <c r="AM29" i="21" s="1"/>
  <c r="B31" i="21"/>
  <c r="B44" i="21" s="1"/>
  <c r="AG44" i="21" s="1" a="1"/>
  <c r="AG44" i="21" s="1"/>
  <c r="AH44" i="21" s="1"/>
  <c r="AJ44" i="21" s="1"/>
  <c r="AG30" i="21" a="1"/>
  <c r="AG30" i="21" s="1"/>
  <c r="AH30" i="21" s="1"/>
  <c r="AJ30" i="21" s="1"/>
  <c r="AN28" i="21"/>
  <c r="AP28" i="21" s="1"/>
  <c r="S29" i="19"/>
  <c r="AF28" i="19"/>
  <c r="AB28" i="19"/>
  <c r="X28" i="19"/>
  <c r="T28" i="19"/>
  <c r="U28" i="19"/>
  <c r="AI28" i="19"/>
  <c r="AE28" i="19"/>
  <c r="AA28" i="19"/>
  <c r="W28" i="19"/>
  <c r="AG28" i="19"/>
  <c r="Y28" i="19"/>
  <c r="AH28" i="19"/>
  <c r="AD28" i="19"/>
  <c r="Z28" i="19"/>
  <c r="V28" i="19"/>
  <c r="AC28" i="19"/>
  <c r="S59" i="19"/>
  <c r="AF58" i="19"/>
  <c r="AB58" i="19"/>
  <c r="X58" i="19"/>
  <c r="T58" i="19"/>
  <c r="AI58" i="19"/>
  <c r="AE58" i="19"/>
  <c r="AA58" i="19"/>
  <c r="W58" i="19"/>
  <c r="AH58" i="19"/>
  <c r="AD58" i="19"/>
  <c r="Z58" i="19"/>
  <c r="V58" i="19"/>
  <c r="Y58" i="19"/>
  <c r="U58" i="19"/>
  <c r="AG58" i="19"/>
  <c r="AC58" i="19"/>
  <c r="S90" i="19"/>
  <c r="AF89" i="19"/>
  <c r="AB89" i="19"/>
  <c r="X89" i="19"/>
  <c r="T89" i="19"/>
  <c r="AI89" i="19"/>
  <c r="AE89" i="19"/>
  <c r="AA89" i="19"/>
  <c r="W89" i="19"/>
  <c r="AH89" i="19"/>
  <c r="AD89" i="19"/>
  <c r="Z89" i="19"/>
  <c r="V89" i="19"/>
  <c r="Y89" i="19"/>
  <c r="U89" i="19"/>
  <c r="AG89" i="19"/>
  <c r="AC89" i="19"/>
  <c r="S106" i="19"/>
  <c r="AF105" i="19"/>
  <c r="AB105" i="19"/>
  <c r="X105" i="19"/>
  <c r="T105" i="19"/>
  <c r="AI105" i="19"/>
  <c r="AE105" i="19"/>
  <c r="AA105" i="19"/>
  <c r="W105" i="19"/>
  <c r="AD105" i="19"/>
  <c r="V105" i="19"/>
  <c r="AC105" i="19"/>
  <c r="U105" i="19"/>
  <c r="AH105" i="19"/>
  <c r="Z105" i="19"/>
  <c r="Y105" i="19"/>
  <c r="AG105" i="19"/>
  <c r="S43" i="19"/>
  <c r="AF42" i="19"/>
  <c r="AB42" i="19"/>
  <c r="X42" i="19"/>
  <c r="T42" i="19"/>
  <c r="AI42" i="19"/>
  <c r="AE42" i="19"/>
  <c r="AA42" i="19"/>
  <c r="W42" i="19"/>
  <c r="AH42" i="19"/>
  <c r="AD42" i="19"/>
  <c r="Z42" i="19"/>
  <c r="V42" i="19"/>
  <c r="Y42" i="19"/>
  <c r="U42" i="19"/>
  <c r="AG42" i="19"/>
  <c r="AC42" i="19"/>
  <c r="AI74" i="19"/>
  <c r="AE74" i="19"/>
  <c r="AA74" i="19"/>
  <c r="W74" i="19"/>
  <c r="AH74" i="19"/>
  <c r="AD74" i="19"/>
  <c r="Z74" i="19"/>
  <c r="V74" i="19"/>
  <c r="AG74" i="19"/>
  <c r="AC74" i="19"/>
  <c r="Y74" i="19"/>
  <c r="U74" i="19"/>
  <c r="X74" i="19"/>
  <c r="S75" i="19"/>
  <c r="T74" i="19"/>
  <c r="AF74" i="19"/>
  <c r="AB74" i="19"/>
  <c r="K1" i="19"/>
  <c r="J2" i="19"/>
  <c r="AE17" i="13"/>
  <c r="AF17" i="13" s="1" a="1"/>
  <c r="AF17" i="13" s="1"/>
  <c r="AG17" i="13" s="1"/>
  <c r="AE19" i="13"/>
  <c r="AE15" i="13"/>
  <c r="AF13" i="13" a="1"/>
  <c r="AF13" i="13" s="1"/>
  <c r="AG13" i="13" s="1"/>
  <c r="AF26" i="13" a="1"/>
  <c r="AF26" i="13" s="1"/>
  <c r="AJ13" i="13"/>
  <c r="AE16" i="13"/>
  <c r="AE29" i="13" s="1"/>
  <c r="AF14" i="13" a="1"/>
  <c r="AF14" i="13" s="1"/>
  <c r="AG14" i="13" s="1"/>
  <c r="AF18" i="13" a="1"/>
  <c r="AF18" i="13" s="1"/>
  <c r="AG18" i="13" s="1"/>
  <c r="X58" i="14" a="1"/>
  <c r="X58" i="14" s="1"/>
  <c r="X90" i="14" a="1"/>
  <c r="X90" i="14" s="1"/>
  <c r="X26" i="14" a="1"/>
  <c r="X26" i="14" s="1"/>
  <c r="X74" i="14" a="1"/>
  <c r="X74" i="14" s="1"/>
  <c r="U42" i="14" a="1"/>
  <c r="U42" i="14" s="1"/>
  <c r="U74" i="14" a="1"/>
  <c r="U74" i="14" s="1"/>
  <c r="O90" i="14" a="1"/>
  <c r="O90" i="14" s="1"/>
  <c r="O106" i="14" a="1"/>
  <c r="O106" i="14" s="1"/>
  <c r="U10" i="14" a="1"/>
  <c r="U10" i="14" s="1"/>
  <c r="R58" i="14" a="1"/>
  <c r="R58" i="14" s="1"/>
  <c r="X42" i="14" a="1"/>
  <c r="X42" i="14" s="1"/>
  <c r="X106" i="14" a="1"/>
  <c r="X106" i="14" s="1"/>
  <c r="O74" i="14" a="1"/>
  <c r="O74" i="14" s="1"/>
  <c r="F106" i="14" a="1"/>
  <c r="F106" i="14" s="1"/>
  <c r="L26" i="14" a="1"/>
  <c r="L26" i="14" s="1"/>
  <c r="F58" i="14" a="1"/>
  <c r="F58" i="14" s="1"/>
  <c r="F122" i="14" a="1"/>
  <c r="F122" i="14" s="1"/>
  <c r="I58" i="14" a="1"/>
  <c r="I58" i="14" s="1"/>
  <c r="U26" i="14" a="1"/>
  <c r="U26" i="14" s="1"/>
  <c r="O122" i="14" a="1"/>
  <c r="O122" i="14" s="1"/>
  <c r="I106" i="14" a="1"/>
  <c r="I106" i="14" s="1"/>
  <c r="L42" i="14" a="1"/>
  <c r="L42" i="14" s="1"/>
  <c r="L106" i="14" a="1"/>
  <c r="L106" i="14" s="1"/>
  <c r="U106" i="14" a="1"/>
  <c r="U106" i="14" s="1"/>
  <c r="U58" i="14" a="1"/>
  <c r="U58" i="14" s="1"/>
  <c r="R10" i="14" a="1"/>
  <c r="R10" i="14" s="1"/>
  <c r="R74" i="14" a="1"/>
  <c r="R74" i="14" s="1"/>
  <c r="F42" i="14" a="1"/>
  <c r="F42" i="14" s="1"/>
  <c r="L90" i="14" a="1"/>
  <c r="L90" i="14" s="1"/>
  <c r="F10" i="14" a="1"/>
  <c r="F10" i="14" s="1"/>
  <c r="F74" i="14" a="1"/>
  <c r="F74" i="14" s="1"/>
  <c r="I10" i="14" a="1"/>
  <c r="I10" i="14" s="1"/>
  <c r="I74" i="14" a="1"/>
  <c r="I74" i="14" s="1"/>
  <c r="I122" i="14" a="1"/>
  <c r="I122" i="14" s="1"/>
  <c r="L58" i="14" a="1"/>
  <c r="L58" i="14" s="1"/>
  <c r="L122" i="14" a="1"/>
  <c r="L122" i="14" s="1"/>
  <c r="U122" i="14" a="1"/>
  <c r="U122" i="14" s="1"/>
  <c r="R26" i="14" a="1"/>
  <c r="R26" i="14" s="1"/>
  <c r="R90" i="14" a="1"/>
  <c r="R90" i="14" s="1"/>
  <c r="I42" i="14" a="1"/>
  <c r="I42" i="14" s="1"/>
  <c r="R122" i="14" a="1"/>
  <c r="R122" i="14" s="1"/>
  <c r="F26" i="14" a="1"/>
  <c r="F26" i="14" s="1"/>
  <c r="F90" i="14" a="1"/>
  <c r="F90" i="14" s="1"/>
  <c r="I26" i="14" a="1"/>
  <c r="I26" i="14" s="1"/>
  <c r="I90" i="14" a="1"/>
  <c r="I90" i="14" s="1"/>
  <c r="U90" i="14" a="1"/>
  <c r="U90" i="14" s="1"/>
  <c r="L10" i="14" a="1"/>
  <c r="L10" i="14" s="1"/>
  <c r="L74" i="14" a="1"/>
  <c r="L74" i="14" s="1"/>
  <c r="R42" i="14" a="1"/>
  <c r="R42" i="14" s="1"/>
  <c r="R106" i="14" a="1"/>
  <c r="R106" i="14" s="1"/>
  <c r="J1" i="12"/>
  <c r="I2" i="12"/>
  <c r="I114" i="12"/>
  <c r="W123" i="14" s="1" a="1"/>
  <c r="W123" i="14" s="1"/>
  <c r="I113" i="12"/>
  <c r="W107" i="14" s="1" a="1"/>
  <c r="W107" i="14" s="1"/>
  <c r="I112" i="12"/>
  <c r="W91" i="14" s="1" a="1"/>
  <c r="W91" i="14" s="1"/>
  <c r="I111" i="12"/>
  <c r="W75" i="14" s="1" a="1"/>
  <c r="W75" i="14" s="1"/>
  <c r="I110" i="12"/>
  <c r="W59" i="14" s="1" a="1"/>
  <c r="W59" i="14" s="1"/>
  <c r="I109" i="12"/>
  <c r="W43" i="14" s="1" a="1"/>
  <c r="W43" i="14" s="1"/>
  <c r="I108" i="12"/>
  <c r="W27" i="14" s="1" a="1"/>
  <c r="W27" i="14" s="1"/>
  <c r="I107" i="12"/>
  <c r="W11" i="14" s="1" a="1"/>
  <c r="W11" i="14" s="1"/>
  <c r="I106" i="12"/>
  <c r="V123" i="14" s="1" a="1"/>
  <c r="V123" i="14" s="1"/>
  <c r="I105" i="12"/>
  <c r="V107" i="14" s="1" a="1"/>
  <c r="V107" i="14" s="1"/>
  <c r="I104" i="12"/>
  <c r="V91" i="14" s="1" a="1"/>
  <c r="V91" i="14" s="1"/>
  <c r="I103" i="12"/>
  <c r="V75" i="14" s="1" a="1"/>
  <c r="V75" i="14" s="1"/>
  <c r="I102" i="12"/>
  <c r="V59" i="14" s="1" a="1"/>
  <c r="V59" i="14" s="1"/>
  <c r="I101" i="12"/>
  <c r="V43" i="14" s="1" a="1"/>
  <c r="V43" i="14" s="1"/>
  <c r="I100" i="12"/>
  <c r="V27" i="14" s="1" a="1"/>
  <c r="V27" i="14" s="1"/>
  <c r="I99" i="12"/>
  <c r="V11" i="14" s="1" a="1"/>
  <c r="V11" i="14" s="1"/>
  <c r="I98" i="12"/>
  <c r="T123" i="14" s="1" a="1"/>
  <c r="T123" i="14" s="1"/>
  <c r="I97" i="12"/>
  <c r="T107" i="14" s="1" a="1"/>
  <c r="T107" i="14" s="1"/>
  <c r="I96" i="12"/>
  <c r="T91" i="14" s="1" a="1"/>
  <c r="T91" i="14" s="1"/>
  <c r="I95" i="12"/>
  <c r="T75" i="14" s="1" a="1"/>
  <c r="T75" i="14" s="1"/>
  <c r="I94" i="12"/>
  <c r="T59" i="14" s="1" a="1"/>
  <c r="T59" i="14" s="1"/>
  <c r="I93" i="12"/>
  <c r="T43" i="14" s="1" a="1"/>
  <c r="T43" i="14" s="1"/>
  <c r="I92" i="12"/>
  <c r="T27" i="14" s="1" a="1"/>
  <c r="T27" i="14" s="1"/>
  <c r="I91" i="12"/>
  <c r="T11" i="14" s="1" a="1"/>
  <c r="T11" i="14" s="1"/>
  <c r="I90" i="12"/>
  <c r="S123" i="14" s="1" a="1"/>
  <c r="S123" i="14" s="1"/>
  <c r="I89" i="12"/>
  <c r="S107" i="14" s="1" a="1"/>
  <c r="S107" i="14" s="1"/>
  <c r="I88" i="12"/>
  <c r="S91" i="14" s="1" a="1"/>
  <c r="S91" i="14" s="1"/>
  <c r="I87" i="12"/>
  <c r="S75" i="14" s="1" a="1"/>
  <c r="S75" i="14" s="1"/>
  <c r="I86" i="12"/>
  <c r="S59" i="14" s="1" a="1"/>
  <c r="S59" i="14" s="1"/>
  <c r="I85" i="12"/>
  <c r="S43" i="14" s="1" a="1"/>
  <c r="S43" i="14" s="1"/>
  <c r="I84" i="12"/>
  <c r="S27" i="14" s="1" a="1"/>
  <c r="S27" i="14" s="1"/>
  <c r="I83" i="12"/>
  <c r="S11" i="14" s="1" a="1"/>
  <c r="S11" i="14" s="1"/>
  <c r="I82" i="12"/>
  <c r="Q123" i="14" s="1" a="1"/>
  <c r="Q123" i="14" s="1"/>
  <c r="I81" i="12"/>
  <c r="Q107" i="14" s="1" a="1"/>
  <c r="Q107" i="14" s="1"/>
  <c r="I80" i="12"/>
  <c r="Q91" i="14" s="1" a="1"/>
  <c r="Q91" i="14" s="1"/>
  <c r="I79" i="12"/>
  <c r="Q75" i="14" s="1" a="1"/>
  <c r="Q75" i="14" s="1"/>
  <c r="I78" i="12"/>
  <c r="Q59" i="14" s="1" a="1"/>
  <c r="Q59" i="14" s="1"/>
  <c r="I77" i="12"/>
  <c r="Q43" i="14" s="1" a="1"/>
  <c r="Q43" i="14" s="1"/>
  <c r="I76" i="12"/>
  <c r="Q27" i="14" s="1" a="1"/>
  <c r="Q27" i="14" s="1"/>
  <c r="I75" i="12"/>
  <c r="Q11" i="14" s="1" a="1"/>
  <c r="Q11" i="14" s="1"/>
  <c r="I74" i="12"/>
  <c r="P123" i="14" s="1" a="1"/>
  <c r="P123" i="14" s="1"/>
  <c r="I73" i="12"/>
  <c r="P107" i="14" s="1" a="1"/>
  <c r="P107" i="14" s="1"/>
  <c r="I72" i="12"/>
  <c r="P91" i="14" s="1" a="1"/>
  <c r="P91" i="14" s="1"/>
  <c r="I71" i="12"/>
  <c r="P75" i="14" s="1" a="1"/>
  <c r="P75" i="14" s="1"/>
  <c r="I70" i="12"/>
  <c r="P59" i="14" s="1" a="1"/>
  <c r="P59" i="14" s="1"/>
  <c r="I69" i="12"/>
  <c r="P43" i="14" s="1" a="1"/>
  <c r="P43" i="14" s="1"/>
  <c r="I68" i="12"/>
  <c r="P27" i="14" s="1" a="1"/>
  <c r="P27" i="14" s="1"/>
  <c r="I67" i="12"/>
  <c r="P11" i="14" s="1" a="1"/>
  <c r="P11" i="14" s="1"/>
  <c r="I66" i="12"/>
  <c r="N123" i="14" s="1" a="1"/>
  <c r="N123" i="14" s="1"/>
  <c r="I65" i="12"/>
  <c r="N107" i="14" s="1" a="1"/>
  <c r="N107" i="14" s="1"/>
  <c r="I64" i="12"/>
  <c r="N91" i="14" s="1" a="1"/>
  <c r="N91" i="14" s="1"/>
  <c r="I63" i="12"/>
  <c r="N75" i="14" s="1" a="1"/>
  <c r="N75" i="14" s="1"/>
  <c r="I62" i="12"/>
  <c r="N59" i="14" s="1" a="1"/>
  <c r="N59" i="14" s="1"/>
  <c r="I61" i="12"/>
  <c r="N43" i="14" s="1" a="1"/>
  <c r="N43" i="14" s="1"/>
  <c r="I60" i="12"/>
  <c r="N27" i="14" s="1" a="1"/>
  <c r="N27" i="14" s="1"/>
  <c r="I59" i="12"/>
  <c r="N11" i="14" s="1" a="1"/>
  <c r="N11" i="14" s="1"/>
  <c r="I58" i="12"/>
  <c r="M123" i="14" s="1" a="1"/>
  <c r="M123" i="14" s="1"/>
  <c r="I57" i="12"/>
  <c r="M107" i="14" s="1" a="1"/>
  <c r="M107" i="14" s="1"/>
  <c r="I56" i="12"/>
  <c r="M91" i="14" s="1" a="1"/>
  <c r="M91" i="14" s="1"/>
  <c r="I55" i="12"/>
  <c r="M75" i="14" s="1" a="1"/>
  <c r="M75" i="14" s="1"/>
  <c r="I54" i="12"/>
  <c r="M59" i="14" s="1" a="1"/>
  <c r="M59" i="14" s="1"/>
  <c r="I53" i="12"/>
  <c r="M43" i="14" s="1" a="1"/>
  <c r="M43" i="14" s="1"/>
  <c r="I52" i="12"/>
  <c r="M27" i="14" s="1" a="1"/>
  <c r="M27" i="14" s="1"/>
  <c r="I51" i="12"/>
  <c r="M11" i="14" s="1" a="1"/>
  <c r="M11" i="14" s="1"/>
  <c r="I50" i="12"/>
  <c r="K123" i="14" s="1" a="1"/>
  <c r="K123" i="14" s="1"/>
  <c r="I49" i="12"/>
  <c r="K107" i="14" s="1" a="1"/>
  <c r="K107" i="14" s="1"/>
  <c r="I48" i="12"/>
  <c r="K91" i="14" s="1" a="1"/>
  <c r="K91" i="14" s="1"/>
  <c r="I47" i="12"/>
  <c r="K75" i="14" s="1" a="1"/>
  <c r="K75" i="14" s="1"/>
  <c r="I46" i="12"/>
  <c r="K59" i="14" s="1" a="1"/>
  <c r="K59" i="14" s="1"/>
  <c r="I45" i="12"/>
  <c r="K43" i="14" s="1" a="1"/>
  <c r="K43" i="14" s="1"/>
  <c r="I44" i="12"/>
  <c r="K27" i="14" s="1" a="1"/>
  <c r="K27" i="14" s="1"/>
  <c r="I43" i="12"/>
  <c r="K11" i="14" s="1" a="1"/>
  <c r="K11" i="14" s="1"/>
  <c r="I42" i="12"/>
  <c r="J123" i="14" s="1" a="1"/>
  <c r="J123" i="14" s="1"/>
  <c r="I41" i="12"/>
  <c r="J107" i="14" s="1" a="1"/>
  <c r="J107" i="14" s="1"/>
  <c r="I40" i="12"/>
  <c r="J91" i="14" s="1" a="1"/>
  <c r="J91" i="14" s="1"/>
  <c r="I39" i="12"/>
  <c r="J75" i="14" s="1" a="1"/>
  <c r="J75" i="14" s="1"/>
  <c r="I38" i="12"/>
  <c r="J59" i="14" s="1" a="1"/>
  <c r="J59" i="14" s="1"/>
  <c r="I37" i="12"/>
  <c r="J43" i="14" s="1" a="1"/>
  <c r="J43" i="14" s="1"/>
  <c r="I36" i="12"/>
  <c r="J27" i="14" s="1" a="1"/>
  <c r="J27" i="14" s="1"/>
  <c r="I35" i="12"/>
  <c r="J11" i="14" s="1" a="1"/>
  <c r="J11" i="14" s="1"/>
  <c r="I34" i="12"/>
  <c r="H123" i="14" s="1" a="1"/>
  <c r="H123" i="14" s="1"/>
  <c r="I33" i="12"/>
  <c r="H107" i="14" s="1" a="1"/>
  <c r="H107" i="14" s="1"/>
  <c r="I32" i="12"/>
  <c r="H91" i="14" s="1" a="1"/>
  <c r="H91" i="14" s="1"/>
  <c r="I31" i="12"/>
  <c r="H75" i="14" s="1" a="1"/>
  <c r="H75" i="14" s="1"/>
  <c r="I30" i="12"/>
  <c r="H59" i="14" s="1" a="1"/>
  <c r="H59" i="14" s="1"/>
  <c r="I29" i="12"/>
  <c r="H43" i="14" s="1" a="1"/>
  <c r="H43" i="14" s="1"/>
  <c r="I28" i="12"/>
  <c r="H27" i="14" s="1" a="1"/>
  <c r="H27" i="14" s="1"/>
  <c r="I27" i="12"/>
  <c r="H11" i="14" s="1" a="1"/>
  <c r="H11" i="14" s="1"/>
  <c r="I26" i="12"/>
  <c r="G123" i="14" s="1" a="1"/>
  <c r="G123" i="14" s="1"/>
  <c r="I25" i="12"/>
  <c r="G107" i="14" s="1" a="1"/>
  <c r="G107" i="14" s="1"/>
  <c r="I24" i="12"/>
  <c r="G91" i="14" s="1" a="1"/>
  <c r="G91" i="14" s="1"/>
  <c r="I23" i="12"/>
  <c r="G75" i="14" s="1" a="1"/>
  <c r="G75" i="14" s="1"/>
  <c r="I22" i="12"/>
  <c r="G59" i="14" s="1" a="1"/>
  <c r="G59" i="14" s="1"/>
  <c r="I21" i="12"/>
  <c r="G43" i="14" s="1" a="1"/>
  <c r="G43" i="14" s="1"/>
  <c r="I20" i="12"/>
  <c r="G27" i="14" s="1" a="1"/>
  <c r="G27" i="14" s="1"/>
  <c r="I19" i="12"/>
  <c r="G11" i="14" s="1" a="1"/>
  <c r="G11" i="14" s="1"/>
  <c r="I18" i="12"/>
  <c r="E123" i="14" s="1" a="1"/>
  <c r="E123" i="14" s="1"/>
  <c r="I17" i="12"/>
  <c r="E107" i="14" s="1" a="1"/>
  <c r="E107" i="14" s="1"/>
  <c r="I16" i="12"/>
  <c r="E91" i="14" s="1" a="1"/>
  <c r="E91" i="14" s="1"/>
  <c r="I15" i="12"/>
  <c r="E75" i="14" s="1" a="1"/>
  <c r="E75" i="14" s="1"/>
  <c r="I14" i="12"/>
  <c r="E59" i="14" s="1" a="1"/>
  <c r="E59" i="14" s="1"/>
  <c r="I13" i="12"/>
  <c r="E43" i="14" s="1" a="1"/>
  <c r="E43" i="14" s="1"/>
  <c r="I12" i="12"/>
  <c r="E27" i="14" s="1" a="1"/>
  <c r="E27" i="14" s="1"/>
  <c r="I11" i="12"/>
  <c r="E11" i="14" s="1" a="1"/>
  <c r="E11" i="14" s="1"/>
  <c r="D123" i="14" a="1"/>
  <c r="D123" i="14" s="1"/>
  <c r="I9" i="12"/>
  <c r="D107" i="14" s="1" a="1"/>
  <c r="D107" i="14" s="1"/>
  <c r="I8" i="12"/>
  <c r="D91" i="14" s="1" a="1"/>
  <c r="D91" i="14" s="1"/>
  <c r="I7" i="12"/>
  <c r="D75" i="14" s="1" a="1"/>
  <c r="D75" i="14" s="1"/>
  <c r="I6" i="12"/>
  <c r="D59" i="14" s="1" a="1"/>
  <c r="D59" i="14" s="1"/>
  <c r="I5" i="12"/>
  <c r="D43" i="14" s="1" a="1"/>
  <c r="D43" i="14" s="1"/>
  <c r="I4" i="12"/>
  <c r="D27" i="14" s="1" a="1"/>
  <c r="D27" i="14" s="1"/>
  <c r="I3" i="12"/>
  <c r="D11" i="14" s="1" a="1"/>
  <c r="D11" i="14" s="1"/>
  <c r="H12" i="8"/>
  <c r="C14" i="8"/>
  <c r="G13" i="8"/>
  <c r="J1" i="9"/>
  <c r="I2" i="9"/>
  <c r="J2" i="7"/>
  <c r="I156" i="7"/>
  <c r="I155" i="7"/>
  <c r="I154" i="7"/>
  <c r="I153" i="7"/>
  <c r="I152" i="7"/>
  <c r="I151" i="7"/>
  <c r="I150" i="7"/>
  <c r="I149" i="7"/>
  <c r="H139" i="9" s="1" a="1"/>
  <c r="H139" i="9" s="1"/>
  <c r="I147" i="7"/>
  <c r="H137" i="9" s="1" a="1"/>
  <c r="H137" i="9" s="1"/>
  <c r="I143" i="7"/>
  <c r="H133" i="9" s="1" a="1"/>
  <c r="H133" i="9" s="1"/>
  <c r="I139" i="7"/>
  <c r="I146" i="7"/>
  <c r="H136" i="9" s="1" a="1"/>
  <c r="H136" i="9" s="1"/>
  <c r="I142" i="7"/>
  <c r="I138" i="7"/>
  <c r="I145" i="7"/>
  <c r="H135" i="9" s="1" a="1"/>
  <c r="H135" i="9" s="1"/>
  <c r="I141" i="7"/>
  <c r="I137" i="7"/>
  <c r="I135" i="7"/>
  <c r="H126" i="9" s="1" a="1"/>
  <c r="H126" i="9" s="1"/>
  <c r="I131" i="7"/>
  <c r="H122" i="9" s="1" a="1"/>
  <c r="H122" i="9" s="1"/>
  <c r="I127" i="7"/>
  <c r="I123" i="7"/>
  <c r="I148" i="7"/>
  <c r="H138" i="9" s="1" a="1"/>
  <c r="H138" i="9" s="1"/>
  <c r="I144" i="7"/>
  <c r="H134" i="9" s="1" a="1"/>
  <c r="H134" i="9" s="1"/>
  <c r="I140" i="7"/>
  <c r="I136" i="7"/>
  <c r="I134" i="7"/>
  <c r="H125" i="9" s="1" a="1"/>
  <c r="H125" i="9" s="1"/>
  <c r="I130" i="7"/>
  <c r="H121" i="9" s="1" a="1"/>
  <c r="H121" i="9" s="1"/>
  <c r="I126" i="7"/>
  <c r="I133" i="7"/>
  <c r="H124" i="9" s="1" a="1"/>
  <c r="H124" i="9" s="1"/>
  <c r="I129" i="7"/>
  <c r="H120" i="9" s="1" a="1"/>
  <c r="H120" i="9" s="1"/>
  <c r="I125" i="7"/>
  <c r="I121" i="7"/>
  <c r="H113" i="9" s="1" a="1"/>
  <c r="H113" i="9" s="1"/>
  <c r="I120" i="7"/>
  <c r="H112" i="9" s="1" a="1"/>
  <c r="H112" i="9" s="1"/>
  <c r="I119" i="7"/>
  <c r="H111" i="9" s="1" a="1"/>
  <c r="H111" i="9" s="1"/>
  <c r="I118" i="7"/>
  <c r="H110" i="9" s="1" a="1"/>
  <c r="H110" i="9" s="1"/>
  <c r="I117" i="7"/>
  <c r="H109" i="9" s="1" a="1"/>
  <c r="H109" i="9" s="1"/>
  <c r="I116" i="7"/>
  <c r="H108" i="9" s="1" a="1"/>
  <c r="H108" i="9" s="1"/>
  <c r="I115" i="7"/>
  <c r="H107" i="9" s="1" a="1"/>
  <c r="H107" i="9" s="1"/>
  <c r="I114" i="7"/>
  <c r="I113" i="7"/>
  <c r="I112" i="7"/>
  <c r="I111" i="7"/>
  <c r="I110" i="7"/>
  <c r="I109" i="7"/>
  <c r="I108" i="7"/>
  <c r="I107" i="7"/>
  <c r="H100" i="9" s="1" a="1"/>
  <c r="H100" i="9" s="1"/>
  <c r="I106" i="7"/>
  <c r="H99" i="9" s="1" a="1"/>
  <c r="H99" i="9" s="1"/>
  <c r="I105" i="7"/>
  <c r="H98" i="9" s="1" a="1"/>
  <c r="H98" i="9" s="1"/>
  <c r="I103" i="7"/>
  <c r="H96" i="9" s="1" a="1"/>
  <c r="H96" i="9" s="1"/>
  <c r="I102" i="7"/>
  <c r="H95" i="9" s="1" a="1"/>
  <c r="H95" i="9" s="1"/>
  <c r="I100" i="7"/>
  <c r="I99" i="7"/>
  <c r="I98" i="7"/>
  <c r="I97" i="7"/>
  <c r="I96" i="7"/>
  <c r="I95" i="7"/>
  <c r="I94" i="7"/>
  <c r="I93" i="7"/>
  <c r="H87" i="9" s="1" a="1"/>
  <c r="H87" i="9" s="1"/>
  <c r="I92" i="7"/>
  <c r="H86" i="9" s="1" a="1"/>
  <c r="H86" i="9" s="1"/>
  <c r="I91" i="7"/>
  <c r="H85" i="9" s="1" a="1"/>
  <c r="H85" i="9" s="1"/>
  <c r="I90" i="7"/>
  <c r="H84" i="9" s="1" a="1"/>
  <c r="H84" i="9" s="1"/>
  <c r="I89" i="7"/>
  <c r="H83" i="9" s="1" a="1"/>
  <c r="H83" i="9" s="1"/>
  <c r="I88" i="7"/>
  <c r="H82" i="9" s="1" a="1"/>
  <c r="H82" i="9" s="1"/>
  <c r="I87" i="7"/>
  <c r="H81" i="9" s="1" a="1"/>
  <c r="H81" i="9" s="1"/>
  <c r="I86" i="7"/>
  <c r="I85" i="7"/>
  <c r="I84" i="7"/>
  <c r="I83" i="7"/>
  <c r="I82" i="7"/>
  <c r="I81" i="7"/>
  <c r="I80" i="7"/>
  <c r="I79" i="7"/>
  <c r="H74" i="9" s="1" a="1"/>
  <c r="H74" i="9" s="1"/>
  <c r="I78" i="7"/>
  <c r="H73" i="9" s="1" a="1"/>
  <c r="H73" i="9" s="1"/>
  <c r="I77" i="7"/>
  <c r="H72" i="9" s="1" a="1"/>
  <c r="H72" i="9" s="1"/>
  <c r="I76" i="7"/>
  <c r="H71" i="9" s="1" a="1"/>
  <c r="H71" i="9" s="1"/>
  <c r="I75" i="7"/>
  <c r="H70" i="9" s="1" a="1"/>
  <c r="H70" i="9" s="1"/>
  <c r="I74" i="7"/>
  <c r="H69" i="9" s="1" a="1"/>
  <c r="H69" i="9" s="1"/>
  <c r="I73" i="7"/>
  <c r="H68" i="9" s="1" a="1"/>
  <c r="H68" i="9" s="1"/>
  <c r="I72" i="7"/>
  <c r="I71" i="7"/>
  <c r="I70" i="7"/>
  <c r="I69" i="7"/>
  <c r="I68" i="7"/>
  <c r="I67" i="7"/>
  <c r="I66" i="7"/>
  <c r="I132" i="7"/>
  <c r="H123" i="9" s="1" a="1"/>
  <c r="H123" i="9" s="1"/>
  <c r="I128" i="7"/>
  <c r="I124" i="7"/>
  <c r="I101" i="7"/>
  <c r="H94" i="9" s="1" a="1"/>
  <c r="H94" i="9" s="1"/>
  <c r="I122" i="7"/>
  <c r="I65" i="7"/>
  <c r="H61" i="9" s="1" a="1"/>
  <c r="H61" i="9" s="1"/>
  <c r="I64" i="7"/>
  <c r="H60" i="9" s="1" a="1"/>
  <c r="H60" i="9" s="1"/>
  <c r="I63" i="7"/>
  <c r="H59" i="9" s="1" a="1"/>
  <c r="H59" i="9" s="1"/>
  <c r="I62" i="7"/>
  <c r="H58" i="9" s="1" a="1"/>
  <c r="H58" i="9" s="1"/>
  <c r="I61" i="7"/>
  <c r="H57" i="9" s="1" a="1"/>
  <c r="H57" i="9" s="1"/>
  <c r="I60" i="7"/>
  <c r="H56" i="9" s="1" a="1"/>
  <c r="H56" i="9" s="1"/>
  <c r="I59" i="7"/>
  <c r="H55" i="9" s="1" a="1"/>
  <c r="H55" i="9" s="1"/>
  <c r="I58" i="7"/>
  <c r="I57" i="7"/>
  <c r="I56" i="7"/>
  <c r="I55" i="7"/>
  <c r="I54" i="7"/>
  <c r="I53" i="7"/>
  <c r="I52" i="7"/>
  <c r="I51" i="7"/>
  <c r="H48" i="9" s="1" a="1"/>
  <c r="H48" i="9" s="1"/>
  <c r="I50" i="7"/>
  <c r="H47" i="9" s="1" a="1"/>
  <c r="H47" i="9" s="1"/>
  <c r="I49" i="7"/>
  <c r="H46" i="9" s="1" a="1"/>
  <c r="H46" i="9" s="1"/>
  <c r="I48" i="7"/>
  <c r="H45" i="9" s="1" a="1"/>
  <c r="H45" i="9" s="1"/>
  <c r="I47" i="7"/>
  <c r="H44" i="9" s="1" a="1"/>
  <c r="H44" i="9" s="1"/>
  <c r="I46" i="7"/>
  <c r="H43" i="9" s="1" a="1"/>
  <c r="H43" i="9" s="1"/>
  <c r="I45" i="7"/>
  <c r="H42" i="9" s="1" a="1"/>
  <c r="H42" i="9" s="1"/>
  <c r="I44" i="7"/>
  <c r="I43" i="7"/>
  <c r="I42" i="7"/>
  <c r="I41" i="7"/>
  <c r="I40" i="7"/>
  <c r="I39" i="7"/>
  <c r="I38" i="7"/>
  <c r="I37" i="7"/>
  <c r="H35" i="9" s="1" a="1"/>
  <c r="H35" i="9" s="1"/>
  <c r="I36" i="7"/>
  <c r="H34" i="9" s="1" a="1"/>
  <c r="H34" i="9" s="1"/>
  <c r="I35" i="7"/>
  <c r="H33" i="9" s="1" a="1"/>
  <c r="H33" i="9" s="1"/>
  <c r="I34" i="7"/>
  <c r="H32" i="9" s="1" a="1"/>
  <c r="H32" i="9" s="1"/>
  <c r="I33" i="7"/>
  <c r="H31" i="9" s="1" a="1"/>
  <c r="H31" i="9" s="1"/>
  <c r="I32" i="7"/>
  <c r="H30" i="9" s="1" a="1"/>
  <c r="H30" i="9" s="1"/>
  <c r="I31" i="7"/>
  <c r="H29" i="9" s="1" a="1"/>
  <c r="H29" i="9" s="1"/>
  <c r="I30" i="7"/>
  <c r="I29" i="7"/>
  <c r="I28" i="7"/>
  <c r="I27" i="7"/>
  <c r="I26" i="7"/>
  <c r="I25" i="7"/>
  <c r="I24" i="7"/>
  <c r="I23" i="7"/>
  <c r="H22" i="9" s="1" a="1"/>
  <c r="H22" i="9" s="1"/>
  <c r="I22" i="7"/>
  <c r="H21" i="9" s="1" a="1"/>
  <c r="H21" i="9" s="1"/>
  <c r="I21" i="7"/>
  <c r="H20" i="9" s="1" a="1"/>
  <c r="H20" i="9" s="1"/>
  <c r="I20" i="7"/>
  <c r="H19" i="9" s="1" a="1"/>
  <c r="H19" i="9" s="1"/>
  <c r="I19" i="7"/>
  <c r="H18" i="9" s="1" a="1"/>
  <c r="H18" i="9" s="1"/>
  <c r="I18" i="7"/>
  <c r="H17" i="9" s="1" a="1"/>
  <c r="H17" i="9" s="1"/>
  <c r="I17" i="7"/>
  <c r="H16" i="9" s="1" a="1"/>
  <c r="H16" i="9" s="1"/>
  <c r="I16" i="7"/>
  <c r="I15" i="7"/>
  <c r="I14" i="7"/>
  <c r="I13" i="7"/>
  <c r="I12" i="7"/>
  <c r="I11" i="7"/>
  <c r="I10" i="7"/>
  <c r="I9" i="7"/>
  <c r="H9" i="9" s="1" a="1"/>
  <c r="H9" i="9" s="1"/>
  <c r="I8" i="7"/>
  <c r="H8" i="9" s="1" a="1"/>
  <c r="H8" i="9" s="1"/>
  <c r="I7" i="7"/>
  <c r="H7" i="9" s="1" a="1"/>
  <c r="H7" i="9" s="1"/>
  <c r="I6" i="7"/>
  <c r="H6" i="9" s="1" a="1"/>
  <c r="H6" i="9" s="1"/>
  <c r="I5" i="7"/>
  <c r="H5" i="9" s="1" a="1"/>
  <c r="H5" i="9" s="1"/>
  <c r="I4" i="7"/>
  <c r="H4" i="9" s="1" a="1"/>
  <c r="H4" i="9" s="1"/>
  <c r="I3" i="7"/>
  <c r="H3" i="9" s="1" a="1"/>
  <c r="H3" i="9" s="1"/>
  <c r="I104" i="7"/>
  <c r="H97" i="9" s="1" a="1"/>
  <c r="H97" i="9" s="1"/>
  <c r="AU40" i="21" a="1"/>
  <c r="BM57" i="21" a="1"/>
  <c r="BA27" i="21" a="1"/>
  <c r="AU27" i="21" a="1"/>
  <c r="BL56" i="21" a="1"/>
  <c r="BM56" i="21" a="1"/>
  <c r="AU26" i="21" a="1"/>
  <c r="BM53" i="21" a="1"/>
  <c r="BM53" i="21" l="1"/>
  <c r="N53" i="21" s="1"/>
  <c r="AQ57" i="21"/>
  <c r="BC57" i="21" s="1"/>
  <c r="BF57" i="21" s="1"/>
  <c r="BI57" i="21" s="1"/>
  <c r="AJ15" i="13"/>
  <c r="AJ28" i="13" s="1"/>
  <c r="AK28" i="13" s="1" a="1"/>
  <c r="AK28" i="13" s="1"/>
  <c r="AE28" i="13"/>
  <c r="AF28" i="13" s="1" a="1"/>
  <c r="AF28" i="13" s="1"/>
  <c r="AJ14" i="13"/>
  <c r="AE27" i="13"/>
  <c r="AF27" i="13" s="1" a="1"/>
  <c r="AF27" i="13" s="1"/>
  <c r="AE32" i="13"/>
  <c r="AF32" i="13" s="1" a="1"/>
  <c r="AF32" i="13" s="1"/>
  <c r="AJ17" i="13"/>
  <c r="AE30" i="13"/>
  <c r="AF30" i="13" s="1" a="1"/>
  <c r="AF30" i="13" s="1"/>
  <c r="AJ18" i="13"/>
  <c r="AE31" i="13"/>
  <c r="AF31" i="13" s="1" a="1"/>
  <c r="AF31" i="13" s="1"/>
  <c r="M54" i="21"/>
  <c r="R54" i="21"/>
  <c r="P54" i="21"/>
  <c r="N54" i="21"/>
  <c r="L54" i="21"/>
  <c r="Q54" i="21"/>
  <c r="O54" i="21"/>
  <c r="Z53" i="21"/>
  <c r="X53" i="21"/>
  <c r="V53" i="21"/>
  <c r="T53" i="21"/>
  <c r="Y53" i="21"/>
  <c r="W53" i="21"/>
  <c r="U53" i="21"/>
  <c r="E54" i="21"/>
  <c r="J54" i="21"/>
  <c r="H54" i="21"/>
  <c r="F54" i="21"/>
  <c r="D54" i="21"/>
  <c r="I54" i="21"/>
  <c r="G54" i="21"/>
  <c r="I53" i="21"/>
  <c r="G53" i="21"/>
  <c r="E53" i="21"/>
  <c r="J53" i="21"/>
  <c r="H53" i="21"/>
  <c r="F53" i="21"/>
  <c r="D53" i="21"/>
  <c r="O53" i="21"/>
  <c r="P53" i="21"/>
  <c r="L55" i="21"/>
  <c r="AU40" i="21"/>
  <c r="R55" i="21"/>
  <c r="O55" i="21"/>
  <c r="P55" i="21"/>
  <c r="M55" i="21"/>
  <c r="Q55" i="21"/>
  <c r="BM56" i="21"/>
  <c r="Q56" i="21" s="1"/>
  <c r="BM57" i="21"/>
  <c r="BA27" i="21"/>
  <c r="AU27" i="21"/>
  <c r="BL56" i="21"/>
  <c r="AU26" i="21"/>
  <c r="AS41" i="21"/>
  <c r="AT41" i="21" s="1"/>
  <c r="AR58" i="21"/>
  <c r="Z56" i="21"/>
  <c r="V56" i="21"/>
  <c r="Y56" i="21"/>
  <c r="U56" i="21"/>
  <c r="X56" i="21"/>
  <c r="T56" i="21"/>
  <c r="W56" i="21"/>
  <c r="AY41" i="21"/>
  <c r="AZ41" i="21" s="1"/>
  <c r="AX58" i="21"/>
  <c r="BE58" i="21" s="1"/>
  <c r="BH58" i="21" s="1"/>
  <c r="BK58" i="21" s="1"/>
  <c r="X57" i="21"/>
  <c r="T57" i="21"/>
  <c r="W57" i="21"/>
  <c r="Z57" i="21"/>
  <c r="V57" i="21"/>
  <c r="Y57" i="21"/>
  <c r="U57" i="21"/>
  <c r="AN43" i="21"/>
  <c r="AP43" i="21" s="1"/>
  <c r="AK44" i="21" a="1"/>
  <c r="AK44" i="21" s="1"/>
  <c r="AL44" i="21"/>
  <c r="AM44" i="21" s="1" a="1"/>
  <c r="AM44" i="21" s="1"/>
  <c r="AN29" i="21"/>
  <c r="AP29" i="21" s="1"/>
  <c r="AQ29" i="21" s="1" a="1"/>
  <c r="AQ29" i="21" s="1"/>
  <c r="AR42" i="21" a="1"/>
  <c r="AR42" i="21" s="1"/>
  <c r="AV42" i="21"/>
  <c r="AX42" i="21" s="1" a="1"/>
  <c r="AX42" i="21" s="1"/>
  <c r="AL30" i="21"/>
  <c r="AM30" i="21" s="1" a="1"/>
  <c r="AM30" i="21" s="1"/>
  <c r="AK30" i="21" a="1"/>
  <c r="AK30" i="21" s="1"/>
  <c r="AV28" i="21"/>
  <c r="AW28" i="21" s="1" a="1"/>
  <c r="AW28" i="21" s="1"/>
  <c r="AQ28" i="21" a="1"/>
  <c r="AQ28" i="21" s="1"/>
  <c r="B32" i="21"/>
  <c r="AG31" i="21" a="1"/>
  <c r="AG31" i="21" s="1"/>
  <c r="AH31" i="21" s="1"/>
  <c r="AJ31" i="21" s="1"/>
  <c r="AF15" i="13" a="1"/>
  <c r="AF15" i="13" s="1"/>
  <c r="AG15" i="13" s="1"/>
  <c r="AG28" i="13" s="1"/>
  <c r="AK15" i="13" a="1"/>
  <c r="AK15" i="13" s="1"/>
  <c r="AL15" i="13" s="1"/>
  <c r="AM15" i="13" s="1"/>
  <c r="AH75" i="19"/>
  <c r="AD75" i="19"/>
  <c r="Z75" i="19"/>
  <c r="V75" i="19"/>
  <c r="AG75" i="19"/>
  <c r="AC75" i="19"/>
  <c r="Y75" i="19"/>
  <c r="U75" i="19"/>
  <c r="S76" i="19"/>
  <c r="AF75" i="19"/>
  <c r="AB75" i="19"/>
  <c r="X75" i="19"/>
  <c r="T75" i="19"/>
  <c r="W75" i="19"/>
  <c r="AI75" i="19"/>
  <c r="AE75" i="19"/>
  <c r="AA75" i="19"/>
  <c r="AI90" i="19"/>
  <c r="AE90" i="19"/>
  <c r="AA90" i="19"/>
  <c r="W90" i="19"/>
  <c r="AH90" i="19"/>
  <c r="AD90" i="19"/>
  <c r="Z90" i="19"/>
  <c r="V90" i="19"/>
  <c r="AG90" i="19"/>
  <c r="AC90" i="19"/>
  <c r="Y90" i="19"/>
  <c r="U90" i="19"/>
  <c r="X90" i="19"/>
  <c r="S91" i="19"/>
  <c r="T90" i="19"/>
  <c r="AF90" i="19"/>
  <c r="AB90" i="19"/>
  <c r="AI59" i="19"/>
  <c r="AE59" i="19"/>
  <c r="AA59" i="19"/>
  <c r="W59" i="19"/>
  <c r="AH59" i="19"/>
  <c r="AD59" i="19"/>
  <c r="Z59" i="19"/>
  <c r="V59" i="19"/>
  <c r="AG59" i="19"/>
  <c r="AC59" i="19"/>
  <c r="Y59" i="19"/>
  <c r="U59" i="19"/>
  <c r="X59" i="19"/>
  <c r="S60" i="19"/>
  <c r="T59" i="19"/>
  <c r="AB59" i="19"/>
  <c r="AF59" i="19"/>
  <c r="AI106" i="19"/>
  <c r="AE106" i="19"/>
  <c r="AA106" i="19"/>
  <c r="W106" i="19"/>
  <c r="AH106" i="19"/>
  <c r="AD106" i="19"/>
  <c r="Z106" i="19"/>
  <c r="V106" i="19"/>
  <c r="AC106" i="19"/>
  <c r="U106" i="19"/>
  <c r="S107" i="19"/>
  <c r="AB106" i="19"/>
  <c r="T106" i="19"/>
  <c r="AG106" i="19"/>
  <c r="Y106" i="19"/>
  <c r="AF106" i="19"/>
  <c r="X106" i="19"/>
  <c r="AI43" i="19"/>
  <c r="AE43" i="19"/>
  <c r="AA43" i="19"/>
  <c r="W43" i="19"/>
  <c r="AH43" i="19"/>
  <c r="AD43" i="19"/>
  <c r="Z43" i="19"/>
  <c r="V43" i="19"/>
  <c r="AG43" i="19"/>
  <c r="AC43" i="19"/>
  <c r="Y43" i="19"/>
  <c r="U43" i="19"/>
  <c r="X43" i="19"/>
  <c r="AB43" i="19"/>
  <c r="S44" i="19"/>
  <c r="T43" i="19"/>
  <c r="AF43" i="19"/>
  <c r="AI29" i="19"/>
  <c r="AE29" i="19"/>
  <c r="AA29" i="19"/>
  <c r="W29" i="19"/>
  <c r="AB29" i="19"/>
  <c r="T29" i="19"/>
  <c r="AH29" i="19"/>
  <c r="AD29" i="19"/>
  <c r="Z29" i="19"/>
  <c r="V29" i="19"/>
  <c r="AF29" i="19"/>
  <c r="X29" i="19"/>
  <c r="AG29" i="19"/>
  <c r="AC29" i="19"/>
  <c r="Y29" i="19"/>
  <c r="U29" i="19"/>
  <c r="S30" i="19"/>
  <c r="K2" i="19"/>
  <c r="L1" i="19"/>
  <c r="AF19" i="13" a="1"/>
  <c r="AF19" i="13" s="1"/>
  <c r="AG19" i="13" s="1"/>
  <c r="AG32" i="13" s="1"/>
  <c r="AJ19" i="13"/>
  <c r="AJ32" i="13" s="1"/>
  <c r="AK32" i="13" s="1" a="1"/>
  <c r="AK32" i="13" s="1"/>
  <c r="AH14" i="13"/>
  <c r="AG27" i="13"/>
  <c r="AH13" i="13"/>
  <c r="AG26" i="13"/>
  <c r="AH17" i="13"/>
  <c r="AG30" i="13"/>
  <c r="AH18" i="13"/>
  <c r="AG31" i="13"/>
  <c r="AF16" i="13" a="1"/>
  <c r="AF16" i="13" s="1"/>
  <c r="AG16" i="13" s="1"/>
  <c r="AF29" i="13" a="1"/>
  <c r="AF29" i="13" s="1"/>
  <c r="AJ16" i="13"/>
  <c r="AK13" i="13" a="1"/>
  <c r="AK13" i="13" s="1"/>
  <c r="AL13" i="13" s="1"/>
  <c r="AJ26" i="13"/>
  <c r="AK26" i="13" s="1" a="1"/>
  <c r="AK26" i="13" s="1"/>
  <c r="J145" i="9" a="1"/>
  <c r="J145" i="9" s="1"/>
  <c r="J144" i="9" a="1"/>
  <c r="J144" i="9" s="1"/>
  <c r="J141" i="9" a="1"/>
  <c r="J141" i="9" s="1"/>
  <c r="J140" i="9" a="1"/>
  <c r="J140" i="9" s="1"/>
  <c r="J139" i="9" a="1"/>
  <c r="J139" i="9" s="1"/>
  <c r="J129" i="9" a="1"/>
  <c r="J129" i="9" s="1"/>
  <c r="J128" i="9" a="1"/>
  <c r="J128" i="9" s="1"/>
  <c r="J119" i="9" a="1"/>
  <c r="J119" i="9" s="1"/>
  <c r="J132" i="9" a="1"/>
  <c r="J132" i="9" s="1"/>
  <c r="J131" i="9" a="1"/>
  <c r="J131" i="9" s="1"/>
  <c r="J130" i="9" a="1"/>
  <c r="J130" i="9" s="1"/>
  <c r="J116" i="9" a="1"/>
  <c r="J116" i="9" s="1"/>
  <c r="J115" i="9" a="1"/>
  <c r="J115" i="9" s="1"/>
  <c r="J114" i="9" a="1"/>
  <c r="J114" i="9" s="1"/>
  <c r="J104" i="9" a="1"/>
  <c r="J104" i="9" s="1"/>
  <c r="J103" i="9" a="1"/>
  <c r="J103" i="9" s="1"/>
  <c r="J102" i="9" a="1"/>
  <c r="J102" i="9" s="1"/>
  <c r="J101" i="9" a="1"/>
  <c r="J101" i="9" s="1"/>
  <c r="J100" i="9" a="1"/>
  <c r="J100" i="9" s="1"/>
  <c r="J126" i="9" a="1"/>
  <c r="J126" i="9" s="1"/>
  <c r="J118" i="9" a="1"/>
  <c r="J118" i="9" s="1"/>
  <c r="J93" i="9" a="1"/>
  <c r="J93" i="9" s="1"/>
  <c r="J92" i="9" a="1"/>
  <c r="J92" i="9" s="1"/>
  <c r="J91" i="9" a="1"/>
  <c r="J91" i="9" s="1"/>
  <c r="J90" i="9" a="1"/>
  <c r="J90" i="9" s="1"/>
  <c r="J89" i="9" a="1"/>
  <c r="J89" i="9" s="1"/>
  <c r="J88" i="9" a="1"/>
  <c r="J88" i="9" s="1"/>
  <c r="J142" i="9" a="1"/>
  <c r="J142" i="9" s="1"/>
  <c r="J117" i="9" a="1"/>
  <c r="J117" i="9" s="1"/>
  <c r="J113" i="9" a="1"/>
  <c r="J113" i="9" s="1"/>
  <c r="J106" i="9" a="1"/>
  <c r="J106" i="9" s="1"/>
  <c r="J105" i="9" a="1"/>
  <c r="J105" i="9" s="1"/>
  <c r="J76" i="9" a="1"/>
  <c r="J76" i="9" s="1"/>
  <c r="J75" i="9" a="1"/>
  <c r="J75" i="9" s="1"/>
  <c r="J74" i="9" a="1"/>
  <c r="J74" i="9" s="1"/>
  <c r="J143" i="9" a="1"/>
  <c r="J143" i="9" s="1"/>
  <c r="J67" i="9" a="1"/>
  <c r="J67" i="9" s="1"/>
  <c r="J66" i="9" a="1"/>
  <c r="J66" i="9" s="1"/>
  <c r="J65" i="9" a="1"/>
  <c r="J65" i="9" s="1"/>
  <c r="J64" i="9" a="1"/>
  <c r="J64" i="9" s="1"/>
  <c r="J63" i="9" a="1"/>
  <c r="J63" i="9" s="1"/>
  <c r="J87" i="9" a="1"/>
  <c r="J87" i="9" s="1"/>
  <c r="J41" i="9" a="1"/>
  <c r="J41" i="9" s="1"/>
  <c r="J40" i="9" a="1"/>
  <c r="J40" i="9" s="1"/>
  <c r="J39" i="9" a="1"/>
  <c r="J39" i="9" s="1"/>
  <c r="J38" i="9" a="1"/>
  <c r="J38" i="9" s="1"/>
  <c r="J37" i="9" a="1"/>
  <c r="J37" i="9" s="1"/>
  <c r="J36" i="9" a="1"/>
  <c r="J36" i="9" s="1"/>
  <c r="J35" i="9" a="1"/>
  <c r="J35" i="9" s="1"/>
  <c r="J62" i="9" a="1"/>
  <c r="J62" i="9" s="1"/>
  <c r="J61" i="9" a="1"/>
  <c r="J61" i="9" s="1"/>
  <c r="J79" i="9" a="1"/>
  <c r="J79" i="9" s="1"/>
  <c r="J77" i="9" a="1"/>
  <c r="J77" i="9" s="1"/>
  <c r="J28" i="9" a="1"/>
  <c r="J28" i="9" s="1"/>
  <c r="J27" i="9" a="1"/>
  <c r="J27" i="9" s="1"/>
  <c r="J26" i="9" a="1"/>
  <c r="J26" i="9" s="1"/>
  <c r="J25" i="9" a="1"/>
  <c r="J25" i="9" s="1"/>
  <c r="J24" i="9" a="1"/>
  <c r="J24" i="9" s="1"/>
  <c r="J23" i="9" a="1"/>
  <c r="J23" i="9" s="1"/>
  <c r="J22" i="9" a="1"/>
  <c r="J22" i="9" s="1"/>
  <c r="J15" i="9" a="1"/>
  <c r="J15" i="9" s="1"/>
  <c r="J14" i="9" a="1"/>
  <c r="J14" i="9" s="1"/>
  <c r="J13" i="9" a="1"/>
  <c r="J13" i="9" s="1"/>
  <c r="J12" i="9" a="1"/>
  <c r="J12" i="9" s="1"/>
  <c r="J11" i="9" a="1"/>
  <c r="J11" i="9" s="1"/>
  <c r="J10" i="9" a="1"/>
  <c r="J10" i="9" s="1"/>
  <c r="J9" i="9" a="1"/>
  <c r="J9" i="9" s="1"/>
  <c r="J127" i="9" a="1"/>
  <c r="J127" i="9" s="1"/>
  <c r="J80" i="9" a="1"/>
  <c r="J80" i="9" s="1"/>
  <c r="J78" i="9" a="1"/>
  <c r="J78" i="9" s="1"/>
  <c r="J54" i="9" a="1"/>
  <c r="J54" i="9" s="1"/>
  <c r="J53" i="9" a="1"/>
  <c r="J53" i="9" s="1"/>
  <c r="J52" i="9" a="1"/>
  <c r="J52" i="9" s="1"/>
  <c r="J51" i="9" a="1"/>
  <c r="J51" i="9" s="1"/>
  <c r="J50" i="9" a="1"/>
  <c r="J50" i="9" s="1"/>
  <c r="J49" i="9" a="1"/>
  <c r="J49" i="9" s="1"/>
  <c r="J48" i="9" a="1"/>
  <c r="J48" i="9" s="1"/>
  <c r="F123" i="14" a="1"/>
  <c r="F123" i="14" s="1"/>
  <c r="O123" i="14" a="1"/>
  <c r="O123" i="14" s="1"/>
  <c r="R123" i="14" a="1"/>
  <c r="R123" i="14" s="1"/>
  <c r="X123" i="14" a="1"/>
  <c r="X123" i="14" s="1"/>
  <c r="F11" i="14" a="1"/>
  <c r="F11" i="14" s="1"/>
  <c r="F75" i="14" a="1"/>
  <c r="F75" i="14" s="1"/>
  <c r="I11" i="14" a="1"/>
  <c r="I11" i="14" s="1"/>
  <c r="I75" i="14" a="1"/>
  <c r="I75" i="14" s="1"/>
  <c r="L11" i="14" a="1"/>
  <c r="L11" i="14" s="1"/>
  <c r="L75" i="14" a="1"/>
  <c r="L75" i="14" s="1"/>
  <c r="O11" i="14" a="1"/>
  <c r="O11" i="14" s="1"/>
  <c r="O75" i="14" a="1"/>
  <c r="O75" i="14" s="1"/>
  <c r="R11" i="14" a="1"/>
  <c r="R11" i="14" s="1"/>
  <c r="R75" i="14" a="1"/>
  <c r="R75" i="14" s="1"/>
  <c r="U11" i="14" a="1"/>
  <c r="U11" i="14" s="1"/>
  <c r="U75" i="14" a="1"/>
  <c r="U75" i="14" s="1"/>
  <c r="X11" i="14" a="1"/>
  <c r="X11" i="14" s="1"/>
  <c r="X75" i="14" a="1"/>
  <c r="X75" i="14" s="1"/>
  <c r="F59" i="14" a="1"/>
  <c r="F59" i="14" s="1"/>
  <c r="I59" i="14" a="1"/>
  <c r="I59" i="14" s="1"/>
  <c r="L59" i="14" a="1"/>
  <c r="L59" i="14" s="1"/>
  <c r="O59" i="14" a="1"/>
  <c r="O59" i="14" s="1"/>
  <c r="U59" i="14" a="1"/>
  <c r="U59" i="14" s="1"/>
  <c r="X59" i="14" a="1"/>
  <c r="X59" i="14" s="1"/>
  <c r="F27" i="14" a="1"/>
  <c r="F27" i="14" s="1"/>
  <c r="F91" i="14" a="1"/>
  <c r="F91" i="14" s="1"/>
  <c r="I27" i="14" a="1"/>
  <c r="I27" i="14" s="1"/>
  <c r="I91" i="14" a="1"/>
  <c r="I91" i="14" s="1"/>
  <c r="L27" i="14" a="1"/>
  <c r="L27" i="14" s="1"/>
  <c r="L91" i="14" a="1"/>
  <c r="L91" i="14" s="1"/>
  <c r="O27" i="14" a="1"/>
  <c r="O27" i="14" s="1"/>
  <c r="O91" i="14" a="1"/>
  <c r="O91" i="14" s="1"/>
  <c r="R27" i="14" a="1"/>
  <c r="R27" i="14" s="1"/>
  <c r="R91" i="14" a="1"/>
  <c r="R91" i="14" s="1"/>
  <c r="U27" i="14" a="1"/>
  <c r="U27" i="14" s="1"/>
  <c r="U91" i="14" a="1"/>
  <c r="U91" i="14" s="1"/>
  <c r="X27" i="14" a="1"/>
  <c r="X27" i="14" s="1"/>
  <c r="X91" i="14" a="1"/>
  <c r="X91" i="14" s="1"/>
  <c r="K1" i="12"/>
  <c r="J2" i="12"/>
  <c r="J114" i="12"/>
  <c r="W124" i="14" s="1" a="1"/>
  <c r="W124" i="14" s="1"/>
  <c r="J113" i="12"/>
  <c r="W108" i="14" s="1" a="1"/>
  <c r="W108" i="14" s="1"/>
  <c r="J112" i="12"/>
  <c r="W92" i="14" s="1" a="1"/>
  <c r="W92" i="14" s="1"/>
  <c r="J111" i="12"/>
  <c r="W76" i="14" s="1" a="1"/>
  <c r="W76" i="14" s="1"/>
  <c r="J110" i="12"/>
  <c r="W60" i="14" s="1" a="1"/>
  <c r="W60" i="14" s="1"/>
  <c r="J109" i="12"/>
  <c r="W44" i="14" s="1" a="1"/>
  <c r="W44" i="14" s="1"/>
  <c r="J108" i="12"/>
  <c r="W28" i="14" s="1" a="1"/>
  <c r="W28" i="14" s="1"/>
  <c r="J107" i="12"/>
  <c r="W12" i="14" s="1" a="1"/>
  <c r="W12" i="14" s="1"/>
  <c r="J106" i="12"/>
  <c r="V124" i="14" s="1" a="1"/>
  <c r="V124" i="14" s="1"/>
  <c r="J105" i="12"/>
  <c r="V108" i="14" s="1" a="1"/>
  <c r="V108" i="14" s="1"/>
  <c r="J104" i="12"/>
  <c r="V92" i="14" s="1" a="1"/>
  <c r="V92" i="14" s="1"/>
  <c r="J103" i="12"/>
  <c r="V76" i="14" s="1" a="1"/>
  <c r="V76" i="14" s="1"/>
  <c r="J102" i="12"/>
  <c r="V60" i="14" s="1" a="1"/>
  <c r="V60" i="14" s="1"/>
  <c r="J101" i="12"/>
  <c r="V44" i="14" s="1" a="1"/>
  <c r="V44" i="14" s="1"/>
  <c r="J100" i="12"/>
  <c r="V28" i="14" s="1" a="1"/>
  <c r="V28" i="14" s="1"/>
  <c r="J99" i="12"/>
  <c r="V12" i="14" s="1" a="1"/>
  <c r="V12" i="14" s="1"/>
  <c r="J98" i="12"/>
  <c r="T124" i="14" s="1" a="1"/>
  <c r="T124" i="14" s="1"/>
  <c r="J97" i="12"/>
  <c r="T108" i="14" s="1" a="1"/>
  <c r="T108" i="14" s="1"/>
  <c r="J96" i="12"/>
  <c r="T92" i="14" s="1" a="1"/>
  <c r="T92" i="14" s="1"/>
  <c r="J95" i="12"/>
  <c r="T76" i="14" s="1" a="1"/>
  <c r="T76" i="14" s="1"/>
  <c r="J94" i="12"/>
  <c r="T60" i="14" s="1" a="1"/>
  <c r="T60" i="14" s="1"/>
  <c r="J93" i="12"/>
  <c r="T44" i="14" s="1" a="1"/>
  <c r="T44" i="14" s="1"/>
  <c r="J92" i="12"/>
  <c r="T28" i="14" s="1" a="1"/>
  <c r="T28" i="14" s="1"/>
  <c r="J91" i="12"/>
  <c r="T12" i="14" s="1" a="1"/>
  <c r="T12" i="14" s="1"/>
  <c r="J90" i="12"/>
  <c r="S124" i="14" s="1" a="1"/>
  <c r="S124" i="14" s="1"/>
  <c r="J89" i="12"/>
  <c r="S108" i="14" s="1" a="1"/>
  <c r="S108" i="14" s="1"/>
  <c r="J88" i="12"/>
  <c r="S92" i="14" s="1" a="1"/>
  <c r="S92" i="14" s="1"/>
  <c r="J87" i="12"/>
  <c r="S76" i="14" s="1" a="1"/>
  <c r="S76" i="14" s="1"/>
  <c r="J86" i="12"/>
  <c r="S60" i="14" s="1" a="1"/>
  <c r="S60" i="14" s="1"/>
  <c r="J85" i="12"/>
  <c r="S44" i="14" s="1" a="1"/>
  <c r="S44" i="14" s="1"/>
  <c r="J84" i="12"/>
  <c r="S28" i="14" s="1" a="1"/>
  <c r="S28" i="14" s="1"/>
  <c r="J83" i="12"/>
  <c r="S12" i="14" s="1" a="1"/>
  <c r="S12" i="14" s="1"/>
  <c r="J74" i="12"/>
  <c r="P124" i="14" s="1" a="1"/>
  <c r="P124" i="14" s="1"/>
  <c r="J82" i="12"/>
  <c r="Q124" i="14" s="1" a="1"/>
  <c r="Q124" i="14" s="1"/>
  <c r="J81" i="12"/>
  <c r="Q108" i="14" s="1" a="1"/>
  <c r="Q108" i="14" s="1"/>
  <c r="J80" i="12"/>
  <c r="Q92" i="14" s="1" a="1"/>
  <c r="Q92" i="14" s="1"/>
  <c r="J79" i="12"/>
  <c r="Q76" i="14" s="1" a="1"/>
  <c r="Q76" i="14" s="1"/>
  <c r="J78" i="12"/>
  <c r="Q60" i="14" s="1" a="1"/>
  <c r="Q60" i="14" s="1"/>
  <c r="J77" i="12"/>
  <c r="Q44" i="14" s="1" a="1"/>
  <c r="Q44" i="14" s="1"/>
  <c r="J76" i="12"/>
  <c r="Q28" i="14" s="1" a="1"/>
  <c r="Q28" i="14" s="1"/>
  <c r="J75" i="12"/>
  <c r="Q12" i="14" s="1" a="1"/>
  <c r="Q12" i="14" s="1"/>
  <c r="J73" i="12"/>
  <c r="P108" i="14" s="1" a="1"/>
  <c r="P108" i="14" s="1"/>
  <c r="J72" i="12"/>
  <c r="P92" i="14" s="1" a="1"/>
  <c r="P92" i="14" s="1"/>
  <c r="J71" i="12"/>
  <c r="P76" i="14" s="1" a="1"/>
  <c r="P76" i="14" s="1"/>
  <c r="J70" i="12"/>
  <c r="P60" i="14" s="1" a="1"/>
  <c r="P60" i="14" s="1"/>
  <c r="J69" i="12"/>
  <c r="P44" i="14" s="1" a="1"/>
  <c r="P44" i="14" s="1"/>
  <c r="J68" i="12"/>
  <c r="P28" i="14" s="1" a="1"/>
  <c r="P28" i="14" s="1"/>
  <c r="J67" i="12"/>
  <c r="P12" i="14" s="1" a="1"/>
  <c r="P12" i="14" s="1"/>
  <c r="J66" i="12"/>
  <c r="N124" i="14" s="1" a="1"/>
  <c r="N124" i="14" s="1"/>
  <c r="J65" i="12"/>
  <c r="N108" i="14" s="1" a="1"/>
  <c r="N108" i="14" s="1"/>
  <c r="J64" i="12"/>
  <c r="N92" i="14" s="1" a="1"/>
  <c r="N92" i="14" s="1"/>
  <c r="J63" i="12"/>
  <c r="N76" i="14" s="1" a="1"/>
  <c r="N76" i="14" s="1"/>
  <c r="J62" i="12"/>
  <c r="N60" i="14" s="1" a="1"/>
  <c r="N60" i="14" s="1"/>
  <c r="J61" i="12"/>
  <c r="N44" i="14" s="1" a="1"/>
  <c r="N44" i="14" s="1"/>
  <c r="J60" i="12"/>
  <c r="N28" i="14" s="1" a="1"/>
  <c r="N28" i="14" s="1"/>
  <c r="J59" i="12"/>
  <c r="N12" i="14" s="1" a="1"/>
  <c r="N12" i="14" s="1"/>
  <c r="J58" i="12"/>
  <c r="M124" i="14" s="1" a="1"/>
  <c r="M124" i="14" s="1"/>
  <c r="J56" i="12"/>
  <c r="M92" i="14" s="1" a="1"/>
  <c r="M92" i="14" s="1"/>
  <c r="J54" i="12"/>
  <c r="M60" i="14" s="1" a="1"/>
  <c r="M60" i="14" s="1"/>
  <c r="J52" i="12"/>
  <c r="M28" i="14" s="1" a="1"/>
  <c r="M28" i="14" s="1"/>
  <c r="J50" i="12"/>
  <c r="K124" i="14" s="1" a="1"/>
  <c r="K124" i="14" s="1"/>
  <c r="J48" i="12"/>
  <c r="K92" i="14" s="1" a="1"/>
  <c r="K92" i="14" s="1"/>
  <c r="J46" i="12"/>
  <c r="K60" i="14" s="1" a="1"/>
  <c r="K60" i="14" s="1"/>
  <c r="J44" i="12"/>
  <c r="K28" i="14" s="1" a="1"/>
  <c r="K28" i="14" s="1"/>
  <c r="J42" i="12"/>
  <c r="J124" i="14" s="1" a="1"/>
  <c r="J124" i="14" s="1"/>
  <c r="J40" i="12"/>
  <c r="J92" i="14" s="1" a="1"/>
  <c r="J92" i="14" s="1"/>
  <c r="J38" i="12"/>
  <c r="J60" i="14" s="1" a="1"/>
  <c r="J60" i="14" s="1"/>
  <c r="J36" i="12"/>
  <c r="J28" i="14" s="1" a="1"/>
  <c r="J28" i="14" s="1"/>
  <c r="J34" i="12"/>
  <c r="H124" i="14" s="1" a="1"/>
  <c r="H124" i="14" s="1"/>
  <c r="J32" i="12"/>
  <c r="H92" i="14" s="1" a="1"/>
  <c r="H92" i="14" s="1"/>
  <c r="J31" i="12"/>
  <c r="H76" i="14" s="1" a="1"/>
  <c r="H76" i="14" s="1"/>
  <c r="J30" i="12"/>
  <c r="H60" i="14" s="1" a="1"/>
  <c r="H60" i="14" s="1"/>
  <c r="J29" i="12"/>
  <c r="H44" i="14" s="1" a="1"/>
  <c r="H44" i="14" s="1"/>
  <c r="J28" i="12"/>
  <c r="H28" i="14" s="1" a="1"/>
  <c r="H28" i="14" s="1"/>
  <c r="J27" i="12"/>
  <c r="H12" i="14" s="1" a="1"/>
  <c r="H12" i="14" s="1"/>
  <c r="J26" i="12"/>
  <c r="G124" i="14" s="1" a="1"/>
  <c r="G124" i="14" s="1"/>
  <c r="J25" i="12"/>
  <c r="G108" i="14" s="1" a="1"/>
  <c r="G108" i="14" s="1"/>
  <c r="J24" i="12"/>
  <c r="G92" i="14" s="1" a="1"/>
  <c r="G92" i="14" s="1"/>
  <c r="J23" i="12"/>
  <c r="G76" i="14" s="1" a="1"/>
  <c r="G76" i="14" s="1"/>
  <c r="J22" i="12"/>
  <c r="G60" i="14" s="1" a="1"/>
  <c r="G60" i="14" s="1"/>
  <c r="I60" i="14" s="1" a="1"/>
  <c r="I60" i="14" s="1"/>
  <c r="J21" i="12"/>
  <c r="G44" i="14" s="1" a="1"/>
  <c r="G44" i="14" s="1"/>
  <c r="J20" i="12"/>
  <c r="G28" i="14" s="1" a="1"/>
  <c r="G28" i="14" s="1"/>
  <c r="J19" i="12"/>
  <c r="G12" i="14" s="1" a="1"/>
  <c r="G12" i="14" s="1"/>
  <c r="J18" i="12"/>
  <c r="E124" i="14" s="1" a="1"/>
  <c r="E124" i="14" s="1"/>
  <c r="J17" i="12"/>
  <c r="E108" i="14" s="1" a="1"/>
  <c r="E108" i="14" s="1"/>
  <c r="J16" i="12"/>
  <c r="E92" i="14" s="1" a="1"/>
  <c r="E92" i="14" s="1"/>
  <c r="J15" i="12"/>
  <c r="E76" i="14" s="1" a="1"/>
  <c r="E76" i="14" s="1"/>
  <c r="J14" i="12"/>
  <c r="E60" i="14" s="1" a="1"/>
  <c r="E60" i="14" s="1"/>
  <c r="J13" i="12"/>
  <c r="E44" i="14" s="1" a="1"/>
  <c r="E44" i="14" s="1"/>
  <c r="J12" i="12"/>
  <c r="E28" i="14" s="1" a="1"/>
  <c r="E28" i="14" s="1"/>
  <c r="J11" i="12"/>
  <c r="E12" i="14" s="1" a="1"/>
  <c r="E12" i="14" s="1"/>
  <c r="D124" i="14" a="1"/>
  <c r="D124" i="14" s="1"/>
  <c r="J9" i="12"/>
  <c r="D108" i="14" s="1" a="1"/>
  <c r="D108" i="14" s="1"/>
  <c r="J57" i="12"/>
  <c r="M108" i="14" s="1" a="1"/>
  <c r="M108" i="14" s="1"/>
  <c r="J55" i="12"/>
  <c r="M76" i="14" s="1" a="1"/>
  <c r="M76" i="14" s="1"/>
  <c r="J53" i="12"/>
  <c r="M44" i="14" s="1" a="1"/>
  <c r="M44" i="14" s="1"/>
  <c r="J51" i="12"/>
  <c r="M12" i="14" s="1" a="1"/>
  <c r="M12" i="14" s="1"/>
  <c r="J49" i="12"/>
  <c r="K108" i="14" s="1" a="1"/>
  <c r="K108" i="14" s="1"/>
  <c r="J47" i="12"/>
  <c r="K76" i="14" s="1" a="1"/>
  <c r="K76" i="14" s="1"/>
  <c r="J45" i="12"/>
  <c r="K44" i="14" s="1" a="1"/>
  <c r="K44" i="14" s="1"/>
  <c r="J43" i="12"/>
  <c r="K12" i="14" s="1" a="1"/>
  <c r="K12" i="14" s="1"/>
  <c r="J41" i="12"/>
  <c r="J108" i="14" s="1" a="1"/>
  <c r="J108" i="14" s="1"/>
  <c r="J39" i="12"/>
  <c r="J76" i="14" s="1" a="1"/>
  <c r="J76" i="14" s="1"/>
  <c r="J37" i="12"/>
  <c r="J44" i="14" s="1" a="1"/>
  <c r="J44" i="14" s="1"/>
  <c r="J35" i="12"/>
  <c r="J12" i="14" s="1" a="1"/>
  <c r="J12" i="14" s="1"/>
  <c r="J33" i="12"/>
  <c r="H108" i="14" s="1" a="1"/>
  <c r="H108" i="14" s="1"/>
  <c r="J8" i="12"/>
  <c r="D92" i="14" s="1" a="1"/>
  <c r="D92" i="14" s="1"/>
  <c r="J7" i="12"/>
  <c r="D76" i="14" s="1" a="1"/>
  <c r="D76" i="14" s="1"/>
  <c r="J6" i="12"/>
  <c r="D60" i="14" s="1" a="1"/>
  <c r="D60" i="14" s="1"/>
  <c r="J5" i="12"/>
  <c r="D44" i="14" s="1" a="1"/>
  <c r="D44" i="14" s="1"/>
  <c r="J4" i="12"/>
  <c r="D28" i="14" s="1" a="1"/>
  <c r="D28" i="14" s="1"/>
  <c r="J3" i="12"/>
  <c r="D12" i="14" s="1" a="1"/>
  <c r="D12" i="14" s="1"/>
  <c r="I123" i="14" a="1"/>
  <c r="I123" i="14" s="1"/>
  <c r="L123" i="14" a="1"/>
  <c r="L123" i="14" s="1"/>
  <c r="R59" i="14" a="1"/>
  <c r="R59" i="14" s="1"/>
  <c r="U123" i="14" a="1"/>
  <c r="U123" i="14" s="1"/>
  <c r="F43" i="14" a="1"/>
  <c r="F43" i="14" s="1"/>
  <c r="F107" i="14" a="1"/>
  <c r="F107" i="14" s="1"/>
  <c r="I43" i="14" a="1"/>
  <c r="I43" i="14" s="1"/>
  <c r="I107" i="14" a="1"/>
  <c r="I107" i="14" s="1"/>
  <c r="L43" i="14" a="1"/>
  <c r="L43" i="14" s="1"/>
  <c r="L107" i="14" a="1"/>
  <c r="L107" i="14" s="1"/>
  <c r="O43" i="14" a="1"/>
  <c r="O43" i="14" s="1"/>
  <c r="O107" i="14" a="1"/>
  <c r="O107" i="14" s="1"/>
  <c r="R43" i="14" a="1"/>
  <c r="R43" i="14" s="1"/>
  <c r="R107" i="14" a="1"/>
  <c r="R107" i="14" s="1"/>
  <c r="U43" i="14" a="1"/>
  <c r="U43" i="14" s="1"/>
  <c r="U107" i="14" a="1"/>
  <c r="U107" i="14" s="1"/>
  <c r="X43" i="14" a="1"/>
  <c r="X43" i="14" s="1"/>
  <c r="X107" i="14" a="1"/>
  <c r="X107" i="14" s="1"/>
  <c r="C15" i="8"/>
  <c r="G14" i="8"/>
  <c r="H13" i="8"/>
  <c r="K1" i="9"/>
  <c r="J2" i="9"/>
  <c r="K2" i="7"/>
  <c r="J156" i="7"/>
  <c r="J155" i="7"/>
  <c r="J154" i="7"/>
  <c r="J153" i="7"/>
  <c r="J152" i="7"/>
  <c r="J151" i="7"/>
  <c r="J150" i="7"/>
  <c r="J149" i="7"/>
  <c r="I139" i="9" s="1" a="1"/>
  <c r="I139" i="9" s="1"/>
  <c r="J148" i="7"/>
  <c r="I138" i="9" s="1" a="1"/>
  <c r="I138" i="9" s="1"/>
  <c r="J147" i="7"/>
  <c r="I137" i="9" s="1" a="1"/>
  <c r="I137" i="9" s="1"/>
  <c r="J146" i="7"/>
  <c r="I136" i="9" s="1" a="1"/>
  <c r="I136" i="9" s="1"/>
  <c r="J145" i="7"/>
  <c r="I135" i="9" s="1" a="1"/>
  <c r="I135" i="9" s="1"/>
  <c r="J144" i="7"/>
  <c r="I134" i="9" s="1" a="1"/>
  <c r="I134" i="9" s="1"/>
  <c r="J143" i="7"/>
  <c r="I133" i="9" s="1" a="1"/>
  <c r="I133" i="9" s="1"/>
  <c r="J142" i="7"/>
  <c r="J141" i="7"/>
  <c r="J140" i="7"/>
  <c r="J139" i="7"/>
  <c r="J138" i="7"/>
  <c r="J137" i="7"/>
  <c r="J136" i="7"/>
  <c r="J135" i="7"/>
  <c r="I126" i="9" s="1" a="1"/>
  <c r="I126" i="9" s="1"/>
  <c r="J134" i="7"/>
  <c r="I125" i="9" s="1" a="1"/>
  <c r="I125" i="9" s="1"/>
  <c r="J133" i="7"/>
  <c r="I124" i="9" s="1" a="1"/>
  <c r="I124" i="9" s="1"/>
  <c r="J132" i="7"/>
  <c r="I123" i="9" s="1" a="1"/>
  <c r="I123" i="9" s="1"/>
  <c r="J131" i="7"/>
  <c r="I122" i="9" s="1" a="1"/>
  <c r="I122" i="9" s="1"/>
  <c r="J130" i="7"/>
  <c r="I121" i="9" s="1" a="1"/>
  <c r="I121" i="9" s="1"/>
  <c r="J129" i="7"/>
  <c r="I120" i="9" s="1" a="1"/>
  <c r="I120" i="9" s="1"/>
  <c r="J128" i="7"/>
  <c r="J127" i="7"/>
  <c r="J126" i="7"/>
  <c r="J125" i="7"/>
  <c r="J124" i="7"/>
  <c r="J123" i="7"/>
  <c r="J121" i="7"/>
  <c r="I113" i="9" s="1" a="1"/>
  <c r="I113" i="9" s="1"/>
  <c r="J120" i="7"/>
  <c r="I112" i="9" s="1" a="1"/>
  <c r="I112" i="9" s="1"/>
  <c r="J119" i="7"/>
  <c r="I111" i="9" s="1" a="1"/>
  <c r="I111" i="9" s="1"/>
  <c r="J118" i="7"/>
  <c r="I110" i="9" s="1" a="1"/>
  <c r="I110" i="9" s="1"/>
  <c r="J117" i="7"/>
  <c r="I109" i="9" s="1" a="1"/>
  <c r="I109" i="9" s="1"/>
  <c r="J116" i="7"/>
  <c r="I108" i="9" s="1" a="1"/>
  <c r="I108" i="9" s="1"/>
  <c r="J115" i="7"/>
  <c r="I107" i="9" s="1" a="1"/>
  <c r="I107" i="9" s="1"/>
  <c r="J114" i="7"/>
  <c r="J113" i="7"/>
  <c r="J112" i="7"/>
  <c r="J111" i="7"/>
  <c r="J110" i="7"/>
  <c r="J109" i="7"/>
  <c r="J108" i="7"/>
  <c r="J107" i="7"/>
  <c r="I100" i="9" s="1" a="1"/>
  <c r="I100" i="9" s="1"/>
  <c r="J106" i="7"/>
  <c r="I99" i="9" s="1" a="1"/>
  <c r="I99" i="9" s="1"/>
  <c r="J122" i="7"/>
  <c r="J105" i="7"/>
  <c r="I98" i="9" s="1" a="1"/>
  <c r="I98" i="9" s="1"/>
  <c r="J102" i="7"/>
  <c r="I95" i="9" s="1" a="1"/>
  <c r="I95" i="9" s="1"/>
  <c r="J100" i="7"/>
  <c r="J99" i="7"/>
  <c r="J98" i="7"/>
  <c r="J97" i="7"/>
  <c r="J96" i="7"/>
  <c r="J95" i="7"/>
  <c r="J94" i="7"/>
  <c r="J93" i="7"/>
  <c r="I87" i="9" s="1" a="1"/>
  <c r="I87" i="9" s="1"/>
  <c r="J92" i="7"/>
  <c r="I86" i="9" s="1" a="1"/>
  <c r="I86" i="9" s="1"/>
  <c r="J91" i="7"/>
  <c r="I85" i="9" s="1" a="1"/>
  <c r="I85" i="9" s="1"/>
  <c r="J90" i="7"/>
  <c r="I84" i="9" s="1" a="1"/>
  <c r="I84" i="9" s="1"/>
  <c r="J89" i="7"/>
  <c r="I83" i="9" s="1" a="1"/>
  <c r="I83" i="9" s="1"/>
  <c r="J88" i="7"/>
  <c r="I82" i="9" s="1" a="1"/>
  <c r="I82" i="9" s="1"/>
  <c r="J87" i="7"/>
  <c r="I81" i="9" s="1" a="1"/>
  <c r="I81" i="9" s="1"/>
  <c r="J86" i="7"/>
  <c r="J85" i="7"/>
  <c r="J84" i="7"/>
  <c r="J83" i="7"/>
  <c r="J82" i="7"/>
  <c r="J101" i="7"/>
  <c r="I94" i="9" s="1" a="1"/>
  <c r="I94" i="9" s="1"/>
  <c r="J104" i="7"/>
  <c r="I97" i="9" s="1" a="1"/>
  <c r="I97" i="9" s="1"/>
  <c r="J81" i="7"/>
  <c r="J80" i="7"/>
  <c r="J79" i="7"/>
  <c r="I74" i="9" s="1" a="1"/>
  <c r="I74" i="9" s="1"/>
  <c r="J78" i="7"/>
  <c r="I73" i="9" s="1" a="1"/>
  <c r="I73" i="9" s="1"/>
  <c r="J77" i="7"/>
  <c r="I72" i="9" s="1" a="1"/>
  <c r="I72" i="9" s="1"/>
  <c r="J76" i="7"/>
  <c r="I71" i="9" s="1" a="1"/>
  <c r="I71" i="9" s="1"/>
  <c r="J75" i="7"/>
  <c r="I70" i="9" s="1" a="1"/>
  <c r="I70" i="9" s="1"/>
  <c r="J74" i="7"/>
  <c r="I69" i="9" s="1" a="1"/>
  <c r="I69" i="9" s="1"/>
  <c r="J73" i="7"/>
  <c r="I68" i="9" s="1" a="1"/>
  <c r="I68" i="9" s="1"/>
  <c r="J72" i="7"/>
  <c r="J71" i="7"/>
  <c r="J70" i="7"/>
  <c r="J69" i="7"/>
  <c r="J68" i="7"/>
  <c r="J67" i="7"/>
  <c r="J66" i="7"/>
  <c r="J31" i="7"/>
  <c r="I29" i="9" s="1" a="1"/>
  <c r="I29" i="9" s="1"/>
  <c r="J30" i="7"/>
  <c r="J29" i="7"/>
  <c r="J28" i="7"/>
  <c r="J27" i="7"/>
  <c r="J26" i="7"/>
  <c r="J25" i="7"/>
  <c r="J24" i="7"/>
  <c r="J23" i="7"/>
  <c r="I22" i="9" s="1" a="1"/>
  <c r="I22" i="9" s="1"/>
  <c r="J22" i="7"/>
  <c r="I21" i="9" s="1" a="1"/>
  <c r="I21" i="9" s="1"/>
  <c r="J21" i="7"/>
  <c r="I20" i="9" s="1" a="1"/>
  <c r="I20" i="9" s="1"/>
  <c r="J20" i="7"/>
  <c r="I19" i="9" s="1" a="1"/>
  <c r="I19" i="9" s="1"/>
  <c r="J19" i="7"/>
  <c r="I18" i="9" s="1" a="1"/>
  <c r="I18" i="9" s="1"/>
  <c r="J18" i="7"/>
  <c r="I17" i="9" s="1" a="1"/>
  <c r="I17" i="9" s="1"/>
  <c r="J17" i="7"/>
  <c r="I16" i="9" s="1" a="1"/>
  <c r="I16" i="9" s="1"/>
  <c r="J16" i="7"/>
  <c r="J15" i="7"/>
  <c r="J14" i="7"/>
  <c r="J13" i="7"/>
  <c r="J12" i="7"/>
  <c r="J11" i="7"/>
  <c r="J10" i="7"/>
  <c r="J9" i="7"/>
  <c r="I9" i="9" s="1" a="1"/>
  <c r="I9" i="9" s="1"/>
  <c r="J8" i="7"/>
  <c r="I8" i="9" s="1" a="1"/>
  <c r="I8" i="9" s="1"/>
  <c r="J7" i="7"/>
  <c r="I7" i="9" s="1" a="1"/>
  <c r="I7" i="9" s="1"/>
  <c r="J6" i="7"/>
  <c r="I6" i="9" s="1" a="1"/>
  <c r="I6" i="9" s="1"/>
  <c r="J5" i="7"/>
  <c r="I5" i="9" s="1" a="1"/>
  <c r="I5" i="9" s="1"/>
  <c r="J4" i="7"/>
  <c r="I4" i="9" s="1" a="1"/>
  <c r="I4" i="9" s="1"/>
  <c r="J3" i="7"/>
  <c r="I3" i="9" s="1" a="1"/>
  <c r="I3" i="9" s="1"/>
  <c r="J103" i="7"/>
  <c r="I96" i="9" s="1" a="1"/>
  <c r="I96" i="9" s="1"/>
  <c r="J65" i="7"/>
  <c r="I61" i="9" s="1" a="1"/>
  <c r="I61" i="9" s="1"/>
  <c r="J61" i="7"/>
  <c r="I57" i="9" s="1" a="1"/>
  <c r="I57" i="9" s="1"/>
  <c r="J57" i="7"/>
  <c r="J53" i="7"/>
  <c r="J49" i="7"/>
  <c r="I46" i="9" s="1" a="1"/>
  <c r="I46" i="9" s="1"/>
  <c r="J45" i="7"/>
  <c r="I42" i="9" s="1" a="1"/>
  <c r="I42" i="9" s="1"/>
  <c r="J41" i="7"/>
  <c r="J34" i="7"/>
  <c r="I32" i="9" s="1" a="1"/>
  <c r="I32" i="9" s="1"/>
  <c r="J64" i="7"/>
  <c r="I60" i="9" s="1" a="1"/>
  <c r="I60" i="9" s="1"/>
  <c r="J60" i="7"/>
  <c r="I56" i="9" s="1" a="1"/>
  <c r="I56" i="9" s="1"/>
  <c r="J56" i="7"/>
  <c r="J52" i="7"/>
  <c r="J48" i="7"/>
  <c r="I45" i="9" s="1" a="1"/>
  <c r="I45" i="9" s="1"/>
  <c r="J44" i="7"/>
  <c r="J40" i="7"/>
  <c r="J33" i="7"/>
  <c r="I31" i="9" s="1" a="1"/>
  <c r="I31" i="9" s="1"/>
  <c r="J38" i="7"/>
  <c r="J32" i="7"/>
  <c r="I30" i="9" s="1" a="1"/>
  <c r="I30" i="9" s="1"/>
  <c r="J35" i="7"/>
  <c r="I33" i="9" s="1" a="1"/>
  <c r="I33" i="9" s="1"/>
  <c r="J58" i="7"/>
  <c r="J46" i="7"/>
  <c r="I43" i="9" s="1" a="1"/>
  <c r="I43" i="9" s="1"/>
  <c r="J37" i="7"/>
  <c r="I35" i="9" s="1" a="1"/>
  <c r="I35" i="9" s="1"/>
  <c r="J63" i="7"/>
  <c r="I59" i="9" s="1" a="1"/>
  <c r="I59" i="9" s="1"/>
  <c r="J59" i="7"/>
  <c r="I55" i="9" s="1" a="1"/>
  <c r="I55" i="9" s="1"/>
  <c r="J55" i="7"/>
  <c r="J51" i="7"/>
  <c r="I48" i="9" s="1" a="1"/>
  <c r="I48" i="9" s="1"/>
  <c r="J47" i="7"/>
  <c r="I44" i="9" s="1" a="1"/>
  <c r="I44" i="9" s="1"/>
  <c r="J43" i="7"/>
  <c r="J39" i="7"/>
  <c r="J36" i="7"/>
  <c r="I34" i="9" s="1" a="1"/>
  <c r="I34" i="9" s="1"/>
  <c r="J54" i="7"/>
  <c r="J42" i="7"/>
  <c r="J62" i="7"/>
  <c r="I58" i="9" s="1" a="1"/>
  <c r="I58" i="9" s="1"/>
  <c r="J50" i="7"/>
  <c r="I47" i="9" s="1" a="1"/>
  <c r="I47" i="9" s="1"/>
  <c r="AI17" i="13" a="1"/>
  <c r="AI18" i="13" a="1"/>
  <c r="AI13" i="13" a="1"/>
  <c r="AI14" i="13" a="1"/>
  <c r="AN15" i="13" a="1"/>
  <c r="BA41" i="21" a="1"/>
  <c r="AU41" i="21" a="1"/>
  <c r="BN58" i="21" a="1"/>
  <c r="BL57" i="21" a="1"/>
  <c r="Q53" i="21" l="1"/>
  <c r="L53" i="21"/>
  <c r="AK19" i="13" a="1"/>
  <c r="AK19" i="13" s="1"/>
  <c r="AL19" i="13" s="1"/>
  <c r="R53" i="21"/>
  <c r="M53" i="21"/>
  <c r="BL57" i="21"/>
  <c r="H57" i="21" s="1"/>
  <c r="AJ30" i="13"/>
  <c r="AK30" i="13" s="1" a="1"/>
  <c r="AK30" i="13" s="1"/>
  <c r="AK17" i="13" a="1"/>
  <c r="AK17" i="13" s="1"/>
  <c r="AL17" i="13" s="1"/>
  <c r="AJ27" i="13"/>
  <c r="AK27" i="13" s="1" a="1"/>
  <c r="AK27" i="13" s="1"/>
  <c r="AK14" i="13" a="1"/>
  <c r="AK14" i="13" s="1"/>
  <c r="AL14" i="13" s="1"/>
  <c r="AK18" i="13" a="1"/>
  <c r="AK18" i="13" s="1"/>
  <c r="AL18" i="13" s="1"/>
  <c r="AJ31" i="13"/>
  <c r="AK31" i="13" s="1" a="1"/>
  <c r="AK31" i="13" s="1"/>
  <c r="N56" i="21"/>
  <c r="R56" i="21"/>
  <c r="O56" i="21"/>
  <c r="AV29" i="21"/>
  <c r="AW29" i="21" s="1" a="1"/>
  <c r="AW29" i="21" s="1"/>
  <c r="AY29" i="21" s="1"/>
  <c r="AZ29" i="21" s="1"/>
  <c r="L56" i="21"/>
  <c r="P56" i="21"/>
  <c r="M56" i="21"/>
  <c r="BA41" i="21"/>
  <c r="AU41" i="21"/>
  <c r="BN58" i="21"/>
  <c r="AY28" i="21"/>
  <c r="AZ28" i="21" s="1"/>
  <c r="AW58" i="21"/>
  <c r="BD58" i="21" s="1"/>
  <c r="BG58" i="21" s="1"/>
  <c r="BJ58" i="21" s="1"/>
  <c r="AY42" i="21"/>
  <c r="AZ42" i="21" s="1"/>
  <c r="AX59" i="21"/>
  <c r="BE59" i="21" s="1"/>
  <c r="BH59" i="21" s="1"/>
  <c r="BK59" i="21" s="1"/>
  <c r="AS29" i="21"/>
  <c r="AT29" i="21" s="1"/>
  <c r="AQ59" i="21"/>
  <c r="BC59" i="21" s="1"/>
  <c r="BF59" i="21" s="1"/>
  <c r="BI59" i="21" s="1"/>
  <c r="AS42" i="21"/>
  <c r="AT42" i="21" s="1"/>
  <c r="AR59" i="21"/>
  <c r="AS28" i="21"/>
  <c r="AT28" i="21" s="1"/>
  <c r="AQ58" i="21"/>
  <c r="BC58" i="21" s="1"/>
  <c r="BF58" i="21" s="1"/>
  <c r="BI58" i="21" s="1"/>
  <c r="H56" i="21"/>
  <c r="D56" i="21"/>
  <c r="G56" i="21"/>
  <c r="J56" i="21"/>
  <c r="F56" i="21"/>
  <c r="I56" i="21"/>
  <c r="E56" i="21"/>
  <c r="O57" i="21"/>
  <c r="R57" i="21"/>
  <c r="N57" i="21"/>
  <c r="Q57" i="21"/>
  <c r="M57" i="21"/>
  <c r="P57" i="21"/>
  <c r="L57" i="21"/>
  <c r="AN30" i="21"/>
  <c r="AP30" i="21" s="1"/>
  <c r="AV30" i="21" s="1"/>
  <c r="AW30" i="21" s="1" a="1"/>
  <c r="AW30" i="21" s="1"/>
  <c r="AG32" i="21" a="1"/>
  <c r="AG32" i="21" s="1"/>
  <c r="AH32" i="21" s="1"/>
  <c r="AJ32" i="21" s="1"/>
  <c r="AL32" i="21" s="1"/>
  <c r="AM32" i="21" s="1" a="1"/>
  <c r="AM32" i="21" s="1"/>
  <c r="B45" i="21"/>
  <c r="AG45" i="21" s="1" a="1"/>
  <c r="AG45" i="21" s="1"/>
  <c r="AH45" i="21" s="1"/>
  <c r="AJ45" i="21" s="1"/>
  <c r="AR43" i="21" a="1"/>
  <c r="AR43" i="21" s="1"/>
  <c r="AV43" i="21"/>
  <c r="AX43" i="21" s="1" a="1"/>
  <c r="AX43" i="21" s="1"/>
  <c r="AN44" i="21"/>
  <c r="AP44" i="21" s="1"/>
  <c r="AK31" i="21" a="1"/>
  <c r="AK31" i="21" s="1"/>
  <c r="AL31" i="21"/>
  <c r="AM31" i="21" s="1" a="1"/>
  <c r="AM31" i="21" s="1"/>
  <c r="AQ30" i="21" a="1"/>
  <c r="AQ30" i="21" s="1"/>
  <c r="AH19" i="13"/>
  <c r="AH32" i="13" s="1"/>
  <c r="AH15" i="13"/>
  <c r="AH28" i="13" s="1"/>
  <c r="AL28" i="13"/>
  <c r="AH60" i="19"/>
  <c r="AD60" i="19"/>
  <c r="Z60" i="19"/>
  <c r="V60" i="19"/>
  <c r="AG60" i="19"/>
  <c r="AC60" i="19"/>
  <c r="Y60" i="19"/>
  <c r="U60" i="19"/>
  <c r="S61" i="19"/>
  <c r="AF60" i="19"/>
  <c r="AB60" i="19"/>
  <c r="X60" i="19"/>
  <c r="T60" i="19"/>
  <c r="W60" i="19"/>
  <c r="AA60" i="19"/>
  <c r="AI60" i="19"/>
  <c r="AE60" i="19"/>
  <c r="AH44" i="19"/>
  <c r="AD44" i="19"/>
  <c r="Z44" i="19"/>
  <c r="V44" i="19"/>
  <c r="AG44" i="19"/>
  <c r="AC44" i="19"/>
  <c r="Y44" i="19"/>
  <c r="U44" i="19"/>
  <c r="S45" i="19"/>
  <c r="AF44" i="19"/>
  <c r="AB44" i="19"/>
  <c r="X44" i="19"/>
  <c r="T44" i="19"/>
  <c r="W44" i="19"/>
  <c r="AI44" i="19"/>
  <c r="AA44" i="19"/>
  <c r="AE44" i="19"/>
  <c r="AH91" i="19"/>
  <c r="AD91" i="19"/>
  <c r="Z91" i="19"/>
  <c r="V91" i="19"/>
  <c r="AG91" i="19"/>
  <c r="AC91" i="19"/>
  <c r="Y91" i="19"/>
  <c r="U91" i="19"/>
  <c r="S92" i="19"/>
  <c r="AF91" i="19"/>
  <c r="AB91" i="19"/>
  <c r="X91" i="19"/>
  <c r="T91" i="19"/>
  <c r="W91" i="19"/>
  <c r="AI91" i="19"/>
  <c r="AE91" i="19"/>
  <c r="AA91" i="19"/>
  <c r="AH107" i="19"/>
  <c r="AD107" i="19"/>
  <c r="Z107" i="19"/>
  <c r="V107" i="19"/>
  <c r="AG107" i="19"/>
  <c r="AC107" i="19"/>
  <c r="Y107" i="19"/>
  <c r="U107" i="19"/>
  <c r="S108" i="19"/>
  <c r="AB107" i="19"/>
  <c r="T107" i="19"/>
  <c r="AI107" i="19"/>
  <c r="AA107" i="19"/>
  <c r="AF107" i="19"/>
  <c r="X107" i="19"/>
  <c r="W107" i="19"/>
  <c r="AE107" i="19"/>
  <c r="AH30" i="19"/>
  <c r="AD30" i="19"/>
  <c r="Z30" i="19"/>
  <c r="V30" i="19"/>
  <c r="AI30" i="19"/>
  <c r="W30" i="19"/>
  <c r="AG30" i="19"/>
  <c r="AC30" i="19"/>
  <c r="Y30" i="19"/>
  <c r="U30" i="19"/>
  <c r="AA30" i="19"/>
  <c r="S31" i="19"/>
  <c r="AF30" i="19"/>
  <c r="AB30" i="19"/>
  <c r="X30" i="19"/>
  <c r="T30" i="19"/>
  <c r="AE30" i="19"/>
  <c r="AG76" i="19"/>
  <c r="AC76" i="19"/>
  <c r="Y76" i="19"/>
  <c r="U76" i="19"/>
  <c r="S77" i="19"/>
  <c r="AF76" i="19"/>
  <c r="AB76" i="19"/>
  <c r="X76" i="19"/>
  <c r="T76" i="19"/>
  <c r="AI76" i="19"/>
  <c r="AE76" i="19"/>
  <c r="AA76" i="19"/>
  <c r="W76" i="19"/>
  <c r="V76" i="19"/>
  <c r="AH76" i="19"/>
  <c r="AD76" i="19"/>
  <c r="Z76" i="19"/>
  <c r="M1" i="19"/>
  <c r="L2" i="19"/>
  <c r="AI18" i="13"/>
  <c r="AN15" i="13"/>
  <c r="AN28" i="13" s="1"/>
  <c r="AI13" i="13"/>
  <c r="AI17" i="13"/>
  <c r="AI14" i="13"/>
  <c r="AM13" i="13"/>
  <c r="AL26" i="13"/>
  <c r="AK16" i="13" a="1"/>
  <c r="AK16" i="13" s="1"/>
  <c r="AL16" i="13" s="1"/>
  <c r="AJ29" i="13"/>
  <c r="AK29" i="13" s="1" a="1"/>
  <c r="AK29" i="13" s="1"/>
  <c r="AH31" i="13"/>
  <c r="AM28" i="13"/>
  <c r="AH26" i="13"/>
  <c r="AH16" i="13"/>
  <c r="AG29" i="13"/>
  <c r="AM19" i="13"/>
  <c r="AL32" i="13"/>
  <c r="AH30" i="13"/>
  <c r="AH27" i="13"/>
  <c r="K145" i="9" a="1"/>
  <c r="K145" i="9" s="1"/>
  <c r="K144" i="9" a="1"/>
  <c r="K144" i="9" s="1"/>
  <c r="K141" i="9" a="1"/>
  <c r="K141" i="9" s="1"/>
  <c r="K140" i="9" a="1"/>
  <c r="K140" i="9" s="1"/>
  <c r="K139" i="9" a="1"/>
  <c r="K139" i="9" s="1"/>
  <c r="K127" i="9" a="1"/>
  <c r="K127" i="9" s="1"/>
  <c r="K126" i="9" a="1"/>
  <c r="K126" i="9" s="1"/>
  <c r="K132" i="9" a="1"/>
  <c r="K132" i="9" s="1"/>
  <c r="K131" i="9" a="1"/>
  <c r="K131" i="9" s="1"/>
  <c r="K130" i="9" a="1"/>
  <c r="K130" i="9" s="1"/>
  <c r="K115" i="9" a="1"/>
  <c r="K115" i="9" s="1"/>
  <c r="K114" i="9" a="1"/>
  <c r="K114" i="9" s="1"/>
  <c r="K118" i="9" a="1"/>
  <c r="K118" i="9" s="1"/>
  <c r="K113" i="9" a="1"/>
  <c r="K113" i="9" s="1"/>
  <c r="K93" i="9" a="1"/>
  <c r="K93" i="9" s="1"/>
  <c r="K92" i="9" a="1"/>
  <c r="K92" i="9" s="1"/>
  <c r="K91" i="9" a="1"/>
  <c r="K91" i="9" s="1"/>
  <c r="K90" i="9" a="1"/>
  <c r="K90" i="9" s="1"/>
  <c r="K89" i="9" a="1"/>
  <c r="K89" i="9" s="1"/>
  <c r="K88" i="9" a="1"/>
  <c r="K88" i="9" s="1"/>
  <c r="K129" i="9" a="1"/>
  <c r="K129" i="9" s="1"/>
  <c r="K119" i="9" a="1"/>
  <c r="K119" i="9" s="1"/>
  <c r="K117" i="9" a="1"/>
  <c r="K117" i="9" s="1"/>
  <c r="K87" i="9" a="1"/>
  <c r="K87" i="9" s="1"/>
  <c r="K143" i="9" a="1"/>
  <c r="K143" i="9" s="1"/>
  <c r="K128" i="9" a="1"/>
  <c r="K128" i="9" s="1"/>
  <c r="K100" i="9" a="1"/>
  <c r="K100" i="9" s="1"/>
  <c r="K67" i="9" a="1"/>
  <c r="K67" i="9" s="1"/>
  <c r="K66" i="9" a="1"/>
  <c r="K66" i="9" s="1"/>
  <c r="K65" i="9" a="1"/>
  <c r="K65" i="9" s="1"/>
  <c r="K64" i="9" a="1"/>
  <c r="K64" i="9" s="1"/>
  <c r="K63" i="9" a="1"/>
  <c r="K63" i="9" s="1"/>
  <c r="K116" i="9" a="1"/>
  <c r="K116" i="9" s="1"/>
  <c r="K103" i="9" a="1"/>
  <c r="K103" i="9" s="1"/>
  <c r="K62" i="9" a="1"/>
  <c r="K62" i="9" s="1"/>
  <c r="K61" i="9" a="1"/>
  <c r="K61" i="9" s="1"/>
  <c r="K102" i="9" a="1"/>
  <c r="K102" i="9" s="1"/>
  <c r="K106" i="9" a="1"/>
  <c r="K106" i="9" s="1"/>
  <c r="K75" i="9" a="1"/>
  <c r="K75" i="9" s="1"/>
  <c r="K74" i="9" a="1"/>
  <c r="K74" i="9" s="1"/>
  <c r="K142" i="9" a="1"/>
  <c r="K142" i="9" s="1"/>
  <c r="K104" i="9" a="1"/>
  <c r="K104" i="9" s="1"/>
  <c r="K80" i="9" a="1"/>
  <c r="K80" i="9" s="1"/>
  <c r="K79" i="9" a="1"/>
  <c r="K79" i="9" s="1"/>
  <c r="K78" i="9" a="1"/>
  <c r="K78" i="9" s="1"/>
  <c r="K77" i="9" a="1"/>
  <c r="K77" i="9" s="1"/>
  <c r="K54" i="9" a="1"/>
  <c r="K54" i="9" s="1"/>
  <c r="K53" i="9" a="1"/>
  <c r="K53" i="9" s="1"/>
  <c r="K52" i="9" a="1"/>
  <c r="K52" i="9" s="1"/>
  <c r="K51" i="9" a="1"/>
  <c r="K51" i="9" s="1"/>
  <c r="K50" i="9" a="1"/>
  <c r="K50" i="9" s="1"/>
  <c r="K49" i="9" a="1"/>
  <c r="K49" i="9" s="1"/>
  <c r="K48" i="9" a="1"/>
  <c r="K48" i="9" s="1"/>
  <c r="K39" i="9" a="1"/>
  <c r="K39" i="9" s="1"/>
  <c r="K35" i="9" a="1"/>
  <c r="K35" i="9" s="1"/>
  <c r="K15" i="9" a="1"/>
  <c r="K15" i="9" s="1"/>
  <c r="K14" i="9" a="1"/>
  <c r="K14" i="9" s="1"/>
  <c r="K13" i="9" a="1"/>
  <c r="K13" i="9" s="1"/>
  <c r="K12" i="9" a="1"/>
  <c r="K12" i="9" s="1"/>
  <c r="K11" i="9" a="1"/>
  <c r="K11" i="9" s="1"/>
  <c r="K10" i="9" a="1"/>
  <c r="K10" i="9" s="1"/>
  <c r="K9" i="9" a="1"/>
  <c r="K9" i="9" s="1"/>
  <c r="K105" i="9" a="1"/>
  <c r="K105" i="9" s="1"/>
  <c r="K38" i="9" a="1"/>
  <c r="K38" i="9" s="1"/>
  <c r="K76" i="9" a="1"/>
  <c r="K76" i="9" s="1"/>
  <c r="K41" i="9" a="1"/>
  <c r="K41" i="9" s="1"/>
  <c r="K37" i="9" a="1"/>
  <c r="K37" i="9" s="1"/>
  <c r="K28" i="9" a="1"/>
  <c r="K28" i="9" s="1"/>
  <c r="K24" i="9" a="1"/>
  <c r="K24" i="9" s="1"/>
  <c r="K25" i="9" a="1"/>
  <c r="K25" i="9" s="1"/>
  <c r="K40" i="9" a="1"/>
  <c r="K40" i="9" s="1"/>
  <c r="K36" i="9" a="1"/>
  <c r="K36" i="9" s="1"/>
  <c r="K27" i="9" a="1"/>
  <c r="K27" i="9" s="1"/>
  <c r="K23" i="9" a="1"/>
  <c r="K23" i="9" s="1"/>
  <c r="K101" i="9" a="1"/>
  <c r="K101" i="9" s="1"/>
  <c r="K26" i="9" a="1"/>
  <c r="K26" i="9" s="1"/>
  <c r="K22" i="9" a="1"/>
  <c r="K22" i="9" s="1"/>
  <c r="I108" i="14" a="1"/>
  <c r="I108" i="14" s="1"/>
  <c r="O60" i="14" a="1"/>
  <c r="O60" i="14" s="1"/>
  <c r="F60" i="14" a="1"/>
  <c r="F60" i="14" s="1"/>
  <c r="O12" i="14" a="1"/>
  <c r="O12" i="14" s="1"/>
  <c r="O76" i="14" a="1"/>
  <c r="O76" i="14" s="1"/>
  <c r="R28" i="14" a="1"/>
  <c r="R28" i="14" s="1"/>
  <c r="R92" i="14" a="1"/>
  <c r="R92" i="14" s="1"/>
  <c r="F44" i="14" a="1"/>
  <c r="F44" i="14" s="1"/>
  <c r="F124" i="14" a="1"/>
  <c r="F124" i="14" s="1"/>
  <c r="U12" i="14" a="1"/>
  <c r="U12" i="14" s="1"/>
  <c r="X12" i="14" a="1"/>
  <c r="X12" i="14" s="1"/>
  <c r="L76" i="14" a="1"/>
  <c r="L76" i="14" s="1"/>
  <c r="F12" i="14" a="1"/>
  <c r="F12" i="14" s="1"/>
  <c r="F76" i="14" a="1"/>
  <c r="F76" i="14" s="1"/>
  <c r="I12" i="14" a="1"/>
  <c r="I12" i="14" s="1"/>
  <c r="I76" i="14" a="1"/>
  <c r="I76" i="14" s="1"/>
  <c r="L60" i="14" a="1"/>
  <c r="L60" i="14" s="1"/>
  <c r="O28" i="14" a="1"/>
  <c r="O28" i="14" s="1"/>
  <c r="O92" i="14" a="1"/>
  <c r="O92" i="14" s="1"/>
  <c r="R44" i="14" a="1"/>
  <c r="R44" i="14" s="1"/>
  <c r="R108" i="14" a="1"/>
  <c r="R108" i="14" s="1"/>
  <c r="U28" i="14" a="1"/>
  <c r="U28" i="14" s="1"/>
  <c r="U92" i="14" a="1"/>
  <c r="U92" i="14" s="1"/>
  <c r="X28" i="14" a="1"/>
  <c r="X28" i="14" s="1"/>
  <c r="X92" i="14" a="1"/>
  <c r="X92" i="14" s="1"/>
  <c r="L1" i="12"/>
  <c r="K114" i="12"/>
  <c r="W125" i="14" s="1" a="1"/>
  <c r="W125" i="14" s="1"/>
  <c r="K112" i="12"/>
  <c r="W93" i="14" s="1" a="1"/>
  <c r="W93" i="14" s="1"/>
  <c r="K110" i="12"/>
  <c r="W61" i="14" s="1" a="1"/>
  <c r="W61" i="14" s="1"/>
  <c r="K108" i="12"/>
  <c r="W29" i="14" s="1" a="1"/>
  <c r="W29" i="14" s="1"/>
  <c r="K106" i="12"/>
  <c r="V125" i="14" s="1" a="1"/>
  <c r="V125" i="14" s="1"/>
  <c r="K104" i="12"/>
  <c r="V93" i="14" s="1" a="1"/>
  <c r="V93" i="14" s="1"/>
  <c r="K102" i="12"/>
  <c r="V61" i="14" s="1" a="1"/>
  <c r="V61" i="14" s="1"/>
  <c r="K98" i="12"/>
  <c r="T125" i="14" s="1" a="1"/>
  <c r="T125" i="14" s="1"/>
  <c r="K94" i="12"/>
  <c r="T61" i="14" s="1" a="1"/>
  <c r="T61" i="14" s="1"/>
  <c r="K90" i="12"/>
  <c r="S125" i="14" s="1" a="1"/>
  <c r="S125" i="14" s="1"/>
  <c r="K86" i="12"/>
  <c r="S61" i="14" s="1" a="1"/>
  <c r="S61" i="14" s="1"/>
  <c r="K101" i="12"/>
  <c r="V45" i="14" s="1" a="1"/>
  <c r="V45" i="14" s="1"/>
  <c r="K97" i="12"/>
  <c r="T109" i="14" s="1" a="1"/>
  <c r="T109" i="14" s="1"/>
  <c r="K93" i="12"/>
  <c r="T45" i="14" s="1" a="1"/>
  <c r="T45" i="14" s="1"/>
  <c r="K89" i="12"/>
  <c r="S109" i="14" s="1" a="1"/>
  <c r="S109" i="14" s="1"/>
  <c r="K85" i="12"/>
  <c r="S45" i="14" s="1" a="1"/>
  <c r="S45" i="14" s="1"/>
  <c r="K2" i="12"/>
  <c r="K113" i="12"/>
  <c r="W109" i="14" s="1" a="1"/>
  <c r="W109" i="14" s="1"/>
  <c r="K111" i="12"/>
  <c r="W77" i="14" s="1" a="1"/>
  <c r="W77" i="14" s="1"/>
  <c r="K109" i="12"/>
  <c r="W45" i="14" s="1" a="1"/>
  <c r="W45" i="14" s="1"/>
  <c r="X45" i="14" s="1" a="1"/>
  <c r="X45" i="14" s="1"/>
  <c r="K107" i="12"/>
  <c r="W13" i="14" s="1" a="1"/>
  <c r="W13" i="14" s="1"/>
  <c r="K105" i="12"/>
  <c r="V109" i="14" s="1" a="1"/>
  <c r="V109" i="14" s="1"/>
  <c r="K103" i="12"/>
  <c r="V77" i="14" s="1" a="1"/>
  <c r="V77" i="14" s="1"/>
  <c r="K100" i="12"/>
  <c r="V29" i="14" s="1" a="1"/>
  <c r="V29" i="14" s="1"/>
  <c r="K96" i="12"/>
  <c r="T93" i="14" s="1" a="1"/>
  <c r="T93" i="14" s="1"/>
  <c r="K92" i="12"/>
  <c r="T29" i="14" s="1" a="1"/>
  <c r="T29" i="14" s="1"/>
  <c r="K88" i="12"/>
  <c r="S93" i="14" s="1" a="1"/>
  <c r="S93" i="14" s="1"/>
  <c r="K84" i="12"/>
  <c r="S29" i="14" s="1" a="1"/>
  <c r="S29" i="14" s="1"/>
  <c r="K82" i="12"/>
  <c r="Q125" i="14" s="1" a="1"/>
  <c r="Q125" i="14" s="1"/>
  <c r="K81" i="12"/>
  <c r="Q109" i="14" s="1" a="1"/>
  <c r="Q109" i="14" s="1"/>
  <c r="K80" i="12"/>
  <c r="Q93" i="14" s="1" a="1"/>
  <c r="Q93" i="14" s="1"/>
  <c r="K79" i="12"/>
  <c r="Q77" i="14" s="1" a="1"/>
  <c r="Q77" i="14" s="1"/>
  <c r="K78" i="12"/>
  <c r="Q61" i="14" s="1" a="1"/>
  <c r="Q61" i="14" s="1"/>
  <c r="K77" i="12"/>
  <c r="Q45" i="14" s="1" a="1"/>
  <c r="Q45" i="14" s="1"/>
  <c r="K76" i="12"/>
  <c r="Q29" i="14" s="1" a="1"/>
  <c r="Q29" i="14" s="1"/>
  <c r="K75" i="12"/>
  <c r="Q13" i="14" s="1" a="1"/>
  <c r="Q13" i="14" s="1"/>
  <c r="K74" i="12"/>
  <c r="P125" i="14" s="1" a="1"/>
  <c r="P125" i="14" s="1"/>
  <c r="K99" i="12"/>
  <c r="V13" i="14" s="1" a="1"/>
  <c r="V13" i="14" s="1"/>
  <c r="K95" i="12"/>
  <c r="T77" i="14" s="1" a="1"/>
  <c r="T77" i="14" s="1"/>
  <c r="K91" i="12"/>
  <c r="T13" i="14" s="1" a="1"/>
  <c r="T13" i="14" s="1"/>
  <c r="K87" i="12"/>
  <c r="S77" i="14" s="1" a="1"/>
  <c r="S77" i="14" s="1"/>
  <c r="K83" i="12"/>
  <c r="S13" i="14" s="1" a="1"/>
  <c r="S13" i="14" s="1"/>
  <c r="K62" i="12"/>
  <c r="N61" i="14" s="1" a="1"/>
  <c r="N61" i="14" s="1"/>
  <c r="K58" i="12"/>
  <c r="M125" i="14" s="1" a="1"/>
  <c r="M125" i="14" s="1"/>
  <c r="K60" i="12"/>
  <c r="N29" i="14" s="1" a="1"/>
  <c r="N29" i="14" s="1"/>
  <c r="K56" i="12"/>
  <c r="M93" i="14" s="1" a="1"/>
  <c r="M93" i="14" s="1"/>
  <c r="K54" i="12"/>
  <c r="M61" i="14" s="1" a="1"/>
  <c r="M61" i="14" s="1"/>
  <c r="K52" i="12"/>
  <c r="M29" i="14" s="1" a="1"/>
  <c r="M29" i="14" s="1"/>
  <c r="K50" i="12"/>
  <c r="K125" i="14" s="1" a="1"/>
  <c r="K125" i="14" s="1"/>
  <c r="K48" i="12"/>
  <c r="K93" i="14" s="1" a="1"/>
  <c r="K93" i="14" s="1"/>
  <c r="K46" i="12"/>
  <c r="K61" i="14" s="1" a="1"/>
  <c r="K61" i="14" s="1"/>
  <c r="K44" i="12"/>
  <c r="K29" i="14" s="1" a="1"/>
  <c r="K29" i="14" s="1"/>
  <c r="K42" i="12"/>
  <c r="J125" i="14" s="1" a="1"/>
  <c r="J125" i="14" s="1"/>
  <c r="L125" i="14" s="1" a="1"/>
  <c r="L125" i="14" s="1"/>
  <c r="K73" i="12"/>
  <c r="P109" i="14" s="1" a="1"/>
  <c r="P109" i="14" s="1"/>
  <c r="K70" i="12"/>
  <c r="P61" i="14" s="1" a="1"/>
  <c r="P61" i="14" s="1"/>
  <c r="K69" i="12"/>
  <c r="P45" i="14" s="1" a="1"/>
  <c r="P45" i="14" s="1"/>
  <c r="K66" i="12"/>
  <c r="N125" i="14" s="1" a="1"/>
  <c r="N125" i="14" s="1"/>
  <c r="K65" i="12"/>
  <c r="N109" i="14" s="1" a="1"/>
  <c r="N109" i="14" s="1"/>
  <c r="K61" i="12"/>
  <c r="N45" i="14" s="1" a="1"/>
  <c r="N45" i="14" s="1"/>
  <c r="K57" i="12"/>
  <c r="M109" i="14" s="1" a="1"/>
  <c r="M109" i="14" s="1"/>
  <c r="K55" i="12"/>
  <c r="M77" i="14" s="1" a="1"/>
  <c r="M77" i="14" s="1"/>
  <c r="K53" i="12"/>
  <c r="M45" i="14" s="1" a="1"/>
  <c r="M45" i="14" s="1"/>
  <c r="K51" i="12"/>
  <c r="M13" i="14" s="1" a="1"/>
  <c r="M13" i="14" s="1"/>
  <c r="K49" i="12"/>
  <c r="K109" i="14" s="1" a="1"/>
  <c r="K109" i="14" s="1"/>
  <c r="K47" i="12"/>
  <c r="K77" i="14" s="1" a="1"/>
  <c r="K77" i="14" s="1"/>
  <c r="K45" i="12"/>
  <c r="K45" i="14" s="1" a="1"/>
  <c r="K45" i="14" s="1"/>
  <c r="K43" i="12"/>
  <c r="K13" i="14" s="1" a="1"/>
  <c r="K13" i="14" s="1"/>
  <c r="K41" i="12"/>
  <c r="J109" i="14" s="1" a="1"/>
  <c r="J109" i="14" s="1"/>
  <c r="K39" i="12"/>
  <c r="J77" i="14" s="1" a="1"/>
  <c r="J77" i="14" s="1"/>
  <c r="K37" i="12"/>
  <c r="J45" i="14" s="1" a="1"/>
  <c r="J45" i="14" s="1"/>
  <c r="K35" i="12"/>
  <c r="J13" i="14" s="1" a="1"/>
  <c r="J13" i="14" s="1"/>
  <c r="K33" i="12"/>
  <c r="H109" i="14" s="1" a="1"/>
  <c r="H109" i="14" s="1"/>
  <c r="K72" i="12"/>
  <c r="P93" i="14" s="1" a="1"/>
  <c r="P93" i="14" s="1"/>
  <c r="K71" i="12"/>
  <c r="P77" i="14" s="1" a="1"/>
  <c r="P77" i="14" s="1"/>
  <c r="K68" i="12"/>
  <c r="P29" i="14" s="1" a="1"/>
  <c r="P29" i="14" s="1"/>
  <c r="K67" i="12"/>
  <c r="P13" i="14" s="1" a="1"/>
  <c r="P13" i="14" s="1"/>
  <c r="K64" i="12"/>
  <c r="N93" i="14" s="1" a="1"/>
  <c r="N93" i="14" s="1"/>
  <c r="K63" i="12"/>
  <c r="N77" i="14" s="1" a="1"/>
  <c r="N77" i="14" s="1"/>
  <c r="K59" i="12"/>
  <c r="N13" i="14" s="1" a="1"/>
  <c r="N13" i="14" s="1"/>
  <c r="O13" i="14" s="1" a="1"/>
  <c r="O13" i="14" s="1"/>
  <c r="K40" i="12"/>
  <c r="J93" i="14" s="1" a="1"/>
  <c r="J93" i="14" s="1"/>
  <c r="K32" i="12"/>
  <c r="H93" i="14" s="1" a="1"/>
  <c r="H93" i="14" s="1"/>
  <c r="K31" i="12"/>
  <c r="H77" i="14" s="1" a="1"/>
  <c r="H77" i="14" s="1"/>
  <c r="K30" i="12"/>
  <c r="H61" i="14" s="1" a="1"/>
  <c r="H61" i="14" s="1"/>
  <c r="K29" i="12"/>
  <c r="H45" i="14" s="1" a="1"/>
  <c r="H45" i="14" s="1"/>
  <c r="K27" i="12"/>
  <c r="H13" i="14" s="1" a="1"/>
  <c r="H13" i="14" s="1"/>
  <c r="K23" i="12"/>
  <c r="G77" i="14" s="1" a="1"/>
  <c r="G77" i="14" s="1"/>
  <c r="K19" i="12"/>
  <c r="G13" i="14" s="1" a="1"/>
  <c r="G13" i="14" s="1"/>
  <c r="K15" i="12"/>
  <c r="E77" i="14" s="1" a="1"/>
  <c r="E77" i="14" s="1"/>
  <c r="K11" i="12"/>
  <c r="E13" i="14" s="1" a="1"/>
  <c r="E13" i="14" s="1"/>
  <c r="K34" i="12"/>
  <c r="H125" i="14" s="1" a="1"/>
  <c r="H125" i="14" s="1"/>
  <c r="K28" i="12"/>
  <c r="H29" i="14" s="1" a="1"/>
  <c r="H29" i="14" s="1"/>
  <c r="K24" i="12"/>
  <c r="G93" i="14" s="1" a="1"/>
  <c r="G93" i="14" s="1"/>
  <c r="K20" i="12"/>
  <c r="G29" i="14" s="1" a="1"/>
  <c r="G29" i="14" s="1"/>
  <c r="K16" i="12"/>
  <c r="E93" i="14" s="1" a="1"/>
  <c r="E93" i="14" s="1"/>
  <c r="K12" i="12"/>
  <c r="E29" i="14" s="1" a="1"/>
  <c r="E29" i="14" s="1"/>
  <c r="K8" i="12"/>
  <c r="D93" i="14" s="1" a="1"/>
  <c r="D93" i="14" s="1"/>
  <c r="K7" i="12"/>
  <c r="D77" i="14" s="1" a="1"/>
  <c r="D77" i="14" s="1"/>
  <c r="K6" i="12"/>
  <c r="D61" i="14" s="1" a="1"/>
  <c r="D61" i="14" s="1"/>
  <c r="K5" i="12"/>
  <c r="D45" i="14" s="1" a="1"/>
  <c r="D45" i="14" s="1"/>
  <c r="K4" i="12"/>
  <c r="D29" i="14" s="1" a="1"/>
  <c r="D29" i="14" s="1"/>
  <c r="K3" i="12"/>
  <c r="D13" i="14" s="1" a="1"/>
  <c r="D13" i="14" s="1"/>
  <c r="K38" i="12"/>
  <c r="J61" i="14" s="1" a="1"/>
  <c r="J61" i="14" s="1"/>
  <c r="K36" i="12"/>
  <c r="J29" i="14" s="1" a="1"/>
  <c r="J29" i="14" s="1"/>
  <c r="K25" i="12"/>
  <c r="G109" i="14" s="1" a="1"/>
  <c r="G109" i="14" s="1"/>
  <c r="K21" i="12"/>
  <c r="G45" i="14" s="1" a="1"/>
  <c r="G45" i="14" s="1"/>
  <c r="K17" i="12"/>
  <c r="E109" i="14" s="1" a="1"/>
  <c r="E109" i="14" s="1"/>
  <c r="K13" i="12"/>
  <c r="E45" i="14" s="1" a="1"/>
  <c r="E45" i="14" s="1"/>
  <c r="F45" i="14" s="1" a="1"/>
  <c r="F45" i="14" s="1"/>
  <c r="K9" i="12"/>
  <c r="D109" i="14" s="1" a="1"/>
  <c r="D109" i="14" s="1"/>
  <c r="K26" i="12"/>
  <c r="G125" i="14" s="1" a="1"/>
  <c r="G125" i="14" s="1"/>
  <c r="K22" i="12"/>
  <c r="G61" i="14" s="1" a="1"/>
  <c r="G61" i="14" s="1"/>
  <c r="K18" i="12"/>
  <c r="E125" i="14" s="1" a="1"/>
  <c r="E125" i="14" s="1"/>
  <c r="K14" i="12"/>
  <c r="E61" i="14" s="1" a="1"/>
  <c r="E61" i="14" s="1"/>
  <c r="D125" i="14" a="1"/>
  <c r="D125" i="14" s="1"/>
  <c r="L44" i="14" a="1"/>
  <c r="L44" i="14" s="1"/>
  <c r="X76" i="14" a="1"/>
  <c r="X76" i="14" s="1"/>
  <c r="L108" i="14" a="1"/>
  <c r="L108" i="14" s="1"/>
  <c r="F28" i="14" a="1"/>
  <c r="F28" i="14" s="1"/>
  <c r="F92" i="14" a="1"/>
  <c r="F92" i="14" s="1"/>
  <c r="I28" i="14" a="1"/>
  <c r="I28" i="14" s="1"/>
  <c r="I92" i="14" a="1"/>
  <c r="I92" i="14" s="1"/>
  <c r="L92" i="14" a="1"/>
  <c r="L92" i="14" s="1"/>
  <c r="O44" i="14" a="1"/>
  <c r="O44" i="14" s="1"/>
  <c r="O108" i="14" a="1"/>
  <c r="O108" i="14" s="1"/>
  <c r="R60" i="14" a="1"/>
  <c r="R60" i="14" s="1"/>
  <c r="R124" i="14" a="1"/>
  <c r="R124" i="14" s="1"/>
  <c r="U44" i="14" a="1"/>
  <c r="U44" i="14" s="1"/>
  <c r="U108" i="14" a="1"/>
  <c r="U108" i="14" s="1"/>
  <c r="X44" i="14" a="1"/>
  <c r="X44" i="14" s="1"/>
  <c r="X108" i="14" a="1"/>
  <c r="X108" i="14" s="1"/>
  <c r="L28" i="14" a="1"/>
  <c r="L28" i="14" s="1"/>
  <c r="U76" i="14" a="1"/>
  <c r="U76" i="14" s="1"/>
  <c r="L12" i="14" a="1"/>
  <c r="L12" i="14" s="1"/>
  <c r="F108" i="14" a="1"/>
  <c r="F108" i="14" s="1"/>
  <c r="I44" i="14" a="1"/>
  <c r="I44" i="14" s="1"/>
  <c r="I124" i="14" a="1"/>
  <c r="I124" i="14" s="1"/>
  <c r="L124" i="14" a="1"/>
  <c r="L124" i="14" s="1"/>
  <c r="O124" i="14" a="1"/>
  <c r="O124" i="14" s="1"/>
  <c r="R12" i="14" a="1"/>
  <c r="R12" i="14" s="1"/>
  <c r="R76" i="14" a="1"/>
  <c r="R76" i="14" s="1"/>
  <c r="U60" i="14" a="1"/>
  <c r="U60" i="14" s="1"/>
  <c r="U124" i="14" a="1"/>
  <c r="U124" i="14" s="1"/>
  <c r="X60" i="14" a="1"/>
  <c r="X60" i="14" s="1"/>
  <c r="X124" i="14" a="1"/>
  <c r="X124" i="14" s="1"/>
  <c r="H14" i="8"/>
  <c r="C16" i="8"/>
  <c r="G15" i="8"/>
  <c r="L1" i="9"/>
  <c r="K2" i="9"/>
  <c r="L2" i="7"/>
  <c r="K156" i="7"/>
  <c r="K155" i="7"/>
  <c r="B145" i="9" s="1" a="1"/>
  <c r="B145" i="9" s="1"/>
  <c r="K154" i="7"/>
  <c r="B144" i="9" s="1" a="1"/>
  <c r="B144" i="9" s="1"/>
  <c r="K153" i="7"/>
  <c r="B143" i="9" s="1" a="1"/>
  <c r="B143" i="9" s="1"/>
  <c r="K152" i="7"/>
  <c r="B142" i="9" s="1" a="1"/>
  <c r="B142" i="9" s="1"/>
  <c r="K151" i="7"/>
  <c r="B141" i="9" s="1" a="1"/>
  <c r="B141" i="9" s="1"/>
  <c r="K150" i="7"/>
  <c r="B140" i="9" s="1" a="1"/>
  <c r="B140" i="9" s="1"/>
  <c r="K149" i="7"/>
  <c r="K148" i="7"/>
  <c r="J138" i="9" s="1" a="1"/>
  <c r="J138" i="9" s="1"/>
  <c r="K147" i="7"/>
  <c r="J137" i="9" s="1" a="1"/>
  <c r="J137" i="9" s="1"/>
  <c r="K146" i="7"/>
  <c r="J136" i="9" s="1" a="1"/>
  <c r="J136" i="9" s="1"/>
  <c r="K145" i="7"/>
  <c r="J135" i="9" s="1" a="1"/>
  <c r="J135" i="9" s="1"/>
  <c r="K144" i="7"/>
  <c r="J134" i="9" s="1" a="1"/>
  <c r="J134" i="9" s="1"/>
  <c r="K143" i="7"/>
  <c r="J133" i="9" s="1" a="1"/>
  <c r="J133" i="9" s="1"/>
  <c r="K142" i="7"/>
  <c r="K141" i="7"/>
  <c r="B132" i="9" s="1" a="1"/>
  <c r="B132" i="9" s="1"/>
  <c r="K140" i="7"/>
  <c r="B131" i="9" s="1" a="1"/>
  <c r="B131" i="9" s="1"/>
  <c r="K139" i="7"/>
  <c r="B130" i="9" s="1" a="1"/>
  <c r="B130" i="9" s="1"/>
  <c r="K138" i="7"/>
  <c r="B129" i="9" s="1" a="1"/>
  <c r="B129" i="9" s="1"/>
  <c r="K137" i="7"/>
  <c r="B128" i="9" s="1" a="1"/>
  <c r="B128" i="9" s="1"/>
  <c r="K136" i="7"/>
  <c r="B127" i="9" s="1" a="1"/>
  <c r="B127" i="9" s="1"/>
  <c r="K135" i="7"/>
  <c r="K134" i="7"/>
  <c r="J125" i="9" s="1" a="1"/>
  <c r="J125" i="9" s="1"/>
  <c r="K133" i="7"/>
  <c r="J124" i="9" s="1" a="1"/>
  <c r="J124" i="9" s="1"/>
  <c r="K132" i="7"/>
  <c r="J123" i="9" s="1" a="1"/>
  <c r="J123" i="9" s="1"/>
  <c r="K131" i="7"/>
  <c r="J122" i="9" s="1" a="1"/>
  <c r="J122" i="9" s="1"/>
  <c r="K130" i="7"/>
  <c r="J121" i="9" s="1" a="1"/>
  <c r="J121" i="9" s="1"/>
  <c r="K129" i="7"/>
  <c r="J120" i="9" s="1" a="1"/>
  <c r="J120" i="9" s="1"/>
  <c r="K128" i="7"/>
  <c r="K127" i="7"/>
  <c r="B119" i="9" s="1" a="1"/>
  <c r="B119" i="9" s="1"/>
  <c r="K126" i="7"/>
  <c r="B118" i="9" s="1" a="1"/>
  <c r="B118" i="9" s="1"/>
  <c r="K125" i="7"/>
  <c r="B117" i="9" s="1" a="1"/>
  <c r="B117" i="9" s="1"/>
  <c r="K124" i="7"/>
  <c r="B116" i="9" s="1" a="1"/>
  <c r="B116" i="9" s="1"/>
  <c r="K123" i="7"/>
  <c r="B115" i="9" s="1" a="1"/>
  <c r="B115" i="9" s="1"/>
  <c r="K122" i="7"/>
  <c r="B114" i="9" s="1" a="1"/>
  <c r="B114" i="9" s="1"/>
  <c r="K121" i="7"/>
  <c r="K120" i="7"/>
  <c r="J112" i="9" s="1" a="1"/>
  <c r="J112" i="9" s="1"/>
  <c r="K119" i="7"/>
  <c r="J111" i="9" s="1" a="1"/>
  <c r="J111" i="9" s="1"/>
  <c r="K118" i="7"/>
  <c r="J110" i="9" s="1" a="1"/>
  <c r="J110" i="9" s="1"/>
  <c r="K117" i="7"/>
  <c r="J109" i="9" s="1" a="1"/>
  <c r="J109" i="9" s="1"/>
  <c r="K116" i="7"/>
  <c r="J108" i="9" s="1" a="1"/>
  <c r="J108" i="9" s="1"/>
  <c r="K115" i="7"/>
  <c r="J107" i="9" s="1" a="1"/>
  <c r="J107" i="9" s="1"/>
  <c r="K114" i="7"/>
  <c r="K113" i="7"/>
  <c r="B106" i="9" s="1" a="1"/>
  <c r="B106" i="9" s="1"/>
  <c r="K112" i="7"/>
  <c r="B105" i="9" s="1" a="1"/>
  <c r="B105" i="9" s="1"/>
  <c r="K111" i="7"/>
  <c r="B104" i="9" s="1" a="1"/>
  <c r="B104" i="9" s="1"/>
  <c r="K110" i="7"/>
  <c r="B103" i="9" s="1" a="1"/>
  <c r="B103" i="9" s="1"/>
  <c r="K109" i="7"/>
  <c r="B102" i="9" s="1" a="1"/>
  <c r="B102" i="9" s="1"/>
  <c r="K108" i="7"/>
  <c r="B101" i="9" s="1" a="1"/>
  <c r="B101" i="9" s="1"/>
  <c r="K107" i="7"/>
  <c r="K106" i="7"/>
  <c r="J99" i="9" s="1" a="1"/>
  <c r="J99" i="9" s="1"/>
  <c r="K105" i="7"/>
  <c r="J98" i="9" s="1" a="1"/>
  <c r="J98" i="9" s="1"/>
  <c r="K104" i="7"/>
  <c r="J97" i="9" s="1" a="1"/>
  <c r="J97" i="9" s="1"/>
  <c r="K103" i="7"/>
  <c r="J96" i="9" s="1" a="1"/>
  <c r="J96" i="9" s="1"/>
  <c r="K102" i="7"/>
  <c r="J95" i="9" s="1" a="1"/>
  <c r="J95" i="9" s="1"/>
  <c r="K101" i="7"/>
  <c r="J94" i="9" s="1" a="1"/>
  <c r="J94" i="9" s="1"/>
  <c r="K81" i="7"/>
  <c r="B76" i="9" s="1" a="1"/>
  <c r="B76" i="9" s="1"/>
  <c r="K80" i="7"/>
  <c r="B75" i="9" s="1" a="1"/>
  <c r="B75" i="9" s="1"/>
  <c r="K79" i="7"/>
  <c r="K78" i="7"/>
  <c r="J73" i="9" s="1" a="1"/>
  <c r="J73" i="9" s="1"/>
  <c r="K77" i="7"/>
  <c r="J72" i="9" s="1" a="1"/>
  <c r="J72" i="9" s="1"/>
  <c r="K76" i="7"/>
  <c r="J71" i="9" s="1" a="1"/>
  <c r="J71" i="9" s="1"/>
  <c r="K75" i="7"/>
  <c r="J70" i="9" s="1" a="1"/>
  <c r="J70" i="9" s="1"/>
  <c r="K74" i="7"/>
  <c r="J69" i="9" s="1" a="1"/>
  <c r="J69" i="9" s="1"/>
  <c r="K73" i="7"/>
  <c r="J68" i="9" s="1" a="1"/>
  <c r="J68" i="9" s="1"/>
  <c r="K72" i="7"/>
  <c r="K71" i="7"/>
  <c r="B67" i="9" s="1" a="1"/>
  <c r="B67" i="9" s="1"/>
  <c r="K70" i="7"/>
  <c r="B66" i="9" s="1" a="1"/>
  <c r="B66" i="9" s="1"/>
  <c r="K69" i="7"/>
  <c r="B65" i="9" s="1" a="1"/>
  <c r="B65" i="9" s="1"/>
  <c r="K68" i="7"/>
  <c r="B64" i="9" s="1" a="1"/>
  <c r="B64" i="9" s="1"/>
  <c r="K67" i="7"/>
  <c r="B63" i="9" s="1" a="1"/>
  <c r="B63" i="9" s="1"/>
  <c r="K66" i="7"/>
  <c r="B62" i="9" s="1" a="1"/>
  <c r="B62" i="9" s="1"/>
  <c r="K97" i="7"/>
  <c r="B91" i="9" s="1" a="1"/>
  <c r="B91" i="9" s="1"/>
  <c r="K93" i="7"/>
  <c r="K89" i="7"/>
  <c r="J83" i="9" s="1" a="1"/>
  <c r="J83" i="9" s="1"/>
  <c r="K85" i="7"/>
  <c r="B80" i="9" s="1" a="1"/>
  <c r="B80" i="9" s="1"/>
  <c r="K64" i="7"/>
  <c r="J60" i="9" s="1" a="1"/>
  <c r="J60" i="9" s="1"/>
  <c r="K62" i="7"/>
  <c r="J58" i="9" s="1" a="1"/>
  <c r="J58" i="9" s="1"/>
  <c r="K60" i="7"/>
  <c r="J56" i="9" s="1" a="1"/>
  <c r="J56" i="9" s="1"/>
  <c r="K58" i="7"/>
  <c r="K56" i="7"/>
  <c r="B53" i="9" s="1" a="1"/>
  <c r="B53" i="9" s="1"/>
  <c r="K54" i="7"/>
  <c r="B51" i="9" s="1" a="1"/>
  <c r="B51" i="9" s="1"/>
  <c r="K52" i="7"/>
  <c r="B49" i="9" s="1" a="1"/>
  <c r="B49" i="9" s="1"/>
  <c r="K50" i="7"/>
  <c r="J47" i="9" s="1" a="1"/>
  <c r="J47" i="9" s="1"/>
  <c r="K48" i="7"/>
  <c r="J45" i="9" s="1" a="1"/>
  <c r="J45" i="9" s="1"/>
  <c r="K46" i="7"/>
  <c r="J43" i="9" s="1" a="1"/>
  <c r="J43" i="9" s="1"/>
  <c r="K44" i="7"/>
  <c r="K42" i="7"/>
  <c r="B40" i="9" s="1" a="1"/>
  <c r="B40" i="9" s="1"/>
  <c r="K40" i="7"/>
  <c r="B38" i="9" s="1" a="1"/>
  <c r="B38" i="9" s="1"/>
  <c r="K98" i="7"/>
  <c r="B92" i="9" s="1" a="1"/>
  <c r="B92" i="9" s="1"/>
  <c r="K94" i="7"/>
  <c r="B88" i="9" s="1" a="1"/>
  <c r="B88" i="9" s="1"/>
  <c r="K90" i="7"/>
  <c r="J84" i="9" s="1" a="1"/>
  <c r="J84" i="9" s="1"/>
  <c r="K86" i="7"/>
  <c r="K82" i="7"/>
  <c r="B77" i="9" s="1" a="1"/>
  <c r="B77" i="9" s="1"/>
  <c r="K99" i="7"/>
  <c r="B93" i="9" s="1" a="1"/>
  <c r="B93" i="9" s="1"/>
  <c r="K95" i="7"/>
  <c r="B89" i="9" s="1" a="1"/>
  <c r="B89" i="9" s="1"/>
  <c r="K91" i="7"/>
  <c r="J85" i="9" s="1" a="1"/>
  <c r="J85" i="9" s="1"/>
  <c r="K87" i="7"/>
  <c r="J81" i="9" s="1" a="1"/>
  <c r="J81" i="9" s="1"/>
  <c r="K83" i="7"/>
  <c r="B78" i="9" s="1" a="1"/>
  <c r="B78" i="9" s="1"/>
  <c r="K65" i="7"/>
  <c r="K63" i="7"/>
  <c r="J59" i="9" s="1" a="1"/>
  <c r="J59" i="9" s="1"/>
  <c r="K61" i="7"/>
  <c r="J57" i="9" s="1" a="1"/>
  <c r="J57" i="9" s="1"/>
  <c r="K59" i="7"/>
  <c r="J55" i="9" s="1" a="1"/>
  <c r="J55" i="9" s="1"/>
  <c r="K57" i="7"/>
  <c r="B54" i="9" s="1" a="1"/>
  <c r="B54" i="9" s="1"/>
  <c r="K55" i="7"/>
  <c r="B52" i="9" s="1" a="1"/>
  <c r="B52" i="9" s="1"/>
  <c r="K53" i="7"/>
  <c r="B50" i="9" s="1" a="1"/>
  <c r="B50" i="9" s="1"/>
  <c r="K51" i="7"/>
  <c r="K49" i="7"/>
  <c r="J46" i="9" s="1" a="1"/>
  <c r="J46" i="9" s="1"/>
  <c r="K47" i="7"/>
  <c r="J44" i="9" s="1" a="1"/>
  <c r="J44" i="9" s="1"/>
  <c r="K45" i="7"/>
  <c r="J42" i="9" s="1" a="1"/>
  <c r="J42" i="9" s="1"/>
  <c r="K43" i="7"/>
  <c r="B41" i="9" s="1" a="1"/>
  <c r="B41" i="9" s="1"/>
  <c r="K41" i="7"/>
  <c r="B39" i="9" s="1" a="1"/>
  <c r="B39" i="9" s="1"/>
  <c r="K39" i="7"/>
  <c r="B37" i="9" s="1" a="1"/>
  <c r="B37" i="9" s="1"/>
  <c r="K35" i="7"/>
  <c r="J33" i="9" s="1" a="1"/>
  <c r="J33" i="9" s="1"/>
  <c r="K96" i="7"/>
  <c r="B90" i="9" s="1" a="1"/>
  <c r="B90" i="9" s="1"/>
  <c r="K88" i="7"/>
  <c r="J82" i="9" s="1" a="1"/>
  <c r="J82" i="9" s="1"/>
  <c r="K34" i="7"/>
  <c r="J32" i="9" s="1" a="1"/>
  <c r="J32" i="9" s="1"/>
  <c r="K100" i="7"/>
  <c r="K84" i="7"/>
  <c r="B79" i="9" s="1" a="1"/>
  <c r="B79" i="9" s="1"/>
  <c r="K33" i="7"/>
  <c r="J31" i="9" s="1" a="1"/>
  <c r="J31" i="9" s="1"/>
  <c r="K31" i="7"/>
  <c r="J29" i="9" s="1" a="1"/>
  <c r="J29" i="9" s="1"/>
  <c r="K27" i="7"/>
  <c r="B26" i="9" s="1" a="1"/>
  <c r="B26" i="9" s="1"/>
  <c r="K23" i="7"/>
  <c r="K37" i="7"/>
  <c r="K21" i="7"/>
  <c r="J20" i="9" s="1" a="1"/>
  <c r="J20" i="9" s="1"/>
  <c r="K18" i="7"/>
  <c r="J17" i="9" s="1" a="1"/>
  <c r="J17" i="9" s="1"/>
  <c r="K12" i="7"/>
  <c r="B12" i="9" s="1" a="1"/>
  <c r="B12" i="9" s="1"/>
  <c r="K6" i="7"/>
  <c r="J6" i="9" s="1" a="1"/>
  <c r="J6" i="9" s="1"/>
  <c r="K36" i="7"/>
  <c r="J34" i="9" s="1" a="1"/>
  <c r="J34" i="9" s="1"/>
  <c r="K30" i="7"/>
  <c r="K26" i="7"/>
  <c r="B25" i="9" s="1" a="1"/>
  <c r="B25" i="9" s="1"/>
  <c r="K22" i="7"/>
  <c r="J21" i="9" s="1" a="1"/>
  <c r="J21" i="9" s="1"/>
  <c r="K19" i="7"/>
  <c r="J18" i="9" s="1" a="1"/>
  <c r="J18" i="9" s="1"/>
  <c r="K17" i="7"/>
  <c r="J16" i="9" s="1" a="1"/>
  <c r="J16" i="9" s="1"/>
  <c r="K15" i="7"/>
  <c r="B15" i="9" s="1" a="1"/>
  <c r="B15" i="9" s="1"/>
  <c r="K13" i="7"/>
  <c r="B13" i="9" s="1" a="1"/>
  <c r="B13" i="9" s="1"/>
  <c r="K11" i="7"/>
  <c r="B11" i="9" s="1" a="1"/>
  <c r="B11" i="9" s="1"/>
  <c r="K9" i="7"/>
  <c r="K7" i="7"/>
  <c r="J7" i="9" s="1" a="1"/>
  <c r="J7" i="9" s="1"/>
  <c r="K5" i="7"/>
  <c r="J5" i="9" s="1" a="1"/>
  <c r="J5" i="9" s="1"/>
  <c r="K3" i="7"/>
  <c r="J3" i="9" s="1" a="1"/>
  <c r="J3" i="9" s="1"/>
  <c r="K92" i="7"/>
  <c r="J86" i="9" s="1" a="1"/>
  <c r="J86" i="9" s="1"/>
  <c r="K25" i="7"/>
  <c r="B24" i="9" s="1" a="1"/>
  <c r="B24" i="9" s="1"/>
  <c r="K32" i="7"/>
  <c r="J30" i="9" s="1" a="1"/>
  <c r="J30" i="9" s="1"/>
  <c r="K28" i="7"/>
  <c r="B27" i="9" s="1" a="1"/>
  <c r="B27" i="9" s="1"/>
  <c r="K24" i="7"/>
  <c r="B23" i="9" s="1" a="1"/>
  <c r="B23" i="9" s="1"/>
  <c r="K20" i="7"/>
  <c r="J19" i="9" s="1" a="1"/>
  <c r="J19" i="9" s="1"/>
  <c r="K14" i="7"/>
  <c r="B14" i="9" s="1" a="1"/>
  <c r="B14" i="9" s="1"/>
  <c r="K8" i="7"/>
  <c r="J8" i="9" s="1" a="1"/>
  <c r="J8" i="9" s="1"/>
  <c r="K29" i="7"/>
  <c r="B28" i="9" s="1" a="1"/>
  <c r="B28" i="9" s="1"/>
  <c r="K38" i="7"/>
  <c r="B36" i="9" s="1" a="1"/>
  <c r="B36" i="9" s="1"/>
  <c r="K16" i="7"/>
  <c r="K10" i="7"/>
  <c r="B10" i="9" s="1" a="1"/>
  <c r="B10" i="9" s="1"/>
  <c r="K4" i="7"/>
  <c r="J4" i="9" s="1" a="1"/>
  <c r="J4" i="9" s="1"/>
  <c r="AI19" i="13" a="1"/>
  <c r="AN13" i="13" a="1"/>
  <c r="AI15" i="13" a="1"/>
  <c r="AI16" i="13" a="1"/>
  <c r="AN19" i="13" a="1"/>
  <c r="AU42" i="21" a="1"/>
  <c r="BN59" i="21" a="1"/>
  <c r="BA42" i="21" a="1"/>
  <c r="AU29" i="21" a="1"/>
  <c r="BA29" i="21" a="1"/>
  <c r="BL59" i="21" a="1"/>
  <c r="BM58" i="21" a="1"/>
  <c r="AU28" i="21" a="1"/>
  <c r="BA28" i="21" a="1"/>
  <c r="BL58" i="21" a="1"/>
  <c r="D57" i="21" l="1"/>
  <c r="G57" i="21"/>
  <c r="F57" i="21"/>
  <c r="J57" i="21"/>
  <c r="E57" i="21"/>
  <c r="I57" i="21"/>
  <c r="N15" i="13"/>
  <c r="AM14" i="13"/>
  <c r="AL27" i="13"/>
  <c r="K15" i="13"/>
  <c r="AL30" i="13"/>
  <c r="AM17" i="13"/>
  <c r="AM18" i="13"/>
  <c r="AL31" i="13"/>
  <c r="AW59" i="21"/>
  <c r="BD59" i="21" s="1"/>
  <c r="BG59" i="21" s="1"/>
  <c r="BJ59" i="21" s="1"/>
  <c r="AK32" i="21" a="1"/>
  <c r="AK32" i="21" s="1"/>
  <c r="AN32" i="21" s="1"/>
  <c r="AP32" i="21" s="1"/>
  <c r="AU42" i="21"/>
  <c r="BA28" i="21"/>
  <c r="BL58" i="21"/>
  <c r="BL59" i="21"/>
  <c r="BA29" i="21"/>
  <c r="AU28" i="21"/>
  <c r="AU29" i="21"/>
  <c r="BN59" i="21"/>
  <c r="BM58" i="21"/>
  <c r="BA42" i="21"/>
  <c r="AY43" i="21"/>
  <c r="AZ43" i="21" s="1"/>
  <c r="AX60" i="21"/>
  <c r="BE60" i="21" s="1"/>
  <c r="BH60" i="21" s="1"/>
  <c r="BK60" i="21" s="1"/>
  <c r="AS43" i="21"/>
  <c r="AT43" i="21" s="1"/>
  <c r="AR60" i="21"/>
  <c r="Z58" i="21"/>
  <c r="V58" i="21"/>
  <c r="Y58" i="21"/>
  <c r="U58" i="21"/>
  <c r="X58" i="21"/>
  <c r="T58" i="21"/>
  <c r="W58" i="21"/>
  <c r="AY30" i="21"/>
  <c r="AZ30" i="21" s="1"/>
  <c r="AW60" i="21"/>
  <c r="AS30" i="21"/>
  <c r="AT30" i="21" s="1"/>
  <c r="AQ60" i="21"/>
  <c r="BC60" i="21" s="1"/>
  <c r="BF60" i="21" s="1"/>
  <c r="BI60" i="21" s="1"/>
  <c r="AK45" i="21" a="1"/>
  <c r="AK45" i="21" s="1"/>
  <c r="AL45" i="21"/>
  <c r="AM45" i="21" s="1" a="1"/>
  <c r="AM45" i="21" s="1"/>
  <c r="AN31" i="21"/>
  <c r="AP31" i="21" s="1"/>
  <c r="AQ31" i="21" s="1" a="1"/>
  <c r="AQ31" i="21" s="1"/>
  <c r="AV44" i="21"/>
  <c r="AX44" i="21" s="1" a="1"/>
  <c r="AX44" i="21" s="1"/>
  <c r="AR44" i="21" a="1"/>
  <c r="AR44" i="21" s="1"/>
  <c r="AI15" i="13"/>
  <c r="H15" i="13" s="1"/>
  <c r="AI19" i="13"/>
  <c r="I19" i="13" s="1"/>
  <c r="AG31" i="19"/>
  <c r="AC31" i="19"/>
  <c r="Y31" i="19"/>
  <c r="U31" i="19"/>
  <c r="AD31" i="19"/>
  <c r="S32" i="19"/>
  <c r="AF31" i="19"/>
  <c r="AB31" i="19"/>
  <c r="X31" i="19"/>
  <c r="T31" i="19"/>
  <c r="AH31" i="19"/>
  <c r="V31" i="19"/>
  <c r="AI31" i="19"/>
  <c r="AE31" i="19"/>
  <c r="AA31" i="19"/>
  <c r="W31" i="19"/>
  <c r="Z31" i="19"/>
  <c r="AG108" i="19"/>
  <c r="AC108" i="19"/>
  <c r="Y108" i="19"/>
  <c r="U108" i="19"/>
  <c r="S109" i="19"/>
  <c r="AF108" i="19"/>
  <c r="AB108" i="19"/>
  <c r="X108" i="19"/>
  <c r="T108" i="19"/>
  <c r="AI108" i="19"/>
  <c r="AA108" i="19"/>
  <c r="AH108" i="19"/>
  <c r="Z108" i="19"/>
  <c r="AE108" i="19"/>
  <c r="W108" i="19"/>
  <c r="AD108" i="19"/>
  <c r="V108" i="19"/>
  <c r="AG92" i="19"/>
  <c r="AC92" i="19"/>
  <c r="Y92" i="19"/>
  <c r="U92" i="19"/>
  <c r="S93" i="19"/>
  <c r="AF92" i="19"/>
  <c r="AB92" i="19"/>
  <c r="X92" i="19"/>
  <c r="T92" i="19"/>
  <c r="AI92" i="19"/>
  <c r="AE92" i="19"/>
  <c r="AA92" i="19"/>
  <c r="W92" i="19"/>
  <c r="V92" i="19"/>
  <c r="AH92" i="19"/>
  <c r="AD92" i="19"/>
  <c r="Z92" i="19"/>
  <c r="S78" i="19"/>
  <c r="AF77" i="19"/>
  <c r="AB77" i="19"/>
  <c r="X77" i="19"/>
  <c r="T77" i="19"/>
  <c r="AI77" i="19"/>
  <c r="AE77" i="19"/>
  <c r="AA77" i="19"/>
  <c r="W77" i="19"/>
  <c r="AH77" i="19"/>
  <c r="AD77" i="19"/>
  <c r="Z77" i="19"/>
  <c r="V77" i="19"/>
  <c r="U77" i="19"/>
  <c r="AG77" i="19"/>
  <c r="AC77" i="19"/>
  <c r="Y77" i="19"/>
  <c r="AG45" i="19"/>
  <c r="AC45" i="19"/>
  <c r="Y45" i="19"/>
  <c r="U45" i="19"/>
  <c r="S46" i="19"/>
  <c r="AF45" i="19"/>
  <c r="AB45" i="19"/>
  <c r="X45" i="19"/>
  <c r="T45" i="19"/>
  <c r="AI45" i="19"/>
  <c r="AE45" i="19"/>
  <c r="AA45" i="19"/>
  <c r="W45" i="19"/>
  <c r="V45" i="19"/>
  <c r="AH45" i="19"/>
  <c r="AD45" i="19"/>
  <c r="Z45" i="19"/>
  <c r="AG61" i="19"/>
  <c r="AC61" i="19"/>
  <c r="Y61" i="19"/>
  <c r="U61" i="19"/>
  <c r="S62" i="19"/>
  <c r="AF61" i="19"/>
  <c r="AB61" i="19"/>
  <c r="X61" i="19"/>
  <c r="T61" i="19"/>
  <c r="AI61" i="19"/>
  <c r="AE61" i="19"/>
  <c r="AA61" i="19"/>
  <c r="W61" i="19"/>
  <c r="V61" i="19"/>
  <c r="AH61" i="19"/>
  <c r="AD61" i="19"/>
  <c r="Z61" i="19"/>
  <c r="N1" i="19"/>
  <c r="M2" i="19"/>
  <c r="L15" i="13"/>
  <c r="M15" i="13"/>
  <c r="P15" i="13"/>
  <c r="J15" i="13"/>
  <c r="O15" i="13"/>
  <c r="AN19" i="13"/>
  <c r="AN13" i="13"/>
  <c r="AI16" i="13"/>
  <c r="AM32" i="13"/>
  <c r="AI30" i="13"/>
  <c r="E17" i="13"/>
  <c r="H17" i="13"/>
  <c r="F17" i="13"/>
  <c r="G17" i="13"/>
  <c r="C17" i="13"/>
  <c r="D17" i="13"/>
  <c r="I17" i="13"/>
  <c r="AI26" i="13"/>
  <c r="E13" i="13"/>
  <c r="G13" i="13"/>
  <c r="H13" i="13"/>
  <c r="C13" i="13"/>
  <c r="I13" i="13"/>
  <c r="D13" i="13"/>
  <c r="F13" i="13"/>
  <c r="AM26" i="13"/>
  <c r="P28" i="13"/>
  <c r="O28" i="13"/>
  <c r="M28" i="13"/>
  <c r="J28" i="13"/>
  <c r="L28" i="13"/>
  <c r="K28" i="13"/>
  <c r="N28" i="13"/>
  <c r="AH29" i="13"/>
  <c r="AM16" i="13"/>
  <c r="AL29" i="13"/>
  <c r="AI27" i="13"/>
  <c r="D14" i="13"/>
  <c r="I14" i="13"/>
  <c r="G14" i="13"/>
  <c r="E14" i="13"/>
  <c r="C14" i="13"/>
  <c r="H14" i="13"/>
  <c r="F14" i="13"/>
  <c r="I15" i="13"/>
  <c r="G15" i="13"/>
  <c r="D15" i="13"/>
  <c r="AI31" i="13"/>
  <c r="I18" i="13"/>
  <c r="D18" i="13"/>
  <c r="F18" i="13"/>
  <c r="G18" i="13"/>
  <c r="C18" i="13"/>
  <c r="H18" i="13"/>
  <c r="E18" i="13"/>
  <c r="L143" i="9" a="1"/>
  <c r="L143" i="9" s="1"/>
  <c r="L142" i="9" a="1"/>
  <c r="L142" i="9" s="1"/>
  <c r="L132" i="9" a="1"/>
  <c r="L132" i="9" s="1"/>
  <c r="L131" i="9" a="1"/>
  <c r="L131" i="9" s="1"/>
  <c r="L130" i="9" a="1"/>
  <c r="L130" i="9" s="1"/>
  <c r="L144" i="9" a="1"/>
  <c r="L144" i="9" s="1"/>
  <c r="L140" i="9" a="1"/>
  <c r="L140" i="9" s="1"/>
  <c r="L118" i="9" a="1"/>
  <c r="L118" i="9" s="1"/>
  <c r="L139" i="9" a="1"/>
  <c r="L139" i="9" s="1"/>
  <c r="L127" i="9" a="1"/>
  <c r="L127" i="9" s="1"/>
  <c r="L126" i="9" a="1"/>
  <c r="L126" i="9" s="1"/>
  <c r="L119" i="9" a="1"/>
  <c r="L119" i="9" s="1"/>
  <c r="L117" i="9" a="1"/>
  <c r="L117" i="9" s="1"/>
  <c r="L129" i="9" a="1"/>
  <c r="L129" i="9" s="1"/>
  <c r="L115" i="9" a="1"/>
  <c r="L115" i="9" s="1"/>
  <c r="L114" i="9" a="1"/>
  <c r="L114" i="9" s="1"/>
  <c r="L113" i="9" a="1"/>
  <c r="L113" i="9" s="1"/>
  <c r="L106" i="9" a="1"/>
  <c r="L106" i="9" s="1"/>
  <c r="L105" i="9" a="1"/>
  <c r="L105" i="9" s="1"/>
  <c r="L104" i="9" a="1"/>
  <c r="L104" i="9" s="1"/>
  <c r="L116" i="9" a="1"/>
  <c r="L116" i="9" s="1"/>
  <c r="L103" i="9" a="1"/>
  <c r="L103" i="9" s="1"/>
  <c r="L92" i="9" a="1"/>
  <c r="L92" i="9" s="1"/>
  <c r="L88" i="9" a="1"/>
  <c r="L88" i="9" s="1"/>
  <c r="L62" i="9" a="1"/>
  <c r="L62" i="9" s="1"/>
  <c r="L61" i="9" a="1"/>
  <c r="L61" i="9" s="1"/>
  <c r="L102" i="9" a="1"/>
  <c r="L102" i="9" s="1"/>
  <c r="L91" i="9" a="1"/>
  <c r="L91" i="9" s="1"/>
  <c r="L87" i="9" a="1"/>
  <c r="L87" i="9" s="1"/>
  <c r="L80" i="9" a="1"/>
  <c r="L80" i="9" s="1"/>
  <c r="L79" i="9" a="1"/>
  <c r="L79" i="9" s="1"/>
  <c r="L78" i="9" a="1"/>
  <c r="L78" i="9" s="1"/>
  <c r="L77" i="9" a="1"/>
  <c r="L77" i="9" s="1"/>
  <c r="L76" i="9" a="1"/>
  <c r="L76" i="9" s="1"/>
  <c r="L101" i="9" a="1"/>
  <c r="L101" i="9" s="1"/>
  <c r="L90" i="9" a="1"/>
  <c r="L90" i="9" s="1"/>
  <c r="L141" i="9" a="1"/>
  <c r="L141" i="9" s="1"/>
  <c r="L128" i="9" a="1"/>
  <c r="L128" i="9" s="1"/>
  <c r="L74" i="9" a="1"/>
  <c r="L74" i="9" s="1"/>
  <c r="L67" i="9" a="1"/>
  <c r="L67" i="9" s="1"/>
  <c r="L63" i="9" a="1"/>
  <c r="L63" i="9" s="1"/>
  <c r="L66" i="9" a="1"/>
  <c r="L66" i="9" s="1"/>
  <c r="L54" i="9" a="1"/>
  <c r="L54" i="9" s="1"/>
  <c r="L53" i="9" a="1"/>
  <c r="L53" i="9" s="1"/>
  <c r="L52" i="9" a="1"/>
  <c r="L52" i="9" s="1"/>
  <c r="L51" i="9" a="1"/>
  <c r="L51" i="9" s="1"/>
  <c r="L50" i="9" a="1"/>
  <c r="L50" i="9" s="1"/>
  <c r="L49" i="9" a="1"/>
  <c r="L49" i="9" s="1"/>
  <c r="L48" i="9" a="1"/>
  <c r="L48" i="9" s="1"/>
  <c r="L145" i="9" a="1"/>
  <c r="L145" i="9" s="1"/>
  <c r="L100" i="9" a="1"/>
  <c r="L100" i="9" s="1"/>
  <c r="L65" i="9" a="1"/>
  <c r="L65" i="9" s="1"/>
  <c r="L38" i="9" a="1"/>
  <c r="L38" i="9" s="1"/>
  <c r="L89" i="9" a="1"/>
  <c r="L89" i="9" s="1"/>
  <c r="L75" i="9" a="1"/>
  <c r="L75" i="9" s="1"/>
  <c r="L41" i="9" a="1"/>
  <c r="L41" i="9" s="1"/>
  <c r="L37" i="9" a="1"/>
  <c r="L37" i="9" s="1"/>
  <c r="L64" i="9" a="1"/>
  <c r="L64" i="9" s="1"/>
  <c r="L40" i="9" a="1"/>
  <c r="L40" i="9" s="1"/>
  <c r="L36" i="9" a="1"/>
  <c r="L36" i="9" s="1"/>
  <c r="L28" i="9" a="1"/>
  <c r="L28" i="9" s="1"/>
  <c r="L27" i="9" a="1"/>
  <c r="L27" i="9" s="1"/>
  <c r="L26" i="9" a="1"/>
  <c r="L26" i="9" s="1"/>
  <c r="L25" i="9" a="1"/>
  <c r="L25" i="9" s="1"/>
  <c r="L24" i="9" a="1"/>
  <c r="L24" i="9" s="1"/>
  <c r="L23" i="9" a="1"/>
  <c r="L23" i="9" s="1"/>
  <c r="L22" i="9" a="1"/>
  <c r="L22" i="9" s="1"/>
  <c r="L93" i="9" a="1"/>
  <c r="L93" i="9" s="1"/>
  <c r="L39" i="9" a="1"/>
  <c r="L39" i="9" s="1"/>
  <c r="L35" i="9" a="1"/>
  <c r="L35" i="9" s="1"/>
  <c r="L12" i="9" a="1"/>
  <c r="L12" i="9" s="1"/>
  <c r="L13" i="9" a="1"/>
  <c r="L13" i="9" s="1"/>
  <c r="L15" i="9" a="1"/>
  <c r="L15" i="9" s="1"/>
  <c r="L11" i="9" a="1"/>
  <c r="L11" i="9" s="1"/>
  <c r="L14" i="9" a="1"/>
  <c r="L14" i="9" s="1"/>
  <c r="L10" i="9" a="1"/>
  <c r="L10" i="9" s="1"/>
  <c r="L9" i="9" a="1"/>
  <c r="L9" i="9" s="1"/>
  <c r="O77" i="14" a="1"/>
  <c r="O77" i="14" s="1"/>
  <c r="F109" i="14" a="1"/>
  <c r="F109" i="14" s="1"/>
  <c r="F29" i="14" a="1"/>
  <c r="F29" i="14" s="1"/>
  <c r="O125" i="14" a="1"/>
  <c r="O125" i="14" s="1"/>
  <c r="F125" i="14" a="1"/>
  <c r="F125" i="14" s="1"/>
  <c r="I29" i="14" a="1"/>
  <c r="I29" i="14" s="1"/>
  <c r="I61" i="14" a="1"/>
  <c r="I61" i="14" s="1"/>
  <c r="U77" i="14" a="1"/>
  <c r="U77" i="14" s="1"/>
  <c r="F61" i="14" a="1"/>
  <c r="F61" i="14" s="1"/>
  <c r="U125" i="14" a="1"/>
  <c r="U125" i="14" s="1"/>
  <c r="O45" i="14" a="1"/>
  <c r="O45" i="14" s="1"/>
  <c r="L61" i="14" a="1"/>
  <c r="L61" i="14" s="1"/>
  <c r="R93" i="14" a="1"/>
  <c r="R93" i="14" s="1"/>
  <c r="X61" i="14" a="1"/>
  <c r="X61" i="14" s="1"/>
  <c r="O93" i="14" a="1"/>
  <c r="O93" i="14" s="1"/>
  <c r="O29" i="14" a="1"/>
  <c r="O29" i="14" s="1"/>
  <c r="L13" i="14" a="1"/>
  <c r="L13" i="14" s="1"/>
  <c r="R29" i="14" a="1"/>
  <c r="R29" i="14" s="1"/>
  <c r="F93" i="14" a="1"/>
  <c r="F93" i="14" s="1"/>
  <c r="I125" i="14" a="1"/>
  <c r="I125" i="14" s="1"/>
  <c r="I77" i="14" a="1"/>
  <c r="I77" i="14" s="1"/>
  <c r="L45" i="14" a="1"/>
  <c r="L45" i="14" s="1"/>
  <c r="O109" i="14" a="1"/>
  <c r="O109" i="14" s="1"/>
  <c r="L93" i="14" a="1"/>
  <c r="L93" i="14" s="1"/>
  <c r="R45" i="14" a="1"/>
  <c r="R45" i="14" s="1"/>
  <c r="R109" i="14" a="1"/>
  <c r="R109" i="14" s="1"/>
  <c r="U29" i="14" a="1"/>
  <c r="U29" i="14" s="1"/>
  <c r="X109" i="14" a="1"/>
  <c r="X109" i="14" s="1"/>
  <c r="U45" i="14" a="1"/>
  <c r="U45" i="14" s="1"/>
  <c r="X93" i="14" a="1"/>
  <c r="X93" i="14" s="1"/>
  <c r="O61" i="14" a="1"/>
  <c r="O61" i="14" s="1"/>
  <c r="F13" i="14" a="1"/>
  <c r="F13" i="14" s="1"/>
  <c r="I13" i="14" a="1"/>
  <c r="I13" i="14" s="1"/>
  <c r="I93" i="14" a="1"/>
  <c r="I93" i="14" s="1"/>
  <c r="L77" i="14" a="1"/>
  <c r="L77" i="14" s="1"/>
  <c r="R61" i="14" a="1"/>
  <c r="R61" i="14" s="1"/>
  <c r="R125" i="14" a="1"/>
  <c r="R125" i="14" s="1"/>
  <c r="U93" i="14" a="1"/>
  <c r="U93" i="14" s="1"/>
  <c r="X13" i="14" a="1"/>
  <c r="X13" i="14" s="1"/>
  <c r="U109" i="14" a="1"/>
  <c r="U109" i="14" s="1"/>
  <c r="U61" i="14" a="1"/>
  <c r="U61" i="14" s="1"/>
  <c r="X125" i="14" a="1"/>
  <c r="X125" i="14" s="1"/>
  <c r="X77" i="14" a="1"/>
  <c r="X77" i="14" s="1"/>
  <c r="F77" i="14" a="1"/>
  <c r="F77" i="14" s="1"/>
  <c r="I45" i="14" a="1"/>
  <c r="I45" i="14" s="1"/>
  <c r="I109" i="14" a="1"/>
  <c r="I109" i="14" s="1"/>
  <c r="L109" i="14" a="1"/>
  <c r="L109" i="14" s="1"/>
  <c r="L29" i="14" a="1"/>
  <c r="L29" i="14" s="1"/>
  <c r="U13" i="14" a="1"/>
  <c r="U13" i="14" s="1"/>
  <c r="R13" i="14" a="1"/>
  <c r="R13" i="14" s="1"/>
  <c r="R77" i="14" a="1"/>
  <c r="R77" i="14" s="1"/>
  <c r="X29" i="14" a="1"/>
  <c r="X29" i="14" s="1"/>
  <c r="M1" i="12"/>
  <c r="L101" i="12"/>
  <c r="V46" i="14" s="1" a="1"/>
  <c r="V46" i="14" s="1"/>
  <c r="L97" i="12"/>
  <c r="T110" i="14" s="1" a="1"/>
  <c r="T110" i="14" s="1"/>
  <c r="L93" i="12"/>
  <c r="T46" i="14" s="1" a="1"/>
  <c r="T46" i="14" s="1"/>
  <c r="L89" i="12"/>
  <c r="S110" i="14" s="1" a="1"/>
  <c r="S110" i="14" s="1"/>
  <c r="L85" i="12"/>
  <c r="S46" i="14" s="1" a="1"/>
  <c r="S46" i="14" s="1"/>
  <c r="L2" i="12"/>
  <c r="L113" i="12"/>
  <c r="W110" i="14" s="1" a="1"/>
  <c r="W110" i="14" s="1"/>
  <c r="L111" i="12"/>
  <c r="W78" i="14" s="1" a="1"/>
  <c r="W78" i="14" s="1"/>
  <c r="L109" i="12"/>
  <c r="W46" i="14" s="1" a="1"/>
  <c r="W46" i="14" s="1"/>
  <c r="X46" i="14" s="1" a="1"/>
  <c r="X46" i="14" s="1"/>
  <c r="L107" i="12"/>
  <c r="W14" i="14" s="1" a="1"/>
  <c r="W14" i="14" s="1"/>
  <c r="L105" i="12"/>
  <c r="V110" i="14" s="1" a="1"/>
  <c r="V110" i="14" s="1"/>
  <c r="L103" i="12"/>
  <c r="V78" i="14" s="1" a="1"/>
  <c r="V78" i="14" s="1"/>
  <c r="L100" i="12"/>
  <c r="V30" i="14" s="1" a="1"/>
  <c r="V30" i="14" s="1"/>
  <c r="L96" i="12"/>
  <c r="T94" i="14" s="1" a="1"/>
  <c r="T94" i="14" s="1"/>
  <c r="L92" i="12"/>
  <c r="T30" i="14" s="1" a="1"/>
  <c r="T30" i="14" s="1"/>
  <c r="L88" i="12"/>
  <c r="S94" i="14" s="1" a="1"/>
  <c r="S94" i="14" s="1"/>
  <c r="L84" i="12"/>
  <c r="S30" i="14" s="1" a="1"/>
  <c r="S30" i="14" s="1"/>
  <c r="L82" i="12"/>
  <c r="Q126" i="14" s="1" a="1"/>
  <c r="Q126" i="14" s="1"/>
  <c r="L81" i="12"/>
  <c r="Q110" i="14" s="1" a="1"/>
  <c r="Q110" i="14" s="1"/>
  <c r="L80" i="12"/>
  <c r="Q94" i="14" s="1" a="1"/>
  <c r="Q94" i="14" s="1"/>
  <c r="L79" i="12"/>
  <c r="Q78" i="14" s="1" a="1"/>
  <c r="Q78" i="14" s="1"/>
  <c r="L78" i="12"/>
  <c r="Q62" i="14" s="1" a="1"/>
  <c r="Q62" i="14" s="1"/>
  <c r="L77" i="12"/>
  <c r="Q46" i="14" s="1" a="1"/>
  <c r="Q46" i="14" s="1"/>
  <c r="L76" i="12"/>
  <c r="Q30" i="14" s="1" a="1"/>
  <c r="Q30" i="14" s="1"/>
  <c r="L75" i="12"/>
  <c r="Q14" i="14" s="1" a="1"/>
  <c r="Q14" i="14" s="1"/>
  <c r="L99" i="12"/>
  <c r="V14" i="14" s="1" a="1"/>
  <c r="V14" i="14" s="1"/>
  <c r="L95" i="12"/>
  <c r="T78" i="14" s="1" a="1"/>
  <c r="T78" i="14" s="1"/>
  <c r="L91" i="12"/>
  <c r="T14" i="14" s="1" a="1"/>
  <c r="T14" i="14" s="1"/>
  <c r="L87" i="12"/>
  <c r="S78" i="14" s="1" a="1"/>
  <c r="S78" i="14" s="1"/>
  <c r="L83" i="12"/>
  <c r="S14" i="14" s="1" a="1"/>
  <c r="S14" i="14" s="1"/>
  <c r="L114" i="12"/>
  <c r="W126" i="14" s="1" a="1"/>
  <c r="W126" i="14" s="1"/>
  <c r="L112" i="12"/>
  <c r="W94" i="14" s="1" a="1"/>
  <c r="W94" i="14" s="1"/>
  <c r="L110" i="12"/>
  <c r="W62" i="14" s="1" a="1"/>
  <c r="W62" i="14" s="1"/>
  <c r="L108" i="12"/>
  <c r="W30" i="14" s="1" a="1"/>
  <c r="W30" i="14" s="1"/>
  <c r="L106" i="12"/>
  <c r="V126" i="14" s="1" a="1"/>
  <c r="V126" i="14" s="1"/>
  <c r="L104" i="12"/>
  <c r="V94" i="14" s="1" a="1"/>
  <c r="V94" i="14" s="1"/>
  <c r="L102" i="12"/>
  <c r="V62" i="14" s="1" a="1"/>
  <c r="V62" i="14" s="1"/>
  <c r="L98" i="12"/>
  <c r="T126" i="14" s="1" a="1"/>
  <c r="T126" i="14" s="1"/>
  <c r="L94" i="12"/>
  <c r="T62" i="14" s="1" a="1"/>
  <c r="T62" i="14" s="1"/>
  <c r="L90" i="12"/>
  <c r="S126" i="14" s="1" a="1"/>
  <c r="S126" i="14" s="1"/>
  <c r="L86" i="12"/>
  <c r="S62" i="14" s="1" a="1"/>
  <c r="S62" i="14" s="1"/>
  <c r="L73" i="12"/>
  <c r="P110" i="14" s="1" a="1"/>
  <c r="P110" i="14" s="1"/>
  <c r="L72" i="12"/>
  <c r="P94" i="14" s="1" a="1"/>
  <c r="P94" i="14" s="1"/>
  <c r="L71" i="12"/>
  <c r="P78" i="14" s="1" a="1"/>
  <c r="P78" i="14" s="1"/>
  <c r="L70" i="12"/>
  <c r="P62" i="14" s="1" a="1"/>
  <c r="P62" i="14" s="1"/>
  <c r="L69" i="12"/>
  <c r="P46" i="14" s="1" a="1"/>
  <c r="P46" i="14" s="1"/>
  <c r="L68" i="12"/>
  <c r="P30" i="14" s="1" a="1"/>
  <c r="P30" i="14" s="1"/>
  <c r="L67" i="12"/>
  <c r="P14" i="14" s="1" a="1"/>
  <c r="P14" i="14" s="1"/>
  <c r="L66" i="12"/>
  <c r="N126" i="14" s="1" a="1"/>
  <c r="N126" i="14" s="1"/>
  <c r="L65" i="12"/>
  <c r="N110" i="14" s="1" a="1"/>
  <c r="N110" i="14" s="1"/>
  <c r="L64" i="12"/>
  <c r="N94" i="14" s="1" a="1"/>
  <c r="N94" i="14" s="1"/>
  <c r="L63" i="12"/>
  <c r="N78" i="14" s="1" a="1"/>
  <c r="N78" i="14" s="1"/>
  <c r="L57" i="12"/>
  <c r="M110" i="14" s="1" a="1"/>
  <c r="M110" i="14" s="1"/>
  <c r="L56" i="12"/>
  <c r="M94" i="14" s="1" a="1"/>
  <c r="M94" i="14" s="1"/>
  <c r="L55" i="12"/>
  <c r="M78" i="14" s="1" a="1"/>
  <c r="M78" i="14" s="1"/>
  <c r="L54" i="12"/>
  <c r="M62" i="14" s="1" a="1"/>
  <c r="M62" i="14" s="1"/>
  <c r="L53" i="12"/>
  <c r="M46" i="14" s="1" a="1"/>
  <c r="M46" i="14" s="1"/>
  <c r="L52" i="12"/>
  <c r="M30" i="14" s="1" a="1"/>
  <c r="M30" i="14" s="1"/>
  <c r="L51" i="12"/>
  <c r="M14" i="14" s="1" a="1"/>
  <c r="M14" i="14" s="1"/>
  <c r="L50" i="12"/>
  <c r="K126" i="14" s="1" a="1"/>
  <c r="K126" i="14" s="1"/>
  <c r="L49" i="12"/>
  <c r="K110" i="14" s="1" a="1"/>
  <c r="K110" i="14" s="1"/>
  <c r="L48" i="12"/>
  <c r="K94" i="14" s="1" a="1"/>
  <c r="K94" i="14" s="1"/>
  <c r="L47" i="12"/>
  <c r="K78" i="14" s="1" a="1"/>
  <c r="K78" i="14" s="1"/>
  <c r="L46" i="12"/>
  <c r="K62" i="14" s="1" a="1"/>
  <c r="K62" i="14" s="1"/>
  <c r="L45" i="12"/>
  <c r="K46" i="14" s="1" a="1"/>
  <c r="K46" i="14" s="1"/>
  <c r="L44" i="12"/>
  <c r="K30" i="14" s="1" a="1"/>
  <c r="K30" i="14" s="1"/>
  <c r="L43" i="12"/>
  <c r="K14" i="14" s="1" a="1"/>
  <c r="K14" i="14" s="1"/>
  <c r="L42" i="12"/>
  <c r="J126" i="14" s="1" a="1"/>
  <c r="J126" i="14" s="1"/>
  <c r="L41" i="12"/>
  <c r="J110" i="14" s="1" a="1"/>
  <c r="J110" i="14" s="1"/>
  <c r="L40" i="12"/>
  <c r="J94" i="14" s="1" a="1"/>
  <c r="J94" i="14" s="1"/>
  <c r="L39" i="12"/>
  <c r="J78" i="14" s="1" a="1"/>
  <c r="J78" i="14" s="1"/>
  <c r="L38" i="12"/>
  <c r="J62" i="14" s="1" a="1"/>
  <c r="J62" i="14" s="1"/>
  <c r="L37" i="12"/>
  <c r="J46" i="14" s="1" a="1"/>
  <c r="J46" i="14" s="1"/>
  <c r="L36" i="12"/>
  <c r="J30" i="14" s="1" a="1"/>
  <c r="J30" i="14" s="1"/>
  <c r="L35" i="12"/>
  <c r="J14" i="14" s="1" a="1"/>
  <c r="J14" i="14" s="1"/>
  <c r="L34" i="12"/>
  <c r="H126" i="14" s="1" a="1"/>
  <c r="H126" i="14" s="1"/>
  <c r="L33" i="12"/>
  <c r="H110" i="14" s="1" a="1"/>
  <c r="H110" i="14" s="1"/>
  <c r="L32" i="12"/>
  <c r="H94" i="14" s="1" a="1"/>
  <c r="H94" i="14" s="1"/>
  <c r="L61" i="12"/>
  <c r="N46" i="14" s="1" a="1"/>
  <c r="N46" i="14" s="1"/>
  <c r="L74" i="12"/>
  <c r="P126" i="14" s="1" a="1"/>
  <c r="P126" i="14" s="1"/>
  <c r="L62" i="12"/>
  <c r="N62" i="14" s="1" a="1"/>
  <c r="N62" i="14" s="1"/>
  <c r="L58" i="12"/>
  <c r="M126" i="14" s="1" a="1"/>
  <c r="M126" i="14" s="1"/>
  <c r="L59" i="12"/>
  <c r="N14" i="14" s="1" a="1"/>
  <c r="N14" i="14" s="1"/>
  <c r="L8" i="12"/>
  <c r="D94" i="14" s="1" a="1"/>
  <c r="D94" i="14" s="1"/>
  <c r="L7" i="12"/>
  <c r="D78" i="14" s="1" a="1"/>
  <c r="D78" i="14" s="1"/>
  <c r="L6" i="12"/>
  <c r="D62" i="14" s="1" a="1"/>
  <c r="D62" i="14" s="1"/>
  <c r="L5" i="12"/>
  <c r="D46" i="14" s="1" a="1"/>
  <c r="D46" i="14" s="1"/>
  <c r="L4" i="12"/>
  <c r="D30" i="14" s="1" a="1"/>
  <c r="D30" i="14" s="1"/>
  <c r="L3" i="12"/>
  <c r="D14" i="14" s="1" a="1"/>
  <c r="D14" i="14" s="1"/>
  <c r="L60" i="12"/>
  <c r="N30" i="14" s="1" a="1"/>
  <c r="N30" i="14" s="1"/>
  <c r="O30" i="14" s="1" a="1"/>
  <c r="O30" i="14" s="1"/>
  <c r="L31" i="12"/>
  <c r="H78" i="14" s="1" a="1"/>
  <c r="H78" i="14" s="1"/>
  <c r="L30" i="12"/>
  <c r="H62" i="14" s="1" a="1"/>
  <c r="H62" i="14" s="1"/>
  <c r="L29" i="12"/>
  <c r="H46" i="14" s="1" a="1"/>
  <c r="H46" i="14" s="1"/>
  <c r="L28" i="12"/>
  <c r="H30" i="14" s="1" a="1"/>
  <c r="H30" i="14" s="1"/>
  <c r="L24" i="12"/>
  <c r="G94" i="14" s="1" a="1"/>
  <c r="G94" i="14" s="1"/>
  <c r="L20" i="12"/>
  <c r="G30" i="14" s="1" a="1"/>
  <c r="G30" i="14" s="1"/>
  <c r="L16" i="12"/>
  <c r="E94" i="14" s="1" a="1"/>
  <c r="E94" i="14" s="1"/>
  <c r="L12" i="12"/>
  <c r="E30" i="14" s="1" a="1"/>
  <c r="E30" i="14" s="1"/>
  <c r="L25" i="12"/>
  <c r="G110" i="14" s="1" a="1"/>
  <c r="G110" i="14" s="1"/>
  <c r="L21" i="12"/>
  <c r="G46" i="14" s="1" a="1"/>
  <c r="G46" i="14" s="1"/>
  <c r="L17" i="12"/>
  <c r="E110" i="14" s="1" a="1"/>
  <c r="E110" i="14" s="1"/>
  <c r="L13" i="12"/>
  <c r="E46" i="14" s="1" a="1"/>
  <c r="E46" i="14" s="1"/>
  <c r="L9" i="12"/>
  <c r="D110" i="14" s="1" a="1"/>
  <c r="D110" i="14" s="1"/>
  <c r="L27" i="12"/>
  <c r="H14" i="14" s="1" a="1"/>
  <c r="H14" i="14" s="1"/>
  <c r="L23" i="12"/>
  <c r="G78" i="14" s="1" a="1"/>
  <c r="G78" i="14" s="1"/>
  <c r="L19" i="12"/>
  <c r="G14" i="14" s="1" a="1"/>
  <c r="G14" i="14" s="1"/>
  <c r="L15" i="12"/>
  <c r="E78" i="14" s="1" a="1"/>
  <c r="E78" i="14" s="1"/>
  <c r="L11" i="12"/>
  <c r="E14" i="14" s="1" a="1"/>
  <c r="E14" i="14" s="1"/>
  <c r="L26" i="12"/>
  <c r="G126" i="14" s="1" a="1"/>
  <c r="G126" i="14" s="1"/>
  <c r="L22" i="12"/>
  <c r="G62" i="14" s="1" a="1"/>
  <c r="G62" i="14" s="1"/>
  <c r="L18" i="12"/>
  <c r="E126" i="14" s="1" a="1"/>
  <c r="E126" i="14" s="1"/>
  <c r="L14" i="12"/>
  <c r="E62" i="14" s="1" a="1"/>
  <c r="E62" i="14" s="1"/>
  <c r="D126" i="14" a="1"/>
  <c r="D126" i="14" s="1"/>
  <c r="C17" i="8"/>
  <c r="G16" i="8"/>
  <c r="H15" i="8"/>
  <c r="M1" i="9"/>
  <c r="L2" i="9"/>
  <c r="M2" i="7"/>
  <c r="L154" i="7"/>
  <c r="C144" i="9" s="1" a="1"/>
  <c r="C144" i="9" s="1"/>
  <c r="L150" i="7"/>
  <c r="C140" i="9" s="1" a="1"/>
  <c r="C140" i="9" s="1"/>
  <c r="L146" i="7"/>
  <c r="K136" i="9" s="1" a="1"/>
  <c r="K136" i="9" s="1"/>
  <c r="L142" i="7"/>
  <c r="L138" i="7"/>
  <c r="C129" i="9" s="1" a="1"/>
  <c r="C129" i="9" s="1"/>
  <c r="L135" i="7"/>
  <c r="L134" i="7"/>
  <c r="K125" i="9" s="1" a="1"/>
  <c r="K125" i="9" s="1"/>
  <c r="L133" i="7"/>
  <c r="K124" i="9" s="1" a="1"/>
  <c r="K124" i="9" s="1"/>
  <c r="L132" i="7"/>
  <c r="K123" i="9" s="1" a="1"/>
  <c r="K123" i="9" s="1"/>
  <c r="L131" i="7"/>
  <c r="K122" i="9" s="1" a="1"/>
  <c r="K122" i="9" s="1"/>
  <c r="L130" i="7"/>
  <c r="K121" i="9" s="1" a="1"/>
  <c r="K121" i="9" s="1"/>
  <c r="L129" i="7"/>
  <c r="K120" i="9" s="1" a="1"/>
  <c r="K120" i="9" s="1"/>
  <c r="L128" i="7"/>
  <c r="L127" i="7"/>
  <c r="C119" i="9" s="1" a="1"/>
  <c r="C119" i="9" s="1"/>
  <c r="L126" i="7"/>
  <c r="C118" i="9" s="1" a="1"/>
  <c r="C118" i="9" s="1"/>
  <c r="L125" i="7"/>
  <c r="C117" i="9" s="1" a="1"/>
  <c r="C117" i="9" s="1"/>
  <c r="L124" i="7"/>
  <c r="C116" i="9" s="1" a="1"/>
  <c r="C116" i="9" s="1"/>
  <c r="L123" i="7"/>
  <c r="C115" i="9" s="1" a="1"/>
  <c r="C115" i="9" s="1"/>
  <c r="L153" i="7"/>
  <c r="C143" i="9" s="1" a="1"/>
  <c r="C143" i="9" s="1"/>
  <c r="L149" i="7"/>
  <c r="L145" i="7"/>
  <c r="K135" i="9" s="1" a="1"/>
  <c r="K135" i="9" s="1"/>
  <c r="L141" i="7"/>
  <c r="C132" i="9" s="1" a="1"/>
  <c r="C132" i="9" s="1"/>
  <c r="L137" i="7"/>
  <c r="C128" i="9" s="1" a="1"/>
  <c r="C128" i="9" s="1"/>
  <c r="L156" i="7"/>
  <c r="L152" i="7"/>
  <c r="C142" i="9" s="1" a="1"/>
  <c r="C142" i="9" s="1"/>
  <c r="L148" i="7"/>
  <c r="K138" i="9" s="1" a="1"/>
  <c r="K138" i="9" s="1"/>
  <c r="L144" i="7"/>
  <c r="K134" i="9" s="1" a="1"/>
  <c r="K134" i="9" s="1"/>
  <c r="L140" i="7"/>
  <c r="C131" i="9" s="1" a="1"/>
  <c r="C131" i="9" s="1"/>
  <c r="L136" i="7"/>
  <c r="C127" i="9" s="1" a="1"/>
  <c r="C127" i="9" s="1"/>
  <c r="L122" i="7"/>
  <c r="C114" i="9" s="1" a="1"/>
  <c r="C114" i="9" s="1"/>
  <c r="L151" i="7"/>
  <c r="C141" i="9" s="1" a="1"/>
  <c r="C141" i="9" s="1"/>
  <c r="L143" i="7"/>
  <c r="K133" i="9" s="1" a="1"/>
  <c r="K133" i="9" s="1"/>
  <c r="L120" i="7"/>
  <c r="K112" i="9" s="1" a="1"/>
  <c r="K112" i="9" s="1"/>
  <c r="L116" i="7"/>
  <c r="K108" i="9" s="1" a="1"/>
  <c r="K108" i="9" s="1"/>
  <c r="L112" i="7"/>
  <c r="C105" i="9" s="1" a="1"/>
  <c r="C105" i="9" s="1"/>
  <c r="L108" i="7"/>
  <c r="C101" i="9" s="1" a="1"/>
  <c r="C101" i="9" s="1"/>
  <c r="L101" i="7"/>
  <c r="K94" i="9" s="1" a="1"/>
  <c r="K94" i="9" s="1"/>
  <c r="L119" i="7"/>
  <c r="K111" i="9" s="1" a="1"/>
  <c r="K111" i="9" s="1"/>
  <c r="L115" i="7"/>
  <c r="K107" i="9" s="1" a="1"/>
  <c r="K107" i="9" s="1"/>
  <c r="L111" i="7"/>
  <c r="C104" i="9" s="1" a="1"/>
  <c r="C104" i="9" s="1"/>
  <c r="L107" i="7"/>
  <c r="L104" i="7"/>
  <c r="K97" i="9" s="1" a="1"/>
  <c r="K97" i="9" s="1"/>
  <c r="L155" i="7"/>
  <c r="C145" i="9" s="1" a="1"/>
  <c r="C145" i="9" s="1"/>
  <c r="L147" i="7"/>
  <c r="K137" i="9" s="1" a="1"/>
  <c r="K137" i="9" s="1"/>
  <c r="L139" i="7"/>
  <c r="C130" i="9" s="1" a="1"/>
  <c r="C130" i="9" s="1"/>
  <c r="L118" i="7"/>
  <c r="K110" i="9" s="1" a="1"/>
  <c r="K110" i="9" s="1"/>
  <c r="L114" i="7"/>
  <c r="L110" i="7"/>
  <c r="C103" i="9" s="1" a="1"/>
  <c r="C103" i="9" s="1"/>
  <c r="L106" i="7"/>
  <c r="K99" i="9" s="1" a="1"/>
  <c r="K99" i="9" s="1"/>
  <c r="L103" i="7"/>
  <c r="K96" i="9" s="1" a="1"/>
  <c r="K96" i="9" s="1"/>
  <c r="L100" i="7"/>
  <c r="L99" i="7"/>
  <c r="C93" i="9" s="1" a="1"/>
  <c r="C93" i="9" s="1"/>
  <c r="L98" i="7"/>
  <c r="C92" i="9" s="1" a="1"/>
  <c r="C92" i="9" s="1"/>
  <c r="L97" i="7"/>
  <c r="C91" i="9" s="1" a="1"/>
  <c r="C91" i="9" s="1"/>
  <c r="L96" i="7"/>
  <c r="C90" i="9" s="1" a="1"/>
  <c r="C90" i="9" s="1"/>
  <c r="L95" i="7"/>
  <c r="C89" i="9" s="1" a="1"/>
  <c r="C89" i="9" s="1"/>
  <c r="L94" i="7"/>
  <c r="C88" i="9" s="1" a="1"/>
  <c r="C88" i="9" s="1"/>
  <c r="L93" i="7"/>
  <c r="L92" i="7"/>
  <c r="K86" i="9" s="1" a="1"/>
  <c r="K86" i="9" s="1"/>
  <c r="L91" i="7"/>
  <c r="K85" i="9" s="1" a="1"/>
  <c r="K85" i="9" s="1"/>
  <c r="L90" i="7"/>
  <c r="K84" i="9" s="1" a="1"/>
  <c r="K84" i="9" s="1"/>
  <c r="L89" i="7"/>
  <c r="K83" i="9" s="1" a="1"/>
  <c r="K83" i="9" s="1"/>
  <c r="L88" i="7"/>
  <c r="K82" i="9" s="1" a="1"/>
  <c r="K82" i="9" s="1"/>
  <c r="L87" i="7"/>
  <c r="K81" i="9" s="1" a="1"/>
  <c r="K81" i="9" s="1"/>
  <c r="L86" i="7"/>
  <c r="L85" i="7"/>
  <c r="C80" i="9" s="1" a="1"/>
  <c r="C80" i="9" s="1"/>
  <c r="L84" i="7"/>
  <c r="C79" i="9" s="1" a="1"/>
  <c r="C79" i="9" s="1"/>
  <c r="L83" i="7"/>
  <c r="C78" i="9" s="1" a="1"/>
  <c r="C78" i="9" s="1"/>
  <c r="L82" i="7"/>
  <c r="C77" i="9" s="1" a="1"/>
  <c r="C77" i="9" s="1"/>
  <c r="L81" i="7"/>
  <c r="C76" i="9" s="1" a="1"/>
  <c r="C76" i="9" s="1"/>
  <c r="L80" i="7"/>
  <c r="C75" i="9" s="1" a="1"/>
  <c r="C75" i="9" s="1"/>
  <c r="L79" i="7"/>
  <c r="L78" i="7"/>
  <c r="K73" i="9" s="1" a="1"/>
  <c r="K73" i="9" s="1"/>
  <c r="L77" i="7"/>
  <c r="K72" i="9" s="1" a="1"/>
  <c r="K72" i="9" s="1"/>
  <c r="L76" i="7"/>
  <c r="K71" i="9" s="1" a="1"/>
  <c r="K71" i="9" s="1"/>
  <c r="L75" i="7"/>
  <c r="K70" i="9" s="1" a="1"/>
  <c r="K70" i="9" s="1"/>
  <c r="L74" i="7"/>
  <c r="K69" i="9" s="1" a="1"/>
  <c r="K69" i="9" s="1"/>
  <c r="L73" i="7"/>
  <c r="K68" i="9" s="1" a="1"/>
  <c r="K68" i="9" s="1"/>
  <c r="L72" i="7"/>
  <c r="L71" i="7"/>
  <c r="C67" i="9" s="1" a="1"/>
  <c r="C67" i="9" s="1"/>
  <c r="L70" i="7"/>
  <c r="C66" i="9" s="1" a="1"/>
  <c r="C66" i="9" s="1"/>
  <c r="L69" i="7"/>
  <c r="C65" i="9" s="1" a="1"/>
  <c r="C65" i="9" s="1"/>
  <c r="L65" i="7"/>
  <c r="L64" i="7"/>
  <c r="K60" i="9" s="1" a="1"/>
  <c r="K60" i="9" s="1"/>
  <c r="L63" i="7"/>
  <c r="K59" i="9" s="1" a="1"/>
  <c r="K59" i="9" s="1"/>
  <c r="L62" i="7"/>
  <c r="K58" i="9" s="1" a="1"/>
  <c r="K58" i="9" s="1"/>
  <c r="L61" i="7"/>
  <c r="K57" i="9" s="1" a="1"/>
  <c r="K57" i="9" s="1"/>
  <c r="L60" i="7"/>
  <c r="K56" i="9" s="1" a="1"/>
  <c r="K56" i="9" s="1"/>
  <c r="L59" i="7"/>
  <c r="K55" i="9" s="1" a="1"/>
  <c r="K55" i="9" s="1"/>
  <c r="L58" i="7"/>
  <c r="L57" i="7"/>
  <c r="C54" i="9" s="1" a="1"/>
  <c r="C54" i="9" s="1"/>
  <c r="L56" i="7"/>
  <c r="C53" i="9" s="1" a="1"/>
  <c r="C53" i="9" s="1"/>
  <c r="L55" i="7"/>
  <c r="C52" i="9" s="1" a="1"/>
  <c r="C52" i="9" s="1"/>
  <c r="L54" i="7"/>
  <c r="C51" i="9" s="1" a="1"/>
  <c r="C51" i="9" s="1"/>
  <c r="L53" i="7"/>
  <c r="C50" i="9" s="1" a="1"/>
  <c r="C50" i="9" s="1"/>
  <c r="L52" i="7"/>
  <c r="C49" i="9" s="1" a="1"/>
  <c r="C49" i="9" s="1"/>
  <c r="L51" i="7"/>
  <c r="L50" i="7"/>
  <c r="K47" i="9" s="1" a="1"/>
  <c r="K47" i="9" s="1"/>
  <c r="L49" i="7"/>
  <c r="K46" i="9" s="1" a="1"/>
  <c r="K46" i="9" s="1"/>
  <c r="L48" i="7"/>
  <c r="K45" i="9" s="1" a="1"/>
  <c r="K45" i="9" s="1"/>
  <c r="L47" i="7"/>
  <c r="K44" i="9" s="1" a="1"/>
  <c r="K44" i="9" s="1"/>
  <c r="L46" i="7"/>
  <c r="K43" i="9" s="1" a="1"/>
  <c r="K43" i="9" s="1"/>
  <c r="L45" i="7"/>
  <c r="K42" i="9" s="1" a="1"/>
  <c r="K42" i="9" s="1"/>
  <c r="L44" i="7"/>
  <c r="L43" i="7"/>
  <c r="C41" i="9" s="1" a="1"/>
  <c r="C41" i="9" s="1"/>
  <c r="L42" i="7"/>
  <c r="C40" i="9" s="1" a="1"/>
  <c r="C40" i="9" s="1"/>
  <c r="L41" i="7"/>
  <c r="C39" i="9" s="1" a="1"/>
  <c r="C39" i="9" s="1"/>
  <c r="L40" i="7"/>
  <c r="C38" i="9" s="1" a="1"/>
  <c r="C38" i="9" s="1"/>
  <c r="L39" i="7"/>
  <c r="C37" i="9" s="1" a="1"/>
  <c r="C37" i="9" s="1"/>
  <c r="L38" i="7"/>
  <c r="C36" i="9" s="1" a="1"/>
  <c r="C36" i="9" s="1"/>
  <c r="L37" i="7"/>
  <c r="L36" i="7"/>
  <c r="K34" i="9" s="1" a="1"/>
  <c r="K34" i="9" s="1"/>
  <c r="L121" i="7"/>
  <c r="L113" i="7"/>
  <c r="C106" i="9" s="1" a="1"/>
  <c r="C106" i="9" s="1"/>
  <c r="L105" i="7"/>
  <c r="K98" i="9" s="1" a="1"/>
  <c r="K98" i="9" s="1"/>
  <c r="L109" i="7"/>
  <c r="C102" i="9" s="1" a="1"/>
  <c r="C102" i="9" s="1"/>
  <c r="L102" i="7"/>
  <c r="K95" i="9" s="1" a="1"/>
  <c r="K95" i="9" s="1"/>
  <c r="L67" i="7"/>
  <c r="C63" i="9" s="1" a="1"/>
  <c r="C63" i="9" s="1"/>
  <c r="L35" i="7"/>
  <c r="K33" i="9" s="1" a="1"/>
  <c r="K33" i="9" s="1"/>
  <c r="L34" i="7"/>
  <c r="K32" i="9" s="1" a="1"/>
  <c r="K32" i="9" s="1"/>
  <c r="L33" i="7"/>
  <c r="K31" i="9" s="1" a="1"/>
  <c r="K31" i="9" s="1"/>
  <c r="L32" i="7"/>
  <c r="K30" i="9" s="1" a="1"/>
  <c r="K30" i="9" s="1"/>
  <c r="L117" i="7"/>
  <c r="K109" i="9" s="1" a="1"/>
  <c r="K109" i="9" s="1"/>
  <c r="L68" i="7"/>
  <c r="C64" i="9" s="1" a="1"/>
  <c r="C64" i="9" s="1"/>
  <c r="L31" i="7"/>
  <c r="K29" i="9" s="1" a="1"/>
  <c r="K29" i="9" s="1"/>
  <c r="L30" i="7"/>
  <c r="L29" i="7"/>
  <c r="C28" i="9" s="1" a="1"/>
  <c r="C28" i="9" s="1"/>
  <c r="L28" i="7"/>
  <c r="C27" i="9" s="1" a="1"/>
  <c r="C27" i="9" s="1"/>
  <c r="L27" i="7"/>
  <c r="C26" i="9" s="1" a="1"/>
  <c r="C26" i="9" s="1"/>
  <c r="L26" i="7"/>
  <c r="C25" i="9" s="1" a="1"/>
  <c r="C25" i="9" s="1"/>
  <c r="L25" i="7"/>
  <c r="C24" i="9" s="1" a="1"/>
  <c r="C24" i="9" s="1"/>
  <c r="L24" i="7"/>
  <c r="C23" i="9" s="1" a="1"/>
  <c r="C23" i="9" s="1"/>
  <c r="L23" i="7"/>
  <c r="L22" i="7"/>
  <c r="K21" i="9" s="1" a="1"/>
  <c r="K21" i="9" s="1"/>
  <c r="L21" i="7"/>
  <c r="K20" i="9" s="1" a="1"/>
  <c r="K20" i="9" s="1"/>
  <c r="L20" i="7"/>
  <c r="K19" i="9" s="1" a="1"/>
  <c r="K19" i="9" s="1"/>
  <c r="L19" i="7"/>
  <c r="K18" i="9" s="1" a="1"/>
  <c r="K18" i="9" s="1"/>
  <c r="L17" i="7"/>
  <c r="K16" i="9" s="1" a="1"/>
  <c r="K16" i="9" s="1"/>
  <c r="L15" i="7"/>
  <c r="C15" i="9" s="1" a="1"/>
  <c r="C15" i="9" s="1"/>
  <c r="L13" i="7"/>
  <c r="C13" i="9" s="1" a="1"/>
  <c r="C13" i="9" s="1"/>
  <c r="L11" i="7"/>
  <c r="C11" i="9" s="1" a="1"/>
  <c r="C11" i="9" s="1"/>
  <c r="L9" i="7"/>
  <c r="L7" i="7"/>
  <c r="K7" i="9" s="1" a="1"/>
  <c r="K7" i="9" s="1"/>
  <c r="L5" i="7"/>
  <c r="K5" i="9" s="1" a="1"/>
  <c r="K5" i="9" s="1"/>
  <c r="L3" i="7"/>
  <c r="K3" i="9" s="1" a="1"/>
  <c r="K3" i="9" s="1"/>
  <c r="L14" i="7"/>
  <c r="C14" i="9" s="1" a="1"/>
  <c r="C14" i="9" s="1"/>
  <c r="L12" i="7"/>
  <c r="C12" i="9" s="1" a="1"/>
  <c r="C12" i="9" s="1"/>
  <c r="L6" i="7"/>
  <c r="K6" i="9" s="1" a="1"/>
  <c r="K6" i="9" s="1"/>
  <c r="L18" i="7"/>
  <c r="K17" i="9" s="1" a="1"/>
  <c r="K17" i="9" s="1"/>
  <c r="L16" i="7"/>
  <c r="L8" i="7"/>
  <c r="K8" i="9" s="1" a="1"/>
  <c r="K8" i="9" s="1"/>
  <c r="L66" i="7"/>
  <c r="C62" i="9" s="1" a="1"/>
  <c r="C62" i="9" s="1"/>
  <c r="L10" i="7"/>
  <c r="C10" i="9" s="1" a="1"/>
  <c r="C10" i="9" s="1"/>
  <c r="L4" i="7"/>
  <c r="K4" i="9" s="1" a="1"/>
  <c r="K4" i="9" s="1"/>
  <c r="AN18" i="13" a="1"/>
  <c r="AN17" i="13" a="1"/>
  <c r="AN16" i="13" a="1"/>
  <c r="AN14" i="13" a="1"/>
  <c r="AU43" i="21" a="1"/>
  <c r="BA43" i="21" a="1"/>
  <c r="BN60" i="21" a="1"/>
  <c r="BA30" i="21" a="1"/>
  <c r="BL60" i="21" a="1"/>
  <c r="AU30" i="21" a="1"/>
  <c r="BM59" i="21" a="1"/>
  <c r="F15" i="13" l="1"/>
  <c r="C15" i="13"/>
  <c r="E19" i="13"/>
  <c r="C19" i="13"/>
  <c r="G19" i="13"/>
  <c r="H19" i="13"/>
  <c r="F19" i="13"/>
  <c r="AI28" i="13"/>
  <c r="D28" i="13" s="1"/>
  <c r="E15" i="13"/>
  <c r="AI32" i="13"/>
  <c r="D32" i="13" s="1"/>
  <c r="D19" i="13"/>
  <c r="AN18" i="13"/>
  <c r="AN17" i="13"/>
  <c r="AN14" i="13"/>
  <c r="AM31" i="13"/>
  <c r="AM30" i="13"/>
  <c r="AM27" i="13"/>
  <c r="AV31" i="21"/>
  <c r="AW31" i="21" s="1" a="1"/>
  <c r="AW31" i="21" s="1"/>
  <c r="AY31" i="21" s="1"/>
  <c r="AZ31" i="21" s="1"/>
  <c r="AU30" i="21"/>
  <c r="BN60" i="21"/>
  <c r="BA43" i="21"/>
  <c r="BM59" i="21"/>
  <c r="BA30" i="21"/>
  <c r="BL60" i="21"/>
  <c r="AU43" i="21"/>
  <c r="AS31" i="21"/>
  <c r="AT31" i="21" s="1"/>
  <c r="AQ61" i="21"/>
  <c r="BC61" i="21" s="1"/>
  <c r="BF61" i="21" s="1"/>
  <c r="BI61" i="21" s="1"/>
  <c r="X59" i="21"/>
  <c r="T59" i="21"/>
  <c r="W59" i="21"/>
  <c r="Z59" i="21"/>
  <c r="V59" i="21"/>
  <c r="Y59" i="21"/>
  <c r="U59" i="21"/>
  <c r="G59" i="21"/>
  <c r="J59" i="21"/>
  <c r="F59" i="21"/>
  <c r="I59" i="21"/>
  <c r="E59" i="21"/>
  <c r="H59" i="21"/>
  <c r="D59" i="21"/>
  <c r="J58" i="21"/>
  <c r="F58" i="21"/>
  <c r="I58" i="21"/>
  <c r="E58" i="21"/>
  <c r="H58" i="21"/>
  <c r="D58" i="21"/>
  <c r="G58" i="21"/>
  <c r="AY44" i="21"/>
  <c r="AZ44" i="21" s="1"/>
  <c r="AX61" i="21"/>
  <c r="BE61" i="21" s="1"/>
  <c r="BH61" i="21" s="1"/>
  <c r="BK61" i="21" s="1"/>
  <c r="BD60" i="21"/>
  <c r="BG60" i="21" s="1"/>
  <c r="BJ60" i="21" s="1"/>
  <c r="AS44" i="21"/>
  <c r="AT44" i="21" s="1"/>
  <c r="AR61" i="21"/>
  <c r="Q58" i="21"/>
  <c r="M58" i="21"/>
  <c r="P58" i="21"/>
  <c r="L58" i="21"/>
  <c r="O58" i="21"/>
  <c r="R58" i="21"/>
  <c r="N58" i="21"/>
  <c r="AN45" i="21"/>
  <c r="AP45" i="21" s="1"/>
  <c r="AQ32" i="21" a="1"/>
  <c r="AQ32" i="21" s="1"/>
  <c r="AV32" i="21"/>
  <c r="AW32" i="21" s="1" a="1"/>
  <c r="AW32" i="21" s="1"/>
  <c r="AI78" i="19"/>
  <c r="AE78" i="19"/>
  <c r="AA78" i="19"/>
  <c r="W78" i="19"/>
  <c r="AH78" i="19"/>
  <c r="AD78" i="19"/>
  <c r="Z78" i="19"/>
  <c r="V78" i="19"/>
  <c r="AG78" i="19"/>
  <c r="AC78" i="19"/>
  <c r="Y78" i="19"/>
  <c r="U78" i="19"/>
  <c r="S79" i="19"/>
  <c r="T78" i="19"/>
  <c r="AF78" i="19"/>
  <c r="AB78" i="19"/>
  <c r="X78" i="19"/>
  <c r="S94" i="19"/>
  <c r="AF93" i="19"/>
  <c r="AB93" i="19"/>
  <c r="X93" i="19"/>
  <c r="T93" i="19"/>
  <c r="AI93" i="19"/>
  <c r="AE93" i="19"/>
  <c r="AA93" i="19"/>
  <c r="W93" i="19"/>
  <c r="AH93" i="19"/>
  <c r="AD93" i="19"/>
  <c r="Z93" i="19"/>
  <c r="V93" i="19"/>
  <c r="U93" i="19"/>
  <c r="AG93" i="19"/>
  <c r="AC93" i="19"/>
  <c r="Y93" i="19"/>
  <c r="S63" i="19"/>
  <c r="AF62" i="19"/>
  <c r="AB62" i="19"/>
  <c r="X62" i="19"/>
  <c r="T62" i="19"/>
  <c r="AI62" i="19"/>
  <c r="AE62" i="19"/>
  <c r="AA62" i="19"/>
  <c r="W62" i="19"/>
  <c r="AH62" i="19"/>
  <c r="AD62" i="19"/>
  <c r="Z62" i="19"/>
  <c r="V62" i="19"/>
  <c r="U62" i="19"/>
  <c r="AG62" i="19"/>
  <c r="Y62" i="19"/>
  <c r="AC62" i="19"/>
  <c r="S110" i="19"/>
  <c r="AF109" i="19"/>
  <c r="AB109" i="19"/>
  <c r="X109" i="19"/>
  <c r="T109" i="19"/>
  <c r="AI109" i="19"/>
  <c r="AE109" i="19"/>
  <c r="AA109" i="19"/>
  <c r="W109" i="19"/>
  <c r="AH109" i="19"/>
  <c r="Z109" i="19"/>
  <c r="AG109" i="19"/>
  <c r="Y109" i="19"/>
  <c r="AD109" i="19"/>
  <c r="V109" i="19"/>
  <c r="U109" i="19"/>
  <c r="AC109" i="19"/>
  <c r="S33" i="19"/>
  <c r="AF32" i="19"/>
  <c r="AB32" i="19"/>
  <c r="X32" i="19"/>
  <c r="T32" i="19"/>
  <c r="Y32" i="19"/>
  <c r="AI32" i="19"/>
  <c r="AE32" i="19"/>
  <c r="AA32" i="19"/>
  <c r="W32" i="19"/>
  <c r="AC32" i="19"/>
  <c r="AH32" i="19"/>
  <c r="AD32" i="19"/>
  <c r="Z32" i="19"/>
  <c r="V32" i="19"/>
  <c r="AG32" i="19"/>
  <c r="U32" i="19"/>
  <c r="S47" i="19"/>
  <c r="AF46" i="19"/>
  <c r="AB46" i="19"/>
  <c r="X46" i="19"/>
  <c r="T46" i="19"/>
  <c r="AI46" i="19"/>
  <c r="AE46" i="19"/>
  <c r="AA46" i="19"/>
  <c r="W46" i="19"/>
  <c r="AH46" i="19"/>
  <c r="AD46" i="19"/>
  <c r="Z46" i="19"/>
  <c r="V46" i="19"/>
  <c r="U46" i="19"/>
  <c r="Y46" i="19"/>
  <c r="AG46" i="19"/>
  <c r="AC46" i="19"/>
  <c r="O1" i="19"/>
  <c r="N2" i="19"/>
  <c r="AN16" i="13"/>
  <c r="I31" i="13"/>
  <c r="D31" i="13"/>
  <c r="G31" i="13"/>
  <c r="F31" i="13"/>
  <c r="H31" i="13"/>
  <c r="C31" i="13"/>
  <c r="E31" i="13"/>
  <c r="G28" i="13"/>
  <c r="E27" i="13"/>
  <c r="G27" i="13"/>
  <c r="F27" i="13"/>
  <c r="I27" i="13"/>
  <c r="C27" i="13"/>
  <c r="H27" i="13"/>
  <c r="D27" i="13"/>
  <c r="AI29" i="13"/>
  <c r="F16" i="13"/>
  <c r="E16" i="13"/>
  <c r="D16" i="13"/>
  <c r="C16" i="13"/>
  <c r="I16" i="13"/>
  <c r="H16" i="13"/>
  <c r="G16" i="13"/>
  <c r="AM29" i="13"/>
  <c r="AN26" i="13"/>
  <c r="J13" i="13"/>
  <c r="N13" i="13"/>
  <c r="M13" i="13"/>
  <c r="P13" i="13"/>
  <c r="O13" i="13"/>
  <c r="L13" i="13"/>
  <c r="K13" i="13"/>
  <c r="C32" i="13"/>
  <c r="H26" i="13"/>
  <c r="I26" i="13"/>
  <c r="F26" i="13"/>
  <c r="E26" i="13"/>
  <c r="C26" i="13"/>
  <c r="D26" i="13"/>
  <c r="G26" i="13"/>
  <c r="C30" i="13"/>
  <c r="G30" i="13"/>
  <c r="I30" i="13"/>
  <c r="E30" i="13"/>
  <c r="H30" i="13"/>
  <c r="F30" i="13"/>
  <c r="D30" i="13"/>
  <c r="AN32" i="13"/>
  <c r="N19" i="13"/>
  <c r="P19" i="13"/>
  <c r="K19" i="13"/>
  <c r="L19" i="13"/>
  <c r="J19" i="13"/>
  <c r="O19" i="13"/>
  <c r="M19" i="13"/>
  <c r="M143" i="9" a="1"/>
  <c r="M143" i="9" s="1"/>
  <c r="M142" i="9" a="1"/>
  <c r="M142" i="9" s="1"/>
  <c r="M132" i="9" a="1"/>
  <c r="M132" i="9" s="1"/>
  <c r="M131" i="9" a="1"/>
  <c r="M131" i="9" s="1"/>
  <c r="M130" i="9" a="1"/>
  <c r="M130" i="9" s="1"/>
  <c r="M129" i="9" a="1"/>
  <c r="M129" i="9" s="1"/>
  <c r="M128" i="9" a="1"/>
  <c r="M128" i="9" s="1"/>
  <c r="M139" i="9" a="1"/>
  <c r="M139" i="9" s="1"/>
  <c r="M127" i="9" a="1"/>
  <c r="M127" i="9" s="1"/>
  <c r="M126" i="9" a="1"/>
  <c r="M126" i="9" s="1"/>
  <c r="M119" i="9" a="1"/>
  <c r="M119" i="9" s="1"/>
  <c r="M117" i="9" a="1"/>
  <c r="M117" i="9" s="1"/>
  <c r="M116" i="9" a="1"/>
  <c r="M116" i="9" s="1"/>
  <c r="M144" i="9" a="1"/>
  <c r="M144" i="9" s="1"/>
  <c r="M140" i="9" a="1"/>
  <c r="M140" i="9" s="1"/>
  <c r="M118" i="9" a="1"/>
  <c r="M118" i="9" s="1"/>
  <c r="M114" i="9" a="1"/>
  <c r="M114" i="9" s="1"/>
  <c r="M113" i="9" a="1"/>
  <c r="M113" i="9" s="1"/>
  <c r="M106" i="9" a="1"/>
  <c r="M106" i="9" s="1"/>
  <c r="M105" i="9" a="1"/>
  <c r="M105" i="9" s="1"/>
  <c r="M104" i="9" a="1"/>
  <c r="M104" i="9" s="1"/>
  <c r="M103" i="9" a="1"/>
  <c r="M103" i="9" s="1"/>
  <c r="M102" i="9" a="1"/>
  <c r="M102" i="9" s="1"/>
  <c r="M101" i="9" a="1"/>
  <c r="M101" i="9" s="1"/>
  <c r="M100" i="9" a="1"/>
  <c r="M100" i="9" s="1"/>
  <c r="M91" i="9" a="1"/>
  <c r="M91" i="9" s="1"/>
  <c r="M87" i="9" a="1"/>
  <c r="M87" i="9" s="1"/>
  <c r="M80" i="9" a="1"/>
  <c r="M80" i="9" s="1"/>
  <c r="M79" i="9" a="1"/>
  <c r="M79" i="9" s="1"/>
  <c r="M78" i="9" a="1"/>
  <c r="M78" i="9" s="1"/>
  <c r="M77" i="9" a="1"/>
  <c r="M77" i="9" s="1"/>
  <c r="M76" i="9" a="1"/>
  <c r="M76" i="9" s="1"/>
  <c r="M90" i="9" a="1"/>
  <c r="M90" i="9" s="1"/>
  <c r="M75" i="9" a="1"/>
  <c r="M75" i="9" s="1"/>
  <c r="M74" i="9" a="1"/>
  <c r="M74" i="9" s="1"/>
  <c r="M145" i="9" a="1"/>
  <c r="M145" i="9" s="1"/>
  <c r="M141" i="9" a="1"/>
  <c r="M141" i="9" s="1"/>
  <c r="M115" i="9" a="1"/>
  <c r="M115" i="9" s="1"/>
  <c r="M93" i="9" a="1"/>
  <c r="M93" i="9" s="1"/>
  <c r="M89" i="9" a="1"/>
  <c r="M89" i="9" s="1"/>
  <c r="M66" i="9" a="1"/>
  <c r="M66" i="9" s="1"/>
  <c r="M62" i="9" a="1"/>
  <c r="M62" i="9" s="1"/>
  <c r="M61" i="9" a="1"/>
  <c r="M61" i="9" s="1"/>
  <c r="M54" i="9" a="1"/>
  <c r="M54" i="9" s="1"/>
  <c r="M53" i="9" a="1"/>
  <c r="M53" i="9" s="1"/>
  <c r="M52" i="9" a="1"/>
  <c r="M52" i="9" s="1"/>
  <c r="M51" i="9" a="1"/>
  <c r="M51" i="9" s="1"/>
  <c r="M50" i="9" a="1"/>
  <c r="M50" i="9" s="1"/>
  <c r="M49" i="9" a="1"/>
  <c r="M49" i="9" s="1"/>
  <c r="M48" i="9" a="1"/>
  <c r="M48" i="9" s="1"/>
  <c r="M65" i="9" a="1"/>
  <c r="M65" i="9" s="1"/>
  <c r="M41" i="9" a="1"/>
  <c r="M41" i="9" s="1"/>
  <c r="M40" i="9" a="1"/>
  <c r="M40" i="9" s="1"/>
  <c r="M39" i="9" a="1"/>
  <c r="M39" i="9" s="1"/>
  <c r="M38" i="9" a="1"/>
  <c r="M38" i="9" s="1"/>
  <c r="M37" i="9" a="1"/>
  <c r="M37" i="9" s="1"/>
  <c r="M36" i="9" a="1"/>
  <c r="M36" i="9" s="1"/>
  <c r="M35" i="9" a="1"/>
  <c r="M35" i="9" s="1"/>
  <c r="M92" i="9" a="1"/>
  <c r="M92" i="9" s="1"/>
  <c r="M88" i="9" a="1"/>
  <c r="M88" i="9" s="1"/>
  <c r="M64" i="9" a="1"/>
  <c r="M64" i="9" s="1"/>
  <c r="M67" i="9" a="1"/>
  <c r="M67" i="9" s="1"/>
  <c r="M63" i="9" a="1"/>
  <c r="M63" i="9" s="1"/>
  <c r="M28" i="9" a="1"/>
  <c r="M28" i="9" s="1"/>
  <c r="M27" i="9" a="1"/>
  <c r="M27" i="9" s="1"/>
  <c r="M26" i="9" a="1"/>
  <c r="M26" i="9" s="1"/>
  <c r="M25" i="9" a="1"/>
  <c r="M25" i="9" s="1"/>
  <c r="M24" i="9" a="1"/>
  <c r="M24" i="9" s="1"/>
  <c r="M23" i="9" a="1"/>
  <c r="M23" i="9" s="1"/>
  <c r="M22" i="9" a="1"/>
  <c r="M22" i="9" s="1"/>
  <c r="M15" i="9" a="1"/>
  <c r="M15" i="9" s="1"/>
  <c r="M14" i="9" a="1"/>
  <c r="M14" i="9" s="1"/>
  <c r="M13" i="9" a="1"/>
  <c r="M13" i="9" s="1"/>
  <c r="M12" i="9" a="1"/>
  <c r="M12" i="9" s="1"/>
  <c r="M11" i="9" a="1"/>
  <c r="M11" i="9" s="1"/>
  <c r="M10" i="9" a="1"/>
  <c r="M10" i="9" s="1"/>
  <c r="M9" i="9" a="1"/>
  <c r="M9" i="9" s="1"/>
  <c r="O14" i="14" a="1"/>
  <c r="O14" i="14" s="1"/>
  <c r="F78" i="14" a="1"/>
  <c r="F78" i="14" s="1"/>
  <c r="O110" i="14" a="1"/>
  <c r="O110" i="14" s="1"/>
  <c r="X30" i="14" a="1"/>
  <c r="X30" i="14" s="1"/>
  <c r="F126" i="14" a="1"/>
  <c r="F126" i="14" s="1"/>
  <c r="I78" i="14" a="1"/>
  <c r="I78" i="14" s="1"/>
  <c r="O46" i="14" a="1"/>
  <c r="O46" i="14" s="1"/>
  <c r="U62" i="14" a="1"/>
  <c r="U62" i="14" s="1"/>
  <c r="U78" i="14" a="1"/>
  <c r="U78" i="14" s="1"/>
  <c r="O62" i="14" a="1"/>
  <c r="O62" i="14" s="1"/>
  <c r="O94" i="14" a="1"/>
  <c r="O94" i="14" s="1"/>
  <c r="R46" i="14" a="1"/>
  <c r="R46" i="14" s="1"/>
  <c r="R110" i="14" a="1"/>
  <c r="R110" i="14" s="1"/>
  <c r="U30" i="14" a="1"/>
  <c r="U30" i="14" s="1"/>
  <c r="U46" i="14" a="1"/>
  <c r="U46" i="14" s="1"/>
  <c r="F62" i="14" a="1"/>
  <c r="F62" i="14" s="1"/>
  <c r="F14" i="14" a="1"/>
  <c r="F14" i="14" s="1"/>
  <c r="I14" i="14" a="1"/>
  <c r="I14" i="14" s="1"/>
  <c r="U14" i="14" a="1"/>
  <c r="U14" i="14" s="1"/>
  <c r="L78" i="14" a="1"/>
  <c r="L78" i="14" s="1"/>
  <c r="X110" i="14" a="1"/>
  <c r="X110" i="14" s="1"/>
  <c r="F30" i="14" a="1"/>
  <c r="F30" i="14" s="1"/>
  <c r="I30" i="14" a="1"/>
  <c r="I30" i="14" s="1"/>
  <c r="I94" i="14" a="1"/>
  <c r="I94" i="14" s="1"/>
  <c r="L30" i="14" a="1"/>
  <c r="L30" i="14" s="1"/>
  <c r="L94" i="14" a="1"/>
  <c r="L94" i="14" s="1"/>
  <c r="U126" i="14" a="1"/>
  <c r="U126" i="14" s="1"/>
  <c r="R62" i="14" a="1"/>
  <c r="R62" i="14" s="1"/>
  <c r="R126" i="14" a="1"/>
  <c r="R126" i="14" s="1"/>
  <c r="U94" i="14" a="1"/>
  <c r="U94" i="14" s="1"/>
  <c r="X14" i="14" a="1"/>
  <c r="X14" i="14" s="1"/>
  <c r="U110" i="14" a="1"/>
  <c r="U110" i="14" s="1"/>
  <c r="L14" i="14" a="1"/>
  <c r="L14" i="14" s="1"/>
  <c r="X126" i="14" a="1"/>
  <c r="X126" i="14" s="1"/>
  <c r="F46" i="14" a="1"/>
  <c r="F46" i="14" s="1"/>
  <c r="F110" i="14" a="1"/>
  <c r="F110" i="14" s="1"/>
  <c r="F94" i="14" a="1"/>
  <c r="F94" i="14" s="1"/>
  <c r="I46" i="14" a="1"/>
  <c r="I46" i="14" s="1"/>
  <c r="I110" i="14" a="1"/>
  <c r="I110" i="14" s="1"/>
  <c r="L46" i="14" a="1"/>
  <c r="L46" i="14" s="1"/>
  <c r="L110" i="14" a="1"/>
  <c r="L110" i="14" s="1"/>
  <c r="O126" i="14" a="1"/>
  <c r="O126" i="14" s="1"/>
  <c r="X62" i="14" a="1"/>
  <c r="X62" i="14" s="1"/>
  <c r="R14" i="14" a="1"/>
  <c r="R14" i="14" s="1"/>
  <c r="R78" i="14" a="1"/>
  <c r="R78" i="14" s="1"/>
  <c r="I62" i="14" a="1"/>
  <c r="I62" i="14" s="1"/>
  <c r="I126" i="14" a="1"/>
  <c r="I126" i="14" s="1"/>
  <c r="L62" i="14" a="1"/>
  <c r="L62" i="14" s="1"/>
  <c r="L126" i="14" a="1"/>
  <c r="L126" i="14" s="1"/>
  <c r="O78" i="14" a="1"/>
  <c r="O78" i="14" s="1"/>
  <c r="X94" i="14" a="1"/>
  <c r="X94" i="14" s="1"/>
  <c r="R30" i="14" a="1"/>
  <c r="R30" i="14" s="1"/>
  <c r="R94" i="14" a="1"/>
  <c r="R94" i="14" s="1"/>
  <c r="X78" i="14" a="1"/>
  <c r="X78" i="14" s="1"/>
  <c r="N1" i="12"/>
  <c r="M2" i="12"/>
  <c r="M114" i="12"/>
  <c r="W127" i="14" s="1" a="1"/>
  <c r="W127" i="14" s="1"/>
  <c r="M113" i="12"/>
  <c r="W111" i="14" s="1" a="1"/>
  <c r="W111" i="14" s="1"/>
  <c r="M112" i="12"/>
  <c r="W95" i="14" s="1" a="1"/>
  <c r="W95" i="14" s="1"/>
  <c r="M111" i="12"/>
  <c r="W79" i="14" s="1" a="1"/>
  <c r="W79" i="14" s="1"/>
  <c r="M110" i="12"/>
  <c r="W63" i="14" s="1" a="1"/>
  <c r="W63" i="14" s="1"/>
  <c r="M109" i="12"/>
  <c r="W47" i="14" s="1" a="1"/>
  <c r="W47" i="14" s="1"/>
  <c r="M108" i="12"/>
  <c r="W31" i="14" s="1" a="1"/>
  <c r="W31" i="14" s="1"/>
  <c r="M107" i="12"/>
  <c r="W15" i="14" s="1" a="1"/>
  <c r="W15" i="14" s="1"/>
  <c r="M106" i="12"/>
  <c r="V127" i="14" s="1" a="1"/>
  <c r="V127" i="14" s="1"/>
  <c r="M105" i="12"/>
  <c r="V111" i="14" s="1" a="1"/>
  <c r="V111" i="14" s="1"/>
  <c r="M104" i="12"/>
  <c r="V95" i="14" s="1" a="1"/>
  <c r="V95" i="14" s="1"/>
  <c r="M103" i="12"/>
  <c r="V79" i="14" s="1" a="1"/>
  <c r="V79" i="14" s="1"/>
  <c r="M102" i="12"/>
  <c r="V63" i="14" s="1" a="1"/>
  <c r="V63" i="14" s="1"/>
  <c r="M101" i="12"/>
  <c r="V47" i="14" s="1" a="1"/>
  <c r="V47" i="14" s="1"/>
  <c r="M100" i="12"/>
  <c r="V31" i="14" s="1" a="1"/>
  <c r="V31" i="14" s="1"/>
  <c r="M99" i="12"/>
  <c r="V15" i="14" s="1" a="1"/>
  <c r="V15" i="14" s="1"/>
  <c r="M98" i="12"/>
  <c r="T127" i="14" s="1" a="1"/>
  <c r="T127" i="14" s="1"/>
  <c r="M97" i="12"/>
  <c r="T111" i="14" s="1" a="1"/>
  <c r="T111" i="14" s="1"/>
  <c r="M96" i="12"/>
  <c r="T95" i="14" s="1" a="1"/>
  <c r="T95" i="14" s="1"/>
  <c r="M95" i="12"/>
  <c r="T79" i="14" s="1" a="1"/>
  <c r="T79" i="14" s="1"/>
  <c r="M94" i="12"/>
  <c r="T63" i="14" s="1" a="1"/>
  <c r="T63" i="14" s="1"/>
  <c r="M93" i="12"/>
  <c r="T47" i="14" s="1" a="1"/>
  <c r="T47" i="14" s="1"/>
  <c r="M92" i="12"/>
  <c r="T31" i="14" s="1" a="1"/>
  <c r="T31" i="14" s="1"/>
  <c r="M91" i="12"/>
  <c r="T15" i="14" s="1" a="1"/>
  <c r="T15" i="14" s="1"/>
  <c r="M90" i="12"/>
  <c r="S127" i="14" s="1" a="1"/>
  <c r="S127" i="14" s="1"/>
  <c r="M89" i="12"/>
  <c r="S111" i="14" s="1" a="1"/>
  <c r="S111" i="14" s="1"/>
  <c r="M88" i="12"/>
  <c r="S95" i="14" s="1" a="1"/>
  <c r="S95" i="14" s="1"/>
  <c r="M87" i="12"/>
  <c r="S79" i="14" s="1" a="1"/>
  <c r="S79" i="14" s="1"/>
  <c r="M86" i="12"/>
  <c r="S63" i="14" s="1" a="1"/>
  <c r="S63" i="14" s="1"/>
  <c r="M85" i="12"/>
  <c r="S47" i="14" s="1" a="1"/>
  <c r="S47" i="14" s="1"/>
  <c r="M84" i="12"/>
  <c r="S31" i="14" s="1" a="1"/>
  <c r="S31" i="14" s="1"/>
  <c r="M83" i="12"/>
  <c r="S15" i="14" s="1" a="1"/>
  <c r="S15" i="14" s="1"/>
  <c r="M82" i="12"/>
  <c r="Q127" i="14" s="1" a="1"/>
  <c r="Q127" i="14" s="1"/>
  <c r="M81" i="12"/>
  <c r="Q111" i="14" s="1" a="1"/>
  <c r="Q111" i="14" s="1"/>
  <c r="M80" i="12"/>
  <c r="Q95" i="14" s="1" a="1"/>
  <c r="Q95" i="14" s="1"/>
  <c r="M79" i="12"/>
  <c r="Q79" i="14" s="1" a="1"/>
  <c r="Q79" i="14" s="1"/>
  <c r="M78" i="12"/>
  <c r="Q63" i="14" s="1" a="1"/>
  <c r="Q63" i="14" s="1"/>
  <c r="M77" i="12"/>
  <c r="Q47" i="14" s="1" a="1"/>
  <c r="Q47" i="14" s="1"/>
  <c r="M76" i="12"/>
  <c r="Q31" i="14" s="1" a="1"/>
  <c r="Q31" i="14" s="1"/>
  <c r="M75" i="12"/>
  <c r="Q15" i="14" s="1" a="1"/>
  <c r="Q15" i="14" s="1"/>
  <c r="M74" i="12"/>
  <c r="P127" i="14" s="1" a="1"/>
  <c r="P127" i="14" s="1"/>
  <c r="M73" i="12"/>
  <c r="P111" i="14" s="1" a="1"/>
  <c r="P111" i="14" s="1"/>
  <c r="M72" i="12"/>
  <c r="P95" i="14" s="1" a="1"/>
  <c r="P95" i="14" s="1"/>
  <c r="M71" i="12"/>
  <c r="P79" i="14" s="1" a="1"/>
  <c r="P79" i="14" s="1"/>
  <c r="M70" i="12"/>
  <c r="P63" i="14" s="1" a="1"/>
  <c r="P63" i="14" s="1"/>
  <c r="M69" i="12"/>
  <c r="P47" i="14" s="1" a="1"/>
  <c r="P47" i="14" s="1"/>
  <c r="M68" i="12"/>
  <c r="P31" i="14" s="1" a="1"/>
  <c r="P31" i="14" s="1"/>
  <c r="M67" i="12"/>
  <c r="P15" i="14" s="1" a="1"/>
  <c r="P15" i="14" s="1"/>
  <c r="M66" i="12"/>
  <c r="N127" i="14" s="1" a="1"/>
  <c r="N127" i="14" s="1"/>
  <c r="M65" i="12"/>
  <c r="N111" i="14" s="1" a="1"/>
  <c r="N111" i="14" s="1"/>
  <c r="M64" i="12"/>
  <c r="N95" i="14" s="1" a="1"/>
  <c r="N95" i="14" s="1"/>
  <c r="M63" i="12"/>
  <c r="N79" i="14" s="1" a="1"/>
  <c r="N79" i="14" s="1"/>
  <c r="M62" i="12"/>
  <c r="N63" i="14" s="1" a="1"/>
  <c r="N63" i="14" s="1"/>
  <c r="M61" i="12"/>
  <c r="N47" i="14" s="1" a="1"/>
  <c r="N47" i="14" s="1"/>
  <c r="M60" i="12"/>
  <c r="N31" i="14" s="1" a="1"/>
  <c r="N31" i="14" s="1"/>
  <c r="M59" i="12"/>
  <c r="N15" i="14" s="1" a="1"/>
  <c r="N15" i="14" s="1"/>
  <c r="M58" i="12"/>
  <c r="M127" i="14" s="1" a="1"/>
  <c r="M127" i="14" s="1"/>
  <c r="M31" i="12"/>
  <c r="H79" i="14" s="1" a="1"/>
  <c r="H79" i="14" s="1"/>
  <c r="M30" i="12"/>
  <c r="H63" i="14" s="1" a="1"/>
  <c r="H63" i="14" s="1"/>
  <c r="M29" i="12"/>
  <c r="H47" i="14" s="1" a="1"/>
  <c r="H47" i="14" s="1"/>
  <c r="M28" i="12"/>
  <c r="H31" i="14" s="1" a="1"/>
  <c r="H31" i="14" s="1"/>
  <c r="M27" i="12"/>
  <c r="H15" i="14" s="1" a="1"/>
  <c r="H15" i="14" s="1"/>
  <c r="M26" i="12"/>
  <c r="G127" i="14" s="1" a="1"/>
  <c r="G127" i="14" s="1"/>
  <c r="M25" i="12"/>
  <c r="G111" i="14" s="1" a="1"/>
  <c r="G111" i="14" s="1"/>
  <c r="M24" i="12"/>
  <c r="G95" i="14" s="1" a="1"/>
  <c r="G95" i="14" s="1"/>
  <c r="M23" i="12"/>
  <c r="G79" i="14" s="1" a="1"/>
  <c r="G79" i="14" s="1"/>
  <c r="M22" i="12"/>
  <c r="G63" i="14" s="1" a="1"/>
  <c r="G63" i="14" s="1"/>
  <c r="M21" i="12"/>
  <c r="G47" i="14" s="1" a="1"/>
  <c r="G47" i="14" s="1"/>
  <c r="M20" i="12"/>
  <c r="G31" i="14" s="1" a="1"/>
  <c r="G31" i="14" s="1"/>
  <c r="M19" i="12"/>
  <c r="G15" i="14" s="1" a="1"/>
  <c r="G15" i="14" s="1"/>
  <c r="M18" i="12"/>
  <c r="E127" i="14" s="1" a="1"/>
  <c r="E127" i="14" s="1"/>
  <c r="M17" i="12"/>
  <c r="E111" i="14" s="1" a="1"/>
  <c r="E111" i="14" s="1"/>
  <c r="M16" i="12"/>
  <c r="E95" i="14" s="1" a="1"/>
  <c r="E95" i="14" s="1"/>
  <c r="M15" i="12"/>
  <c r="E79" i="14" s="1" a="1"/>
  <c r="E79" i="14" s="1"/>
  <c r="M14" i="12"/>
  <c r="E63" i="14" s="1" a="1"/>
  <c r="E63" i="14" s="1"/>
  <c r="M13" i="12"/>
  <c r="E47" i="14" s="1" a="1"/>
  <c r="E47" i="14" s="1"/>
  <c r="M12" i="12"/>
  <c r="E31" i="14" s="1" a="1"/>
  <c r="E31" i="14" s="1"/>
  <c r="M11" i="12"/>
  <c r="E15" i="14" s="1" a="1"/>
  <c r="E15" i="14" s="1"/>
  <c r="D127" i="14" a="1"/>
  <c r="D127" i="14" s="1"/>
  <c r="M9" i="12"/>
  <c r="D111" i="14" s="1" a="1"/>
  <c r="D111" i="14" s="1"/>
  <c r="M57" i="12"/>
  <c r="M111" i="14" s="1" a="1"/>
  <c r="M111" i="14" s="1"/>
  <c r="M55" i="12"/>
  <c r="M79" i="14" s="1" a="1"/>
  <c r="M79" i="14" s="1"/>
  <c r="M53" i="12"/>
  <c r="M47" i="14" s="1" a="1"/>
  <c r="M47" i="14" s="1"/>
  <c r="M51" i="12"/>
  <c r="M15" i="14" s="1" a="1"/>
  <c r="M15" i="14" s="1"/>
  <c r="M49" i="12"/>
  <c r="K111" i="14" s="1" a="1"/>
  <c r="K111" i="14" s="1"/>
  <c r="M47" i="12"/>
  <c r="K79" i="14" s="1" a="1"/>
  <c r="K79" i="14" s="1"/>
  <c r="M45" i="12"/>
  <c r="K47" i="14" s="1" a="1"/>
  <c r="K47" i="14" s="1"/>
  <c r="M43" i="12"/>
  <c r="K15" i="14" s="1" a="1"/>
  <c r="K15" i="14" s="1"/>
  <c r="M41" i="12"/>
  <c r="J111" i="14" s="1" a="1"/>
  <c r="J111" i="14" s="1"/>
  <c r="M39" i="12"/>
  <c r="J79" i="14" s="1" a="1"/>
  <c r="J79" i="14" s="1"/>
  <c r="M37" i="12"/>
  <c r="J47" i="14" s="1" a="1"/>
  <c r="J47" i="14" s="1"/>
  <c r="M35" i="12"/>
  <c r="J15" i="14" s="1" a="1"/>
  <c r="J15" i="14" s="1"/>
  <c r="L15" i="14" s="1" a="1"/>
  <c r="L15" i="14" s="1"/>
  <c r="M33" i="12"/>
  <c r="H111" i="14" s="1" a="1"/>
  <c r="H111" i="14" s="1"/>
  <c r="M8" i="12"/>
  <c r="D95" i="14" s="1" a="1"/>
  <c r="D95" i="14" s="1"/>
  <c r="M7" i="12"/>
  <c r="D79" i="14" s="1" a="1"/>
  <c r="D79" i="14" s="1"/>
  <c r="M6" i="12"/>
  <c r="D63" i="14" s="1" a="1"/>
  <c r="D63" i="14" s="1"/>
  <c r="M5" i="12"/>
  <c r="D47" i="14" s="1" a="1"/>
  <c r="D47" i="14" s="1"/>
  <c r="M4" i="12"/>
  <c r="D31" i="14" s="1" a="1"/>
  <c r="D31" i="14" s="1"/>
  <c r="M3" i="12"/>
  <c r="D15" i="14" s="1" a="1"/>
  <c r="D15" i="14" s="1"/>
  <c r="M56" i="12"/>
  <c r="M95" i="14" s="1" a="1"/>
  <c r="M95" i="14" s="1"/>
  <c r="M54" i="12"/>
  <c r="M63" i="14" s="1" a="1"/>
  <c r="M63" i="14" s="1"/>
  <c r="M52" i="12"/>
  <c r="M31" i="14" s="1" a="1"/>
  <c r="M31" i="14" s="1"/>
  <c r="M50" i="12"/>
  <c r="K127" i="14" s="1" a="1"/>
  <c r="K127" i="14" s="1"/>
  <c r="M48" i="12"/>
  <c r="K95" i="14" s="1" a="1"/>
  <c r="K95" i="14" s="1"/>
  <c r="M46" i="12"/>
  <c r="K63" i="14" s="1" a="1"/>
  <c r="K63" i="14" s="1"/>
  <c r="M44" i="12"/>
  <c r="K31" i="14" s="1" a="1"/>
  <c r="K31" i="14" s="1"/>
  <c r="M42" i="12"/>
  <c r="J127" i="14" s="1" a="1"/>
  <c r="J127" i="14" s="1"/>
  <c r="M40" i="12"/>
  <c r="J95" i="14" s="1" a="1"/>
  <c r="J95" i="14" s="1"/>
  <c r="M38" i="12"/>
  <c r="J63" i="14" s="1" a="1"/>
  <c r="J63" i="14" s="1"/>
  <c r="M36" i="12"/>
  <c r="J31" i="14" s="1" a="1"/>
  <c r="J31" i="14" s="1"/>
  <c r="M34" i="12"/>
  <c r="H127" i="14" s="1" a="1"/>
  <c r="H127" i="14" s="1"/>
  <c r="I127" i="14" s="1" a="1"/>
  <c r="I127" i="14" s="1"/>
  <c r="M32" i="12"/>
  <c r="H95" i="14" s="1" a="1"/>
  <c r="H95" i="14" s="1"/>
  <c r="H16" i="8"/>
  <c r="G17" i="8"/>
  <c r="N1" i="9"/>
  <c r="M2" i="9"/>
  <c r="N2" i="7"/>
  <c r="M156" i="7"/>
  <c r="M155" i="7"/>
  <c r="D145" i="9" s="1" a="1"/>
  <c r="D145" i="9" s="1"/>
  <c r="M154" i="7"/>
  <c r="D144" i="9" s="1" a="1"/>
  <c r="D144" i="9" s="1"/>
  <c r="M153" i="7"/>
  <c r="D143" i="9" s="1" a="1"/>
  <c r="D143" i="9" s="1"/>
  <c r="M152" i="7"/>
  <c r="D142" i="9" s="1" a="1"/>
  <c r="D142" i="9" s="1"/>
  <c r="M151" i="7"/>
  <c r="D141" i="9" s="1" a="1"/>
  <c r="D141" i="9" s="1"/>
  <c r="M150" i="7"/>
  <c r="D140" i="9" s="1" a="1"/>
  <c r="D140" i="9" s="1"/>
  <c r="M149" i="7"/>
  <c r="M148" i="7"/>
  <c r="L138" i="9" s="1" a="1"/>
  <c r="L138" i="9" s="1"/>
  <c r="M145" i="7"/>
  <c r="L135" i="9" s="1" a="1"/>
  <c r="L135" i="9" s="1"/>
  <c r="M141" i="7"/>
  <c r="D132" i="9" s="1" a="1"/>
  <c r="D132" i="9" s="1"/>
  <c r="M137" i="7"/>
  <c r="D128" i="9" s="1" a="1"/>
  <c r="D128" i="9" s="1"/>
  <c r="M144" i="7"/>
  <c r="L134" i="9" s="1" a="1"/>
  <c r="L134" i="9" s="1"/>
  <c r="M140" i="7"/>
  <c r="D131" i="9" s="1" a="1"/>
  <c r="D131" i="9" s="1"/>
  <c r="M136" i="7"/>
  <c r="D127" i="9" s="1" a="1"/>
  <c r="D127" i="9" s="1"/>
  <c r="M147" i="7"/>
  <c r="L137" i="9" s="1" a="1"/>
  <c r="L137" i="9" s="1"/>
  <c r="M143" i="7"/>
  <c r="L133" i="9" s="1" a="1"/>
  <c r="L133" i="9" s="1"/>
  <c r="M139" i="7"/>
  <c r="D130" i="9" s="1" a="1"/>
  <c r="D130" i="9" s="1"/>
  <c r="M134" i="7"/>
  <c r="L125" i="9" s="1" a="1"/>
  <c r="L125" i="9" s="1"/>
  <c r="M130" i="7"/>
  <c r="L121" i="9" s="1" a="1"/>
  <c r="L121" i="9" s="1"/>
  <c r="M126" i="7"/>
  <c r="D118" i="9" s="1" a="1"/>
  <c r="D118" i="9" s="1"/>
  <c r="M122" i="7"/>
  <c r="D114" i="9" s="1" a="1"/>
  <c r="D114" i="9" s="1"/>
  <c r="M133" i="7"/>
  <c r="L124" i="9" s="1" a="1"/>
  <c r="L124" i="9" s="1"/>
  <c r="M129" i="7"/>
  <c r="L120" i="9" s="1" a="1"/>
  <c r="L120" i="9" s="1"/>
  <c r="M125" i="7"/>
  <c r="D117" i="9" s="1" a="1"/>
  <c r="D117" i="9" s="1"/>
  <c r="M146" i="7"/>
  <c r="L136" i="9" s="1" a="1"/>
  <c r="L136" i="9" s="1"/>
  <c r="M142" i="7"/>
  <c r="M138" i="7"/>
  <c r="D129" i="9" s="1" a="1"/>
  <c r="D129" i="9" s="1"/>
  <c r="M132" i="7"/>
  <c r="L123" i="9" s="1" a="1"/>
  <c r="L123" i="9" s="1"/>
  <c r="M128" i="7"/>
  <c r="M124" i="7"/>
  <c r="D116" i="9" s="1" a="1"/>
  <c r="D116" i="9" s="1"/>
  <c r="M121" i="7"/>
  <c r="M120" i="7"/>
  <c r="L112" i="9" s="1" a="1"/>
  <c r="L112" i="9" s="1"/>
  <c r="M119" i="7"/>
  <c r="L111" i="9" s="1" a="1"/>
  <c r="L111" i="9" s="1"/>
  <c r="M118" i="7"/>
  <c r="L110" i="9" s="1" a="1"/>
  <c r="L110" i="9" s="1"/>
  <c r="M117" i="7"/>
  <c r="L109" i="9" s="1" a="1"/>
  <c r="L109" i="9" s="1"/>
  <c r="M116" i="7"/>
  <c r="L108" i="9" s="1" a="1"/>
  <c r="L108" i="9" s="1"/>
  <c r="M115" i="7"/>
  <c r="L107" i="9" s="1" a="1"/>
  <c r="L107" i="9" s="1"/>
  <c r="M114" i="7"/>
  <c r="M113" i="7"/>
  <c r="D106" i="9" s="1" a="1"/>
  <c r="D106" i="9" s="1"/>
  <c r="M112" i="7"/>
  <c r="D105" i="9" s="1" a="1"/>
  <c r="D105" i="9" s="1"/>
  <c r="M111" i="7"/>
  <c r="D104" i="9" s="1" a="1"/>
  <c r="D104" i="9" s="1"/>
  <c r="M110" i="7"/>
  <c r="D103" i="9" s="1" a="1"/>
  <c r="D103" i="9" s="1"/>
  <c r="M109" i="7"/>
  <c r="D102" i="9" s="1" a="1"/>
  <c r="D102" i="9" s="1"/>
  <c r="M108" i="7"/>
  <c r="D101" i="9" s="1" a="1"/>
  <c r="D101" i="9" s="1"/>
  <c r="M107" i="7"/>
  <c r="M106" i="7"/>
  <c r="L99" i="9" s="1" a="1"/>
  <c r="L99" i="9" s="1"/>
  <c r="M105" i="7"/>
  <c r="L98" i="9" s="1" a="1"/>
  <c r="L98" i="9" s="1"/>
  <c r="M135" i="7"/>
  <c r="M131" i="7"/>
  <c r="L122" i="9" s="1" a="1"/>
  <c r="L122" i="9" s="1"/>
  <c r="M127" i="7"/>
  <c r="D119" i="9" s="1" a="1"/>
  <c r="D119" i="9" s="1"/>
  <c r="M123" i="7"/>
  <c r="D115" i="9" s="1" a="1"/>
  <c r="D115" i="9" s="1"/>
  <c r="M104" i="7"/>
  <c r="L97" i="9" s="1" a="1"/>
  <c r="L97" i="9" s="1"/>
  <c r="M103" i="7"/>
  <c r="L96" i="9" s="1" a="1"/>
  <c r="L96" i="9" s="1"/>
  <c r="M100" i="7"/>
  <c r="M99" i="7"/>
  <c r="D93" i="9" s="1" a="1"/>
  <c r="D93" i="9" s="1"/>
  <c r="M98" i="7"/>
  <c r="D92" i="9" s="1" a="1"/>
  <c r="D92" i="9" s="1"/>
  <c r="M97" i="7"/>
  <c r="D91" i="9" s="1" a="1"/>
  <c r="D91" i="9" s="1"/>
  <c r="M96" i="7"/>
  <c r="D90" i="9" s="1" a="1"/>
  <c r="D90" i="9" s="1"/>
  <c r="M95" i="7"/>
  <c r="D89" i="9" s="1" a="1"/>
  <c r="D89" i="9" s="1"/>
  <c r="M94" i="7"/>
  <c r="D88" i="9" s="1" a="1"/>
  <c r="D88" i="9" s="1"/>
  <c r="M93" i="7"/>
  <c r="M92" i="7"/>
  <c r="L86" i="9" s="1" a="1"/>
  <c r="L86" i="9" s="1"/>
  <c r="M91" i="7"/>
  <c r="L85" i="9" s="1" a="1"/>
  <c r="L85" i="9" s="1"/>
  <c r="M90" i="7"/>
  <c r="L84" i="9" s="1" a="1"/>
  <c r="L84" i="9" s="1"/>
  <c r="M89" i="7"/>
  <c r="L83" i="9" s="1" a="1"/>
  <c r="L83" i="9" s="1"/>
  <c r="M88" i="7"/>
  <c r="L82" i="9" s="1" a="1"/>
  <c r="L82" i="9" s="1"/>
  <c r="M87" i="7"/>
  <c r="L81" i="9" s="1" a="1"/>
  <c r="L81" i="9" s="1"/>
  <c r="M86" i="7"/>
  <c r="M85" i="7"/>
  <c r="D80" i="9" s="1" a="1"/>
  <c r="D80" i="9" s="1"/>
  <c r="M84" i="7"/>
  <c r="D79" i="9" s="1" a="1"/>
  <c r="D79" i="9" s="1"/>
  <c r="M83" i="7"/>
  <c r="D78" i="9" s="1" a="1"/>
  <c r="D78" i="9" s="1"/>
  <c r="M82" i="7"/>
  <c r="D77" i="9" s="1" a="1"/>
  <c r="D77" i="9" s="1"/>
  <c r="M81" i="7"/>
  <c r="D76" i="9" s="1" a="1"/>
  <c r="D76" i="9" s="1"/>
  <c r="M80" i="7"/>
  <c r="D75" i="9" s="1" a="1"/>
  <c r="D75" i="9" s="1"/>
  <c r="M79" i="7"/>
  <c r="M78" i="7"/>
  <c r="L73" i="9" s="1" a="1"/>
  <c r="L73" i="9" s="1"/>
  <c r="M77" i="7"/>
  <c r="L72" i="9" s="1" a="1"/>
  <c r="L72" i="9" s="1"/>
  <c r="M76" i="7"/>
  <c r="L71" i="9" s="1" a="1"/>
  <c r="L71" i="9" s="1"/>
  <c r="M75" i="7"/>
  <c r="L70" i="9" s="1" a="1"/>
  <c r="L70" i="9" s="1"/>
  <c r="M74" i="7"/>
  <c r="L69" i="9" s="1" a="1"/>
  <c r="L69" i="9" s="1"/>
  <c r="M73" i="7"/>
  <c r="L68" i="9" s="1" a="1"/>
  <c r="L68" i="9" s="1"/>
  <c r="M72" i="7"/>
  <c r="M71" i="7"/>
  <c r="D67" i="9" s="1" a="1"/>
  <c r="D67" i="9" s="1"/>
  <c r="M70" i="7"/>
  <c r="D66" i="9" s="1" a="1"/>
  <c r="D66" i="9" s="1"/>
  <c r="M69" i="7"/>
  <c r="D65" i="9" s="1" a="1"/>
  <c r="D65" i="9" s="1"/>
  <c r="M68" i="7"/>
  <c r="D64" i="9" s="1" a="1"/>
  <c r="D64" i="9" s="1"/>
  <c r="M67" i="7"/>
  <c r="D63" i="9" s="1" a="1"/>
  <c r="D63" i="9" s="1"/>
  <c r="M66" i="7"/>
  <c r="D62" i="9" s="1" a="1"/>
  <c r="D62" i="9" s="1"/>
  <c r="M102" i="7"/>
  <c r="L95" i="9" s="1" a="1"/>
  <c r="L95" i="9" s="1"/>
  <c r="M65" i="7"/>
  <c r="M64" i="7"/>
  <c r="L60" i="9" s="1" a="1"/>
  <c r="L60" i="9" s="1"/>
  <c r="M63" i="7"/>
  <c r="L59" i="9" s="1" a="1"/>
  <c r="L59" i="9" s="1"/>
  <c r="M62" i="7"/>
  <c r="L58" i="9" s="1" a="1"/>
  <c r="L58" i="9" s="1"/>
  <c r="M61" i="7"/>
  <c r="L57" i="9" s="1" a="1"/>
  <c r="L57" i="9" s="1"/>
  <c r="M60" i="7"/>
  <c r="L56" i="9" s="1" a="1"/>
  <c r="L56" i="9" s="1"/>
  <c r="M59" i="7"/>
  <c r="L55" i="9" s="1" a="1"/>
  <c r="L55" i="9" s="1"/>
  <c r="M58" i="7"/>
  <c r="M57" i="7"/>
  <c r="D54" i="9" s="1" a="1"/>
  <c r="D54" i="9" s="1"/>
  <c r="M56" i="7"/>
  <c r="D53" i="9" s="1" a="1"/>
  <c r="D53" i="9" s="1"/>
  <c r="M55" i="7"/>
  <c r="D52" i="9" s="1" a="1"/>
  <c r="D52" i="9" s="1"/>
  <c r="M54" i="7"/>
  <c r="D51" i="9" s="1" a="1"/>
  <c r="D51" i="9" s="1"/>
  <c r="M53" i="7"/>
  <c r="D50" i="9" s="1" a="1"/>
  <c r="D50" i="9" s="1"/>
  <c r="M52" i="7"/>
  <c r="D49" i="9" s="1" a="1"/>
  <c r="D49" i="9" s="1"/>
  <c r="M51" i="7"/>
  <c r="M50" i="7"/>
  <c r="L47" i="9" s="1" a="1"/>
  <c r="L47" i="9" s="1"/>
  <c r="M49" i="7"/>
  <c r="L46" i="9" s="1" a="1"/>
  <c r="L46" i="9" s="1"/>
  <c r="M48" i="7"/>
  <c r="L45" i="9" s="1" a="1"/>
  <c r="L45" i="9" s="1"/>
  <c r="M47" i="7"/>
  <c r="L44" i="9" s="1" a="1"/>
  <c r="L44" i="9" s="1"/>
  <c r="M46" i="7"/>
  <c r="L43" i="9" s="1" a="1"/>
  <c r="L43" i="9" s="1"/>
  <c r="M45" i="7"/>
  <c r="L42" i="9" s="1" a="1"/>
  <c r="L42" i="9" s="1"/>
  <c r="M44" i="7"/>
  <c r="M43" i="7"/>
  <c r="D41" i="9" s="1" a="1"/>
  <c r="D41" i="9" s="1"/>
  <c r="M42" i="7"/>
  <c r="D40" i="9" s="1" a="1"/>
  <c r="D40" i="9" s="1"/>
  <c r="M41" i="7"/>
  <c r="D39" i="9" s="1" a="1"/>
  <c r="D39" i="9" s="1"/>
  <c r="M40" i="7"/>
  <c r="D38" i="9" s="1" a="1"/>
  <c r="D38" i="9" s="1"/>
  <c r="M39" i="7"/>
  <c r="D37" i="9" s="1" a="1"/>
  <c r="D37" i="9" s="1"/>
  <c r="M38" i="7"/>
  <c r="D36" i="9" s="1" a="1"/>
  <c r="D36" i="9" s="1"/>
  <c r="M37" i="7"/>
  <c r="M36" i="7"/>
  <c r="L34" i="9" s="1" a="1"/>
  <c r="L34" i="9" s="1"/>
  <c r="M35" i="7"/>
  <c r="L33" i="9" s="1" a="1"/>
  <c r="L33" i="9" s="1"/>
  <c r="M34" i="7"/>
  <c r="L32" i="9" s="1" a="1"/>
  <c r="L32" i="9" s="1"/>
  <c r="M33" i="7"/>
  <c r="L31" i="9" s="1" a="1"/>
  <c r="L31" i="9" s="1"/>
  <c r="M32" i="7"/>
  <c r="L30" i="9" s="1" a="1"/>
  <c r="L30" i="9" s="1"/>
  <c r="M101" i="7"/>
  <c r="L94" i="9" s="1" a="1"/>
  <c r="L94" i="9" s="1"/>
  <c r="M31" i="7"/>
  <c r="L29" i="9" s="1" a="1"/>
  <c r="L29" i="9" s="1"/>
  <c r="M30" i="7"/>
  <c r="M29" i="7"/>
  <c r="D28" i="9" s="1" a="1"/>
  <c r="D28" i="9" s="1"/>
  <c r="M28" i="7"/>
  <c r="D27" i="9" s="1" a="1"/>
  <c r="D27" i="9" s="1"/>
  <c r="M27" i="7"/>
  <c r="D26" i="9" s="1" a="1"/>
  <c r="D26" i="9" s="1"/>
  <c r="M26" i="7"/>
  <c r="D25" i="9" s="1" a="1"/>
  <c r="D25" i="9" s="1"/>
  <c r="M25" i="7"/>
  <c r="D24" i="9" s="1" a="1"/>
  <c r="D24" i="9" s="1"/>
  <c r="M24" i="7"/>
  <c r="D23" i="9" s="1" a="1"/>
  <c r="D23" i="9" s="1"/>
  <c r="M23" i="7"/>
  <c r="M22" i="7"/>
  <c r="L21" i="9" s="1" a="1"/>
  <c r="L21" i="9" s="1"/>
  <c r="M21" i="7"/>
  <c r="L20" i="9" s="1" a="1"/>
  <c r="L20" i="9" s="1"/>
  <c r="M20" i="7"/>
  <c r="L19" i="9" s="1" a="1"/>
  <c r="L19" i="9" s="1"/>
  <c r="M19" i="7"/>
  <c r="L18" i="9" s="1" a="1"/>
  <c r="L18" i="9" s="1"/>
  <c r="M18" i="7"/>
  <c r="L17" i="9" s="1" a="1"/>
  <c r="L17" i="9" s="1"/>
  <c r="M17" i="7"/>
  <c r="L16" i="9" s="1" a="1"/>
  <c r="L16" i="9" s="1"/>
  <c r="M16" i="7"/>
  <c r="M15" i="7"/>
  <c r="D15" i="9" s="1" a="1"/>
  <c r="D15" i="9" s="1"/>
  <c r="M14" i="7"/>
  <c r="D14" i="9" s="1" a="1"/>
  <c r="D14" i="9" s="1"/>
  <c r="M13" i="7"/>
  <c r="D13" i="9" s="1" a="1"/>
  <c r="D13" i="9" s="1"/>
  <c r="M8" i="7"/>
  <c r="L8" i="9" s="1" a="1"/>
  <c r="L8" i="9" s="1"/>
  <c r="M12" i="7"/>
  <c r="D12" i="9" s="1" a="1"/>
  <c r="D12" i="9" s="1"/>
  <c r="M11" i="7"/>
  <c r="D11" i="9" s="1" a="1"/>
  <c r="D11" i="9" s="1"/>
  <c r="M10" i="7"/>
  <c r="D10" i="9" s="1" a="1"/>
  <c r="D10" i="9" s="1"/>
  <c r="M9" i="7"/>
  <c r="M7" i="7"/>
  <c r="L7" i="9" s="1" a="1"/>
  <c r="L7" i="9" s="1"/>
  <c r="M6" i="7"/>
  <c r="L6" i="9" s="1" a="1"/>
  <c r="L6" i="9" s="1"/>
  <c r="M5" i="7"/>
  <c r="L5" i="9" s="1" a="1"/>
  <c r="L5" i="9" s="1"/>
  <c r="M4" i="7"/>
  <c r="L4" i="9" s="1" a="1"/>
  <c r="L4" i="9" s="1"/>
  <c r="M3" i="7"/>
  <c r="L3" i="9" s="1" a="1"/>
  <c r="L3" i="9" s="1"/>
  <c r="BN61" i="21" a="1"/>
  <c r="BA44" i="21" a="1"/>
  <c r="AU44" i="21" a="1"/>
  <c r="AU31" i="21" a="1"/>
  <c r="BL61" i="21" a="1"/>
  <c r="BA31" i="21" a="1"/>
  <c r="BM60" i="21" a="1"/>
  <c r="F28" i="13" l="1"/>
  <c r="I28" i="13"/>
  <c r="H28" i="13"/>
  <c r="C28" i="13"/>
  <c r="E28" i="13"/>
  <c r="E32" i="13"/>
  <c r="F32" i="13"/>
  <c r="I32" i="13"/>
  <c r="G32" i="13"/>
  <c r="H32" i="13"/>
  <c r="AN27" i="13"/>
  <c r="P14" i="13"/>
  <c r="N14" i="13"/>
  <c r="K14" i="13"/>
  <c r="O14" i="13"/>
  <c r="L14" i="13"/>
  <c r="J14" i="13"/>
  <c r="M14" i="13"/>
  <c r="AN30" i="13"/>
  <c r="M17" i="13"/>
  <c r="N17" i="13"/>
  <c r="K17" i="13"/>
  <c r="L17" i="13"/>
  <c r="O17" i="13"/>
  <c r="P17" i="13"/>
  <c r="J17" i="13"/>
  <c r="AN31" i="13"/>
  <c r="L18" i="13"/>
  <c r="P18" i="13"/>
  <c r="K18" i="13"/>
  <c r="O18" i="13"/>
  <c r="M18" i="13"/>
  <c r="J18" i="13"/>
  <c r="N18" i="13"/>
  <c r="AW61" i="21"/>
  <c r="BD61" i="21" s="1"/>
  <c r="BG61" i="21" s="1"/>
  <c r="BJ61" i="21" s="1"/>
  <c r="AU44" i="21"/>
  <c r="BN61" i="21"/>
  <c r="AU31" i="21"/>
  <c r="BA44" i="21"/>
  <c r="BA31" i="21"/>
  <c r="BM60" i="21"/>
  <c r="BL61" i="21"/>
  <c r="O59" i="21"/>
  <c r="R59" i="21"/>
  <c r="N59" i="21"/>
  <c r="Q59" i="21"/>
  <c r="M59" i="21"/>
  <c r="P59" i="21"/>
  <c r="L59" i="21"/>
  <c r="AY32" i="21"/>
  <c r="AZ32" i="21" s="1"/>
  <c r="AW62" i="21"/>
  <c r="AS32" i="21"/>
  <c r="AT32" i="21" s="1"/>
  <c r="AQ62" i="21"/>
  <c r="BC62" i="21" s="1"/>
  <c r="BF62" i="21" s="1"/>
  <c r="BI62" i="21" s="1"/>
  <c r="H60" i="21"/>
  <c r="D60" i="21"/>
  <c r="G60" i="21"/>
  <c r="J60" i="21"/>
  <c r="F60" i="21"/>
  <c r="I60" i="21"/>
  <c r="E60" i="21"/>
  <c r="Z60" i="21"/>
  <c r="V60" i="21"/>
  <c r="Y60" i="21"/>
  <c r="U60" i="21"/>
  <c r="X60" i="21"/>
  <c r="T60" i="21"/>
  <c r="W60" i="21"/>
  <c r="AR45" i="21" a="1"/>
  <c r="AR45" i="21" s="1"/>
  <c r="AV45" i="21"/>
  <c r="AX45" i="21" s="1" a="1"/>
  <c r="AX45" i="21" s="1"/>
  <c r="AI63" i="19"/>
  <c r="AE63" i="19"/>
  <c r="AA63" i="19"/>
  <c r="W63" i="19"/>
  <c r="AH63" i="19"/>
  <c r="AD63" i="19"/>
  <c r="Z63" i="19"/>
  <c r="V63" i="19"/>
  <c r="AG63" i="19"/>
  <c r="AC63" i="19"/>
  <c r="Y63" i="19"/>
  <c r="U63" i="19"/>
  <c r="S64" i="19"/>
  <c r="T63" i="19"/>
  <c r="X63" i="19"/>
  <c r="AF63" i="19"/>
  <c r="AB63" i="19"/>
  <c r="AI47" i="19"/>
  <c r="AE47" i="19"/>
  <c r="AA47" i="19"/>
  <c r="W47" i="19"/>
  <c r="AH47" i="19"/>
  <c r="AD47" i="19"/>
  <c r="Z47" i="19"/>
  <c r="V47" i="19"/>
  <c r="AG47" i="19"/>
  <c r="AC47" i="19"/>
  <c r="Y47" i="19"/>
  <c r="U47" i="19"/>
  <c r="S48" i="19"/>
  <c r="T47" i="19"/>
  <c r="AF47" i="19"/>
  <c r="X47" i="19"/>
  <c r="AB47" i="19"/>
  <c r="AI94" i="19"/>
  <c r="AE94" i="19"/>
  <c r="AA94" i="19"/>
  <c r="W94" i="19"/>
  <c r="AH94" i="19"/>
  <c r="AD94" i="19"/>
  <c r="Z94" i="19"/>
  <c r="V94" i="19"/>
  <c r="AG94" i="19"/>
  <c r="AC94" i="19"/>
  <c r="Y94" i="19"/>
  <c r="U94" i="19"/>
  <c r="S95" i="19"/>
  <c r="T94" i="19"/>
  <c r="AF94" i="19"/>
  <c r="AB94" i="19"/>
  <c r="X94" i="19"/>
  <c r="AI110" i="19"/>
  <c r="AE110" i="19"/>
  <c r="AA110" i="19"/>
  <c r="W110" i="19"/>
  <c r="AH110" i="19"/>
  <c r="AD110" i="19"/>
  <c r="Z110" i="19"/>
  <c r="V110" i="19"/>
  <c r="AG110" i="19"/>
  <c r="Y110" i="19"/>
  <c r="AF110" i="19"/>
  <c r="X110" i="19"/>
  <c r="AC110" i="19"/>
  <c r="U110" i="19"/>
  <c r="S111" i="19"/>
  <c r="AB110" i="19"/>
  <c r="T110" i="19"/>
  <c r="AG33" i="19"/>
  <c r="S34" i="19"/>
  <c r="AE33" i="19"/>
  <c r="AA33" i="19"/>
  <c r="W33" i="19"/>
  <c r="AF33" i="19"/>
  <c r="T33" i="19"/>
  <c r="AI33" i="19"/>
  <c r="AD33" i="19"/>
  <c r="Z33" i="19"/>
  <c r="V33" i="19"/>
  <c r="X33" i="19"/>
  <c r="AH33" i="19"/>
  <c r="AC33" i="19"/>
  <c r="Y33" i="19"/>
  <c r="U33" i="19"/>
  <c r="AB33" i="19"/>
  <c r="AH79" i="19"/>
  <c r="AD79" i="19"/>
  <c r="Z79" i="19"/>
  <c r="V79" i="19"/>
  <c r="AG79" i="19"/>
  <c r="AC79" i="19"/>
  <c r="Y79" i="19"/>
  <c r="U79" i="19"/>
  <c r="S80" i="19"/>
  <c r="AF79" i="19"/>
  <c r="AB79" i="19"/>
  <c r="X79" i="19"/>
  <c r="T79" i="19"/>
  <c r="AI79" i="19"/>
  <c r="AE79" i="19"/>
  <c r="AA79" i="19"/>
  <c r="W79" i="19"/>
  <c r="O2" i="19"/>
  <c r="P1" i="19"/>
  <c r="N26" i="13"/>
  <c r="L26" i="13"/>
  <c r="M26" i="13"/>
  <c r="O26" i="13"/>
  <c r="J26" i="13"/>
  <c r="P26" i="13"/>
  <c r="K26" i="13"/>
  <c r="G29" i="13"/>
  <c r="I29" i="13"/>
  <c r="D29" i="13"/>
  <c r="F29" i="13"/>
  <c r="C29" i="13"/>
  <c r="H29" i="13"/>
  <c r="E29" i="13"/>
  <c r="K32" i="13"/>
  <c r="L32" i="13"/>
  <c r="O32" i="13"/>
  <c r="N32" i="13"/>
  <c r="P32" i="13"/>
  <c r="J32" i="13"/>
  <c r="M32" i="13"/>
  <c r="AN29" i="13"/>
  <c r="M16" i="13"/>
  <c r="N16" i="13"/>
  <c r="K16" i="13"/>
  <c r="J16" i="13"/>
  <c r="L16" i="13"/>
  <c r="O16" i="13"/>
  <c r="P16" i="13"/>
  <c r="N145" i="9" a="1"/>
  <c r="N145" i="9" s="1"/>
  <c r="N144" i="9" a="1"/>
  <c r="N144" i="9" s="1"/>
  <c r="N141" i="9" a="1"/>
  <c r="N141" i="9" s="1"/>
  <c r="N140" i="9" a="1"/>
  <c r="N140" i="9" s="1"/>
  <c r="N139" i="9" a="1"/>
  <c r="N139" i="9" s="1"/>
  <c r="N116" i="9" a="1"/>
  <c r="N116" i="9" s="1"/>
  <c r="N143" i="9" a="1"/>
  <c r="N143" i="9" s="1"/>
  <c r="N142" i="9" a="1"/>
  <c r="N142" i="9" s="1"/>
  <c r="N129" i="9" a="1"/>
  <c r="N129" i="9" s="1"/>
  <c r="N128" i="9" a="1"/>
  <c r="N128" i="9" s="1"/>
  <c r="N115" i="9" a="1"/>
  <c r="N115" i="9" s="1"/>
  <c r="N114" i="9" a="1"/>
  <c r="N114" i="9" s="1"/>
  <c r="N126" i="9" a="1"/>
  <c r="N126" i="9" s="1"/>
  <c r="N119" i="9" a="1"/>
  <c r="N119" i="9" s="1"/>
  <c r="N117" i="9" a="1"/>
  <c r="N117" i="9" s="1"/>
  <c r="N103" i="9" a="1"/>
  <c r="N103" i="9" s="1"/>
  <c r="N102" i="9" a="1"/>
  <c r="N102" i="9" s="1"/>
  <c r="N101" i="9" a="1"/>
  <c r="N101" i="9" s="1"/>
  <c r="N100" i="9" a="1"/>
  <c r="N100" i="9" s="1"/>
  <c r="N132" i="9" a="1"/>
  <c r="N132" i="9" s="1"/>
  <c r="N127" i="9" a="1"/>
  <c r="N127" i="9" s="1"/>
  <c r="N93" i="9" a="1"/>
  <c r="N93" i="9" s="1"/>
  <c r="N92" i="9" a="1"/>
  <c r="N92" i="9" s="1"/>
  <c r="N91" i="9" a="1"/>
  <c r="N91" i="9" s="1"/>
  <c r="N90" i="9" a="1"/>
  <c r="N90" i="9" s="1"/>
  <c r="N89" i="9" a="1"/>
  <c r="N89" i="9" s="1"/>
  <c r="N88" i="9" a="1"/>
  <c r="N88" i="9" s="1"/>
  <c r="N87" i="9" a="1"/>
  <c r="N87" i="9" s="1"/>
  <c r="N75" i="9" a="1"/>
  <c r="N75" i="9" s="1"/>
  <c r="N74" i="9" a="1"/>
  <c r="N74" i="9" s="1"/>
  <c r="N131" i="9" a="1"/>
  <c r="N131" i="9" s="1"/>
  <c r="N130" i="9" a="1"/>
  <c r="N130" i="9" s="1"/>
  <c r="N67" i="9" a="1"/>
  <c r="N67" i="9" s="1"/>
  <c r="N66" i="9" a="1"/>
  <c r="N66" i="9" s="1"/>
  <c r="N65" i="9" a="1"/>
  <c r="N65" i="9" s="1"/>
  <c r="N64" i="9" a="1"/>
  <c r="N64" i="9" s="1"/>
  <c r="N63" i="9" a="1"/>
  <c r="N63" i="9" s="1"/>
  <c r="N113" i="9" a="1"/>
  <c r="N113" i="9" s="1"/>
  <c r="N106" i="9" a="1"/>
  <c r="N106" i="9" s="1"/>
  <c r="N105" i="9" a="1"/>
  <c r="N105" i="9" s="1"/>
  <c r="N104" i="9" a="1"/>
  <c r="N104" i="9" s="1"/>
  <c r="N41" i="9" a="1"/>
  <c r="N41" i="9" s="1"/>
  <c r="N40" i="9" a="1"/>
  <c r="N40" i="9" s="1"/>
  <c r="N39" i="9" a="1"/>
  <c r="N39" i="9" s="1"/>
  <c r="N38" i="9" a="1"/>
  <c r="N38" i="9" s="1"/>
  <c r="N37" i="9" a="1"/>
  <c r="N37" i="9" s="1"/>
  <c r="N36" i="9" a="1"/>
  <c r="N36" i="9" s="1"/>
  <c r="N35" i="9" a="1"/>
  <c r="N35" i="9" s="1"/>
  <c r="N80" i="9" a="1"/>
  <c r="N80" i="9" s="1"/>
  <c r="N79" i="9" a="1"/>
  <c r="N79" i="9" s="1"/>
  <c r="N78" i="9" a="1"/>
  <c r="N78" i="9" s="1"/>
  <c r="N77" i="9" a="1"/>
  <c r="N77" i="9" s="1"/>
  <c r="N76" i="9" a="1"/>
  <c r="N76" i="9" s="1"/>
  <c r="N118" i="9" a="1"/>
  <c r="N118" i="9" s="1"/>
  <c r="N62" i="9" a="1"/>
  <c r="N62" i="9" s="1"/>
  <c r="N28" i="9" a="1"/>
  <c r="N28" i="9" s="1"/>
  <c r="N27" i="9" a="1"/>
  <c r="N27" i="9" s="1"/>
  <c r="N26" i="9" a="1"/>
  <c r="N26" i="9" s="1"/>
  <c r="N25" i="9" a="1"/>
  <c r="N25" i="9" s="1"/>
  <c r="N24" i="9" a="1"/>
  <c r="N24" i="9" s="1"/>
  <c r="N23" i="9" a="1"/>
  <c r="N23" i="9" s="1"/>
  <c r="N22" i="9" a="1"/>
  <c r="N22" i="9" s="1"/>
  <c r="N54" i="9" a="1"/>
  <c r="N54" i="9" s="1"/>
  <c r="N53" i="9" a="1"/>
  <c r="N53" i="9" s="1"/>
  <c r="N52" i="9" a="1"/>
  <c r="N52" i="9" s="1"/>
  <c r="N51" i="9" a="1"/>
  <c r="N51" i="9" s="1"/>
  <c r="N50" i="9" a="1"/>
  <c r="N50" i="9" s="1"/>
  <c r="N49" i="9" a="1"/>
  <c r="N49" i="9" s="1"/>
  <c r="N48" i="9" a="1"/>
  <c r="N48" i="9" s="1"/>
  <c r="N15" i="9" a="1"/>
  <c r="N15" i="9" s="1"/>
  <c r="N14" i="9" a="1"/>
  <c r="N14" i="9" s="1"/>
  <c r="N13" i="9" a="1"/>
  <c r="N13" i="9" s="1"/>
  <c r="N12" i="9" a="1"/>
  <c r="N12" i="9" s="1"/>
  <c r="N11" i="9" a="1"/>
  <c r="N11" i="9" s="1"/>
  <c r="N10" i="9" a="1"/>
  <c r="N10" i="9" s="1"/>
  <c r="N9" i="9" a="1"/>
  <c r="N9" i="9" s="1"/>
  <c r="N61" i="9" a="1"/>
  <c r="N61" i="9" s="1"/>
  <c r="I111" i="14" a="1"/>
  <c r="I111" i="14" s="1"/>
  <c r="F31" i="14" a="1"/>
  <c r="F31" i="14" s="1"/>
  <c r="F95" i="14" a="1"/>
  <c r="F95" i="14" s="1"/>
  <c r="X127" i="14" a="1"/>
  <c r="X127" i="14" s="1"/>
  <c r="L63" i="14" a="1"/>
  <c r="L63" i="14" s="1"/>
  <c r="O63" i="14" a="1"/>
  <c r="O63" i="14" s="1"/>
  <c r="R127" i="14" a="1"/>
  <c r="R127" i="14" s="1"/>
  <c r="X63" i="14" a="1"/>
  <c r="X63" i="14" s="1"/>
  <c r="I95" i="14" a="1"/>
  <c r="I95" i="14" s="1"/>
  <c r="L127" i="14" a="1"/>
  <c r="L127" i="14" s="1"/>
  <c r="L47" i="14" a="1"/>
  <c r="L47" i="14" s="1"/>
  <c r="F63" i="14" a="1"/>
  <c r="F63" i="14" s="1"/>
  <c r="F127" i="14" a="1"/>
  <c r="F127" i="14" s="1"/>
  <c r="I63" i="14" a="1"/>
  <c r="I63" i="14" s="1"/>
  <c r="O31" i="14" a="1"/>
  <c r="O31" i="14" s="1"/>
  <c r="O95" i="14" a="1"/>
  <c r="O95" i="14" s="1"/>
  <c r="R31" i="14" a="1"/>
  <c r="R31" i="14" s="1"/>
  <c r="R95" i="14" a="1"/>
  <c r="R95" i="14" s="1"/>
  <c r="U31" i="14" a="1"/>
  <c r="U31" i="14" s="1"/>
  <c r="U95" i="14" a="1"/>
  <c r="U95" i="14" s="1"/>
  <c r="X31" i="14" a="1"/>
  <c r="X31" i="14" s="1"/>
  <c r="X95" i="14" a="1"/>
  <c r="X95" i="14" s="1"/>
  <c r="O1" i="12"/>
  <c r="N2" i="12"/>
  <c r="N114" i="12"/>
  <c r="W128" i="14" s="1" a="1"/>
  <c r="W128" i="14" s="1"/>
  <c r="N113" i="12"/>
  <c r="W112" i="14" s="1" a="1"/>
  <c r="W112" i="14" s="1"/>
  <c r="N112" i="12"/>
  <c r="W96" i="14" s="1" a="1"/>
  <c r="W96" i="14" s="1"/>
  <c r="N111" i="12"/>
  <c r="W80" i="14" s="1" a="1"/>
  <c r="W80" i="14" s="1"/>
  <c r="N110" i="12"/>
  <c r="W64" i="14" s="1" a="1"/>
  <c r="W64" i="14" s="1"/>
  <c r="N109" i="12"/>
  <c r="W48" i="14" s="1" a="1"/>
  <c r="W48" i="14" s="1"/>
  <c r="N108" i="12"/>
  <c r="W32" i="14" s="1" a="1"/>
  <c r="W32" i="14" s="1"/>
  <c r="N107" i="12"/>
  <c r="W16" i="14" s="1" a="1"/>
  <c r="W16" i="14" s="1"/>
  <c r="N106" i="12"/>
  <c r="V128" i="14" s="1" a="1"/>
  <c r="V128" i="14" s="1"/>
  <c r="N105" i="12"/>
  <c r="V112" i="14" s="1" a="1"/>
  <c r="V112" i="14" s="1"/>
  <c r="N104" i="12"/>
  <c r="V96" i="14" s="1" a="1"/>
  <c r="V96" i="14" s="1"/>
  <c r="N103" i="12"/>
  <c r="V80" i="14" s="1" a="1"/>
  <c r="V80" i="14" s="1"/>
  <c r="N102" i="12"/>
  <c r="V64" i="14" s="1" a="1"/>
  <c r="V64" i="14" s="1"/>
  <c r="N100" i="12"/>
  <c r="V32" i="14" s="1" a="1"/>
  <c r="V32" i="14" s="1"/>
  <c r="N96" i="12"/>
  <c r="T96" i="14" s="1" a="1"/>
  <c r="T96" i="14" s="1"/>
  <c r="N92" i="12"/>
  <c r="T32" i="14" s="1" a="1"/>
  <c r="T32" i="14" s="1"/>
  <c r="N88" i="12"/>
  <c r="S96" i="14" s="1" a="1"/>
  <c r="S96" i="14" s="1"/>
  <c r="N84" i="12"/>
  <c r="S32" i="14" s="1" a="1"/>
  <c r="S32" i="14" s="1"/>
  <c r="N82" i="12"/>
  <c r="Q128" i="14" s="1" a="1"/>
  <c r="Q128" i="14" s="1"/>
  <c r="N81" i="12"/>
  <c r="Q112" i="14" s="1" a="1"/>
  <c r="Q112" i="14" s="1"/>
  <c r="N80" i="12"/>
  <c r="Q96" i="14" s="1" a="1"/>
  <c r="Q96" i="14" s="1"/>
  <c r="N79" i="12"/>
  <c r="Q80" i="14" s="1" a="1"/>
  <c r="Q80" i="14" s="1"/>
  <c r="N78" i="12"/>
  <c r="Q64" i="14" s="1" a="1"/>
  <c r="Q64" i="14" s="1"/>
  <c r="N77" i="12"/>
  <c r="Q48" i="14" s="1" a="1"/>
  <c r="Q48" i="14" s="1"/>
  <c r="N76" i="12"/>
  <c r="Q32" i="14" s="1" a="1"/>
  <c r="Q32" i="14" s="1"/>
  <c r="N75" i="12"/>
  <c r="Q16" i="14" s="1" a="1"/>
  <c r="Q16" i="14" s="1"/>
  <c r="N74" i="12"/>
  <c r="P128" i="14" s="1" a="1"/>
  <c r="P128" i="14" s="1"/>
  <c r="N73" i="12"/>
  <c r="P112" i="14" s="1" a="1"/>
  <c r="P112" i="14" s="1"/>
  <c r="N99" i="12"/>
  <c r="V16" i="14" s="1" a="1"/>
  <c r="V16" i="14" s="1"/>
  <c r="N95" i="12"/>
  <c r="T80" i="14" s="1" a="1"/>
  <c r="T80" i="14" s="1"/>
  <c r="N91" i="12"/>
  <c r="T16" i="14" s="1" a="1"/>
  <c r="T16" i="14" s="1"/>
  <c r="N87" i="12"/>
  <c r="S80" i="14" s="1" a="1"/>
  <c r="S80" i="14" s="1"/>
  <c r="N83" i="12"/>
  <c r="S16" i="14" s="1" a="1"/>
  <c r="S16" i="14" s="1"/>
  <c r="N98" i="12"/>
  <c r="T128" i="14" s="1" a="1"/>
  <c r="T128" i="14" s="1"/>
  <c r="N94" i="12"/>
  <c r="T64" i="14" s="1" a="1"/>
  <c r="T64" i="14" s="1"/>
  <c r="N90" i="12"/>
  <c r="S128" i="14" s="1" a="1"/>
  <c r="S128" i="14" s="1"/>
  <c r="N86" i="12"/>
  <c r="S64" i="14" s="1" a="1"/>
  <c r="S64" i="14" s="1"/>
  <c r="N71" i="12"/>
  <c r="P80" i="14" s="1" a="1"/>
  <c r="P80" i="14" s="1"/>
  <c r="N69" i="12"/>
  <c r="P48" i="14" s="1" a="1"/>
  <c r="P48" i="14" s="1"/>
  <c r="N67" i="12"/>
  <c r="P16" i="14" s="1" a="1"/>
  <c r="P16" i="14" s="1"/>
  <c r="N65" i="12"/>
  <c r="N112" i="14" s="1" a="1"/>
  <c r="N112" i="14" s="1"/>
  <c r="N63" i="12"/>
  <c r="N80" i="14" s="1" a="1"/>
  <c r="N80" i="14" s="1"/>
  <c r="N60" i="12"/>
  <c r="N32" i="14" s="1" a="1"/>
  <c r="N32" i="14" s="1"/>
  <c r="N57" i="12"/>
  <c r="M112" i="14" s="1" a="1"/>
  <c r="M112" i="14" s="1"/>
  <c r="N56" i="12"/>
  <c r="M96" i="14" s="1" a="1"/>
  <c r="M96" i="14" s="1"/>
  <c r="N55" i="12"/>
  <c r="M80" i="14" s="1" a="1"/>
  <c r="M80" i="14" s="1"/>
  <c r="N54" i="12"/>
  <c r="M64" i="14" s="1" a="1"/>
  <c r="M64" i="14" s="1"/>
  <c r="N53" i="12"/>
  <c r="M48" i="14" s="1" a="1"/>
  <c r="M48" i="14" s="1"/>
  <c r="N52" i="12"/>
  <c r="M32" i="14" s="1" a="1"/>
  <c r="M32" i="14" s="1"/>
  <c r="N51" i="12"/>
  <c r="M16" i="14" s="1" a="1"/>
  <c r="M16" i="14" s="1"/>
  <c r="N50" i="12"/>
  <c r="K128" i="14" s="1" a="1"/>
  <c r="K128" i="14" s="1"/>
  <c r="N49" i="12"/>
  <c r="K112" i="14" s="1" a="1"/>
  <c r="K112" i="14" s="1"/>
  <c r="N48" i="12"/>
  <c r="K96" i="14" s="1" a="1"/>
  <c r="K96" i="14" s="1"/>
  <c r="N47" i="12"/>
  <c r="K80" i="14" s="1" a="1"/>
  <c r="K80" i="14" s="1"/>
  <c r="N46" i="12"/>
  <c r="K64" i="14" s="1" a="1"/>
  <c r="K64" i="14" s="1"/>
  <c r="N45" i="12"/>
  <c r="K48" i="14" s="1" a="1"/>
  <c r="K48" i="14" s="1"/>
  <c r="N44" i="12"/>
  <c r="K32" i="14" s="1" a="1"/>
  <c r="K32" i="14" s="1"/>
  <c r="N43" i="12"/>
  <c r="K16" i="14" s="1" a="1"/>
  <c r="K16" i="14" s="1"/>
  <c r="N42" i="12"/>
  <c r="J128" i="14" s="1" a="1"/>
  <c r="J128" i="14" s="1"/>
  <c r="N41" i="12"/>
  <c r="J112" i="14" s="1" a="1"/>
  <c r="J112" i="14" s="1"/>
  <c r="N40" i="12"/>
  <c r="J96" i="14" s="1" a="1"/>
  <c r="J96" i="14" s="1"/>
  <c r="N39" i="12"/>
  <c r="J80" i="14" s="1" a="1"/>
  <c r="J80" i="14" s="1"/>
  <c r="N38" i="12"/>
  <c r="J64" i="14" s="1" a="1"/>
  <c r="J64" i="14" s="1"/>
  <c r="N37" i="12"/>
  <c r="J48" i="14" s="1" a="1"/>
  <c r="J48" i="14" s="1"/>
  <c r="N36" i="12"/>
  <c r="J32" i="14" s="1" a="1"/>
  <c r="J32" i="14" s="1"/>
  <c r="N35" i="12"/>
  <c r="J16" i="14" s="1" a="1"/>
  <c r="J16" i="14" s="1"/>
  <c r="N34" i="12"/>
  <c r="H128" i="14" s="1" a="1"/>
  <c r="H128" i="14" s="1"/>
  <c r="N33" i="12"/>
  <c r="H112" i="14" s="1" a="1"/>
  <c r="H112" i="14" s="1"/>
  <c r="N32" i="12"/>
  <c r="H96" i="14" s="1" a="1"/>
  <c r="H96" i="14" s="1"/>
  <c r="N101" i="12"/>
  <c r="V48" i="14" s="1" a="1"/>
  <c r="V48" i="14" s="1"/>
  <c r="N97" i="12"/>
  <c r="T112" i="14" s="1" a="1"/>
  <c r="T112" i="14" s="1"/>
  <c r="N93" i="12"/>
  <c r="T48" i="14" s="1" a="1"/>
  <c r="T48" i="14" s="1"/>
  <c r="N89" i="12"/>
  <c r="S112" i="14" s="1" a="1"/>
  <c r="S112" i="14" s="1"/>
  <c r="N85" i="12"/>
  <c r="S48" i="14" s="1" a="1"/>
  <c r="S48" i="14" s="1"/>
  <c r="N70" i="12"/>
  <c r="P64" i="14" s="1" a="1"/>
  <c r="P64" i="14" s="1"/>
  <c r="N66" i="12"/>
  <c r="N128" i="14" s="1" a="1"/>
  <c r="N128" i="14" s="1"/>
  <c r="N62" i="12"/>
  <c r="N64" i="14" s="1" a="1"/>
  <c r="N64" i="14" s="1"/>
  <c r="N61" i="12"/>
  <c r="N48" i="14" s="1" a="1"/>
  <c r="N48" i="14" s="1"/>
  <c r="N58" i="12"/>
  <c r="M128" i="14" s="1" a="1"/>
  <c r="M128" i="14" s="1"/>
  <c r="N59" i="12"/>
  <c r="N16" i="14" s="1" a="1"/>
  <c r="N16" i="14" s="1"/>
  <c r="N72" i="12"/>
  <c r="P96" i="14" s="1" a="1"/>
  <c r="P96" i="14" s="1"/>
  <c r="N68" i="12"/>
  <c r="P32" i="14" s="1" a="1"/>
  <c r="P32" i="14" s="1"/>
  <c r="N64" i="12"/>
  <c r="N96" i="14" s="1" a="1"/>
  <c r="N96" i="14" s="1"/>
  <c r="N31" i="12"/>
  <c r="H80" i="14" s="1" a="1"/>
  <c r="H80" i="14" s="1"/>
  <c r="N30" i="12"/>
  <c r="H64" i="14" s="1" a="1"/>
  <c r="H64" i="14" s="1"/>
  <c r="N29" i="12"/>
  <c r="H48" i="14" s="1" a="1"/>
  <c r="H48" i="14" s="1"/>
  <c r="N28" i="12"/>
  <c r="H32" i="14" s="1" a="1"/>
  <c r="H32" i="14" s="1"/>
  <c r="N27" i="12"/>
  <c r="H16" i="14" s="1" a="1"/>
  <c r="H16" i="14" s="1"/>
  <c r="N26" i="12"/>
  <c r="G128" i="14" s="1" a="1"/>
  <c r="G128" i="14" s="1"/>
  <c r="N25" i="12"/>
  <c r="G112" i="14" s="1" a="1"/>
  <c r="G112" i="14" s="1"/>
  <c r="N24" i="12"/>
  <c r="G96" i="14" s="1" a="1"/>
  <c r="G96" i="14" s="1"/>
  <c r="N23" i="12"/>
  <c r="G80" i="14" s="1" a="1"/>
  <c r="G80" i="14" s="1"/>
  <c r="N22" i="12"/>
  <c r="G64" i="14" s="1" a="1"/>
  <c r="G64" i="14" s="1"/>
  <c r="N21" i="12"/>
  <c r="G48" i="14" s="1" a="1"/>
  <c r="G48" i="14" s="1"/>
  <c r="N20" i="12"/>
  <c r="G32" i="14" s="1" a="1"/>
  <c r="G32" i="14" s="1"/>
  <c r="N19" i="12"/>
  <c r="G16" i="14" s="1" a="1"/>
  <c r="G16" i="14" s="1"/>
  <c r="N18" i="12"/>
  <c r="E128" i="14" s="1" a="1"/>
  <c r="E128" i="14" s="1"/>
  <c r="N17" i="12"/>
  <c r="E112" i="14" s="1" a="1"/>
  <c r="E112" i="14" s="1"/>
  <c r="N16" i="12"/>
  <c r="E96" i="14" s="1" a="1"/>
  <c r="E96" i="14" s="1"/>
  <c r="N15" i="12"/>
  <c r="E80" i="14" s="1" a="1"/>
  <c r="E80" i="14" s="1"/>
  <c r="N14" i="12"/>
  <c r="E64" i="14" s="1" a="1"/>
  <c r="E64" i="14" s="1"/>
  <c r="N13" i="12"/>
  <c r="E48" i="14" s="1" a="1"/>
  <c r="E48" i="14" s="1"/>
  <c r="N12" i="12"/>
  <c r="E32" i="14" s="1" a="1"/>
  <c r="E32" i="14" s="1"/>
  <c r="N11" i="12"/>
  <c r="E16" i="14" s="1" a="1"/>
  <c r="E16" i="14" s="1"/>
  <c r="D128" i="14" a="1"/>
  <c r="D128" i="14" s="1"/>
  <c r="N9" i="12"/>
  <c r="D112" i="14" s="1" a="1"/>
  <c r="D112" i="14" s="1"/>
  <c r="N8" i="12"/>
  <c r="D96" i="14" s="1" a="1"/>
  <c r="D96" i="14" s="1"/>
  <c r="N7" i="12"/>
  <c r="D80" i="14" s="1" a="1"/>
  <c r="D80" i="14" s="1"/>
  <c r="N6" i="12"/>
  <c r="D64" i="14" s="1" a="1"/>
  <c r="D64" i="14" s="1"/>
  <c r="N5" i="12"/>
  <c r="D48" i="14" s="1" a="1"/>
  <c r="D48" i="14" s="1"/>
  <c r="N4" i="12"/>
  <c r="D32" i="14" s="1" a="1"/>
  <c r="D32" i="14" s="1"/>
  <c r="N3" i="12"/>
  <c r="D16" i="14" s="1" a="1"/>
  <c r="D16" i="14" s="1"/>
  <c r="L111" i="14" a="1"/>
  <c r="L111" i="14" s="1"/>
  <c r="I31" i="14" a="1"/>
  <c r="I31" i="14" s="1"/>
  <c r="R63" i="14" a="1"/>
  <c r="R63" i="14" s="1"/>
  <c r="U127" i="14" a="1"/>
  <c r="U127" i="14" s="1"/>
  <c r="L31" i="14" a="1"/>
  <c r="L31" i="14" s="1"/>
  <c r="L79" i="14" a="1"/>
  <c r="L79" i="14" s="1"/>
  <c r="F15" i="14" a="1"/>
  <c r="F15" i="14" s="1"/>
  <c r="F79" i="14" a="1"/>
  <c r="F79" i="14" s="1"/>
  <c r="I15" i="14" a="1"/>
  <c r="I15" i="14" s="1"/>
  <c r="I79" i="14" a="1"/>
  <c r="I79" i="14" s="1"/>
  <c r="O47" i="14" a="1"/>
  <c r="O47" i="14" s="1"/>
  <c r="O111" i="14" a="1"/>
  <c r="O111" i="14" s="1"/>
  <c r="R47" i="14" a="1"/>
  <c r="R47" i="14" s="1"/>
  <c r="R111" i="14" a="1"/>
  <c r="R111" i="14" s="1"/>
  <c r="U47" i="14" a="1"/>
  <c r="U47" i="14" s="1"/>
  <c r="U111" i="14" a="1"/>
  <c r="U111" i="14" s="1"/>
  <c r="X47" i="14" a="1"/>
  <c r="X47" i="14" s="1"/>
  <c r="X111" i="14" a="1"/>
  <c r="X111" i="14" s="1"/>
  <c r="O127" i="14" a="1"/>
  <c r="O127" i="14" s="1"/>
  <c r="U63" i="14" a="1"/>
  <c r="U63" i="14" s="1"/>
  <c r="L95" i="14" a="1"/>
  <c r="L95" i="14" s="1"/>
  <c r="F47" i="14" a="1"/>
  <c r="F47" i="14" s="1"/>
  <c r="F111" i="14" a="1"/>
  <c r="F111" i="14" s="1"/>
  <c r="I47" i="14" a="1"/>
  <c r="I47" i="14" s="1"/>
  <c r="O15" i="14" a="1"/>
  <c r="O15" i="14" s="1"/>
  <c r="O79" i="14" a="1"/>
  <c r="O79" i="14" s="1"/>
  <c r="R15" i="14" a="1"/>
  <c r="R15" i="14" s="1"/>
  <c r="R79" i="14" a="1"/>
  <c r="R79" i="14" s="1"/>
  <c r="U15" i="14" a="1"/>
  <c r="U15" i="14" s="1"/>
  <c r="U79" i="14" a="1"/>
  <c r="U79" i="14" s="1"/>
  <c r="X15" i="14" a="1"/>
  <c r="X15" i="14" s="1"/>
  <c r="X79" i="14" a="1"/>
  <c r="X79" i="14" s="1"/>
  <c r="H17" i="8"/>
  <c r="O1" i="9"/>
  <c r="N2" i="9"/>
  <c r="N156" i="7"/>
  <c r="N155" i="7"/>
  <c r="E145" i="9" s="1" a="1"/>
  <c r="E145" i="9" s="1"/>
  <c r="N154" i="7"/>
  <c r="E144" i="9" s="1" a="1"/>
  <c r="E144" i="9" s="1"/>
  <c r="N153" i="7"/>
  <c r="E143" i="9" s="1" a="1"/>
  <c r="E143" i="9" s="1"/>
  <c r="N152" i="7"/>
  <c r="E142" i="9" s="1" a="1"/>
  <c r="E142" i="9" s="1"/>
  <c r="N151" i="7"/>
  <c r="E141" i="9" s="1" a="1"/>
  <c r="E141" i="9" s="1"/>
  <c r="N150" i="7"/>
  <c r="E140" i="9" s="1" a="1"/>
  <c r="E140" i="9" s="1"/>
  <c r="N149" i="7"/>
  <c r="N148" i="7"/>
  <c r="M138" i="9" s="1" a="1"/>
  <c r="M138" i="9" s="1"/>
  <c r="N147" i="7"/>
  <c r="M137" i="9" s="1" a="1"/>
  <c r="M137" i="9" s="1"/>
  <c r="N146" i="7"/>
  <c r="M136" i="9" s="1" a="1"/>
  <c r="M136" i="9" s="1"/>
  <c r="N145" i="7"/>
  <c r="M135" i="9" s="1" a="1"/>
  <c r="M135" i="9" s="1"/>
  <c r="N144" i="7"/>
  <c r="M134" i="9" s="1" a="1"/>
  <c r="M134" i="9" s="1"/>
  <c r="N143" i="7"/>
  <c r="M133" i="9" s="1" a="1"/>
  <c r="M133" i="9" s="1"/>
  <c r="N142" i="7"/>
  <c r="N141" i="7"/>
  <c r="E132" i="9" s="1" a="1"/>
  <c r="E132" i="9" s="1"/>
  <c r="N140" i="7"/>
  <c r="E131" i="9" s="1" a="1"/>
  <c r="E131" i="9" s="1"/>
  <c r="N139" i="7"/>
  <c r="E130" i="9" s="1" a="1"/>
  <c r="E130" i="9" s="1"/>
  <c r="N138" i="7"/>
  <c r="E129" i="9" s="1" a="1"/>
  <c r="E129" i="9" s="1"/>
  <c r="N137" i="7"/>
  <c r="E128" i="9" s="1" a="1"/>
  <c r="E128" i="9" s="1"/>
  <c r="N136" i="7"/>
  <c r="E127" i="9" s="1" a="1"/>
  <c r="E127" i="9" s="1"/>
  <c r="N135" i="7"/>
  <c r="N134" i="7"/>
  <c r="M125" i="9" s="1" a="1"/>
  <c r="M125" i="9" s="1"/>
  <c r="N133" i="7"/>
  <c r="M124" i="9" s="1" a="1"/>
  <c r="M124" i="9" s="1"/>
  <c r="N132" i="7"/>
  <c r="M123" i="9" s="1" a="1"/>
  <c r="M123" i="9" s="1"/>
  <c r="N131" i="7"/>
  <c r="M122" i="9" s="1" a="1"/>
  <c r="M122" i="9" s="1"/>
  <c r="N130" i="7"/>
  <c r="M121" i="9" s="1" a="1"/>
  <c r="M121" i="9" s="1"/>
  <c r="N129" i="7"/>
  <c r="M120" i="9" s="1" a="1"/>
  <c r="M120" i="9" s="1"/>
  <c r="N128" i="7"/>
  <c r="N127" i="7"/>
  <c r="E119" i="9" s="1" a="1"/>
  <c r="E119" i="9" s="1"/>
  <c r="N126" i="7"/>
  <c r="E118" i="9" s="1" a="1"/>
  <c r="E118" i="9" s="1"/>
  <c r="N125" i="7"/>
  <c r="E117" i="9" s="1" a="1"/>
  <c r="E117" i="9" s="1"/>
  <c r="N124" i="7"/>
  <c r="E116" i="9" s="1" a="1"/>
  <c r="E116" i="9" s="1"/>
  <c r="N123" i="7"/>
  <c r="E115" i="9" s="1" a="1"/>
  <c r="E115" i="9" s="1"/>
  <c r="N121" i="7"/>
  <c r="N120" i="7"/>
  <c r="M112" i="9" s="1" a="1"/>
  <c r="M112" i="9" s="1"/>
  <c r="N119" i="7"/>
  <c r="M111" i="9" s="1" a="1"/>
  <c r="M111" i="9" s="1"/>
  <c r="N118" i="7"/>
  <c r="M110" i="9" s="1" a="1"/>
  <c r="M110" i="9" s="1"/>
  <c r="N117" i="7"/>
  <c r="M109" i="9" s="1" a="1"/>
  <c r="M109" i="9" s="1"/>
  <c r="N116" i="7"/>
  <c r="M108" i="9" s="1" a="1"/>
  <c r="M108" i="9" s="1"/>
  <c r="N115" i="7"/>
  <c r="M107" i="9" s="1" a="1"/>
  <c r="M107" i="9" s="1"/>
  <c r="N114" i="7"/>
  <c r="N113" i="7"/>
  <c r="E106" i="9" s="1" a="1"/>
  <c r="E106" i="9" s="1"/>
  <c r="N112" i="7"/>
  <c r="E105" i="9" s="1" a="1"/>
  <c r="E105" i="9" s="1"/>
  <c r="N111" i="7"/>
  <c r="E104" i="9" s="1" a="1"/>
  <c r="E104" i="9" s="1"/>
  <c r="N110" i="7"/>
  <c r="E103" i="9" s="1" a="1"/>
  <c r="E103" i="9" s="1"/>
  <c r="N109" i="7"/>
  <c r="E102" i="9" s="1" a="1"/>
  <c r="E102" i="9" s="1"/>
  <c r="N108" i="7"/>
  <c r="E101" i="9" s="1" a="1"/>
  <c r="E101" i="9" s="1"/>
  <c r="N107" i="7"/>
  <c r="N106" i="7"/>
  <c r="M99" i="9" s="1" a="1"/>
  <c r="M99" i="9" s="1"/>
  <c r="N105" i="7"/>
  <c r="M98" i="9" s="1" a="1"/>
  <c r="M98" i="9" s="1"/>
  <c r="N103" i="7"/>
  <c r="M96" i="9" s="1" a="1"/>
  <c r="M96" i="9" s="1"/>
  <c r="N100" i="7"/>
  <c r="N99" i="7"/>
  <c r="E93" i="9" s="1" a="1"/>
  <c r="E93" i="9" s="1"/>
  <c r="N98" i="7"/>
  <c r="E92" i="9" s="1" a="1"/>
  <c r="E92" i="9" s="1"/>
  <c r="N97" i="7"/>
  <c r="E91" i="9" s="1" a="1"/>
  <c r="E91" i="9" s="1"/>
  <c r="N96" i="7"/>
  <c r="E90" i="9" s="1" a="1"/>
  <c r="E90" i="9" s="1"/>
  <c r="N95" i="7"/>
  <c r="E89" i="9" s="1" a="1"/>
  <c r="E89" i="9" s="1"/>
  <c r="N94" i="7"/>
  <c r="E88" i="9" s="1" a="1"/>
  <c r="E88" i="9" s="1"/>
  <c r="N93" i="7"/>
  <c r="N92" i="7"/>
  <c r="M86" i="9" s="1" a="1"/>
  <c r="M86" i="9" s="1"/>
  <c r="N91" i="7"/>
  <c r="M85" i="9" s="1" a="1"/>
  <c r="M85" i="9" s="1"/>
  <c r="N90" i="7"/>
  <c r="M84" i="9" s="1" a="1"/>
  <c r="M84" i="9" s="1"/>
  <c r="N89" i="7"/>
  <c r="M83" i="9" s="1" a="1"/>
  <c r="M83" i="9" s="1"/>
  <c r="N88" i="7"/>
  <c r="M82" i="9" s="1" a="1"/>
  <c r="M82" i="9" s="1"/>
  <c r="N87" i="7"/>
  <c r="M81" i="9" s="1" a="1"/>
  <c r="M81" i="9" s="1"/>
  <c r="N86" i="7"/>
  <c r="N85" i="7"/>
  <c r="E80" i="9" s="1" a="1"/>
  <c r="E80" i="9" s="1"/>
  <c r="N84" i="7"/>
  <c r="E79" i="9" s="1" a="1"/>
  <c r="E79" i="9" s="1"/>
  <c r="N83" i="7"/>
  <c r="E78" i="9" s="1" a="1"/>
  <c r="E78" i="9" s="1"/>
  <c r="N82" i="7"/>
  <c r="E77" i="9" s="1" a="1"/>
  <c r="E77" i="9" s="1"/>
  <c r="N102" i="7"/>
  <c r="M95" i="9" s="1" a="1"/>
  <c r="M95" i="9" s="1"/>
  <c r="N122" i="7"/>
  <c r="E114" i="9" s="1" a="1"/>
  <c r="E114" i="9" s="1"/>
  <c r="N101" i="7"/>
  <c r="M94" i="9" s="1" a="1"/>
  <c r="M94" i="9" s="1"/>
  <c r="N104" i="7"/>
  <c r="M97" i="9" s="1" a="1"/>
  <c r="M97" i="9" s="1"/>
  <c r="N78" i="7"/>
  <c r="M73" i="9" s="1" a="1"/>
  <c r="M73" i="9" s="1"/>
  <c r="N74" i="7"/>
  <c r="M69" i="9" s="1" a="1"/>
  <c r="M69" i="9" s="1"/>
  <c r="N70" i="7"/>
  <c r="E66" i="9" s="1" a="1"/>
  <c r="E66" i="9" s="1"/>
  <c r="N67" i="7"/>
  <c r="E63" i="9" s="1" a="1"/>
  <c r="E63" i="9" s="1"/>
  <c r="N35" i="7"/>
  <c r="M33" i="9" s="1" a="1"/>
  <c r="M33" i="9" s="1"/>
  <c r="N34" i="7"/>
  <c r="M32" i="9" s="1" a="1"/>
  <c r="M32" i="9" s="1"/>
  <c r="N33" i="7"/>
  <c r="M31" i="9" s="1" a="1"/>
  <c r="M31" i="9" s="1"/>
  <c r="N32" i="7"/>
  <c r="M30" i="9" s="1" a="1"/>
  <c r="M30" i="9" s="1"/>
  <c r="N31" i="7"/>
  <c r="M29" i="9" s="1" a="1"/>
  <c r="M29" i="9" s="1"/>
  <c r="N30" i="7"/>
  <c r="N29" i="7"/>
  <c r="E28" i="9" s="1" a="1"/>
  <c r="E28" i="9" s="1"/>
  <c r="N28" i="7"/>
  <c r="E27" i="9" s="1" a="1"/>
  <c r="E27" i="9" s="1"/>
  <c r="N27" i="7"/>
  <c r="E26" i="9" s="1" a="1"/>
  <c r="E26" i="9" s="1"/>
  <c r="N26" i="7"/>
  <c r="E25" i="9" s="1" a="1"/>
  <c r="E25" i="9" s="1"/>
  <c r="N25" i="7"/>
  <c r="E24" i="9" s="1" a="1"/>
  <c r="E24" i="9" s="1"/>
  <c r="N24" i="7"/>
  <c r="E23" i="9" s="1" a="1"/>
  <c r="E23" i="9" s="1"/>
  <c r="N23" i="7"/>
  <c r="N22" i="7"/>
  <c r="M21" i="9" s="1" a="1"/>
  <c r="M21" i="9" s="1"/>
  <c r="N21" i="7"/>
  <c r="M20" i="9" s="1" a="1"/>
  <c r="M20" i="9" s="1"/>
  <c r="N20" i="7"/>
  <c r="M19" i="9" s="1" a="1"/>
  <c r="M19" i="9" s="1"/>
  <c r="N19" i="7"/>
  <c r="M18" i="9" s="1" a="1"/>
  <c r="M18" i="9" s="1"/>
  <c r="N18" i="7"/>
  <c r="M17" i="9" s="1" a="1"/>
  <c r="M17" i="9" s="1"/>
  <c r="N17" i="7"/>
  <c r="M16" i="9" s="1" a="1"/>
  <c r="M16" i="9" s="1"/>
  <c r="N16" i="7"/>
  <c r="N15" i="7"/>
  <c r="E15" i="9" s="1" a="1"/>
  <c r="E15" i="9" s="1"/>
  <c r="N14" i="7"/>
  <c r="E14" i="9" s="1" a="1"/>
  <c r="E14" i="9" s="1"/>
  <c r="N13" i="7"/>
  <c r="E13" i="9" s="1" a="1"/>
  <c r="E13" i="9" s="1"/>
  <c r="N12" i="7"/>
  <c r="E12" i="9" s="1" a="1"/>
  <c r="E12" i="9" s="1"/>
  <c r="N11" i="7"/>
  <c r="E11" i="9" s="1" a="1"/>
  <c r="E11" i="9" s="1"/>
  <c r="N10" i="7"/>
  <c r="E10" i="9" s="1" a="1"/>
  <c r="E10" i="9" s="1"/>
  <c r="N9" i="7"/>
  <c r="N8" i="7"/>
  <c r="M8" i="9" s="1" a="1"/>
  <c r="M8" i="9" s="1"/>
  <c r="N7" i="7"/>
  <c r="M7" i="9" s="1" a="1"/>
  <c r="M7" i="9" s="1"/>
  <c r="N6" i="7"/>
  <c r="M6" i="9" s="1" a="1"/>
  <c r="M6" i="9" s="1"/>
  <c r="N5" i="7"/>
  <c r="M5" i="9" s="1" a="1"/>
  <c r="M5" i="9" s="1"/>
  <c r="N4" i="7"/>
  <c r="M4" i="9" s="1" a="1"/>
  <c r="M4" i="9" s="1"/>
  <c r="N3" i="7"/>
  <c r="M3" i="9" s="1" a="1"/>
  <c r="M3" i="9" s="1"/>
  <c r="O2" i="7"/>
  <c r="N80" i="7"/>
  <c r="E75" i="9" s="1" a="1"/>
  <c r="E75" i="9" s="1"/>
  <c r="N76" i="7"/>
  <c r="M71" i="9" s="1" a="1"/>
  <c r="M71" i="9" s="1"/>
  <c r="N72" i="7"/>
  <c r="N68" i="7"/>
  <c r="E64" i="9" s="1" a="1"/>
  <c r="E64" i="9" s="1"/>
  <c r="N81" i="7"/>
  <c r="E76" i="9" s="1" a="1"/>
  <c r="E76" i="9" s="1"/>
  <c r="N77" i="7"/>
  <c r="M72" i="9" s="1" a="1"/>
  <c r="M72" i="9" s="1"/>
  <c r="N73" i="7"/>
  <c r="M68" i="9" s="1" a="1"/>
  <c r="M68" i="9" s="1"/>
  <c r="N69" i="7"/>
  <c r="E65" i="9" s="1" a="1"/>
  <c r="E65" i="9" s="1"/>
  <c r="N65" i="7"/>
  <c r="N64" i="7"/>
  <c r="M60" i="9" s="1" a="1"/>
  <c r="M60" i="9" s="1"/>
  <c r="N63" i="7"/>
  <c r="M59" i="9" s="1" a="1"/>
  <c r="M59" i="9" s="1"/>
  <c r="N62" i="7"/>
  <c r="M58" i="9" s="1" a="1"/>
  <c r="M58" i="9" s="1"/>
  <c r="N61" i="7"/>
  <c r="M57" i="9" s="1" a="1"/>
  <c r="M57" i="9" s="1"/>
  <c r="N60" i="7"/>
  <c r="M56" i="9" s="1" a="1"/>
  <c r="M56" i="9" s="1"/>
  <c r="N59" i="7"/>
  <c r="M55" i="9" s="1" a="1"/>
  <c r="M55" i="9" s="1"/>
  <c r="N58" i="7"/>
  <c r="N57" i="7"/>
  <c r="E54" i="9" s="1" a="1"/>
  <c r="E54" i="9" s="1"/>
  <c r="N56" i="7"/>
  <c r="E53" i="9" s="1" a="1"/>
  <c r="E53" i="9" s="1"/>
  <c r="N55" i="7"/>
  <c r="E52" i="9" s="1" a="1"/>
  <c r="E52" i="9" s="1"/>
  <c r="N54" i="7"/>
  <c r="E51" i="9" s="1" a="1"/>
  <c r="E51" i="9" s="1"/>
  <c r="N53" i="7"/>
  <c r="E50" i="9" s="1" a="1"/>
  <c r="E50" i="9" s="1"/>
  <c r="N52" i="7"/>
  <c r="E49" i="9" s="1" a="1"/>
  <c r="E49" i="9" s="1"/>
  <c r="N51" i="7"/>
  <c r="N50" i="7"/>
  <c r="M47" i="9" s="1" a="1"/>
  <c r="M47" i="9" s="1"/>
  <c r="N49" i="7"/>
  <c r="M46" i="9" s="1" a="1"/>
  <c r="M46" i="9" s="1"/>
  <c r="N48" i="7"/>
  <c r="M45" i="9" s="1" a="1"/>
  <c r="M45" i="9" s="1"/>
  <c r="N47" i="7"/>
  <c r="M44" i="9" s="1" a="1"/>
  <c r="M44" i="9" s="1"/>
  <c r="N46" i="7"/>
  <c r="M43" i="9" s="1" a="1"/>
  <c r="M43" i="9" s="1"/>
  <c r="N45" i="7"/>
  <c r="M42" i="9" s="1" a="1"/>
  <c r="M42" i="9" s="1"/>
  <c r="N44" i="7"/>
  <c r="N43" i="7"/>
  <c r="E41" i="9" s="1" a="1"/>
  <c r="E41" i="9" s="1"/>
  <c r="N42" i="7"/>
  <c r="E40" i="9" s="1" a="1"/>
  <c r="E40" i="9" s="1"/>
  <c r="N41" i="7"/>
  <c r="E39" i="9" s="1" a="1"/>
  <c r="E39" i="9" s="1"/>
  <c r="N40" i="7"/>
  <c r="E38" i="9" s="1" a="1"/>
  <c r="E38" i="9" s="1"/>
  <c r="N39" i="7"/>
  <c r="E37" i="9" s="1" a="1"/>
  <c r="E37" i="9" s="1"/>
  <c r="N38" i="7"/>
  <c r="E36" i="9" s="1" a="1"/>
  <c r="E36" i="9" s="1"/>
  <c r="N37" i="7"/>
  <c r="N36" i="7"/>
  <c r="M34" i="9" s="1" a="1"/>
  <c r="M34" i="9" s="1"/>
  <c r="N66" i="7"/>
  <c r="E62" i="9" s="1" a="1"/>
  <c r="E62" i="9" s="1"/>
  <c r="N71" i="7"/>
  <c r="E67" i="9" s="1" a="1"/>
  <c r="E67" i="9" s="1"/>
  <c r="N75" i="7"/>
  <c r="M70" i="9" s="1" a="1"/>
  <c r="M70" i="9" s="1"/>
  <c r="N79" i="7"/>
  <c r="BL62" i="21" a="1"/>
  <c r="BA32" i="21" a="1"/>
  <c r="AU32" i="21" a="1"/>
  <c r="BM61" i="21" a="1"/>
  <c r="P31" i="13" l="1"/>
  <c r="L31" i="13"/>
  <c r="M31" i="13"/>
  <c r="J31" i="13"/>
  <c r="N31" i="13"/>
  <c r="K31" i="13"/>
  <c r="O31" i="13"/>
  <c r="J30" i="13"/>
  <c r="P30" i="13"/>
  <c r="N30" i="13"/>
  <c r="L30" i="13"/>
  <c r="O30" i="13"/>
  <c r="M30" i="13"/>
  <c r="K30" i="13"/>
  <c r="O27" i="13"/>
  <c r="J27" i="13"/>
  <c r="K27" i="13"/>
  <c r="N27" i="13"/>
  <c r="P27" i="13"/>
  <c r="M27" i="13"/>
  <c r="L27" i="13"/>
  <c r="BM61" i="21"/>
  <c r="Q61" i="21" s="1"/>
  <c r="BA32" i="21"/>
  <c r="BL62" i="21"/>
  <c r="AU32" i="21"/>
  <c r="I61" i="21"/>
  <c r="E61" i="21"/>
  <c r="H61" i="21"/>
  <c r="D61" i="21"/>
  <c r="G61" i="21"/>
  <c r="J61" i="21"/>
  <c r="F61" i="21"/>
  <c r="AY45" i="21"/>
  <c r="AZ45" i="21" s="1"/>
  <c r="AX62" i="21"/>
  <c r="BE62" i="21" s="1"/>
  <c r="BH62" i="21" s="1"/>
  <c r="BK62" i="21" s="1"/>
  <c r="Q60" i="21"/>
  <c r="M60" i="21"/>
  <c r="P60" i="21"/>
  <c r="L60" i="21"/>
  <c r="O60" i="21"/>
  <c r="R60" i="21"/>
  <c r="N60" i="21"/>
  <c r="AS45" i="21"/>
  <c r="AT45" i="21" s="1"/>
  <c r="AR62" i="21"/>
  <c r="BD62" i="21" s="1"/>
  <c r="BG62" i="21" s="1"/>
  <c r="BJ62" i="21" s="1"/>
  <c r="X61" i="21"/>
  <c r="T61" i="21"/>
  <c r="W61" i="21"/>
  <c r="Z61" i="21"/>
  <c r="V61" i="21"/>
  <c r="Y61" i="21"/>
  <c r="U61" i="21"/>
  <c r="AH95" i="19"/>
  <c r="AD95" i="19"/>
  <c r="Z95" i="19"/>
  <c r="V95" i="19"/>
  <c r="AG95" i="19"/>
  <c r="AC95" i="19"/>
  <c r="Y95" i="19"/>
  <c r="U95" i="19"/>
  <c r="AF95" i="19"/>
  <c r="X95" i="19"/>
  <c r="AE95" i="19"/>
  <c r="W95" i="19"/>
  <c r="S96" i="19"/>
  <c r="AB95" i="19"/>
  <c r="T95" i="19"/>
  <c r="AI95" i="19"/>
  <c r="AA95" i="19"/>
  <c r="AG80" i="19"/>
  <c r="AC80" i="19"/>
  <c r="Y80" i="19"/>
  <c r="U80" i="19"/>
  <c r="S81" i="19"/>
  <c r="AF80" i="19"/>
  <c r="AB80" i="19"/>
  <c r="X80" i="19"/>
  <c r="T80" i="19"/>
  <c r="AI80" i="19"/>
  <c r="AE80" i="19"/>
  <c r="AA80" i="19"/>
  <c r="W80" i="19"/>
  <c r="AH80" i="19"/>
  <c r="AD80" i="19"/>
  <c r="Z80" i="19"/>
  <c r="V80" i="19"/>
  <c r="AH111" i="19"/>
  <c r="AD111" i="19"/>
  <c r="Z111" i="19"/>
  <c r="V111" i="19"/>
  <c r="AG111" i="19"/>
  <c r="AC111" i="19"/>
  <c r="Y111" i="19"/>
  <c r="U111" i="19"/>
  <c r="S112" i="19"/>
  <c r="AF111" i="19"/>
  <c r="AI111" i="19"/>
  <c r="X111" i="19"/>
  <c r="AE111" i="19"/>
  <c r="W111" i="19"/>
  <c r="AB111" i="19"/>
  <c r="T111" i="19"/>
  <c r="AA111" i="19"/>
  <c r="AH48" i="19"/>
  <c r="AD48" i="19"/>
  <c r="Z48" i="19"/>
  <c r="V48" i="19"/>
  <c r="AG48" i="19"/>
  <c r="AC48" i="19"/>
  <c r="Y48" i="19"/>
  <c r="U48" i="19"/>
  <c r="S49" i="19"/>
  <c r="AF48" i="19"/>
  <c r="AB48" i="19"/>
  <c r="X48" i="19"/>
  <c r="T48" i="19"/>
  <c r="AI48" i="19"/>
  <c r="AE48" i="19"/>
  <c r="AA48" i="19"/>
  <c r="W48" i="19"/>
  <c r="AF34" i="19"/>
  <c r="AB34" i="19"/>
  <c r="X34" i="19"/>
  <c r="T34" i="19"/>
  <c r="AI34" i="19"/>
  <c r="AE34" i="19"/>
  <c r="AA34" i="19"/>
  <c r="W34" i="19"/>
  <c r="AH34" i="19"/>
  <c r="AD34" i="19"/>
  <c r="Z34" i="19"/>
  <c r="V34" i="19"/>
  <c r="U34" i="19"/>
  <c r="AG34" i="19"/>
  <c r="Y34" i="19"/>
  <c r="AC34" i="19"/>
  <c r="AH64" i="19"/>
  <c r="AD64" i="19"/>
  <c r="Z64" i="19"/>
  <c r="V64" i="19"/>
  <c r="AG64" i="19"/>
  <c r="AC64" i="19"/>
  <c r="Y64" i="19"/>
  <c r="U64" i="19"/>
  <c r="S65" i="19"/>
  <c r="AF64" i="19"/>
  <c r="AB64" i="19"/>
  <c r="X64" i="19"/>
  <c r="T64" i="19"/>
  <c r="AI64" i="19"/>
  <c r="AE64" i="19"/>
  <c r="AA64" i="19"/>
  <c r="W64" i="19"/>
  <c r="Q1" i="19"/>
  <c r="P2" i="19"/>
  <c r="N29" i="13"/>
  <c r="K29" i="13"/>
  <c r="P29" i="13"/>
  <c r="J29" i="13"/>
  <c r="O29" i="13"/>
  <c r="M29" i="13"/>
  <c r="L29" i="13"/>
  <c r="O145" i="9" a="1"/>
  <c r="O145" i="9" s="1"/>
  <c r="O144" i="9" a="1"/>
  <c r="O144" i="9" s="1"/>
  <c r="O140" i="9" a="1"/>
  <c r="O140" i="9" s="1"/>
  <c r="O139" i="9" a="1"/>
  <c r="O139" i="9" s="1"/>
  <c r="O127" i="9" a="1"/>
  <c r="O127" i="9" s="1"/>
  <c r="O126" i="9" a="1"/>
  <c r="O126" i="9" s="1"/>
  <c r="O143" i="9" a="1"/>
  <c r="O143" i="9" s="1"/>
  <c r="O142" i="9" a="1"/>
  <c r="O142" i="9" s="1"/>
  <c r="O129" i="9" a="1"/>
  <c r="O129" i="9" s="1"/>
  <c r="O128" i="9" a="1"/>
  <c r="O128" i="9" s="1"/>
  <c r="O118" i="9" a="1"/>
  <c r="O118" i="9" s="1"/>
  <c r="O115" i="9" a="1"/>
  <c r="O115" i="9" s="1"/>
  <c r="O114" i="9" a="1"/>
  <c r="O114" i="9" s="1"/>
  <c r="O141" i="9" a="1"/>
  <c r="O141" i="9" s="1"/>
  <c r="O113" i="9" a="1"/>
  <c r="O113" i="9" s="1"/>
  <c r="O132" i="9" a="1"/>
  <c r="O132" i="9" s="1"/>
  <c r="O93" i="9" a="1"/>
  <c r="O93" i="9" s="1"/>
  <c r="O92" i="9" a="1"/>
  <c r="O92" i="9" s="1"/>
  <c r="O91" i="9" a="1"/>
  <c r="O91" i="9" s="1"/>
  <c r="O90" i="9" a="1"/>
  <c r="O90" i="9" s="1"/>
  <c r="O89" i="9" a="1"/>
  <c r="O89" i="9" s="1"/>
  <c r="O88" i="9" a="1"/>
  <c r="O88" i="9" s="1"/>
  <c r="O87" i="9" a="1"/>
  <c r="O87" i="9" s="1"/>
  <c r="O131" i="9" a="1"/>
  <c r="O131" i="9" s="1"/>
  <c r="O116" i="9" a="1"/>
  <c r="O116" i="9" s="1"/>
  <c r="O130" i="9" a="1"/>
  <c r="O130" i="9" s="1"/>
  <c r="O119" i="9" a="1"/>
  <c r="O119" i="9" s="1"/>
  <c r="O102" i="9" a="1"/>
  <c r="O102" i="9" s="1"/>
  <c r="O67" i="9" a="1"/>
  <c r="O67" i="9" s="1"/>
  <c r="O66" i="9" a="1"/>
  <c r="O66" i="9" s="1"/>
  <c r="O65" i="9" a="1"/>
  <c r="O65" i="9" s="1"/>
  <c r="O64" i="9" a="1"/>
  <c r="O64" i="9" s="1"/>
  <c r="O63" i="9" a="1"/>
  <c r="O63" i="9" s="1"/>
  <c r="O106" i="9" a="1"/>
  <c r="O106" i="9" s="1"/>
  <c r="O105" i="9" a="1"/>
  <c r="O105" i="9" s="1"/>
  <c r="O104" i="9" a="1"/>
  <c r="O104" i="9" s="1"/>
  <c r="O101" i="9" a="1"/>
  <c r="O101" i="9" s="1"/>
  <c r="O62" i="9" a="1"/>
  <c r="O62" i="9" s="1"/>
  <c r="O61" i="9" a="1"/>
  <c r="O61" i="9" s="1"/>
  <c r="O100" i="9" a="1"/>
  <c r="O100" i="9" s="1"/>
  <c r="O117" i="9" a="1"/>
  <c r="O117" i="9" s="1"/>
  <c r="O80" i="9" a="1"/>
  <c r="O80" i="9" s="1"/>
  <c r="O79" i="9" a="1"/>
  <c r="O79" i="9" s="1"/>
  <c r="O78" i="9" a="1"/>
  <c r="O78" i="9" s="1"/>
  <c r="O77" i="9" a="1"/>
  <c r="O77" i="9" s="1"/>
  <c r="O76" i="9" a="1"/>
  <c r="O76" i="9" s="1"/>
  <c r="O103" i="9" a="1"/>
  <c r="O103" i="9" s="1"/>
  <c r="O75" i="9" a="1"/>
  <c r="O75" i="9" s="1"/>
  <c r="O54" i="9" a="1"/>
  <c r="O54" i="9" s="1"/>
  <c r="O53" i="9" a="1"/>
  <c r="O53" i="9" s="1"/>
  <c r="O52" i="9" a="1"/>
  <c r="O52" i="9" s="1"/>
  <c r="O51" i="9" a="1"/>
  <c r="O51" i="9" s="1"/>
  <c r="O50" i="9" a="1"/>
  <c r="O50" i="9" s="1"/>
  <c r="O49" i="9" a="1"/>
  <c r="O49" i="9" s="1"/>
  <c r="O48" i="9" a="1"/>
  <c r="O48" i="9" s="1"/>
  <c r="O74" i="9" a="1"/>
  <c r="O74" i="9" s="1"/>
  <c r="O41" i="9" a="1"/>
  <c r="O41" i="9" s="1"/>
  <c r="O37" i="9" a="1"/>
  <c r="O37" i="9" s="1"/>
  <c r="O15" i="9" a="1"/>
  <c r="O15" i="9" s="1"/>
  <c r="O14" i="9" a="1"/>
  <c r="O14" i="9" s="1"/>
  <c r="O13" i="9" a="1"/>
  <c r="O13" i="9" s="1"/>
  <c r="O12" i="9" a="1"/>
  <c r="O12" i="9" s="1"/>
  <c r="O11" i="9" a="1"/>
  <c r="O11" i="9" s="1"/>
  <c r="O10" i="9" a="1"/>
  <c r="O10" i="9" s="1"/>
  <c r="O9" i="9" a="1"/>
  <c r="O9" i="9" s="1"/>
  <c r="O40" i="9" a="1"/>
  <c r="O40" i="9" s="1"/>
  <c r="O36" i="9" a="1"/>
  <c r="O36" i="9" s="1"/>
  <c r="O39" i="9" a="1"/>
  <c r="O39" i="9" s="1"/>
  <c r="O35" i="9" a="1"/>
  <c r="O35" i="9" s="1"/>
  <c r="O27" i="9" a="1"/>
  <c r="O27" i="9" s="1"/>
  <c r="O23" i="9" a="1"/>
  <c r="O23" i="9" s="1"/>
  <c r="O28" i="9" a="1"/>
  <c r="O28" i="9" s="1"/>
  <c r="O26" i="9" a="1"/>
  <c r="O26" i="9" s="1"/>
  <c r="O22" i="9" a="1"/>
  <c r="O22" i="9" s="1"/>
  <c r="O38" i="9" a="1"/>
  <c r="O38" i="9" s="1"/>
  <c r="O24" i="9" a="1"/>
  <c r="O24" i="9" s="1"/>
  <c r="O25" i="9" a="1"/>
  <c r="O25" i="9" s="1"/>
  <c r="O96" i="14" a="1"/>
  <c r="O96" i="14" s="1"/>
  <c r="U112" i="14" a="1"/>
  <c r="U112" i="14" s="1"/>
  <c r="X32" i="14" a="1"/>
  <c r="X32" i="14" s="1"/>
  <c r="O48" i="14" a="1"/>
  <c r="O48" i="14" s="1"/>
  <c r="U128" i="14" a="1"/>
  <c r="U128" i="14" s="1"/>
  <c r="I128" i="14" a="1"/>
  <c r="I128" i="14" s="1"/>
  <c r="O32" i="14" a="1"/>
  <c r="O32" i="14" s="1"/>
  <c r="U80" i="14" a="1"/>
  <c r="U80" i="14" s="1"/>
  <c r="U64" i="14" a="1"/>
  <c r="U64" i="14" s="1"/>
  <c r="U16" i="14" a="1"/>
  <c r="U16" i="14" s="1"/>
  <c r="U96" i="14" a="1"/>
  <c r="U96" i="14" s="1"/>
  <c r="O112" i="14" a="1"/>
  <c r="O112" i="14" s="1"/>
  <c r="O16" i="14" a="1"/>
  <c r="O16" i="14" s="1"/>
  <c r="F96" i="14" a="1"/>
  <c r="F96" i="14" s="1"/>
  <c r="L128" i="14" a="1"/>
  <c r="L128" i="14" s="1"/>
  <c r="R64" i="14" a="1"/>
  <c r="R64" i="14" s="1"/>
  <c r="F16" i="14" a="1"/>
  <c r="F16" i="14" s="1"/>
  <c r="F80" i="14" a="1"/>
  <c r="F80" i="14" s="1"/>
  <c r="I16" i="14" a="1"/>
  <c r="I16" i="14" s="1"/>
  <c r="I80" i="14" a="1"/>
  <c r="I80" i="14" s="1"/>
  <c r="O128" i="14" a="1"/>
  <c r="O128" i="14" s="1"/>
  <c r="U48" i="14" a="1"/>
  <c r="U48" i="14" s="1"/>
  <c r="I112" i="14" a="1"/>
  <c r="I112" i="14" s="1"/>
  <c r="L48" i="14" a="1"/>
  <c r="L48" i="14" s="1"/>
  <c r="L112" i="14" a="1"/>
  <c r="L112" i="14" s="1"/>
  <c r="R48" i="14" a="1"/>
  <c r="R48" i="14" s="1"/>
  <c r="R112" i="14" a="1"/>
  <c r="R112" i="14" s="1"/>
  <c r="U32" i="14" a="1"/>
  <c r="U32" i="14" s="1"/>
  <c r="X16" i="14" a="1"/>
  <c r="X16" i="14" s="1"/>
  <c r="X80" i="14" a="1"/>
  <c r="X80" i="14" s="1"/>
  <c r="I32" i="14" a="1"/>
  <c r="I32" i="14" s="1"/>
  <c r="R128" i="14" a="1"/>
  <c r="R128" i="14" s="1"/>
  <c r="X96" i="14" a="1"/>
  <c r="X96" i="14" s="1"/>
  <c r="P1" i="12"/>
  <c r="O101" i="12"/>
  <c r="V49" i="14" s="1" a="1"/>
  <c r="V49" i="14" s="1"/>
  <c r="O100" i="12"/>
  <c r="V33" i="14" s="1" a="1"/>
  <c r="V33" i="14" s="1"/>
  <c r="O99" i="12"/>
  <c r="V17" i="14" s="1" a="1"/>
  <c r="V17" i="14" s="1"/>
  <c r="O98" i="12"/>
  <c r="T129" i="14" s="1" a="1"/>
  <c r="T129" i="14" s="1"/>
  <c r="O97" i="12"/>
  <c r="T113" i="14" s="1" a="1"/>
  <c r="T113" i="14" s="1"/>
  <c r="O96" i="12"/>
  <c r="T97" i="14" s="1" a="1"/>
  <c r="T97" i="14" s="1"/>
  <c r="O95" i="12"/>
  <c r="T81" i="14" s="1" a="1"/>
  <c r="T81" i="14" s="1"/>
  <c r="O94" i="12"/>
  <c r="T65" i="14" s="1" a="1"/>
  <c r="T65" i="14" s="1"/>
  <c r="O93" i="12"/>
  <c r="T49" i="14" s="1" a="1"/>
  <c r="T49" i="14" s="1"/>
  <c r="O92" i="12"/>
  <c r="T33" i="14" s="1" a="1"/>
  <c r="T33" i="14" s="1"/>
  <c r="O91" i="12"/>
  <c r="T17" i="14" s="1" a="1"/>
  <c r="T17" i="14" s="1"/>
  <c r="O90" i="12"/>
  <c r="S129" i="14" s="1" a="1"/>
  <c r="S129" i="14" s="1"/>
  <c r="O89" i="12"/>
  <c r="S113" i="14" s="1" a="1"/>
  <c r="S113" i="14" s="1"/>
  <c r="O88" i="12"/>
  <c r="S97" i="14" s="1" a="1"/>
  <c r="S97" i="14" s="1"/>
  <c r="O87" i="12"/>
  <c r="S81" i="14" s="1" a="1"/>
  <c r="S81" i="14" s="1"/>
  <c r="O86" i="12"/>
  <c r="S65" i="14" s="1" a="1"/>
  <c r="S65" i="14" s="1"/>
  <c r="O85" i="12"/>
  <c r="S49" i="14" s="1" a="1"/>
  <c r="S49" i="14" s="1"/>
  <c r="O84" i="12"/>
  <c r="S33" i="14" s="1" a="1"/>
  <c r="S33" i="14" s="1"/>
  <c r="O83" i="12"/>
  <c r="S17" i="14" s="1" a="1"/>
  <c r="S17" i="14" s="1"/>
  <c r="O2" i="12"/>
  <c r="O113" i="12"/>
  <c r="W113" i="14" s="1" a="1"/>
  <c r="W113" i="14" s="1"/>
  <c r="O111" i="12"/>
  <c r="W81" i="14" s="1" a="1"/>
  <c r="W81" i="14" s="1"/>
  <c r="O109" i="12"/>
  <c r="W49" i="14" s="1" a="1"/>
  <c r="W49" i="14" s="1"/>
  <c r="O107" i="12"/>
  <c r="W17" i="14" s="1" a="1"/>
  <c r="W17" i="14" s="1"/>
  <c r="O105" i="12"/>
  <c r="V113" i="14" s="1" a="1"/>
  <c r="V113" i="14" s="1"/>
  <c r="O103" i="12"/>
  <c r="V81" i="14" s="1" a="1"/>
  <c r="V81" i="14" s="1"/>
  <c r="O114" i="12"/>
  <c r="W129" i="14" s="1" a="1"/>
  <c r="W129" i="14" s="1"/>
  <c r="O112" i="12"/>
  <c r="W97" i="14" s="1" a="1"/>
  <c r="W97" i="14" s="1"/>
  <c r="O110" i="12"/>
  <c r="W65" i="14" s="1" a="1"/>
  <c r="W65" i="14" s="1"/>
  <c r="O108" i="12"/>
  <c r="W33" i="14" s="1" a="1"/>
  <c r="W33" i="14" s="1"/>
  <c r="X33" i="14" s="1" a="1"/>
  <c r="X33" i="14" s="1"/>
  <c r="O106" i="12"/>
  <c r="V129" i="14" s="1" a="1"/>
  <c r="V129" i="14" s="1"/>
  <c r="O104" i="12"/>
  <c r="V97" i="14" s="1" a="1"/>
  <c r="V97" i="14" s="1"/>
  <c r="O102" i="12"/>
  <c r="V65" i="14" s="1" a="1"/>
  <c r="V65" i="14" s="1"/>
  <c r="O74" i="12"/>
  <c r="P129" i="14" s="1" a="1"/>
  <c r="P129" i="14" s="1"/>
  <c r="O72" i="12"/>
  <c r="P97" i="14" s="1" a="1"/>
  <c r="P97" i="14" s="1"/>
  <c r="O71" i="12"/>
  <c r="P81" i="14" s="1" a="1"/>
  <c r="P81" i="14" s="1"/>
  <c r="O70" i="12"/>
  <c r="P65" i="14" s="1" a="1"/>
  <c r="P65" i="14" s="1"/>
  <c r="O69" i="12"/>
  <c r="P49" i="14" s="1" a="1"/>
  <c r="P49" i="14" s="1"/>
  <c r="O68" i="12"/>
  <c r="P33" i="14" s="1" a="1"/>
  <c r="P33" i="14" s="1"/>
  <c r="O67" i="12"/>
  <c r="P17" i="14" s="1" a="1"/>
  <c r="P17" i="14" s="1"/>
  <c r="O66" i="12"/>
  <c r="N129" i="14" s="1" a="1"/>
  <c r="N129" i="14" s="1"/>
  <c r="O65" i="12"/>
  <c r="N113" i="14" s="1" a="1"/>
  <c r="N113" i="14" s="1"/>
  <c r="O64" i="12"/>
  <c r="N97" i="14" s="1" a="1"/>
  <c r="N97" i="14" s="1"/>
  <c r="O63" i="12"/>
  <c r="N81" i="14" s="1" a="1"/>
  <c r="N81" i="14" s="1"/>
  <c r="O62" i="12"/>
  <c r="N65" i="14" s="1" a="1"/>
  <c r="N65" i="14" s="1"/>
  <c r="O61" i="12"/>
  <c r="N49" i="14" s="1" a="1"/>
  <c r="N49" i="14" s="1"/>
  <c r="O60" i="12"/>
  <c r="N33" i="14" s="1" a="1"/>
  <c r="N33" i="14" s="1"/>
  <c r="O59" i="12"/>
  <c r="N17" i="14" s="1" a="1"/>
  <c r="N17" i="14" s="1"/>
  <c r="O58" i="12"/>
  <c r="M129" i="14" s="1" a="1"/>
  <c r="M129" i="14" s="1"/>
  <c r="O80" i="12"/>
  <c r="Q97" i="14" s="1" a="1"/>
  <c r="Q97" i="14" s="1"/>
  <c r="O76" i="12"/>
  <c r="Q33" i="14" s="1" a="1"/>
  <c r="Q33" i="14" s="1"/>
  <c r="R33" i="14" s="1" a="1"/>
  <c r="R33" i="14" s="1"/>
  <c r="O73" i="12"/>
  <c r="P113" i="14" s="1" a="1"/>
  <c r="P113" i="14" s="1"/>
  <c r="O82" i="12"/>
  <c r="Q129" i="14" s="1" a="1"/>
  <c r="Q129" i="14" s="1"/>
  <c r="O79" i="12"/>
  <c r="Q81" i="14" s="1" a="1"/>
  <c r="Q81" i="14" s="1"/>
  <c r="O57" i="12"/>
  <c r="M113" i="14" s="1" a="1"/>
  <c r="M113" i="14" s="1"/>
  <c r="O55" i="12"/>
  <c r="M81" i="14" s="1" a="1"/>
  <c r="M81" i="14" s="1"/>
  <c r="O53" i="12"/>
  <c r="M49" i="14" s="1" a="1"/>
  <c r="M49" i="14" s="1"/>
  <c r="O51" i="12"/>
  <c r="M17" i="14" s="1" a="1"/>
  <c r="M17" i="14" s="1"/>
  <c r="O49" i="12"/>
  <c r="K113" i="14" s="1" a="1"/>
  <c r="K113" i="14" s="1"/>
  <c r="O47" i="12"/>
  <c r="K81" i="14" s="1" a="1"/>
  <c r="K81" i="14" s="1"/>
  <c r="O45" i="12"/>
  <c r="K49" i="14" s="1" a="1"/>
  <c r="K49" i="14" s="1"/>
  <c r="O43" i="12"/>
  <c r="K17" i="14" s="1" a="1"/>
  <c r="K17" i="14" s="1"/>
  <c r="O41" i="12"/>
  <c r="J113" i="14" s="1" a="1"/>
  <c r="J113" i="14" s="1"/>
  <c r="O77" i="12"/>
  <c r="Q49" i="14" s="1" a="1"/>
  <c r="Q49" i="14" s="1"/>
  <c r="O31" i="12"/>
  <c r="H81" i="14" s="1" a="1"/>
  <c r="H81" i="14" s="1"/>
  <c r="O30" i="12"/>
  <c r="H65" i="14" s="1" a="1"/>
  <c r="H65" i="14" s="1"/>
  <c r="O29" i="12"/>
  <c r="H49" i="14" s="1" a="1"/>
  <c r="H49" i="14" s="1"/>
  <c r="O28" i="12"/>
  <c r="H33" i="14" s="1" a="1"/>
  <c r="H33" i="14" s="1"/>
  <c r="O27" i="12"/>
  <c r="H17" i="14" s="1" a="1"/>
  <c r="H17" i="14" s="1"/>
  <c r="O26" i="12"/>
  <c r="G129" i="14" s="1" a="1"/>
  <c r="G129" i="14" s="1"/>
  <c r="O25" i="12"/>
  <c r="G113" i="14" s="1" a="1"/>
  <c r="G113" i="14" s="1"/>
  <c r="O24" i="12"/>
  <c r="G97" i="14" s="1" a="1"/>
  <c r="G97" i="14" s="1"/>
  <c r="O23" i="12"/>
  <c r="G81" i="14" s="1" a="1"/>
  <c r="G81" i="14" s="1"/>
  <c r="O22" i="12"/>
  <c r="G65" i="14" s="1" a="1"/>
  <c r="G65" i="14" s="1"/>
  <c r="O21" i="12"/>
  <c r="G49" i="14" s="1" a="1"/>
  <c r="G49" i="14" s="1"/>
  <c r="O20" i="12"/>
  <c r="G33" i="14" s="1" a="1"/>
  <c r="G33" i="14" s="1"/>
  <c r="O19" i="12"/>
  <c r="G17" i="14" s="1" a="1"/>
  <c r="G17" i="14" s="1"/>
  <c r="O18" i="12"/>
  <c r="E129" i="14" s="1" a="1"/>
  <c r="E129" i="14" s="1"/>
  <c r="O17" i="12"/>
  <c r="E113" i="14" s="1" a="1"/>
  <c r="E113" i="14" s="1"/>
  <c r="O16" i="12"/>
  <c r="E97" i="14" s="1" a="1"/>
  <c r="E97" i="14" s="1"/>
  <c r="O15" i="12"/>
  <c r="E81" i="14" s="1" a="1"/>
  <c r="E81" i="14" s="1"/>
  <c r="O14" i="12"/>
  <c r="E65" i="14" s="1" a="1"/>
  <c r="E65" i="14" s="1"/>
  <c r="O13" i="12"/>
  <c r="E49" i="14" s="1" a="1"/>
  <c r="E49" i="14" s="1"/>
  <c r="O12" i="12"/>
  <c r="E33" i="14" s="1" a="1"/>
  <c r="E33" i="14" s="1"/>
  <c r="O11" i="12"/>
  <c r="E17" i="14" s="1" a="1"/>
  <c r="E17" i="14" s="1"/>
  <c r="D129" i="14" a="1"/>
  <c r="D129" i="14" s="1"/>
  <c r="O9" i="12"/>
  <c r="D113" i="14" s="1" a="1"/>
  <c r="D113" i="14" s="1"/>
  <c r="O78" i="12"/>
  <c r="Q65" i="14" s="1" a="1"/>
  <c r="Q65" i="14" s="1"/>
  <c r="O75" i="12"/>
  <c r="Q17" i="14" s="1" a="1"/>
  <c r="Q17" i="14" s="1"/>
  <c r="O56" i="12"/>
  <c r="M97" i="14" s="1" a="1"/>
  <c r="M97" i="14" s="1"/>
  <c r="O54" i="12"/>
  <c r="M65" i="14" s="1" a="1"/>
  <c r="M65" i="14" s="1"/>
  <c r="O52" i="12"/>
  <c r="M33" i="14" s="1" a="1"/>
  <c r="M33" i="14" s="1"/>
  <c r="O50" i="12"/>
  <c r="K129" i="14" s="1" a="1"/>
  <c r="K129" i="14" s="1"/>
  <c r="O48" i="12"/>
  <c r="K97" i="14" s="1" a="1"/>
  <c r="K97" i="14" s="1"/>
  <c r="O46" i="12"/>
  <c r="K65" i="14" s="1" a="1"/>
  <c r="K65" i="14" s="1"/>
  <c r="O44" i="12"/>
  <c r="K33" i="14" s="1" a="1"/>
  <c r="K33" i="14" s="1"/>
  <c r="O42" i="12"/>
  <c r="J129" i="14" s="1" a="1"/>
  <c r="J129" i="14" s="1"/>
  <c r="O40" i="12"/>
  <c r="J97" i="14" s="1" a="1"/>
  <c r="J97" i="14" s="1"/>
  <c r="O38" i="12"/>
  <c r="J65" i="14" s="1" a="1"/>
  <c r="J65" i="14" s="1"/>
  <c r="O36" i="12"/>
  <c r="J33" i="14" s="1" a="1"/>
  <c r="J33" i="14" s="1"/>
  <c r="O34" i="12"/>
  <c r="H129" i="14" s="1" a="1"/>
  <c r="H129" i="14" s="1"/>
  <c r="O32" i="12"/>
  <c r="H97" i="14" s="1" a="1"/>
  <c r="H97" i="14" s="1"/>
  <c r="O81" i="12"/>
  <c r="Q113" i="14" s="1" a="1"/>
  <c r="Q113" i="14" s="1"/>
  <c r="O33" i="12"/>
  <c r="H113" i="14" s="1" a="1"/>
  <c r="H113" i="14" s="1"/>
  <c r="O35" i="12"/>
  <c r="J17" i="14" s="1" a="1"/>
  <c r="J17" i="14" s="1"/>
  <c r="O39" i="12"/>
  <c r="J81" i="14" s="1" a="1"/>
  <c r="J81" i="14" s="1"/>
  <c r="O8" i="12"/>
  <c r="D97" i="14" s="1" a="1"/>
  <c r="D97" i="14" s="1"/>
  <c r="O7" i="12"/>
  <c r="D81" i="14" s="1" a="1"/>
  <c r="D81" i="14" s="1"/>
  <c r="O6" i="12"/>
  <c r="D65" i="14" s="1" a="1"/>
  <c r="D65" i="14" s="1"/>
  <c r="O5" i="12"/>
  <c r="D49" i="14" s="1" a="1"/>
  <c r="D49" i="14" s="1"/>
  <c r="O4" i="12"/>
  <c r="D33" i="14" s="1" a="1"/>
  <c r="D33" i="14" s="1"/>
  <c r="O3" i="12"/>
  <c r="D17" i="14" s="1" a="1"/>
  <c r="D17" i="14" s="1"/>
  <c r="O37" i="12"/>
  <c r="J49" i="14" s="1" a="1"/>
  <c r="J49" i="14" s="1"/>
  <c r="F48" i="14" a="1"/>
  <c r="F48" i="14" s="1"/>
  <c r="F112" i="14" a="1"/>
  <c r="F112" i="14" s="1"/>
  <c r="I48" i="14" a="1"/>
  <c r="I48" i="14" s="1"/>
  <c r="L16" i="14" a="1"/>
  <c r="L16" i="14" s="1"/>
  <c r="L80" i="14" a="1"/>
  <c r="L80" i="14" s="1"/>
  <c r="O80" i="14" a="1"/>
  <c r="O80" i="14" s="1"/>
  <c r="R16" i="14" a="1"/>
  <c r="R16" i="14" s="1"/>
  <c r="R80" i="14" a="1"/>
  <c r="R80" i="14" s="1"/>
  <c r="X48" i="14" a="1"/>
  <c r="X48" i="14" s="1"/>
  <c r="X112" i="14" a="1"/>
  <c r="X112" i="14" s="1"/>
  <c r="F32" i="14" a="1"/>
  <c r="F32" i="14" s="1"/>
  <c r="L64" i="14" a="1"/>
  <c r="L64" i="14" s="1"/>
  <c r="F64" i="14" a="1"/>
  <c r="F64" i="14" s="1"/>
  <c r="F128" i="14" a="1"/>
  <c r="F128" i="14" s="1"/>
  <c r="I64" i="14" a="1"/>
  <c r="I64" i="14" s="1"/>
  <c r="O64" i="14" a="1"/>
  <c r="O64" i="14" s="1"/>
  <c r="I96" i="14" a="1"/>
  <c r="I96" i="14" s="1"/>
  <c r="L32" i="14" a="1"/>
  <c r="L32" i="14" s="1"/>
  <c r="L96" i="14" a="1"/>
  <c r="L96" i="14" s="1"/>
  <c r="R32" i="14" a="1"/>
  <c r="R32" i="14" s="1"/>
  <c r="R96" i="14" a="1"/>
  <c r="R96" i="14" s="1"/>
  <c r="X64" i="14" a="1"/>
  <c r="X64" i="14" s="1"/>
  <c r="X128" i="14" a="1"/>
  <c r="X128" i="14" s="1"/>
  <c r="P1" i="9"/>
  <c r="O2" i="9"/>
  <c r="P2" i="7"/>
  <c r="O156" i="7"/>
  <c r="O155" i="7"/>
  <c r="F145" i="9" s="1" a="1"/>
  <c r="F145" i="9" s="1"/>
  <c r="O154" i="7"/>
  <c r="F144" i="9" s="1" a="1"/>
  <c r="F144" i="9" s="1"/>
  <c r="O153" i="7"/>
  <c r="F143" i="9" s="1" a="1"/>
  <c r="F143" i="9" s="1"/>
  <c r="O152" i="7"/>
  <c r="F142" i="9" s="1" a="1"/>
  <c r="F142" i="9" s="1"/>
  <c r="O151" i="7"/>
  <c r="F141" i="9" s="1" a="1"/>
  <c r="F141" i="9" s="1"/>
  <c r="O150" i="7"/>
  <c r="F140" i="9" s="1" a="1"/>
  <c r="F140" i="9" s="1"/>
  <c r="O149" i="7"/>
  <c r="O148" i="7"/>
  <c r="N138" i="9" s="1" a="1"/>
  <c r="N138" i="9" s="1"/>
  <c r="O147" i="7"/>
  <c r="N137" i="9" s="1" a="1"/>
  <c r="N137" i="9" s="1"/>
  <c r="O146" i="7"/>
  <c r="N136" i="9" s="1" a="1"/>
  <c r="N136" i="9" s="1"/>
  <c r="O145" i="7"/>
  <c r="N135" i="9" s="1" a="1"/>
  <c r="N135" i="9" s="1"/>
  <c r="O144" i="7"/>
  <c r="N134" i="9" s="1" a="1"/>
  <c r="N134" i="9" s="1"/>
  <c r="O143" i="7"/>
  <c r="N133" i="9" s="1" a="1"/>
  <c r="N133" i="9" s="1"/>
  <c r="O142" i="7"/>
  <c r="O141" i="7"/>
  <c r="F132" i="9" s="1" a="1"/>
  <c r="F132" i="9" s="1"/>
  <c r="O140" i="7"/>
  <c r="F131" i="9" s="1" a="1"/>
  <c r="F131" i="9" s="1"/>
  <c r="O139" i="7"/>
  <c r="F130" i="9" s="1" a="1"/>
  <c r="F130" i="9" s="1"/>
  <c r="O138" i="7"/>
  <c r="F129" i="9" s="1" a="1"/>
  <c r="F129" i="9" s="1"/>
  <c r="O137" i="7"/>
  <c r="F128" i="9" s="1" a="1"/>
  <c r="F128" i="9" s="1"/>
  <c r="O136" i="7"/>
  <c r="F127" i="9" s="1" a="1"/>
  <c r="F127" i="9" s="1"/>
  <c r="O135" i="7"/>
  <c r="O134" i="7"/>
  <c r="N125" i="9" s="1" a="1"/>
  <c r="N125" i="9" s="1"/>
  <c r="O133" i="7"/>
  <c r="N124" i="9" s="1" a="1"/>
  <c r="N124" i="9" s="1"/>
  <c r="O132" i="7"/>
  <c r="N123" i="9" s="1" a="1"/>
  <c r="N123" i="9" s="1"/>
  <c r="O131" i="7"/>
  <c r="N122" i="9" s="1" a="1"/>
  <c r="N122" i="9" s="1"/>
  <c r="O130" i="7"/>
  <c r="N121" i="9" s="1" a="1"/>
  <c r="N121" i="9" s="1"/>
  <c r="O129" i="7"/>
  <c r="N120" i="9" s="1" a="1"/>
  <c r="N120" i="9" s="1"/>
  <c r="O128" i="7"/>
  <c r="O127" i="7"/>
  <c r="F119" i="9" s="1" a="1"/>
  <c r="F119" i="9" s="1"/>
  <c r="O126" i="7"/>
  <c r="F118" i="9" s="1" a="1"/>
  <c r="F118" i="9" s="1"/>
  <c r="O125" i="7"/>
  <c r="F117" i="9" s="1" a="1"/>
  <c r="F117" i="9" s="1"/>
  <c r="O124" i="7"/>
  <c r="F116" i="9" s="1" a="1"/>
  <c r="F116" i="9" s="1"/>
  <c r="O123" i="7"/>
  <c r="F115" i="9" s="1" a="1"/>
  <c r="F115" i="9" s="1"/>
  <c r="O122" i="7"/>
  <c r="F114" i="9" s="1" a="1"/>
  <c r="F114" i="9" s="1"/>
  <c r="O121" i="7"/>
  <c r="O120" i="7"/>
  <c r="N112" i="9" s="1" a="1"/>
  <c r="N112" i="9" s="1"/>
  <c r="O119" i="7"/>
  <c r="N111" i="9" s="1" a="1"/>
  <c r="N111" i="9" s="1"/>
  <c r="O118" i="7"/>
  <c r="N110" i="9" s="1" a="1"/>
  <c r="N110" i="9" s="1"/>
  <c r="O117" i="7"/>
  <c r="N109" i="9" s="1" a="1"/>
  <c r="N109" i="9" s="1"/>
  <c r="O116" i="7"/>
  <c r="N108" i="9" s="1" a="1"/>
  <c r="N108" i="9" s="1"/>
  <c r="O115" i="7"/>
  <c r="N107" i="9" s="1" a="1"/>
  <c r="N107" i="9" s="1"/>
  <c r="O114" i="7"/>
  <c r="O113" i="7"/>
  <c r="F106" i="9" s="1" a="1"/>
  <c r="F106" i="9" s="1"/>
  <c r="O112" i="7"/>
  <c r="F105" i="9" s="1" a="1"/>
  <c r="F105" i="9" s="1"/>
  <c r="O111" i="7"/>
  <c r="F104" i="9" s="1" a="1"/>
  <c r="F104" i="9" s="1"/>
  <c r="O110" i="7"/>
  <c r="F103" i="9" s="1" a="1"/>
  <c r="F103" i="9" s="1"/>
  <c r="O109" i="7"/>
  <c r="F102" i="9" s="1" a="1"/>
  <c r="F102" i="9" s="1"/>
  <c r="O108" i="7"/>
  <c r="F101" i="9" s="1" a="1"/>
  <c r="F101" i="9" s="1"/>
  <c r="O107" i="7"/>
  <c r="O106" i="7"/>
  <c r="N99" i="9" s="1" a="1"/>
  <c r="N99" i="9" s="1"/>
  <c r="O105" i="7"/>
  <c r="N98" i="9" s="1" a="1"/>
  <c r="N98" i="9" s="1"/>
  <c r="O104" i="7"/>
  <c r="N97" i="9" s="1" a="1"/>
  <c r="N97" i="9" s="1"/>
  <c r="O103" i="7"/>
  <c r="N96" i="9" s="1" a="1"/>
  <c r="N96" i="9" s="1"/>
  <c r="O102" i="7"/>
  <c r="N95" i="9" s="1" a="1"/>
  <c r="N95" i="9" s="1"/>
  <c r="O101" i="7"/>
  <c r="N94" i="9" s="1" a="1"/>
  <c r="N94" i="9" s="1"/>
  <c r="O100" i="7"/>
  <c r="O99" i="7"/>
  <c r="F93" i="9" s="1" a="1"/>
  <c r="F93" i="9" s="1"/>
  <c r="O98" i="7"/>
  <c r="F92" i="9" s="1" a="1"/>
  <c r="F92" i="9" s="1"/>
  <c r="O97" i="7"/>
  <c r="F91" i="9" s="1" a="1"/>
  <c r="F91" i="9" s="1"/>
  <c r="O96" i="7"/>
  <c r="F90" i="9" s="1" a="1"/>
  <c r="F90" i="9" s="1"/>
  <c r="O95" i="7"/>
  <c r="F89" i="9" s="1" a="1"/>
  <c r="F89" i="9" s="1"/>
  <c r="O94" i="7"/>
  <c r="F88" i="9" s="1" a="1"/>
  <c r="F88" i="9" s="1"/>
  <c r="O93" i="7"/>
  <c r="O92" i="7"/>
  <c r="N86" i="9" s="1" a="1"/>
  <c r="N86" i="9" s="1"/>
  <c r="O91" i="7"/>
  <c r="N85" i="9" s="1" a="1"/>
  <c r="N85" i="9" s="1"/>
  <c r="O90" i="7"/>
  <c r="N84" i="9" s="1" a="1"/>
  <c r="N84" i="9" s="1"/>
  <c r="O89" i="7"/>
  <c r="N83" i="9" s="1" a="1"/>
  <c r="N83" i="9" s="1"/>
  <c r="O88" i="7"/>
  <c r="N82" i="9" s="1" a="1"/>
  <c r="N82" i="9" s="1"/>
  <c r="O87" i="7"/>
  <c r="N81" i="9" s="1" a="1"/>
  <c r="N81" i="9" s="1"/>
  <c r="O86" i="7"/>
  <c r="O85" i="7"/>
  <c r="F80" i="9" s="1" a="1"/>
  <c r="F80" i="9" s="1"/>
  <c r="O84" i="7"/>
  <c r="F79" i="9" s="1" a="1"/>
  <c r="F79" i="9" s="1"/>
  <c r="O83" i="7"/>
  <c r="F78" i="9" s="1" a="1"/>
  <c r="F78" i="9" s="1"/>
  <c r="O82" i="7"/>
  <c r="F77" i="9" s="1" a="1"/>
  <c r="F77" i="9" s="1"/>
  <c r="O68" i="7"/>
  <c r="F64" i="9" s="1" a="1"/>
  <c r="F64" i="9" s="1"/>
  <c r="O67" i="7"/>
  <c r="F63" i="9" s="1" a="1"/>
  <c r="F63" i="9" s="1"/>
  <c r="O66" i="7"/>
  <c r="F62" i="9" s="1" a="1"/>
  <c r="F62" i="9" s="1"/>
  <c r="O81" i="7"/>
  <c r="F76" i="9" s="1" a="1"/>
  <c r="F76" i="9" s="1"/>
  <c r="O77" i="7"/>
  <c r="N72" i="9" s="1" a="1"/>
  <c r="N72" i="9" s="1"/>
  <c r="O73" i="7"/>
  <c r="N68" i="9" s="1" a="1"/>
  <c r="N68" i="9" s="1"/>
  <c r="O69" i="7"/>
  <c r="F65" i="9" s="1" a="1"/>
  <c r="F65" i="9" s="1"/>
  <c r="O65" i="7"/>
  <c r="O64" i="7"/>
  <c r="N60" i="9" s="1" a="1"/>
  <c r="N60" i="9" s="1"/>
  <c r="O63" i="7"/>
  <c r="N59" i="9" s="1" a="1"/>
  <c r="N59" i="9" s="1"/>
  <c r="O62" i="7"/>
  <c r="N58" i="9" s="1" a="1"/>
  <c r="N58" i="9" s="1"/>
  <c r="O61" i="7"/>
  <c r="N57" i="9" s="1" a="1"/>
  <c r="N57" i="9" s="1"/>
  <c r="O60" i="7"/>
  <c r="N56" i="9" s="1" a="1"/>
  <c r="N56" i="9" s="1"/>
  <c r="O59" i="7"/>
  <c r="N55" i="9" s="1" a="1"/>
  <c r="N55" i="9" s="1"/>
  <c r="O58" i="7"/>
  <c r="O57" i="7"/>
  <c r="F54" i="9" s="1" a="1"/>
  <c r="F54" i="9" s="1"/>
  <c r="O56" i="7"/>
  <c r="F53" i="9" s="1" a="1"/>
  <c r="F53" i="9" s="1"/>
  <c r="O55" i="7"/>
  <c r="F52" i="9" s="1" a="1"/>
  <c r="F52" i="9" s="1"/>
  <c r="O54" i="7"/>
  <c r="F51" i="9" s="1" a="1"/>
  <c r="F51" i="9" s="1"/>
  <c r="O53" i="7"/>
  <c r="F50" i="9" s="1" a="1"/>
  <c r="F50" i="9" s="1"/>
  <c r="O52" i="7"/>
  <c r="F49" i="9" s="1" a="1"/>
  <c r="F49" i="9" s="1"/>
  <c r="O51" i="7"/>
  <c r="O50" i="7"/>
  <c r="N47" i="9" s="1" a="1"/>
  <c r="N47" i="9" s="1"/>
  <c r="O49" i="7"/>
  <c r="N46" i="9" s="1" a="1"/>
  <c r="N46" i="9" s="1"/>
  <c r="O48" i="7"/>
  <c r="N45" i="9" s="1" a="1"/>
  <c r="N45" i="9" s="1"/>
  <c r="O47" i="7"/>
  <c r="N44" i="9" s="1" a="1"/>
  <c r="N44" i="9" s="1"/>
  <c r="O46" i="7"/>
  <c r="N43" i="9" s="1" a="1"/>
  <c r="N43" i="9" s="1"/>
  <c r="O45" i="7"/>
  <c r="N42" i="9" s="1" a="1"/>
  <c r="N42" i="9" s="1"/>
  <c r="O44" i="7"/>
  <c r="O43" i="7"/>
  <c r="F41" i="9" s="1" a="1"/>
  <c r="F41" i="9" s="1"/>
  <c r="O42" i="7"/>
  <c r="F40" i="9" s="1" a="1"/>
  <c r="F40" i="9" s="1"/>
  <c r="O41" i="7"/>
  <c r="F39" i="9" s="1" a="1"/>
  <c r="F39" i="9" s="1"/>
  <c r="O40" i="7"/>
  <c r="F38" i="9" s="1" a="1"/>
  <c r="F38" i="9" s="1"/>
  <c r="O39" i="7"/>
  <c r="F37" i="9" s="1" a="1"/>
  <c r="F37" i="9" s="1"/>
  <c r="O38" i="7"/>
  <c r="F36" i="9" s="1" a="1"/>
  <c r="F36" i="9" s="1"/>
  <c r="O37" i="7"/>
  <c r="O36" i="7"/>
  <c r="N34" i="9" s="1" a="1"/>
  <c r="N34" i="9" s="1"/>
  <c r="O80" i="7"/>
  <c r="F75" i="9" s="1" a="1"/>
  <c r="F75" i="9" s="1"/>
  <c r="O76" i="7"/>
  <c r="N71" i="9" s="1" a="1"/>
  <c r="N71" i="9" s="1"/>
  <c r="O72" i="7"/>
  <c r="O79" i="7"/>
  <c r="O75" i="7"/>
  <c r="N70" i="9" s="1" a="1"/>
  <c r="N70" i="9" s="1"/>
  <c r="O71" i="7"/>
  <c r="F67" i="9" s="1" a="1"/>
  <c r="F67" i="9" s="1"/>
  <c r="O78" i="7"/>
  <c r="N73" i="9" s="1" a="1"/>
  <c r="N73" i="9" s="1"/>
  <c r="O74" i="7"/>
  <c r="N69" i="9" s="1" a="1"/>
  <c r="N69" i="9" s="1"/>
  <c r="O70" i="7"/>
  <c r="F66" i="9" s="1" a="1"/>
  <c r="F66" i="9" s="1"/>
  <c r="O32" i="7"/>
  <c r="N30" i="9" s="1" a="1"/>
  <c r="N30" i="9" s="1"/>
  <c r="O35" i="7"/>
  <c r="N33" i="9" s="1" a="1"/>
  <c r="N33" i="9" s="1"/>
  <c r="O31" i="7"/>
  <c r="N29" i="9" s="1" a="1"/>
  <c r="N29" i="9" s="1"/>
  <c r="O30" i="7"/>
  <c r="O29" i="7"/>
  <c r="F28" i="9" s="1" a="1"/>
  <c r="F28" i="9" s="1"/>
  <c r="O28" i="7"/>
  <c r="F27" i="9" s="1" a="1"/>
  <c r="F27" i="9" s="1"/>
  <c r="O27" i="7"/>
  <c r="F26" i="9" s="1" a="1"/>
  <c r="F26" i="9" s="1"/>
  <c r="O26" i="7"/>
  <c r="F25" i="9" s="1" a="1"/>
  <c r="F25" i="9" s="1"/>
  <c r="O25" i="7"/>
  <c r="F24" i="9" s="1" a="1"/>
  <c r="F24" i="9" s="1"/>
  <c r="O24" i="7"/>
  <c r="F23" i="9" s="1" a="1"/>
  <c r="F23" i="9" s="1"/>
  <c r="O23" i="7"/>
  <c r="O22" i="7"/>
  <c r="N21" i="9" s="1" a="1"/>
  <c r="N21" i="9" s="1"/>
  <c r="O21" i="7"/>
  <c r="N20" i="9" s="1" a="1"/>
  <c r="N20" i="9" s="1"/>
  <c r="O20" i="7"/>
  <c r="N19" i="9" s="1" a="1"/>
  <c r="N19" i="9" s="1"/>
  <c r="O19" i="7"/>
  <c r="N18" i="9" s="1" a="1"/>
  <c r="N18" i="9" s="1"/>
  <c r="O18" i="7"/>
  <c r="N17" i="9" s="1" a="1"/>
  <c r="N17" i="9" s="1"/>
  <c r="O17" i="7"/>
  <c r="N16" i="9" s="1" a="1"/>
  <c r="N16" i="9" s="1"/>
  <c r="O16" i="7"/>
  <c r="O15" i="7"/>
  <c r="F15" i="9" s="1" a="1"/>
  <c r="F15" i="9" s="1"/>
  <c r="O14" i="7"/>
  <c r="F14" i="9" s="1" a="1"/>
  <c r="F14" i="9" s="1"/>
  <c r="O13" i="7"/>
  <c r="F13" i="9" s="1" a="1"/>
  <c r="F13" i="9" s="1"/>
  <c r="O12" i="7"/>
  <c r="F12" i="9" s="1" a="1"/>
  <c r="F12" i="9" s="1"/>
  <c r="O11" i="7"/>
  <c r="F11" i="9" s="1" a="1"/>
  <c r="F11" i="9" s="1"/>
  <c r="O10" i="7"/>
  <c r="F10" i="9" s="1" a="1"/>
  <c r="F10" i="9" s="1"/>
  <c r="O9" i="7"/>
  <c r="O8" i="7"/>
  <c r="N8" i="9" s="1" a="1"/>
  <c r="N8" i="9" s="1"/>
  <c r="O7" i="7"/>
  <c r="N7" i="9" s="1" a="1"/>
  <c r="N7" i="9" s="1"/>
  <c r="O6" i="7"/>
  <c r="N6" i="9" s="1" a="1"/>
  <c r="N6" i="9" s="1"/>
  <c r="O5" i="7"/>
  <c r="N5" i="9" s="1" a="1"/>
  <c r="N5" i="9" s="1"/>
  <c r="O4" i="7"/>
  <c r="N4" i="9" s="1" a="1"/>
  <c r="N4" i="9" s="1"/>
  <c r="O3" i="7"/>
  <c r="N3" i="9" s="1" a="1"/>
  <c r="N3" i="9" s="1"/>
  <c r="O33" i="7"/>
  <c r="N31" i="9" s="1" a="1"/>
  <c r="N31" i="9" s="1"/>
  <c r="O34" i="7"/>
  <c r="N32" i="9" s="1" a="1"/>
  <c r="N32" i="9" s="1"/>
  <c r="AU45" i="21" a="1"/>
  <c r="BN62" i="21" a="1"/>
  <c r="BA45" i="21" a="1"/>
  <c r="BM62" i="21" a="1"/>
  <c r="P61" i="21" l="1"/>
  <c r="M61" i="21"/>
  <c r="N61" i="21"/>
  <c r="L61" i="21"/>
  <c r="R61" i="21"/>
  <c r="O61" i="21"/>
  <c r="AU45" i="21"/>
  <c r="BN62" i="21"/>
  <c r="BA45" i="21"/>
  <c r="BM62" i="21"/>
  <c r="J62" i="21"/>
  <c r="F62" i="21"/>
  <c r="I62" i="21"/>
  <c r="E62" i="21"/>
  <c r="H62" i="21"/>
  <c r="D62" i="21"/>
  <c r="G62" i="21"/>
  <c r="AG112" i="19"/>
  <c r="AC112" i="19"/>
  <c r="Y112" i="19"/>
  <c r="U112" i="19"/>
  <c r="S113" i="19"/>
  <c r="AF112" i="19"/>
  <c r="AB112" i="19"/>
  <c r="X112" i="19"/>
  <c r="T112" i="19"/>
  <c r="AI112" i="19"/>
  <c r="AE112" i="19"/>
  <c r="AA112" i="19"/>
  <c r="W112" i="19"/>
  <c r="AH112" i="19"/>
  <c r="AD112" i="19"/>
  <c r="Z112" i="19"/>
  <c r="V112" i="19"/>
  <c r="S82" i="19"/>
  <c r="AF81" i="19"/>
  <c r="AB81" i="19"/>
  <c r="X81" i="19"/>
  <c r="T81" i="19"/>
  <c r="AI81" i="19"/>
  <c r="AE81" i="19"/>
  <c r="AA81" i="19"/>
  <c r="W81" i="19"/>
  <c r="AH81" i="19"/>
  <c r="AD81" i="19"/>
  <c r="Z81" i="19"/>
  <c r="V81" i="19"/>
  <c r="AG81" i="19"/>
  <c r="AC81" i="19"/>
  <c r="Y81" i="19"/>
  <c r="U81" i="19"/>
  <c r="AG49" i="19"/>
  <c r="AC49" i="19"/>
  <c r="Y49" i="19"/>
  <c r="U49" i="19"/>
  <c r="S50" i="19"/>
  <c r="AF49" i="19"/>
  <c r="AB49" i="19"/>
  <c r="X49" i="19"/>
  <c r="T49" i="19"/>
  <c r="AI49" i="19"/>
  <c r="AE49" i="19"/>
  <c r="AA49" i="19"/>
  <c r="W49" i="19"/>
  <c r="AH49" i="19"/>
  <c r="V49" i="19"/>
  <c r="AD49" i="19"/>
  <c r="Z49" i="19"/>
  <c r="AG65" i="19"/>
  <c r="AC65" i="19"/>
  <c r="Y65" i="19"/>
  <c r="U65" i="19"/>
  <c r="S66" i="19"/>
  <c r="AF65" i="19"/>
  <c r="AB65" i="19"/>
  <c r="X65" i="19"/>
  <c r="T65" i="19"/>
  <c r="AI65" i="19"/>
  <c r="AE65" i="19"/>
  <c r="AA65" i="19"/>
  <c r="W65" i="19"/>
  <c r="AH65" i="19"/>
  <c r="AD65" i="19"/>
  <c r="Z65" i="19"/>
  <c r="V65" i="19"/>
  <c r="AG96" i="19"/>
  <c r="AC96" i="19"/>
  <c r="Y96" i="19"/>
  <c r="U96" i="19"/>
  <c r="S97" i="19"/>
  <c r="AF96" i="19"/>
  <c r="AB96" i="19"/>
  <c r="X96" i="19"/>
  <c r="T96" i="19"/>
  <c r="AE96" i="19"/>
  <c r="W96" i="19"/>
  <c r="AD96" i="19"/>
  <c r="V96" i="19"/>
  <c r="AI96" i="19"/>
  <c r="AA96" i="19"/>
  <c r="AH96" i="19"/>
  <c r="Z96" i="19"/>
  <c r="Q2" i="19"/>
  <c r="P143" i="9" a="1"/>
  <c r="P143" i="9" s="1"/>
  <c r="P142" i="9" a="1"/>
  <c r="P142" i="9" s="1"/>
  <c r="P132" i="9" a="1"/>
  <c r="P132" i="9" s="1"/>
  <c r="P131" i="9" a="1"/>
  <c r="P131" i="9" s="1"/>
  <c r="P130" i="9" a="1"/>
  <c r="P130" i="9" s="1"/>
  <c r="P145" i="9" a="1"/>
  <c r="P145" i="9" s="1"/>
  <c r="P141" i="9" a="1"/>
  <c r="P141" i="9" s="1"/>
  <c r="P127" i="9" a="1"/>
  <c r="P127" i="9" s="1"/>
  <c r="P119" i="9" a="1"/>
  <c r="P119" i="9" s="1"/>
  <c r="P117" i="9" a="1"/>
  <c r="P117" i="9" s="1"/>
  <c r="P116" i="9" a="1"/>
  <c r="P116" i="9" s="1"/>
  <c r="P139" i="9" a="1"/>
  <c r="P139" i="9" s="1"/>
  <c r="P128" i="9" a="1"/>
  <c r="P128" i="9" s="1"/>
  <c r="P106" i="9" a="1"/>
  <c r="P106" i="9" s="1"/>
  <c r="P105" i="9" a="1"/>
  <c r="P105" i="9" s="1"/>
  <c r="P104" i="9" a="1"/>
  <c r="P104" i="9" s="1"/>
  <c r="P101" i="9" a="1"/>
  <c r="P101" i="9" s="1"/>
  <c r="P90" i="9" a="1"/>
  <c r="P90" i="9" s="1"/>
  <c r="P62" i="9" a="1"/>
  <c r="P62" i="9" s="1"/>
  <c r="P61" i="9" a="1"/>
  <c r="P61" i="9" s="1"/>
  <c r="P144" i="9" a="1"/>
  <c r="P144" i="9" s="1"/>
  <c r="P140" i="9" a="1"/>
  <c r="P140" i="9" s="1"/>
  <c r="P115" i="9" a="1"/>
  <c r="P115" i="9" s="1"/>
  <c r="P113" i="9" a="1"/>
  <c r="P113" i="9" s="1"/>
  <c r="P100" i="9" a="1"/>
  <c r="P100" i="9" s="1"/>
  <c r="P93" i="9" a="1"/>
  <c r="P93" i="9" s="1"/>
  <c r="P89" i="9" a="1"/>
  <c r="P89" i="9" s="1"/>
  <c r="P80" i="9" a="1"/>
  <c r="P80" i="9" s="1"/>
  <c r="P79" i="9" a="1"/>
  <c r="P79" i="9" s="1"/>
  <c r="P78" i="9" a="1"/>
  <c r="P78" i="9" s="1"/>
  <c r="P77" i="9" a="1"/>
  <c r="P77" i="9" s="1"/>
  <c r="P76" i="9" a="1"/>
  <c r="P76" i="9" s="1"/>
  <c r="P126" i="9" a="1"/>
  <c r="P126" i="9" s="1"/>
  <c r="P118" i="9" a="1"/>
  <c r="P118" i="9" s="1"/>
  <c r="P103" i="9" a="1"/>
  <c r="P103" i="9" s="1"/>
  <c r="P92" i="9" a="1"/>
  <c r="P92" i="9" s="1"/>
  <c r="P88" i="9" a="1"/>
  <c r="P88" i="9" s="1"/>
  <c r="P102" i="9" a="1"/>
  <c r="P102" i="9" s="1"/>
  <c r="P65" i="9" a="1"/>
  <c r="P65" i="9" s="1"/>
  <c r="P91" i="9" a="1"/>
  <c r="P91" i="9" s="1"/>
  <c r="P87" i="9" a="1"/>
  <c r="P87" i="9" s="1"/>
  <c r="P75" i="9" a="1"/>
  <c r="P75" i="9" s="1"/>
  <c r="P64" i="9" a="1"/>
  <c r="P64" i="9" s="1"/>
  <c r="P54" i="9" a="1"/>
  <c r="P54" i="9" s="1"/>
  <c r="P53" i="9" a="1"/>
  <c r="P53" i="9" s="1"/>
  <c r="P52" i="9" a="1"/>
  <c r="P52" i="9" s="1"/>
  <c r="P51" i="9" a="1"/>
  <c r="P51" i="9" s="1"/>
  <c r="P50" i="9" a="1"/>
  <c r="P50" i="9" s="1"/>
  <c r="P49" i="9" a="1"/>
  <c r="P49" i="9" s="1"/>
  <c r="P48" i="9" a="1"/>
  <c r="P48" i="9" s="1"/>
  <c r="P129" i="9" a="1"/>
  <c r="P129" i="9" s="1"/>
  <c r="P114" i="9" a="1"/>
  <c r="P114" i="9" s="1"/>
  <c r="P74" i="9" a="1"/>
  <c r="P74" i="9" s="1"/>
  <c r="P67" i="9" a="1"/>
  <c r="P67" i="9" s="1"/>
  <c r="P63" i="9" a="1"/>
  <c r="P63" i="9" s="1"/>
  <c r="P66" i="9" a="1"/>
  <c r="P66" i="9" s="1"/>
  <c r="P40" i="9" a="1"/>
  <c r="P40" i="9" s="1"/>
  <c r="P36" i="9" a="1"/>
  <c r="P36" i="9" s="1"/>
  <c r="P39" i="9" a="1"/>
  <c r="P39" i="9" s="1"/>
  <c r="P35" i="9" a="1"/>
  <c r="P35" i="9" s="1"/>
  <c r="P38" i="9" a="1"/>
  <c r="P38" i="9" s="1"/>
  <c r="P28" i="9" a="1"/>
  <c r="P28" i="9" s="1"/>
  <c r="P27" i="9" a="1"/>
  <c r="P27" i="9" s="1"/>
  <c r="P26" i="9" a="1"/>
  <c r="P26" i="9" s="1"/>
  <c r="P25" i="9" a="1"/>
  <c r="P25" i="9" s="1"/>
  <c r="P24" i="9" a="1"/>
  <c r="P24" i="9" s="1"/>
  <c r="P23" i="9" a="1"/>
  <c r="P23" i="9" s="1"/>
  <c r="P22" i="9" a="1"/>
  <c r="P22" i="9" s="1"/>
  <c r="P15" i="9" a="1"/>
  <c r="P15" i="9" s="1"/>
  <c r="P11" i="9" a="1"/>
  <c r="P11" i="9" s="1"/>
  <c r="P14" i="9" a="1"/>
  <c r="P14" i="9" s="1"/>
  <c r="P10" i="9" a="1"/>
  <c r="P10" i="9" s="1"/>
  <c r="P9" i="9" a="1"/>
  <c r="P9" i="9" s="1"/>
  <c r="P41" i="9" a="1"/>
  <c r="P41" i="9" s="1"/>
  <c r="P37" i="9" a="1"/>
  <c r="P37" i="9" s="1"/>
  <c r="P13" i="9" a="1"/>
  <c r="P13" i="9" s="1"/>
  <c r="P12" i="9" a="1"/>
  <c r="P12" i="9" s="1"/>
  <c r="R17" i="14" a="1"/>
  <c r="R17" i="14" s="1"/>
  <c r="I129" i="14" a="1"/>
  <c r="I129" i="14" s="1"/>
  <c r="R129" i="14" a="1"/>
  <c r="R129" i="14" s="1"/>
  <c r="R49" i="14" a="1"/>
  <c r="R49" i="14" s="1"/>
  <c r="R65" i="14" a="1"/>
  <c r="R65" i="14" s="1"/>
  <c r="R113" i="14" a="1"/>
  <c r="R113" i="14" s="1"/>
  <c r="I97" i="14" a="1"/>
  <c r="I97" i="14" s="1"/>
  <c r="R81" i="14" a="1"/>
  <c r="R81" i="14" s="1"/>
  <c r="F49" i="14" a="1"/>
  <c r="F49" i="14" s="1"/>
  <c r="O33" i="14" a="1"/>
  <c r="O33" i="14" s="1"/>
  <c r="O97" i="14" a="1"/>
  <c r="O97" i="14" s="1"/>
  <c r="X49" i="14" a="1"/>
  <c r="X49" i="14" s="1"/>
  <c r="U17" i="14" a="1"/>
  <c r="U17" i="14" s="1"/>
  <c r="F113" i="14" a="1"/>
  <c r="F113" i="14" s="1"/>
  <c r="U81" i="14" a="1"/>
  <c r="U81" i="14" s="1"/>
  <c r="L97" i="14" a="1"/>
  <c r="L97" i="14" s="1"/>
  <c r="F65" i="14" a="1"/>
  <c r="F65" i="14" s="1"/>
  <c r="F129" i="14" a="1"/>
  <c r="F129" i="14" s="1"/>
  <c r="I65" i="14" a="1"/>
  <c r="I65" i="14" s="1"/>
  <c r="L17" i="14" a="1"/>
  <c r="L17" i="14" s="1"/>
  <c r="R97" i="14" a="1"/>
  <c r="R97" i="14" s="1"/>
  <c r="O49" i="14" a="1"/>
  <c r="O49" i="14" s="1"/>
  <c r="O113" i="14" a="1"/>
  <c r="O113" i="14" s="1"/>
  <c r="X81" i="14" a="1"/>
  <c r="X81" i="14" s="1"/>
  <c r="U33" i="14" a="1"/>
  <c r="U33" i="14" s="1"/>
  <c r="U97" i="14" a="1"/>
  <c r="U97" i="14" s="1"/>
  <c r="L65" i="14" a="1"/>
  <c r="L65" i="14" s="1"/>
  <c r="I49" i="14" a="1"/>
  <c r="I49" i="14" s="1"/>
  <c r="L129" i="14" a="1"/>
  <c r="L129" i="14" s="1"/>
  <c r="F17" i="14" a="1"/>
  <c r="F17" i="14" s="1"/>
  <c r="F81" i="14" a="1"/>
  <c r="F81" i="14" s="1"/>
  <c r="I17" i="14" a="1"/>
  <c r="I17" i="14" s="1"/>
  <c r="I81" i="14" a="1"/>
  <c r="I81" i="14" s="1"/>
  <c r="L49" i="14" a="1"/>
  <c r="L49" i="14" s="1"/>
  <c r="O65" i="14" a="1"/>
  <c r="O65" i="14" s="1"/>
  <c r="O129" i="14" a="1"/>
  <c r="O129" i="14" s="1"/>
  <c r="X65" i="14" a="1"/>
  <c r="X65" i="14" s="1"/>
  <c r="X113" i="14" a="1"/>
  <c r="X113" i="14" s="1"/>
  <c r="U49" i="14" a="1"/>
  <c r="U49" i="14" s="1"/>
  <c r="U113" i="14" a="1"/>
  <c r="U113" i="14" s="1"/>
  <c r="L113" i="14" a="1"/>
  <c r="L113" i="14" s="1"/>
  <c r="X129" i="14" a="1"/>
  <c r="X129" i="14" s="1"/>
  <c r="I113" i="14" a="1"/>
  <c r="I113" i="14" s="1"/>
  <c r="L33" i="14" a="1"/>
  <c r="L33" i="14" s="1"/>
  <c r="F33" i="14" a="1"/>
  <c r="F33" i="14" s="1"/>
  <c r="F97" i="14" a="1"/>
  <c r="F97" i="14" s="1"/>
  <c r="I33" i="14" a="1"/>
  <c r="I33" i="14" s="1"/>
  <c r="L81" i="14" a="1"/>
  <c r="L81" i="14" s="1"/>
  <c r="O17" i="14" a="1"/>
  <c r="O17" i="14" s="1"/>
  <c r="O81" i="14" a="1"/>
  <c r="O81" i="14" s="1"/>
  <c r="X97" i="14" a="1"/>
  <c r="X97" i="14" s="1"/>
  <c r="X17" i="14" a="1"/>
  <c r="X17" i="14" s="1"/>
  <c r="U65" i="14" a="1"/>
  <c r="U65" i="14" s="1"/>
  <c r="U129" i="14" a="1"/>
  <c r="U129" i="14" s="1"/>
  <c r="Q1" i="12"/>
  <c r="P2" i="12"/>
  <c r="P114" i="12"/>
  <c r="W130" i="14" s="1" a="1"/>
  <c r="W130" i="14" s="1"/>
  <c r="P113" i="12"/>
  <c r="W114" i="14" s="1" a="1"/>
  <c r="W114" i="14" s="1"/>
  <c r="P112" i="12"/>
  <c r="W98" i="14" s="1" a="1"/>
  <c r="W98" i="14" s="1"/>
  <c r="P111" i="12"/>
  <c r="W82" i="14" s="1" a="1"/>
  <c r="W82" i="14" s="1"/>
  <c r="P110" i="12"/>
  <c r="W66" i="14" s="1" a="1"/>
  <c r="W66" i="14" s="1"/>
  <c r="P109" i="12"/>
  <c r="W50" i="14" s="1" a="1"/>
  <c r="W50" i="14" s="1"/>
  <c r="P108" i="12"/>
  <c r="W34" i="14" s="1" a="1"/>
  <c r="W34" i="14" s="1"/>
  <c r="P107" i="12"/>
  <c r="W18" i="14" s="1" a="1"/>
  <c r="W18" i="14" s="1"/>
  <c r="P106" i="12"/>
  <c r="V130" i="14" s="1" a="1"/>
  <c r="V130" i="14" s="1"/>
  <c r="P105" i="12"/>
  <c r="V114" i="14" s="1" a="1"/>
  <c r="V114" i="14" s="1"/>
  <c r="P104" i="12"/>
  <c r="V98" i="14" s="1" a="1"/>
  <c r="V98" i="14" s="1"/>
  <c r="P103" i="12"/>
  <c r="V82" i="14" s="1" a="1"/>
  <c r="V82" i="14" s="1"/>
  <c r="P102" i="12"/>
  <c r="V66" i="14" s="1" a="1"/>
  <c r="V66" i="14" s="1"/>
  <c r="P99" i="12"/>
  <c r="V18" i="14" s="1" a="1"/>
  <c r="V18" i="14" s="1"/>
  <c r="P95" i="12"/>
  <c r="T82" i="14" s="1" a="1"/>
  <c r="T82" i="14" s="1"/>
  <c r="P91" i="12"/>
  <c r="T18" i="14" s="1" a="1"/>
  <c r="T18" i="14" s="1"/>
  <c r="P87" i="12"/>
  <c r="S82" i="14" s="1" a="1"/>
  <c r="S82" i="14" s="1"/>
  <c r="P83" i="12"/>
  <c r="S18" i="14" s="1" a="1"/>
  <c r="S18" i="14" s="1"/>
  <c r="P98" i="12"/>
  <c r="T130" i="14" s="1" a="1"/>
  <c r="T130" i="14" s="1"/>
  <c r="P94" i="12"/>
  <c r="T66" i="14" s="1" a="1"/>
  <c r="T66" i="14" s="1"/>
  <c r="P90" i="12"/>
  <c r="S130" i="14" s="1" a="1"/>
  <c r="S130" i="14" s="1"/>
  <c r="P86" i="12"/>
  <c r="S66" i="14" s="1" a="1"/>
  <c r="S66" i="14" s="1"/>
  <c r="P101" i="12"/>
  <c r="V50" i="14" s="1" a="1"/>
  <c r="V50" i="14" s="1"/>
  <c r="P97" i="12"/>
  <c r="T114" i="14" s="1" a="1"/>
  <c r="T114" i="14" s="1"/>
  <c r="P93" i="12"/>
  <c r="T50" i="14" s="1" a="1"/>
  <c r="T50" i="14" s="1"/>
  <c r="P89" i="12"/>
  <c r="S114" i="14" s="1" a="1"/>
  <c r="S114" i="14" s="1"/>
  <c r="P85" i="12"/>
  <c r="S50" i="14" s="1" a="1"/>
  <c r="S50" i="14" s="1"/>
  <c r="P82" i="12"/>
  <c r="Q130" i="14" s="1" a="1"/>
  <c r="Q130" i="14" s="1"/>
  <c r="P81" i="12"/>
  <c r="Q114" i="14" s="1" a="1"/>
  <c r="Q114" i="14" s="1"/>
  <c r="P80" i="12"/>
  <c r="Q98" i="14" s="1" a="1"/>
  <c r="Q98" i="14" s="1"/>
  <c r="P79" i="12"/>
  <c r="Q82" i="14" s="1" a="1"/>
  <c r="Q82" i="14" s="1"/>
  <c r="P78" i="12"/>
  <c r="Q66" i="14" s="1" a="1"/>
  <c r="Q66" i="14" s="1"/>
  <c r="P77" i="12"/>
  <c r="Q50" i="14" s="1" a="1"/>
  <c r="Q50" i="14" s="1"/>
  <c r="P76" i="12"/>
  <c r="Q34" i="14" s="1" a="1"/>
  <c r="Q34" i="14" s="1"/>
  <c r="P75" i="12"/>
  <c r="Q18" i="14" s="1" a="1"/>
  <c r="Q18" i="14" s="1"/>
  <c r="P74" i="12"/>
  <c r="P130" i="14" s="1" a="1"/>
  <c r="P130" i="14" s="1"/>
  <c r="P100" i="12"/>
  <c r="V34" i="14" s="1" a="1"/>
  <c r="V34" i="14" s="1"/>
  <c r="P96" i="12"/>
  <c r="T98" i="14" s="1" a="1"/>
  <c r="T98" i="14" s="1"/>
  <c r="P92" i="12"/>
  <c r="T34" i="14" s="1" a="1"/>
  <c r="T34" i="14" s="1"/>
  <c r="P88" i="12"/>
  <c r="S98" i="14" s="1" a="1"/>
  <c r="S98" i="14" s="1"/>
  <c r="P84" i="12"/>
  <c r="S34" i="14" s="1" a="1"/>
  <c r="S34" i="14" s="1"/>
  <c r="P73" i="12"/>
  <c r="P114" i="14" s="1" a="1"/>
  <c r="P114" i="14" s="1"/>
  <c r="P57" i="12"/>
  <c r="M114" i="14" s="1" a="1"/>
  <c r="M114" i="14" s="1"/>
  <c r="P56" i="12"/>
  <c r="M98" i="14" s="1" a="1"/>
  <c r="M98" i="14" s="1"/>
  <c r="P55" i="12"/>
  <c r="M82" i="14" s="1" a="1"/>
  <c r="M82" i="14" s="1"/>
  <c r="P54" i="12"/>
  <c r="M66" i="14" s="1" a="1"/>
  <c r="M66" i="14" s="1"/>
  <c r="P53" i="12"/>
  <c r="M50" i="14" s="1" a="1"/>
  <c r="M50" i="14" s="1"/>
  <c r="P52" i="12"/>
  <c r="M34" i="14" s="1" a="1"/>
  <c r="M34" i="14" s="1"/>
  <c r="P51" i="12"/>
  <c r="M18" i="14" s="1" a="1"/>
  <c r="M18" i="14" s="1"/>
  <c r="P50" i="12"/>
  <c r="K130" i="14" s="1" a="1"/>
  <c r="K130" i="14" s="1"/>
  <c r="P49" i="12"/>
  <c r="K114" i="14" s="1" a="1"/>
  <c r="K114" i="14" s="1"/>
  <c r="P48" i="12"/>
  <c r="K98" i="14" s="1" a="1"/>
  <c r="K98" i="14" s="1"/>
  <c r="P47" i="12"/>
  <c r="K82" i="14" s="1" a="1"/>
  <c r="K82" i="14" s="1"/>
  <c r="P46" i="12"/>
  <c r="K66" i="14" s="1" a="1"/>
  <c r="K66" i="14" s="1"/>
  <c r="P45" i="12"/>
  <c r="K50" i="14" s="1" a="1"/>
  <c r="K50" i="14" s="1"/>
  <c r="P44" i="12"/>
  <c r="K34" i="14" s="1" a="1"/>
  <c r="K34" i="14" s="1"/>
  <c r="P43" i="12"/>
  <c r="K18" i="14" s="1" a="1"/>
  <c r="K18" i="14" s="1"/>
  <c r="P42" i="12"/>
  <c r="J130" i="14" s="1" a="1"/>
  <c r="J130" i="14" s="1"/>
  <c r="L130" i="14" s="1" a="1"/>
  <c r="L130" i="14" s="1"/>
  <c r="P41" i="12"/>
  <c r="J114" i="14" s="1" a="1"/>
  <c r="J114" i="14" s="1"/>
  <c r="L114" i="14" s="1" a="1"/>
  <c r="L114" i="14" s="1"/>
  <c r="P40" i="12"/>
  <c r="J98" i="14" s="1" a="1"/>
  <c r="J98" i="14" s="1"/>
  <c r="P39" i="12"/>
  <c r="J82" i="14" s="1" a="1"/>
  <c r="J82" i="14" s="1"/>
  <c r="P38" i="12"/>
  <c r="J66" i="14" s="1" a="1"/>
  <c r="J66" i="14" s="1"/>
  <c r="P37" i="12"/>
  <c r="J50" i="14" s="1" a="1"/>
  <c r="J50" i="14" s="1"/>
  <c r="P36" i="12"/>
  <c r="J34" i="14" s="1" a="1"/>
  <c r="J34" i="14" s="1"/>
  <c r="P35" i="12"/>
  <c r="J18" i="14" s="1" a="1"/>
  <c r="J18" i="14" s="1"/>
  <c r="P34" i="12"/>
  <c r="H130" i="14" s="1" a="1"/>
  <c r="H130" i="14" s="1"/>
  <c r="P33" i="12"/>
  <c r="H114" i="14" s="1" a="1"/>
  <c r="H114" i="14" s="1"/>
  <c r="P32" i="12"/>
  <c r="H98" i="14" s="1" a="1"/>
  <c r="H98" i="14" s="1"/>
  <c r="P59" i="12"/>
  <c r="N18" i="14" s="1" a="1"/>
  <c r="N18" i="14" s="1"/>
  <c r="O18" i="14" s="1" a="1"/>
  <c r="O18" i="14" s="1"/>
  <c r="P69" i="12"/>
  <c r="P50" i="14" s="1" a="1"/>
  <c r="P50" i="14" s="1"/>
  <c r="P65" i="12"/>
  <c r="N114" i="14" s="1" a="1"/>
  <c r="N114" i="14" s="1"/>
  <c r="O114" i="14" s="1" a="1"/>
  <c r="O114" i="14" s="1"/>
  <c r="P72" i="12"/>
  <c r="P98" i="14" s="1" a="1"/>
  <c r="P98" i="14" s="1"/>
  <c r="P68" i="12"/>
  <c r="P34" i="14" s="1" a="1"/>
  <c r="P34" i="14" s="1"/>
  <c r="P64" i="12"/>
  <c r="N98" i="14" s="1" a="1"/>
  <c r="N98" i="14" s="1"/>
  <c r="P71" i="12"/>
  <c r="P82" i="14" s="1" a="1"/>
  <c r="P82" i="14" s="1"/>
  <c r="P67" i="12"/>
  <c r="P18" i="14" s="1" a="1"/>
  <c r="P18" i="14" s="1"/>
  <c r="P63" i="12"/>
  <c r="N82" i="14" s="1" a="1"/>
  <c r="N82" i="14" s="1"/>
  <c r="O82" i="14" s="1" a="1"/>
  <c r="O82" i="14" s="1"/>
  <c r="P60" i="12"/>
  <c r="N34" i="14" s="1" a="1"/>
  <c r="N34" i="14" s="1"/>
  <c r="P8" i="12"/>
  <c r="D98" i="14" s="1" a="1"/>
  <c r="D98" i="14" s="1"/>
  <c r="P7" i="12"/>
  <c r="D82" i="14" s="1" a="1"/>
  <c r="D82" i="14" s="1"/>
  <c r="P6" i="12"/>
  <c r="D66" i="14" s="1" a="1"/>
  <c r="D66" i="14" s="1"/>
  <c r="P5" i="12"/>
  <c r="D50" i="14" s="1" a="1"/>
  <c r="D50" i="14" s="1"/>
  <c r="P4" i="12"/>
  <c r="D34" i="14" s="1" a="1"/>
  <c r="D34" i="14" s="1"/>
  <c r="P3" i="12"/>
  <c r="D18" i="14" s="1" a="1"/>
  <c r="D18" i="14" s="1"/>
  <c r="P70" i="12"/>
  <c r="P66" i="14" s="1" a="1"/>
  <c r="P66" i="14" s="1"/>
  <c r="P66" i="12"/>
  <c r="N130" i="14" s="1" a="1"/>
  <c r="N130" i="14" s="1"/>
  <c r="P62" i="12"/>
  <c r="N66" i="14" s="1" a="1"/>
  <c r="N66" i="14" s="1"/>
  <c r="P61" i="12"/>
  <c r="N50" i="14" s="1" a="1"/>
  <c r="N50" i="14" s="1"/>
  <c r="P58" i="12"/>
  <c r="M130" i="14" s="1" a="1"/>
  <c r="M130" i="14" s="1"/>
  <c r="P25" i="12"/>
  <c r="G114" i="14" s="1" a="1"/>
  <c r="G114" i="14" s="1"/>
  <c r="P21" i="12"/>
  <c r="G50" i="14" s="1" a="1"/>
  <c r="G50" i="14" s="1"/>
  <c r="P17" i="12"/>
  <c r="E114" i="14" s="1" a="1"/>
  <c r="E114" i="14" s="1"/>
  <c r="P13" i="12"/>
  <c r="E50" i="14" s="1" a="1"/>
  <c r="E50" i="14" s="1"/>
  <c r="P9" i="12"/>
  <c r="D114" i="14" s="1" a="1"/>
  <c r="D114" i="14" s="1"/>
  <c r="P26" i="12"/>
  <c r="G130" i="14" s="1" a="1"/>
  <c r="G130" i="14" s="1"/>
  <c r="P22" i="12"/>
  <c r="G66" i="14" s="1" a="1"/>
  <c r="G66" i="14" s="1"/>
  <c r="P18" i="12"/>
  <c r="E130" i="14" s="1" a="1"/>
  <c r="E130" i="14" s="1"/>
  <c r="P14" i="12"/>
  <c r="E66" i="14" s="1" a="1"/>
  <c r="E66" i="14" s="1"/>
  <c r="D130" i="14" a="1"/>
  <c r="D130" i="14" s="1"/>
  <c r="P30" i="12"/>
  <c r="H66" i="14" s="1" a="1"/>
  <c r="H66" i="14" s="1"/>
  <c r="I66" i="14" s="1" a="1"/>
  <c r="I66" i="14" s="1"/>
  <c r="P28" i="12"/>
  <c r="H34" i="14" s="1" a="1"/>
  <c r="H34" i="14" s="1"/>
  <c r="P24" i="12"/>
  <c r="G98" i="14" s="1" a="1"/>
  <c r="G98" i="14" s="1"/>
  <c r="P20" i="12"/>
  <c r="G34" i="14" s="1" a="1"/>
  <c r="G34" i="14" s="1"/>
  <c r="P16" i="12"/>
  <c r="E98" i="14" s="1" a="1"/>
  <c r="E98" i="14" s="1"/>
  <c r="P12" i="12"/>
  <c r="E34" i="14" s="1" a="1"/>
  <c r="E34" i="14" s="1"/>
  <c r="P27" i="12"/>
  <c r="H18" i="14" s="1" a="1"/>
  <c r="H18" i="14" s="1"/>
  <c r="P23" i="12"/>
  <c r="G82" i="14" s="1" a="1"/>
  <c r="G82" i="14" s="1"/>
  <c r="P19" i="12"/>
  <c r="G18" i="14" s="1" a="1"/>
  <c r="G18" i="14" s="1"/>
  <c r="P15" i="12"/>
  <c r="E82" i="14" s="1" a="1"/>
  <c r="E82" i="14" s="1"/>
  <c r="P11" i="12"/>
  <c r="E18" i="14" s="1" a="1"/>
  <c r="E18" i="14" s="1"/>
  <c r="P31" i="12"/>
  <c r="H82" i="14" s="1" a="1"/>
  <c r="H82" i="14" s="1"/>
  <c r="P29" i="12"/>
  <c r="H50" i="14" s="1" a="1"/>
  <c r="H50" i="14" s="1"/>
  <c r="Q1" i="9"/>
  <c r="P2" i="9"/>
  <c r="Q2" i="7"/>
  <c r="P153" i="7"/>
  <c r="G143" i="9" s="1" a="1"/>
  <c r="G143" i="9" s="1"/>
  <c r="P149" i="7"/>
  <c r="P144" i="7"/>
  <c r="O134" i="9" s="1" a="1"/>
  <c r="O134" i="9" s="1"/>
  <c r="P140" i="7"/>
  <c r="G131" i="9" s="1" a="1"/>
  <c r="G131" i="9" s="1"/>
  <c r="P136" i="7"/>
  <c r="G127" i="9" s="1" a="1"/>
  <c r="G127" i="9" s="1"/>
  <c r="P134" i="7"/>
  <c r="O125" i="9" s="1" a="1"/>
  <c r="O125" i="9" s="1"/>
  <c r="P133" i="7"/>
  <c r="O124" i="9" s="1" a="1"/>
  <c r="O124" i="9" s="1"/>
  <c r="P132" i="7"/>
  <c r="O123" i="9" s="1" a="1"/>
  <c r="O123" i="9" s="1"/>
  <c r="P131" i="7"/>
  <c r="O122" i="9" s="1" a="1"/>
  <c r="O122" i="9" s="1"/>
  <c r="P130" i="7"/>
  <c r="O121" i="9" s="1" a="1"/>
  <c r="O121" i="9" s="1"/>
  <c r="P129" i="7"/>
  <c r="O120" i="9" s="1" a="1"/>
  <c r="O120" i="9" s="1"/>
  <c r="P128" i="7"/>
  <c r="P127" i="7"/>
  <c r="G119" i="9" s="1" a="1"/>
  <c r="G119" i="9" s="1"/>
  <c r="P126" i="7"/>
  <c r="G118" i="9" s="1" a="1"/>
  <c r="G118" i="9" s="1"/>
  <c r="P125" i="7"/>
  <c r="G117" i="9" s="1" a="1"/>
  <c r="G117" i="9" s="1"/>
  <c r="P124" i="7"/>
  <c r="G116" i="9" s="1" a="1"/>
  <c r="G116" i="9" s="1"/>
  <c r="P123" i="7"/>
  <c r="G115" i="9" s="1" a="1"/>
  <c r="G115" i="9" s="1"/>
  <c r="P156" i="7"/>
  <c r="P152" i="7"/>
  <c r="G142" i="9" s="1" a="1"/>
  <c r="G142" i="9" s="1"/>
  <c r="P148" i="7"/>
  <c r="O138" i="9" s="1" a="1"/>
  <c r="O138" i="9" s="1"/>
  <c r="P147" i="7"/>
  <c r="O137" i="9" s="1" a="1"/>
  <c r="O137" i="9" s="1"/>
  <c r="P143" i="7"/>
  <c r="O133" i="9" s="1" a="1"/>
  <c r="O133" i="9" s="1"/>
  <c r="P139" i="7"/>
  <c r="G130" i="9" s="1" a="1"/>
  <c r="G130" i="9" s="1"/>
  <c r="P135" i="7"/>
  <c r="P155" i="7"/>
  <c r="G145" i="9" s="1" a="1"/>
  <c r="G145" i="9" s="1"/>
  <c r="P151" i="7"/>
  <c r="G141" i="9" s="1" a="1"/>
  <c r="G141" i="9" s="1"/>
  <c r="P146" i="7"/>
  <c r="O136" i="9" s="1" a="1"/>
  <c r="O136" i="9" s="1"/>
  <c r="P142" i="7"/>
  <c r="P138" i="7"/>
  <c r="G129" i="9" s="1" a="1"/>
  <c r="G129" i="9" s="1"/>
  <c r="P154" i="7"/>
  <c r="G144" i="9" s="1" a="1"/>
  <c r="G144" i="9" s="1"/>
  <c r="P150" i="7"/>
  <c r="G140" i="9" s="1" a="1"/>
  <c r="G140" i="9" s="1"/>
  <c r="P145" i="7"/>
  <c r="O135" i="9" s="1" a="1"/>
  <c r="O135" i="9" s="1"/>
  <c r="P141" i="7"/>
  <c r="G132" i="9" s="1" a="1"/>
  <c r="G132" i="9" s="1"/>
  <c r="P137" i="7"/>
  <c r="G128" i="9" s="1" a="1"/>
  <c r="G128" i="9" s="1"/>
  <c r="P122" i="7"/>
  <c r="G114" i="9" s="1" a="1"/>
  <c r="G114" i="9" s="1"/>
  <c r="P119" i="7"/>
  <c r="O111" i="9" s="1" a="1"/>
  <c r="O111" i="9" s="1"/>
  <c r="P115" i="7"/>
  <c r="O107" i="9" s="1" a="1"/>
  <c r="O107" i="9" s="1"/>
  <c r="P111" i="7"/>
  <c r="G104" i="9" s="1" a="1"/>
  <c r="G104" i="9" s="1"/>
  <c r="P107" i="7"/>
  <c r="P102" i="7"/>
  <c r="O95" i="9" s="1" a="1"/>
  <c r="O95" i="9" s="1"/>
  <c r="P118" i="7"/>
  <c r="O110" i="9" s="1" a="1"/>
  <c r="O110" i="9" s="1"/>
  <c r="P114" i="7"/>
  <c r="P110" i="7"/>
  <c r="G103" i="9" s="1" a="1"/>
  <c r="G103" i="9" s="1"/>
  <c r="P106" i="7"/>
  <c r="O99" i="9" s="1" a="1"/>
  <c r="O99" i="9" s="1"/>
  <c r="P101" i="7"/>
  <c r="O94" i="9" s="1" a="1"/>
  <c r="O94" i="9" s="1"/>
  <c r="P121" i="7"/>
  <c r="P117" i="7"/>
  <c r="O109" i="9" s="1" a="1"/>
  <c r="O109" i="9" s="1"/>
  <c r="P113" i="7"/>
  <c r="G106" i="9" s="1" a="1"/>
  <c r="G106" i="9" s="1"/>
  <c r="P109" i="7"/>
  <c r="G102" i="9" s="1" a="1"/>
  <c r="G102" i="9" s="1"/>
  <c r="P105" i="7"/>
  <c r="O98" i="9" s="1" a="1"/>
  <c r="O98" i="9" s="1"/>
  <c r="P104" i="7"/>
  <c r="O97" i="9" s="1" a="1"/>
  <c r="O97" i="9" s="1"/>
  <c r="P100" i="7"/>
  <c r="P99" i="7"/>
  <c r="G93" i="9" s="1" a="1"/>
  <c r="G93" i="9" s="1"/>
  <c r="P98" i="7"/>
  <c r="G92" i="9" s="1" a="1"/>
  <c r="G92" i="9" s="1"/>
  <c r="P97" i="7"/>
  <c r="G91" i="9" s="1" a="1"/>
  <c r="G91" i="9" s="1"/>
  <c r="P96" i="7"/>
  <c r="G90" i="9" s="1" a="1"/>
  <c r="G90" i="9" s="1"/>
  <c r="P95" i="7"/>
  <c r="G89" i="9" s="1" a="1"/>
  <c r="G89" i="9" s="1"/>
  <c r="P94" i="7"/>
  <c r="G88" i="9" s="1" a="1"/>
  <c r="G88" i="9" s="1"/>
  <c r="P93" i="7"/>
  <c r="P92" i="7"/>
  <c r="O86" i="9" s="1" a="1"/>
  <c r="O86" i="9" s="1"/>
  <c r="P91" i="7"/>
  <c r="O85" i="9" s="1" a="1"/>
  <c r="O85" i="9" s="1"/>
  <c r="P90" i="7"/>
  <c r="O84" i="9" s="1" a="1"/>
  <c r="O84" i="9" s="1"/>
  <c r="P89" i="7"/>
  <c r="O83" i="9" s="1" a="1"/>
  <c r="O83" i="9" s="1"/>
  <c r="P88" i="7"/>
  <c r="O82" i="9" s="1" a="1"/>
  <c r="O82" i="9" s="1"/>
  <c r="P87" i="7"/>
  <c r="O81" i="9" s="1" a="1"/>
  <c r="O81" i="9" s="1"/>
  <c r="P86" i="7"/>
  <c r="P85" i="7"/>
  <c r="G80" i="9" s="1" a="1"/>
  <c r="G80" i="9" s="1"/>
  <c r="P84" i="7"/>
  <c r="G79" i="9" s="1" a="1"/>
  <c r="G79" i="9" s="1"/>
  <c r="P83" i="7"/>
  <c r="G78" i="9" s="1" a="1"/>
  <c r="G78" i="9" s="1"/>
  <c r="P82" i="7"/>
  <c r="G77" i="9" s="1" a="1"/>
  <c r="G77" i="9" s="1"/>
  <c r="P81" i="7"/>
  <c r="G76" i="9" s="1" a="1"/>
  <c r="G76" i="9" s="1"/>
  <c r="P80" i="7"/>
  <c r="G75" i="9" s="1" a="1"/>
  <c r="G75" i="9" s="1"/>
  <c r="P79" i="7"/>
  <c r="P78" i="7"/>
  <c r="O73" i="9" s="1" a="1"/>
  <c r="O73" i="9" s="1"/>
  <c r="P77" i="7"/>
  <c r="O72" i="9" s="1" a="1"/>
  <c r="O72" i="9" s="1"/>
  <c r="P76" i="7"/>
  <c r="O71" i="9" s="1" a="1"/>
  <c r="O71" i="9" s="1"/>
  <c r="P75" i="7"/>
  <c r="O70" i="9" s="1" a="1"/>
  <c r="O70" i="9" s="1"/>
  <c r="P74" i="7"/>
  <c r="O69" i="9" s="1" a="1"/>
  <c r="O69" i="9" s="1"/>
  <c r="P73" i="7"/>
  <c r="O68" i="9" s="1" a="1"/>
  <c r="O68" i="9" s="1"/>
  <c r="P72" i="7"/>
  <c r="P71" i="7"/>
  <c r="G67" i="9" s="1" a="1"/>
  <c r="G67" i="9" s="1"/>
  <c r="P70" i="7"/>
  <c r="G66" i="9" s="1" a="1"/>
  <c r="G66" i="9" s="1"/>
  <c r="P69" i="7"/>
  <c r="G65" i="9" s="1" a="1"/>
  <c r="G65" i="9" s="1"/>
  <c r="P120" i="7"/>
  <c r="O112" i="9" s="1" a="1"/>
  <c r="O112" i="9" s="1"/>
  <c r="P116" i="7"/>
  <c r="O108" i="9" s="1" a="1"/>
  <c r="O108" i="9" s="1"/>
  <c r="P112" i="7"/>
  <c r="G105" i="9" s="1" a="1"/>
  <c r="G105" i="9" s="1"/>
  <c r="P108" i="7"/>
  <c r="G101" i="9" s="1" a="1"/>
  <c r="G101" i="9" s="1"/>
  <c r="P68" i="7"/>
  <c r="G64" i="9" s="1" a="1"/>
  <c r="G64" i="9" s="1"/>
  <c r="P67" i="7"/>
  <c r="G63" i="9" s="1" a="1"/>
  <c r="G63" i="9" s="1"/>
  <c r="P66" i="7"/>
  <c r="G62" i="9" s="1" a="1"/>
  <c r="G62" i="9" s="1"/>
  <c r="P103" i="7"/>
  <c r="O96" i="9" s="1" a="1"/>
  <c r="O96" i="9" s="1"/>
  <c r="P65" i="7"/>
  <c r="P64" i="7"/>
  <c r="O60" i="9" s="1" a="1"/>
  <c r="O60" i="9" s="1"/>
  <c r="P63" i="7"/>
  <c r="O59" i="9" s="1" a="1"/>
  <c r="O59" i="9" s="1"/>
  <c r="P62" i="7"/>
  <c r="O58" i="9" s="1" a="1"/>
  <c r="O58" i="9" s="1"/>
  <c r="P61" i="7"/>
  <c r="O57" i="9" s="1" a="1"/>
  <c r="O57" i="9" s="1"/>
  <c r="P60" i="7"/>
  <c r="O56" i="9" s="1" a="1"/>
  <c r="O56" i="9" s="1"/>
  <c r="P59" i="7"/>
  <c r="O55" i="9" s="1" a="1"/>
  <c r="O55" i="9" s="1"/>
  <c r="P58" i="7"/>
  <c r="P57" i="7"/>
  <c r="G54" i="9" s="1" a="1"/>
  <c r="G54" i="9" s="1"/>
  <c r="P56" i="7"/>
  <c r="G53" i="9" s="1" a="1"/>
  <c r="G53" i="9" s="1"/>
  <c r="P55" i="7"/>
  <c r="G52" i="9" s="1" a="1"/>
  <c r="G52" i="9" s="1"/>
  <c r="P54" i="7"/>
  <c r="G51" i="9" s="1" a="1"/>
  <c r="G51" i="9" s="1"/>
  <c r="P53" i="7"/>
  <c r="G50" i="9" s="1" a="1"/>
  <c r="G50" i="9" s="1"/>
  <c r="P52" i="7"/>
  <c r="G49" i="9" s="1" a="1"/>
  <c r="G49" i="9" s="1"/>
  <c r="P51" i="7"/>
  <c r="P50" i="7"/>
  <c r="O47" i="9" s="1" a="1"/>
  <c r="O47" i="9" s="1"/>
  <c r="P49" i="7"/>
  <c r="O46" i="9" s="1" a="1"/>
  <c r="O46" i="9" s="1"/>
  <c r="P48" i="7"/>
  <c r="O45" i="9" s="1" a="1"/>
  <c r="O45" i="9" s="1"/>
  <c r="P47" i="7"/>
  <c r="O44" i="9" s="1" a="1"/>
  <c r="O44" i="9" s="1"/>
  <c r="P46" i="7"/>
  <c r="O43" i="9" s="1" a="1"/>
  <c r="O43" i="9" s="1"/>
  <c r="P45" i="7"/>
  <c r="O42" i="9" s="1" a="1"/>
  <c r="O42" i="9" s="1"/>
  <c r="P44" i="7"/>
  <c r="P43" i="7"/>
  <c r="G41" i="9" s="1" a="1"/>
  <c r="G41" i="9" s="1"/>
  <c r="P42" i="7"/>
  <c r="G40" i="9" s="1" a="1"/>
  <c r="G40" i="9" s="1"/>
  <c r="P41" i="7"/>
  <c r="G39" i="9" s="1" a="1"/>
  <c r="G39" i="9" s="1"/>
  <c r="P40" i="7"/>
  <c r="G38" i="9" s="1" a="1"/>
  <c r="G38" i="9" s="1"/>
  <c r="P39" i="7"/>
  <c r="G37" i="9" s="1" a="1"/>
  <c r="G37" i="9" s="1"/>
  <c r="P38" i="7"/>
  <c r="G36" i="9" s="1" a="1"/>
  <c r="G36" i="9" s="1"/>
  <c r="P37" i="7"/>
  <c r="P36" i="7"/>
  <c r="O34" i="9" s="1" a="1"/>
  <c r="O34" i="9" s="1"/>
  <c r="P33" i="7"/>
  <c r="O31" i="9" s="1" a="1"/>
  <c r="O31" i="9" s="1"/>
  <c r="P32" i="7"/>
  <c r="O30" i="9" s="1" a="1"/>
  <c r="O30" i="9" s="1"/>
  <c r="P30" i="7"/>
  <c r="P26" i="7"/>
  <c r="G25" i="9" s="1" a="1"/>
  <c r="G25" i="9" s="1"/>
  <c r="P22" i="7"/>
  <c r="O21" i="9" s="1" a="1"/>
  <c r="O21" i="9" s="1"/>
  <c r="P24" i="7"/>
  <c r="G23" i="9" s="1" a="1"/>
  <c r="G23" i="9" s="1"/>
  <c r="P15" i="7"/>
  <c r="G15" i="9" s="1" a="1"/>
  <c r="G15" i="9" s="1"/>
  <c r="P9" i="7"/>
  <c r="P3" i="7"/>
  <c r="O3" i="9" s="1" a="1"/>
  <c r="O3" i="9" s="1"/>
  <c r="P35" i="7"/>
  <c r="O33" i="9" s="1" a="1"/>
  <c r="O33" i="9" s="1"/>
  <c r="P29" i="7"/>
  <c r="G28" i="9" s="1" a="1"/>
  <c r="G28" i="9" s="1"/>
  <c r="P25" i="7"/>
  <c r="G24" i="9" s="1" a="1"/>
  <c r="G24" i="9" s="1"/>
  <c r="P21" i="7"/>
  <c r="O20" i="9" s="1" a="1"/>
  <c r="O20" i="9" s="1"/>
  <c r="P18" i="7"/>
  <c r="O17" i="9" s="1" a="1"/>
  <c r="O17" i="9" s="1"/>
  <c r="P16" i="7"/>
  <c r="P14" i="7"/>
  <c r="G14" i="9" s="1" a="1"/>
  <c r="G14" i="9" s="1"/>
  <c r="P12" i="7"/>
  <c r="G12" i="9" s="1" a="1"/>
  <c r="G12" i="9" s="1"/>
  <c r="P10" i="7"/>
  <c r="G10" i="9" s="1" a="1"/>
  <c r="G10" i="9" s="1"/>
  <c r="P8" i="7"/>
  <c r="O8" i="9" s="1" a="1"/>
  <c r="O8" i="9" s="1"/>
  <c r="P6" i="7"/>
  <c r="O6" i="9" s="1" a="1"/>
  <c r="O6" i="9" s="1"/>
  <c r="P4" i="7"/>
  <c r="O4" i="9" s="1" a="1"/>
  <c r="O4" i="9" s="1"/>
  <c r="P34" i="7"/>
  <c r="O32" i="9" s="1" a="1"/>
  <c r="O32" i="9" s="1"/>
  <c r="P28" i="7"/>
  <c r="G27" i="9" s="1" a="1"/>
  <c r="G27" i="9" s="1"/>
  <c r="P17" i="7"/>
  <c r="O16" i="9" s="1" a="1"/>
  <c r="O16" i="9" s="1"/>
  <c r="P11" i="7"/>
  <c r="G11" i="9" s="1" a="1"/>
  <c r="G11" i="9" s="1"/>
  <c r="P5" i="7"/>
  <c r="O5" i="9" s="1" a="1"/>
  <c r="O5" i="9" s="1"/>
  <c r="P20" i="7"/>
  <c r="O19" i="9" s="1" a="1"/>
  <c r="O19" i="9" s="1"/>
  <c r="P31" i="7"/>
  <c r="O29" i="9" s="1" a="1"/>
  <c r="O29" i="9" s="1"/>
  <c r="P27" i="7"/>
  <c r="G26" i="9" s="1" a="1"/>
  <c r="G26" i="9" s="1"/>
  <c r="P23" i="7"/>
  <c r="P19" i="7"/>
  <c r="O18" i="9" s="1" a="1"/>
  <c r="O18" i="9" s="1"/>
  <c r="P13" i="7"/>
  <c r="G13" i="9" s="1" a="1"/>
  <c r="G13" i="9" s="1"/>
  <c r="P7" i="7"/>
  <c r="O7" i="9" s="1" a="1"/>
  <c r="O7" i="9" s="1"/>
  <c r="Q62" i="21" l="1"/>
  <c r="M62" i="21"/>
  <c r="P62" i="21"/>
  <c r="L62" i="21"/>
  <c r="O62" i="21"/>
  <c r="R62" i="21"/>
  <c r="N62" i="21"/>
  <c r="Z62" i="21"/>
  <c r="V62" i="21"/>
  <c r="Y62" i="21"/>
  <c r="U62" i="21"/>
  <c r="X62" i="21"/>
  <c r="T62" i="21"/>
  <c r="W62" i="21"/>
  <c r="AF66" i="19"/>
  <c r="AB66" i="19"/>
  <c r="X66" i="19"/>
  <c r="T66" i="19"/>
  <c r="AI66" i="19"/>
  <c r="AE66" i="19"/>
  <c r="AA66" i="19"/>
  <c r="W66" i="19"/>
  <c r="AH66" i="19"/>
  <c r="AD66" i="19"/>
  <c r="Z66" i="19"/>
  <c r="V66" i="19"/>
  <c r="AG66" i="19"/>
  <c r="AC66" i="19"/>
  <c r="Y66" i="19"/>
  <c r="U66" i="19"/>
  <c r="AF50" i="19"/>
  <c r="AB50" i="19"/>
  <c r="X50" i="19"/>
  <c r="T50" i="19"/>
  <c r="AI50" i="19"/>
  <c r="AE50" i="19"/>
  <c r="AA50" i="19"/>
  <c r="W50" i="19"/>
  <c r="AH50" i="19"/>
  <c r="AD50" i="19"/>
  <c r="Z50" i="19"/>
  <c r="V50" i="19"/>
  <c r="AG50" i="19"/>
  <c r="AC50" i="19"/>
  <c r="U50" i="19"/>
  <c r="Y50" i="19"/>
  <c r="AI82" i="19"/>
  <c r="AE82" i="19"/>
  <c r="AA82" i="19"/>
  <c r="W82" i="19"/>
  <c r="AH82" i="19"/>
  <c r="AD82" i="19"/>
  <c r="Z82" i="19"/>
  <c r="V82" i="19"/>
  <c r="AG82" i="19"/>
  <c r="AC82" i="19"/>
  <c r="Y82" i="19"/>
  <c r="U82" i="19"/>
  <c r="AF82" i="19"/>
  <c r="AB82" i="19"/>
  <c r="X82" i="19"/>
  <c r="T82" i="19"/>
  <c r="S98" i="19"/>
  <c r="AF97" i="19"/>
  <c r="AB97" i="19"/>
  <c r="X97" i="19"/>
  <c r="T97" i="19"/>
  <c r="AI97" i="19"/>
  <c r="AE97" i="19"/>
  <c r="AA97" i="19"/>
  <c r="W97" i="19"/>
  <c r="AD97" i="19"/>
  <c r="V97" i="19"/>
  <c r="AC97" i="19"/>
  <c r="U97" i="19"/>
  <c r="AH97" i="19"/>
  <c r="Z97" i="19"/>
  <c r="AG97" i="19"/>
  <c r="Y97" i="19"/>
  <c r="S114" i="19"/>
  <c r="AF113" i="19"/>
  <c r="AB113" i="19"/>
  <c r="X113" i="19"/>
  <c r="T113" i="19"/>
  <c r="AI113" i="19"/>
  <c r="AE113" i="19"/>
  <c r="AA113" i="19"/>
  <c r="W113" i="19"/>
  <c r="AH113" i="19"/>
  <c r="AD113" i="19"/>
  <c r="Z113" i="19"/>
  <c r="V113" i="19"/>
  <c r="AG113" i="19"/>
  <c r="AC113" i="19"/>
  <c r="Y113" i="19"/>
  <c r="U113" i="19"/>
  <c r="Q2" i="9"/>
  <c r="Q142" i="9" a="1"/>
  <c r="Q142" i="9" s="1"/>
  <c r="Q132" i="9" a="1"/>
  <c r="Q132" i="9" s="1"/>
  <c r="Q131" i="9" a="1"/>
  <c r="Q131" i="9" s="1"/>
  <c r="Q130" i="9" a="1"/>
  <c r="Q130" i="9" s="1"/>
  <c r="Q129" i="9" a="1"/>
  <c r="Q129" i="9" s="1"/>
  <c r="Q128" i="9" a="1"/>
  <c r="Q128" i="9" s="1"/>
  <c r="Q141" i="9" a="1"/>
  <c r="Q141" i="9" s="1"/>
  <c r="Q145" i="9" a="1"/>
  <c r="Q145" i="9" s="1"/>
  <c r="Q127" i="9" a="1"/>
  <c r="Q127" i="9" s="1"/>
  <c r="Q119" i="9" a="1"/>
  <c r="Q119" i="9" s="1"/>
  <c r="Q117" i="9" a="1"/>
  <c r="Q117" i="9" s="1"/>
  <c r="Q144" i="9" a="1"/>
  <c r="Q144" i="9" s="1"/>
  <c r="Q140" i="9" a="1"/>
  <c r="Q140" i="9" s="1"/>
  <c r="Q126" i="9" a="1"/>
  <c r="Q126" i="9" s="1"/>
  <c r="Q116" i="9" a="1"/>
  <c r="Q116" i="9" s="1"/>
  <c r="Q139" i="9" a="1"/>
  <c r="Q139" i="9" s="1"/>
  <c r="Q106" i="9" a="1"/>
  <c r="Q106" i="9" s="1"/>
  <c r="Q105" i="9" a="1"/>
  <c r="Q105" i="9" s="1"/>
  <c r="Q104" i="9" a="1"/>
  <c r="Q104" i="9" s="1"/>
  <c r="Q143" i="9" a="1"/>
  <c r="Q143" i="9" s="1"/>
  <c r="Q118" i="9" a="1"/>
  <c r="Q118" i="9" s="1"/>
  <c r="Q115" i="9" a="1"/>
  <c r="Q115" i="9" s="1"/>
  <c r="Q113" i="9" a="1"/>
  <c r="Q113" i="9" s="1"/>
  <c r="Q103" i="9" a="1"/>
  <c r="Q103" i="9" s="1"/>
  <c r="Q102" i="9" a="1"/>
  <c r="Q102" i="9" s="1"/>
  <c r="Q101" i="9" a="1"/>
  <c r="Q101" i="9" s="1"/>
  <c r="Q100" i="9" a="1"/>
  <c r="Q100" i="9" s="1"/>
  <c r="Q93" i="9" a="1"/>
  <c r="Q93" i="9" s="1"/>
  <c r="Q89" i="9" a="1"/>
  <c r="Q89" i="9" s="1"/>
  <c r="Q80" i="9" a="1"/>
  <c r="Q80" i="9" s="1"/>
  <c r="Q79" i="9" a="1"/>
  <c r="Q79" i="9" s="1"/>
  <c r="Q78" i="9" a="1"/>
  <c r="Q78" i="9" s="1"/>
  <c r="Q77" i="9" a="1"/>
  <c r="Q77" i="9" s="1"/>
  <c r="Q76" i="9" a="1"/>
  <c r="Q76" i="9" s="1"/>
  <c r="Q92" i="9" a="1"/>
  <c r="Q92" i="9" s="1"/>
  <c r="Q88" i="9" a="1"/>
  <c r="Q88" i="9" s="1"/>
  <c r="Q75" i="9" a="1"/>
  <c r="Q75" i="9" s="1"/>
  <c r="Q74" i="9" a="1"/>
  <c r="Q74" i="9" s="1"/>
  <c r="Q114" i="9" a="1"/>
  <c r="Q114" i="9" s="1"/>
  <c r="Q91" i="9" a="1"/>
  <c r="Q91" i="9" s="1"/>
  <c r="Q87" i="9" a="1"/>
  <c r="Q87" i="9" s="1"/>
  <c r="Q90" i="9" a="1"/>
  <c r="Q90" i="9" s="1"/>
  <c r="Q64" i="9" a="1"/>
  <c r="Q64" i="9" s="1"/>
  <c r="Q54" i="9" a="1"/>
  <c r="Q54" i="9" s="1"/>
  <c r="Q53" i="9" a="1"/>
  <c r="Q53" i="9" s="1"/>
  <c r="Q52" i="9" a="1"/>
  <c r="Q52" i="9" s="1"/>
  <c r="Q51" i="9" a="1"/>
  <c r="Q51" i="9" s="1"/>
  <c r="Q50" i="9" a="1"/>
  <c r="Q50" i="9" s="1"/>
  <c r="Q49" i="9" a="1"/>
  <c r="Q49" i="9" s="1"/>
  <c r="Q48" i="9" a="1"/>
  <c r="Q48" i="9" s="1"/>
  <c r="Q67" i="9" a="1"/>
  <c r="Q67" i="9" s="1"/>
  <c r="Q63" i="9" a="1"/>
  <c r="Q63" i="9" s="1"/>
  <c r="Q41" i="9" a="1"/>
  <c r="Q41" i="9" s="1"/>
  <c r="Q40" i="9" a="1"/>
  <c r="Q40" i="9" s="1"/>
  <c r="Q39" i="9" a="1"/>
  <c r="Q39" i="9" s="1"/>
  <c r="Q38" i="9" a="1"/>
  <c r="Q38" i="9" s="1"/>
  <c r="Q37" i="9" a="1"/>
  <c r="Q37" i="9" s="1"/>
  <c r="Q36" i="9" a="1"/>
  <c r="Q36" i="9" s="1"/>
  <c r="Q35" i="9" a="1"/>
  <c r="Q35" i="9" s="1"/>
  <c r="Q66" i="9" a="1"/>
  <c r="Q66" i="9" s="1"/>
  <c r="Q62" i="9" a="1"/>
  <c r="Q62" i="9" s="1"/>
  <c r="Q61" i="9" a="1"/>
  <c r="Q61" i="9" s="1"/>
  <c r="Q28" i="9" a="1"/>
  <c r="Q28" i="9" s="1"/>
  <c r="Q27" i="9" a="1"/>
  <c r="Q27" i="9" s="1"/>
  <c r="Q26" i="9" a="1"/>
  <c r="Q26" i="9" s="1"/>
  <c r="Q25" i="9" a="1"/>
  <c r="Q25" i="9" s="1"/>
  <c r="Q24" i="9" a="1"/>
  <c r="Q24" i="9" s="1"/>
  <c r="Q23" i="9" a="1"/>
  <c r="Q23" i="9" s="1"/>
  <c r="Q22" i="9" a="1"/>
  <c r="Q22" i="9" s="1"/>
  <c r="Q15" i="9" a="1"/>
  <c r="Q15" i="9" s="1"/>
  <c r="Q14" i="9" a="1"/>
  <c r="Q14" i="9" s="1"/>
  <c r="Q13" i="9" a="1"/>
  <c r="Q13" i="9" s="1"/>
  <c r="Q12" i="9" a="1"/>
  <c r="Q12" i="9" s="1"/>
  <c r="Q11" i="9" a="1"/>
  <c r="Q11" i="9" s="1"/>
  <c r="Q10" i="9" a="1"/>
  <c r="Q10" i="9" s="1"/>
  <c r="Q9" i="9" a="1"/>
  <c r="Q9" i="9" s="1"/>
  <c r="Q65" i="9" a="1"/>
  <c r="Q65" i="9" s="1"/>
  <c r="I82" i="14" a="1"/>
  <c r="I82" i="14" s="1"/>
  <c r="O50" i="14" a="1"/>
  <c r="O50" i="14" s="1"/>
  <c r="U114" i="14" a="1"/>
  <c r="U114" i="14" s="1"/>
  <c r="U66" i="14" a="1"/>
  <c r="U66" i="14" s="1"/>
  <c r="O66" i="14" a="1"/>
  <c r="O66" i="14" s="1"/>
  <c r="R114" i="14" a="1"/>
  <c r="R114" i="14" s="1"/>
  <c r="F114" i="14" a="1"/>
  <c r="F114" i="14" s="1"/>
  <c r="R50" i="14" a="1"/>
  <c r="R50" i="14" s="1"/>
  <c r="F18" i="14" a="1"/>
  <c r="F18" i="14" s="1"/>
  <c r="O34" i="14" a="1"/>
  <c r="O34" i="14" s="1"/>
  <c r="O98" i="14" a="1"/>
  <c r="O98" i="14" s="1"/>
  <c r="F82" i="14" a="1"/>
  <c r="F82" i="14" s="1"/>
  <c r="F34" i="14" a="1"/>
  <c r="F34" i="14" s="1"/>
  <c r="I34" i="14" a="1"/>
  <c r="I34" i="14" s="1"/>
  <c r="F130" i="14" a="1"/>
  <c r="F130" i="14" s="1"/>
  <c r="F50" i="14" a="1"/>
  <c r="F50" i="14" s="1"/>
  <c r="U50" i="14" a="1"/>
  <c r="U50" i="14" s="1"/>
  <c r="U18" i="14" a="1"/>
  <c r="U18" i="14" s="1"/>
  <c r="X18" i="14" a="1"/>
  <c r="X18" i="14" s="1"/>
  <c r="I114" i="14" a="1"/>
  <c r="I114" i="14" s="1"/>
  <c r="L18" i="14" a="1"/>
  <c r="L18" i="14" s="1"/>
  <c r="I50" i="14" a="1"/>
  <c r="I50" i="14" s="1"/>
  <c r="F98" i="14" a="1"/>
  <c r="F98" i="14" s="1"/>
  <c r="I98" i="14" a="1"/>
  <c r="I98" i="14" s="1"/>
  <c r="L34" i="14" a="1"/>
  <c r="L34" i="14" s="1"/>
  <c r="L98" i="14" a="1"/>
  <c r="L98" i="14" s="1"/>
  <c r="R66" i="14" a="1"/>
  <c r="R66" i="14" s="1"/>
  <c r="R130" i="14" a="1"/>
  <c r="R130" i="14" s="1"/>
  <c r="X82" i="14" a="1"/>
  <c r="X82" i="14" s="1"/>
  <c r="X130" i="14" a="1"/>
  <c r="X130" i="14" s="1"/>
  <c r="L50" i="14" a="1"/>
  <c r="L50" i="14" s="1"/>
  <c r="U34" i="14" a="1"/>
  <c r="U34" i="14" s="1"/>
  <c r="R18" i="14" a="1"/>
  <c r="R18" i="14" s="1"/>
  <c r="R82" i="14" a="1"/>
  <c r="R82" i="14" s="1"/>
  <c r="U130" i="14" a="1"/>
  <c r="U130" i="14" s="1"/>
  <c r="U82" i="14" a="1"/>
  <c r="U82" i="14" s="1"/>
  <c r="X34" i="14" a="1"/>
  <c r="X34" i="14" s="1"/>
  <c r="X98" i="14" a="1"/>
  <c r="X98" i="14" s="1"/>
  <c r="R1" i="12"/>
  <c r="Q2" i="12"/>
  <c r="Q114" i="12"/>
  <c r="W131" i="14" s="1" a="1"/>
  <c r="W131" i="14" s="1"/>
  <c r="Q113" i="12"/>
  <c r="W115" i="14" s="1" a="1"/>
  <c r="W115" i="14" s="1"/>
  <c r="Q112" i="12"/>
  <c r="W99" i="14" s="1" a="1"/>
  <c r="W99" i="14" s="1"/>
  <c r="Q111" i="12"/>
  <c r="W83" i="14" s="1" a="1"/>
  <c r="W83" i="14" s="1"/>
  <c r="Q110" i="12"/>
  <c r="W67" i="14" s="1" a="1"/>
  <c r="W67" i="14" s="1"/>
  <c r="Q109" i="12"/>
  <c r="W51" i="14" s="1" a="1"/>
  <c r="W51" i="14" s="1"/>
  <c r="Q108" i="12"/>
  <c r="W35" i="14" s="1" a="1"/>
  <c r="W35" i="14" s="1"/>
  <c r="Q107" i="12"/>
  <c r="W19" i="14" s="1" a="1"/>
  <c r="W19" i="14" s="1"/>
  <c r="Q106" i="12"/>
  <c r="V131" i="14" s="1" a="1"/>
  <c r="V131" i="14" s="1"/>
  <c r="Q105" i="12"/>
  <c r="V115" i="14" s="1" a="1"/>
  <c r="V115" i="14" s="1"/>
  <c r="Q104" i="12"/>
  <c r="V99" i="14" s="1" a="1"/>
  <c r="V99" i="14" s="1"/>
  <c r="Q103" i="12"/>
  <c r="V83" i="14" s="1" a="1"/>
  <c r="V83" i="14" s="1"/>
  <c r="Q102" i="12"/>
  <c r="V67" i="14" s="1" a="1"/>
  <c r="V67" i="14" s="1"/>
  <c r="Q101" i="12"/>
  <c r="V51" i="14" s="1" a="1"/>
  <c r="V51" i="14" s="1"/>
  <c r="Q100" i="12"/>
  <c r="V35" i="14" s="1" a="1"/>
  <c r="V35" i="14" s="1"/>
  <c r="Q99" i="12"/>
  <c r="V19" i="14" s="1" a="1"/>
  <c r="V19" i="14" s="1"/>
  <c r="Q98" i="12"/>
  <c r="T131" i="14" s="1" a="1"/>
  <c r="T131" i="14" s="1"/>
  <c r="Q97" i="12"/>
  <c r="T115" i="14" s="1" a="1"/>
  <c r="T115" i="14" s="1"/>
  <c r="Q96" i="12"/>
  <c r="T99" i="14" s="1" a="1"/>
  <c r="T99" i="14" s="1"/>
  <c r="Q95" i="12"/>
  <c r="T83" i="14" s="1" a="1"/>
  <c r="T83" i="14" s="1"/>
  <c r="Q94" i="12"/>
  <c r="T67" i="14" s="1" a="1"/>
  <c r="T67" i="14" s="1"/>
  <c r="Q93" i="12"/>
  <c r="T51" i="14" s="1" a="1"/>
  <c r="T51" i="14" s="1"/>
  <c r="Q92" i="12"/>
  <c r="T35" i="14" s="1" a="1"/>
  <c r="T35" i="14" s="1"/>
  <c r="Q91" i="12"/>
  <c r="T19" i="14" s="1" a="1"/>
  <c r="T19" i="14" s="1"/>
  <c r="Q90" i="12"/>
  <c r="S131" i="14" s="1" a="1"/>
  <c r="S131" i="14" s="1"/>
  <c r="Q89" i="12"/>
  <c r="S115" i="14" s="1" a="1"/>
  <c r="S115" i="14" s="1"/>
  <c r="Q88" i="12"/>
  <c r="S99" i="14" s="1" a="1"/>
  <c r="S99" i="14" s="1"/>
  <c r="Q87" i="12"/>
  <c r="S83" i="14" s="1" a="1"/>
  <c r="S83" i="14" s="1"/>
  <c r="Q86" i="12"/>
  <c r="S67" i="14" s="1" a="1"/>
  <c r="S67" i="14" s="1"/>
  <c r="Q85" i="12"/>
  <c r="S51" i="14" s="1" a="1"/>
  <c r="S51" i="14" s="1"/>
  <c r="Q84" i="12"/>
  <c r="S35" i="14" s="1" a="1"/>
  <c r="S35" i="14" s="1"/>
  <c r="Q83" i="12"/>
  <c r="S19" i="14" s="1" a="1"/>
  <c r="S19" i="14" s="1"/>
  <c r="Q82" i="12"/>
  <c r="Q131" i="14" s="1" a="1"/>
  <c r="Q131" i="14" s="1"/>
  <c r="Q81" i="12"/>
  <c r="Q115" i="14" s="1" a="1"/>
  <c r="Q115" i="14" s="1"/>
  <c r="Q80" i="12"/>
  <c r="Q99" i="14" s="1" a="1"/>
  <c r="Q99" i="14" s="1"/>
  <c r="Q79" i="12"/>
  <c r="Q83" i="14" s="1" a="1"/>
  <c r="Q83" i="14" s="1"/>
  <c r="Q78" i="12"/>
  <c r="Q67" i="14" s="1" a="1"/>
  <c r="Q67" i="14" s="1"/>
  <c r="Q77" i="12"/>
  <c r="Q51" i="14" s="1" a="1"/>
  <c r="Q51" i="14" s="1"/>
  <c r="Q76" i="12"/>
  <c r="Q35" i="14" s="1" a="1"/>
  <c r="Q35" i="14" s="1"/>
  <c r="Q75" i="12"/>
  <c r="Q19" i="14" s="1" a="1"/>
  <c r="Q19" i="14" s="1"/>
  <c r="Q74" i="12"/>
  <c r="P131" i="14" s="1" a="1"/>
  <c r="P131" i="14" s="1"/>
  <c r="Q73" i="12"/>
  <c r="P115" i="14" s="1" a="1"/>
  <c r="P115" i="14" s="1"/>
  <c r="Q72" i="12"/>
  <c r="P99" i="14" s="1" a="1"/>
  <c r="P99" i="14" s="1"/>
  <c r="Q71" i="12"/>
  <c r="P83" i="14" s="1" a="1"/>
  <c r="P83" i="14" s="1"/>
  <c r="Q70" i="12"/>
  <c r="P67" i="14" s="1" a="1"/>
  <c r="P67" i="14" s="1"/>
  <c r="Q69" i="12"/>
  <c r="P51" i="14" s="1" a="1"/>
  <c r="P51" i="14" s="1"/>
  <c r="Q68" i="12"/>
  <c r="P35" i="14" s="1" a="1"/>
  <c r="P35" i="14" s="1"/>
  <c r="Q67" i="12"/>
  <c r="P19" i="14" s="1" a="1"/>
  <c r="P19" i="14" s="1"/>
  <c r="Q66" i="12"/>
  <c r="N131" i="14" s="1" a="1"/>
  <c r="N131" i="14" s="1"/>
  <c r="Q65" i="12"/>
  <c r="N115" i="14" s="1" a="1"/>
  <c r="N115" i="14" s="1"/>
  <c r="Q64" i="12"/>
  <c r="N99" i="14" s="1" a="1"/>
  <c r="N99" i="14" s="1"/>
  <c r="Q63" i="12"/>
  <c r="N83" i="14" s="1" a="1"/>
  <c r="N83" i="14" s="1"/>
  <c r="Q62" i="12"/>
  <c r="N67" i="14" s="1" a="1"/>
  <c r="N67" i="14" s="1"/>
  <c r="Q61" i="12"/>
  <c r="N51" i="14" s="1" a="1"/>
  <c r="N51" i="14" s="1"/>
  <c r="Q60" i="12"/>
  <c r="N35" i="14" s="1" a="1"/>
  <c r="N35" i="14" s="1"/>
  <c r="Q59" i="12"/>
  <c r="N19" i="14" s="1" a="1"/>
  <c r="N19" i="14" s="1"/>
  <c r="Q58" i="12"/>
  <c r="M131" i="14" s="1" a="1"/>
  <c r="M131" i="14" s="1"/>
  <c r="Q31" i="12"/>
  <c r="H83" i="14" s="1" a="1"/>
  <c r="H83" i="14" s="1"/>
  <c r="Q30" i="12"/>
  <c r="H67" i="14" s="1" a="1"/>
  <c r="H67" i="14" s="1"/>
  <c r="Q29" i="12"/>
  <c r="H51" i="14" s="1" a="1"/>
  <c r="H51" i="14" s="1"/>
  <c r="Q28" i="12"/>
  <c r="H35" i="14" s="1" a="1"/>
  <c r="H35" i="14" s="1"/>
  <c r="Q27" i="12"/>
  <c r="H19" i="14" s="1" a="1"/>
  <c r="H19" i="14" s="1"/>
  <c r="Q26" i="12"/>
  <c r="G131" i="14" s="1" a="1"/>
  <c r="G131" i="14" s="1"/>
  <c r="Q25" i="12"/>
  <c r="G115" i="14" s="1" a="1"/>
  <c r="G115" i="14" s="1"/>
  <c r="Q24" i="12"/>
  <c r="G99" i="14" s="1" a="1"/>
  <c r="G99" i="14" s="1"/>
  <c r="Q23" i="12"/>
  <c r="G83" i="14" s="1" a="1"/>
  <c r="G83" i="14" s="1"/>
  <c r="Q22" i="12"/>
  <c r="G67" i="14" s="1" a="1"/>
  <c r="G67" i="14" s="1"/>
  <c r="Q21" i="12"/>
  <c r="G51" i="14" s="1" a="1"/>
  <c r="G51" i="14" s="1"/>
  <c r="Q20" i="12"/>
  <c r="G35" i="14" s="1" a="1"/>
  <c r="G35" i="14" s="1"/>
  <c r="Q19" i="12"/>
  <c r="G19" i="14" s="1" a="1"/>
  <c r="G19" i="14" s="1"/>
  <c r="Q18" i="12"/>
  <c r="E131" i="14" s="1" a="1"/>
  <c r="E131" i="14" s="1"/>
  <c r="Q17" i="12"/>
  <c r="E115" i="14" s="1" a="1"/>
  <c r="E115" i="14" s="1"/>
  <c r="Q16" i="12"/>
  <c r="E99" i="14" s="1" a="1"/>
  <c r="E99" i="14" s="1"/>
  <c r="Q15" i="12"/>
  <c r="E83" i="14" s="1" a="1"/>
  <c r="E83" i="14" s="1"/>
  <c r="Q14" i="12"/>
  <c r="E67" i="14" s="1" a="1"/>
  <c r="E67" i="14" s="1"/>
  <c r="Q13" i="12"/>
  <c r="E51" i="14" s="1" a="1"/>
  <c r="E51" i="14" s="1"/>
  <c r="Q12" i="12"/>
  <c r="E35" i="14" s="1" a="1"/>
  <c r="E35" i="14" s="1"/>
  <c r="Q11" i="12"/>
  <c r="E19" i="14" s="1" a="1"/>
  <c r="E19" i="14" s="1"/>
  <c r="D131" i="14" a="1"/>
  <c r="D131" i="14" s="1"/>
  <c r="Q9" i="12"/>
  <c r="D115" i="14" s="1" a="1"/>
  <c r="D115" i="14" s="1"/>
  <c r="Q56" i="12"/>
  <c r="M99" i="14" s="1" a="1"/>
  <c r="M99" i="14" s="1"/>
  <c r="Q54" i="12"/>
  <c r="M67" i="14" s="1" a="1"/>
  <c r="M67" i="14" s="1"/>
  <c r="Q52" i="12"/>
  <c r="M35" i="14" s="1" a="1"/>
  <c r="M35" i="14" s="1"/>
  <c r="Q50" i="12"/>
  <c r="K131" i="14" s="1" a="1"/>
  <c r="K131" i="14" s="1"/>
  <c r="Q48" i="12"/>
  <c r="K99" i="14" s="1" a="1"/>
  <c r="K99" i="14" s="1"/>
  <c r="Q46" i="12"/>
  <c r="K67" i="14" s="1" a="1"/>
  <c r="K67" i="14" s="1"/>
  <c r="Q44" i="12"/>
  <c r="K35" i="14" s="1" a="1"/>
  <c r="K35" i="14" s="1"/>
  <c r="Q42" i="12"/>
  <c r="J131" i="14" s="1" a="1"/>
  <c r="J131" i="14" s="1"/>
  <c r="Q40" i="12"/>
  <c r="J99" i="14" s="1" a="1"/>
  <c r="J99" i="14" s="1"/>
  <c r="Q38" i="12"/>
  <c r="J67" i="14" s="1" a="1"/>
  <c r="J67" i="14" s="1"/>
  <c r="Q36" i="12"/>
  <c r="J35" i="14" s="1" a="1"/>
  <c r="J35" i="14" s="1"/>
  <c r="Q34" i="12"/>
  <c r="H131" i="14" s="1" a="1"/>
  <c r="H131" i="14" s="1"/>
  <c r="Q32" i="12"/>
  <c r="H99" i="14" s="1" a="1"/>
  <c r="H99" i="14" s="1"/>
  <c r="I99" i="14" s="1" a="1"/>
  <c r="I99" i="14" s="1"/>
  <c r="Q8" i="12"/>
  <c r="D99" i="14" s="1" a="1"/>
  <c r="D99" i="14" s="1"/>
  <c r="Q7" i="12"/>
  <c r="D83" i="14" s="1" a="1"/>
  <c r="D83" i="14" s="1"/>
  <c r="Q6" i="12"/>
  <c r="D67" i="14" s="1" a="1"/>
  <c r="D67" i="14" s="1"/>
  <c r="Q5" i="12"/>
  <c r="D51" i="14" s="1" a="1"/>
  <c r="D51" i="14" s="1"/>
  <c r="Q4" i="12"/>
  <c r="D35" i="14" s="1" a="1"/>
  <c r="D35" i="14" s="1"/>
  <c r="Q3" i="12"/>
  <c r="D19" i="14" s="1" a="1"/>
  <c r="D19" i="14" s="1"/>
  <c r="Q57" i="12"/>
  <c r="M115" i="14" s="1" a="1"/>
  <c r="M115" i="14" s="1"/>
  <c r="Q55" i="12"/>
  <c r="M83" i="14" s="1" a="1"/>
  <c r="M83" i="14" s="1"/>
  <c r="Q53" i="12"/>
  <c r="M51" i="14" s="1" a="1"/>
  <c r="M51" i="14" s="1"/>
  <c r="Q51" i="12"/>
  <c r="M19" i="14" s="1" a="1"/>
  <c r="M19" i="14" s="1"/>
  <c r="Q49" i="12"/>
  <c r="K115" i="14" s="1" a="1"/>
  <c r="K115" i="14" s="1"/>
  <c r="Q47" i="12"/>
  <c r="K83" i="14" s="1" a="1"/>
  <c r="K83" i="14" s="1"/>
  <c r="Q45" i="12"/>
  <c r="K51" i="14" s="1" a="1"/>
  <c r="K51" i="14" s="1"/>
  <c r="Q43" i="12"/>
  <c r="K19" i="14" s="1" a="1"/>
  <c r="K19" i="14" s="1"/>
  <c r="Q41" i="12"/>
  <c r="J115" i="14" s="1" a="1"/>
  <c r="J115" i="14" s="1"/>
  <c r="Q39" i="12"/>
  <c r="J83" i="14" s="1" a="1"/>
  <c r="J83" i="14" s="1"/>
  <c r="Q37" i="12"/>
  <c r="J51" i="14" s="1" a="1"/>
  <c r="J51" i="14" s="1"/>
  <c r="Q35" i="12"/>
  <c r="J19" i="14" s="1" a="1"/>
  <c r="J19" i="14" s="1"/>
  <c r="Q33" i="12"/>
  <c r="H115" i="14" s="1" a="1"/>
  <c r="H115" i="14" s="1"/>
  <c r="I115" i="14" s="1" a="1"/>
  <c r="I115" i="14" s="1"/>
  <c r="L82" i="14" a="1"/>
  <c r="L82" i="14" s="1"/>
  <c r="X66" i="14" a="1"/>
  <c r="X66" i="14" s="1"/>
  <c r="I18" i="14" a="1"/>
  <c r="I18" i="14" s="1"/>
  <c r="F66" i="14" a="1"/>
  <c r="F66" i="14" s="1"/>
  <c r="O130" i="14" a="1"/>
  <c r="O130" i="14" s="1"/>
  <c r="I130" i="14" a="1"/>
  <c r="I130" i="14" s="1"/>
  <c r="L66" i="14" a="1"/>
  <c r="L66" i="14" s="1"/>
  <c r="U98" i="14" a="1"/>
  <c r="U98" i="14" s="1"/>
  <c r="R34" i="14" a="1"/>
  <c r="R34" i="14" s="1"/>
  <c r="R98" i="14" a="1"/>
  <c r="R98" i="14" s="1"/>
  <c r="X50" i="14" a="1"/>
  <c r="X50" i="14" s="1"/>
  <c r="X114" i="14" a="1"/>
  <c r="X114" i="14" s="1"/>
  <c r="R2" i="7"/>
  <c r="Q156" i="7"/>
  <c r="Q155" i="7"/>
  <c r="H145" i="9" s="1" a="1"/>
  <c r="H145" i="9" s="1"/>
  <c r="Q154" i="7"/>
  <c r="H144" i="9" s="1" a="1"/>
  <c r="H144" i="9" s="1"/>
  <c r="Q153" i="7"/>
  <c r="H143" i="9" s="1" a="1"/>
  <c r="H143" i="9" s="1"/>
  <c r="Q152" i="7"/>
  <c r="H142" i="9" s="1" a="1"/>
  <c r="H142" i="9" s="1"/>
  <c r="Q151" i="7"/>
  <c r="H141" i="9" s="1" a="1"/>
  <c r="H141" i="9" s="1"/>
  <c r="Q150" i="7"/>
  <c r="H140" i="9" s="1" a="1"/>
  <c r="H140" i="9" s="1"/>
  <c r="Q149" i="7"/>
  <c r="Q148" i="7"/>
  <c r="P138" i="9" s="1" a="1"/>
  <c r="P138" i="9" s="1"/>
  <c r="Q147" i="7"/>
  <c r="P137" i="9" s="1" a="1"/>
  <c r="P137" i="9" s="1"/>
  <c r="Q143" i="7"/>
  <c r="P133" i="9" s="1" a="1"/>
  <c r="P133" i="9" s="1"/>
  <c r="Q139" i="7"/>
  <c r="H130" i="9" s="1" a="1"/>
  <c r="H130" i="9" s="1"/>
  <c r="Q135" i="7"/>
  <c r="Q146" i="7"/>
  <c r="P136" i="9" s="1" a="1"/>
  <c r="P136" i="9" s="1"/>
  <c r="Q142" i="7"/>
  <c r="Q138" i="7"/>
  <c r="H129" i="9" s="1" a="1"/>
  <c r="H129" i="9" s="1"/>
  <c r="Q145" i="7"/>
  <c r="P135" i="9" s="1" a="1"/>
  <c r="P135" i="9" s="1"/>
  <c r="Q141" i="7"/>
  <c r="H132" i="9" s="1" a="1"/>
  <c r="H132" i="9" s="1"/>
  <c r="Q137" i="7"/>
  <c r="H128" i="9" s="1" a="1"/>
  <c r="H128" i="9" s="1"/>
  <c r="Q144" i="7"/>
  <c r="P134" i="9" s="1" a="1"/>
  <c r="P134" i="9" s="1"/>
  <c r="Q140" i="7"/>
  <c r="H131" i="9" s="1" a="1"/>
  <c r="H131" i="9" s="1"/>
  <c r="Q136" i="7"/>
  <c r="H127" i="9" s="1" a="1"/>
  <c r="H127" i="9" s="1"/>
  <c r="Q133" i="7"/>
  <c r="P124" i="9" s="1" a="1"/>
  <c r="P124" i="9" s="1"/>
  <c r="Q129" i="7"/>
  <c r="P120" i="9" s="1" a="1"/>
  <c r="P120" i="9" s="1"/>
  <c r="Q125" i="7"/>
  <c r="H117" i="9" s="1" a="1"/>
  <c r="H117" i="9" s="1"/>
  <c r="Q132" i="7"/>
  <c r="P123" i="9" s="1" a="1"/>
  <c r="P123" i="9" s="1"/>
  <c r="Q128" i="7"/>
  <c r="Q124" i="7"/>
  <c r="H116" i="9" s="1" a="1"/>
  <c r="H116" i="9" s="1"/>
  <c r="Q122" i="7"/>
  <c r="H114" i="9" s="1" a="1"/>
  <c r="H114" i="9" s="1"/>
  <c r="Q131" i="7"/>
  <c r="P122" i="9" s="1" a="1"/>
  <c r="P122" i="9" s="1"/>
  <c r="Q127" i="7"/>
  <c r="H119" i="9" s="1" a="1"/>
  <c r="H119" i="9" s="1"/>
  <c r="Q123" i="7"/>
  <c r="H115" i="9" s="1" a="1"/>
  <c r="H115" i="9" s="1"/>
  <c r="Q121" i="7"/>
  <c r="Q120" i="7"/>
  <c r="P112" i="9" s="1" a="1"/>
  <c r="P112" i="9" s="1"/>
  <c r="Q119" i="7"/>
  <c r="P111" i="9" s="1" a="1"/>
  <c r="P111" i="9" s="1"/>
  <c r="Q118" i="7"/>
  <c r="P110" i="9" s="1" a="1"/>
  <c r="P110" i="9" s="1"/>
  <c r="Q117" i="7"/>
  <c r="P109" i="9" s="1" a="1"/>
  <c r="P109" i="9" s="1"/>
  <c r="Q116" i="7"/>
  <c r="P108" i="9" s="1" a="1"/>
  <c r="P108" i="9" s="1"/>
  <c r="Q115" i="7"/>
  <c r="P107" i="9" s="1" a="1"/>
  <c r="P107" i="9" s="1"/>
  <c r="Q114" i="7"/>
  <c r="Q113" i="7"/>
  <c r="H106" i="9" s="1" a="1"/>
  <c r="H106" i="9" s="1"/>
  <c r="Q112" i="7"/>
  <c r="H105" i="9" s="1" a="1"/>
  <c r="H105" i="9" s="1"/>
  <c r="Q111" i="7"/>
  <c r="H104" i="9" s="1" a="1"/>
  <c r="H104" i="9" s="1"/>
  <c r="Q110" i="7"/>
  <c r="H103" i="9" s="1" a="1"/>
  <c r="H103" i="9" s="1"/>
  <c r="Q109" i="7"/>
  <c r="H102" i="9" s="1" a="1"/>
  <c r="H102" i="9" s="1"/>
  <c r="Q108" i="7"/>
  <c r="H101" i="9" s="1" a="1"/>
  <c r="H101" i="9" s="1"/>
  <c r="Q107" i="7"/>
  <c r="Q106" i="7"/>
  <c r="P99" i="9" s="1" a="1"/>
  <c r="P99" i="9" s="1"/>
  <c r="Q105" i="7"/>
  <c r="P98" i="9" s="1" a="1"/>
  <c r="P98" i="9" s="1"/>
  <c r="Q104" i="7"/>
  <c r="P97" i="9" s="1" a="1"/>
  <c r="P97" i="9" s="1"/>
  <c r="Q101" i="7"/>
  <c r="P94" i="9" s="1" a="1"/>
  <c r="P94" i="9" s="1"/>
  <c r="Q100" i="7"/>
  <c r="Q99" i="7"/>
  <c r="H93" i="9" s="1" a="1"/>
  <c r="H93" i="9" s="1"/>
  <c r="Q98" i="7"/>
  <c r="H92" i="9" s="1" a="1"/>
  <c r="H92" i="9" s="1"/>
  <c r="Q97" i="7"/>
  <c r="H91" i="9" s="1" a="1"/>
  <c r="H91" i="9" s="1"/>
  <c r="Q96" i="7"/>
  <c r="H90" i="9" s="1" a="1"/>
  <c r="H90" i="9" s="1"/>
  <c r="Q95" i="7"/>
  <c r="H89" i="9" s="1" a="1"/>
  <c r="H89" i="9" s="1"/>
  <c r="Q94" i="7"/>
  <c r="H88" i="9" s="1" a="1"/>
  <c r="H88" i="9" s="1"/>
  <c r="Q93" i="7"/>
  <c r="Q92" i="7"/>
  <c r="P86" i="9" s="1" a="1"/>
  <c r="P86" i="9" s="1"/>
  <c r="Q91" i="7"/>
  <c r="P85" i="9" s="1" a="1"/>
  <c r="P85" i="9" s="1"/>
  <c r="Q90" i="7"/>
  <c r="P84" i="9" s="1" a="1"/>
  <c r="P84" i="9" s="1"/>
  <c r="Q89" i="7"/>
  <c r="P83" i="9" s="1" a="1"/>
  <c r="P83" i="9" s="1"/>
  <c r="Q88" i="7"/>
  <c r="P82" i="9" s="1" a="1"/>
  <c r="P82" i="9" s="1"/>
  <c r="Q87" i="7"/>
  <c r="P81" i="9" s="1" a="1"/>
  <c r="P81" i="9" s="1"/>
  <c r="Q86" i="7"/>
  <c r="Q85" i="7"/>
  <c r="H80" i="9" s="1" a="1"/>
  <c r="H80" i="9" s="1"/>
  <c r="Q84" i="7"/>
  <c r="H79" i="9" s="1" a="1"/>
  <c r="H79" i="9" s="1"/>
  <c r="Q83" i="7"/>
  <c r="H78" i="9" s="1" a="1"/>
  <c r="H78" i="9" s="1"/>
  <c r="Q82" i="7"/>
  <c r="H77" i="9" s="1" a="1"/>
  <c r="H77" i="9" s="1"/>
  <c r="Q81" i="7"/>
  <c r="H76" i="9" s="1" a="1"/>
  <c r="H76" i="9" s="1"/>
  <c r="Q80" i="7"/>
  <c r="H75" i="9" s="1" a="1"/>
  <c r="H75" i="9" s="1"/>
  <c r="Q79" i="7"/>
  <c r="Q78" i="7"/>
  <c r="P73" i="9" s="1" a="1"/>
  <c r="P73" i="9" s="1"/>
  <c r="Q77" i="7"/>
  <c r="P72" i="9" s="1" a="1"/>
  <c r="P72" i="9" s="1"/>
  <c r="Q76" i="7"/>
  <c r="P71" i="9" s="1" a="1"/>
  <c r="P71" i="9" s="1"/>
  <c r="Q75" i="7"/>
  <c r="P70" i="9" s="1" a="1"/>
  <c r="P70" i="9" s="1"/>
  <c r="Q74" i="7"/>
  <c r="P69" i="9" s="1" a="1"/>
  <c r="P69" i="9" s="1"/>
  <c r="Q73" i="7"/>
  <c r="P68" i="9" s="1" a="1"/>
  <c r="P68" i="9" s="1"/>
  <c r="Q72" i="7"/>
  <c r="Q71" i="7"/>
  <c r="H67" i="9" s="1" a="1"/>
  <c r="H67" i="9" s="1"/>
  <c r="Q70" i="7"/>
  <c r="H66" i="9" s="1" a="1"/>
  <c r="H66" i="9" s="1"/>
  <c r="Q69" i="7"/>
  <c r="H65" i="9" s="1" a="1"/>
  <c r="H65" i="9" s="1"/>
  <c r="Q68" i="7"/>
  <c r="H64" i="9" s="1" a="1"/>
  <c r="H64" i="9" s="1"/>
  <c r="Q67" i="7"/>
  <c r="H63" i="9" s="1" a="1"/>
  <c r="H63" i="9" s="1"/>
  <c r="Q66" i="7"/>
  <c r="H62" i="9" s="1" a="1"/>
  <c r="H62" i="9" s="1"/>
  <c r="Q134" i="7"/>
  <c r="P125" i="9" s="1" a="1"/>
  <c r="P125" i="9" s="1"/>
  <c r="Q130" i="7"/>
  <c r="P121" i="9" s="1" a="1"/>
  <c r="P121" i="9" s="1"/>
  <c r="Q126" i="7"/>
  <c r="H118" i="9" s="1" a="1"/>
  <c r="H118" i="9" s="1"/>
  <c r="Q103" i="7"/>
  <c r="P96" i="9" s="1" a="1"/>
  <c r="P96" i="9" s="1"/>
  <c r="Q65" i="7"/>
  <c r="Q64" i="7"/>
  <c r="P60" i="9" s="1" a="1"/>
  <c r="P60" i="9" s="1"/>
  <c r="Q63" i="7"/>
  <c r="P59" i="9" s="1" a="1"/>
  <c r="P59" i="9" s="1"/>
  <c r="Q62" i="7"/>
  <c r="P58" i="9" s="1" a="1"/>
  <c r="P58" i="9" s="1"/>
  <c r="Q61" i="7"/>
  <c r="P57" i="9" s="1" a="1"/>
  <c r="P57" i="9" s="1"/>
  <c r="Q60" i="7"/>
  <c r="P56" i="9" s="1" a="1"/>
  <c r="P56" i="9" s="1"/>
  <c r="Q59" i="7"/>
  <c r="P55" i="9" s="1" a="1"/>
  <c r="P55" i="9" s="1"/>
  <c r="Q58" i="7"/>
  <c r="Q57" i="7"/>
  <c r="H54" i="9" s="1" a="1"/>
  <c r="H54" i="9" s="1"/>
  <c r="Q56" i="7"/>
  <c r="H53" i="9" s="1" a="1"/>
  <c r="H53" i="9" s="1"/>
  <c r="Q55" i="7"/>
  <c r="H52" i="9" s="1" a="1"/>
  <c r="H52" i="9" s="1"/>
  <c r="Q54" i="7"/>
  <c r="H51" i="9" s="1" a="1"/>
  <c r="H51" i="9" s="1"/>
  <c r="Q53" i="7"/>
  <c r="H50" i="9" s="1" a="1"/>
  <c r="H50" i="9" s="1"/>
  <c r="Q52" i="7"/>
  <c r="H49" i="9" s="1" a="1"/>
  <c r="H49" i="9" s="1"/>
  <c r="Q51" i="7"/>
  <c r="Q50" i="7"/>
  <c r="P47" i="9" s="1" a="1"/>
  <c r="P47" i="9" s="1"/>
  <c r="Q49" i="7"/>
  <c r="P46" i="9" s="1" a="1"/>
  <c r="P46" i="9" s="1"/>
  <c r="Q48" i="7"/>
  <c r="P45" i="9" s="1" a="1"/>
  <c r="P45" i="9" s="1"/>
  <c r="Q47" i="7"/>
  <c r="P44" i="9" s="1" a="1"/>
  <c r="P44" i="9" s="1"/>
  <c r="Q46" i="7"/>
  <c r="P43" i="9" s="1" a="1"/>
  <c r="P43" i="9" s="1"/>
  <c r="Q45" i="7"/>
  <c r="P42" i="9" s="1" a="1"/>
  <c r="P42" i="9" s="1"/>
  <c r="Q44" i="7"/>
  <c r="Q43" i="7"/>
  <c r="H41" i="9" s="1" a="1"/>
  <c r="H41" i="9" s="1"/>
  <c r="Q42" i="7"/>
  <c r="H40" i="9" s="1" a="1"/>
  <c r="H40" i="9" s="1"/>
  <c r="Q41" i="7"/>
  <c r="H39" i="9" s="1" a="1"/>
  <c r="H39" i="9" s="1"/>
  <c r="Q40" i="7"/>
  <c r="H38" i="9" s="1" a="1"/>
  <c r="H38" i="9" s="1"/>
  <c r="Q39" i="7"/>
  <c r="H37" i="9" s="1" a="1"/>
  <c r="H37" i="9" s="1"/>
  <c r="Q38" i="7"/>
  <c r="H36" i="9" s="1" a="1"/>
  <c r="H36" i="9" s="1"/>
  <c r="Q37" i="7"/>
  <c r="Q36" i="7"/>
  <c r="P34" i="9" s="1" a="1"/>
  <c r="P34" i="9" s="1"/>
  <c r="Q35" i="7"/>
  <c r="P33" i="9" s="1" a="1"/>
  <c r="P33" i="9" s="1"/>
  <c r="Q34" i="7"/>
  <c r="P32" i="9" s="1" a="1"/>
  <c r="P32" i="9" s="1"/>
  <c r="Q33" i="7"/>
  <c r="P31" i="9" s="1" a="1"/>
  <c r="P31" i="9" s="1"/>
  <c r="Q32" i="7"/>
  <c r="P30" i="9" s="1" a="1"/>
  <c r="P30" i="9" s="1"/>
  <c r="Q31" i="7"/>
  <c r="P29" i="9" s="1" a="1"/>
  <c r="P29" i="9" s="1"/>
  <c r="Q102" i="7"/>
  <c r="P95" i="9" s="1" a="1"/>
  <c r="P95" i="9" s="1"/>
  <c r="Q30" i="7"/>
  <c r="Q29" i="7"/>
  <c r="H28" i="9" s="1" a="1"/>
  <c r="H28" i="9" s="1"/>
  <c r="Q28" i="7"/>
  <c r="H27" i="9" s="1" a="1"/>
  <c r="H27" i="9" s="1"/>
  <c r="Q27" i="7"/>
  <c r="H26" i="9" s="1" a="1"/>
  <c r="H26" i="9" s="1"/>
  <c r="Q26" i="7"/>
  <c r="H25" i="9" s="1" a="1"/>
  <c r="H25" i="9" s="1"/>
  <c r="Q25" i="7"/>
  <c r="H24" i="9" s="1" a="1"/>
  <c r="H24" i="9" s="1"/>
  <c r="Q24" i="7"/>
  <c r="H23" i="9" s="1" a="1"/>
  <c r="H23" i="9" s="1"/>
  <c r="Q23" i="7"/>
  <c r="Q22" i="7"/>
  <c r="P21" i="9" s="1" a="1"/>
  <c r="P21" i="9" s="1"/>
  <c r="Q21" i="7"/>
  <c r="P20" i="9" s="1" a="1"/>
  <c r="P20" i="9" s="1"/>
  <c r="Q20" i="7"/>
  <c r="P19" i="9" s="1" a="1"/>
  <c r="P19" i="9" s="1"/>
  <c r="Q19" i="7"/>
  <c r="P18" i="9" s="1" a="1"/>
  <c r="P18" i="9" s="1"/>
  <c r="Q18" i="7"/>
  <c r="P17" i="9" s="1" a="1"/>
  <c r="P17" i="9" s="1"/>
  <c r="Q17" i="7"/>
  <c r="P16" i="9" s="1" a="1"/>
  <c r="P16" i="9" s="1"/>
  <c r="Q16" i="7"/>
  <c r="Q15" i="7"/>
  <c r="H15" i="9" s="1" a="1"/>
  <c r="H15" i="9" s="1"/>
  <c r="Q14" i="7"/>
  <c r="H14" i="9" s="1" a="1"/>
  <c r="H14" i="9" s="1"/>
  <c r="Q12" i="7"/>
  <c r="H12" i="9" s="1" a="1"/>
  <c r="H12" i="9" s="1"/>
  <c r="Q11" i="7"/>
  <c r="H11" i="9" s="1" a="1"/>
  <c r="H11" i="9" s="1"/>
  <c r="Q10" i="7"/>
  <c r="H10" i="9" s="1" a="1"/>
  <c r="H10" i="9" s="1"/>
  <c r="Q9" i="7"/>
  <c r="Q8" i="7"/>
  <c r="P8" i="9" s="1" a="1"/>
  <c r="P8" i="9" s="1"/>
  <c r="Q7" i="7"/>
  <c r="P7" i="9" s="1" a="1"/>
  <c r="P7" i="9" s="1"/>
  <c r="Q6" i="7"/>
  <c r="P6" i="9" s="1" a="1"/>
  <c r="P6" i="9" s="1"/>
  <c r="Q5" i="7"/>
  <c r="P5" i="9" s="1" a="1"/>
  <c r="P5" i="9" s="1"/>
  <c r="Q4" i="7"/>
  <c r="P4" i="9" s="1" a="1"/>
  <c r="P4" i="9" s="1"/>
  <c r="Q3" i="7"/>
  <c r="P3" i="9" s="1" a="1"/>
  <c r="P3" i="9" s="1"/>
  <c r="Q13" i="7"/>
  <c r="H13" i="9" s="1" a="1"/>
  <c r="H13" i="9" s="1"/>
  <c r="AI114" i="19" l="1"/>
  <c r="AE114" i="19"/>
  <c r="AA114" i="19"/>
  <c r="W114" i="19"/>
  <c r="AH114" i="19"/>
  <c r="AD114" i="19"/>
  <c r="Z114" i="19"/>
  <c r="V114" i="19"/>
  <c r="AG114" i="19"/>
  <c r="AC114" i="19"/>
  <c r="Y114" i="19"/>
  <c r="U114" i="19"/>
  <c r="AF114" i="19"/>
  <c r="AB114" i="19"/>
  <c r="X114" i="19"/>
  <c r="T114" i="19"/>
  <c r="AI98" i="19"/>
  <c r="AE98" i="19"/>
  <c r="AA98" i="19"/>
  <c r="W98" i="19"/>
  <c r="AH98" i="19"/>
  <c r="AD98" i="19"/>
  <c r="Z98" i="19"/>
  <c r="V98" i="19"/>
  <c r="AC98" i="19"/>
  <c r="U98" i="19"/>
  <c r="AB98" i="19"/>
  <c r="T98" i="19"/>
  <c r="AG98" i="19"/>
  <c r="Y98" i="19"/>
  <c r="AF98" i="19"/>
  <c r="X98" i="19"/>
  <c r="I131" i="14" a="1"/>
  <c r="I131" i="14" s="1"/>
  <c r="F51" i="14" a="1"/>
  <c r="F51" i="14" s="1"/>
  <c r="O19" i="14" a="1"/>
  <c r="O19" i="14" s="1"/>
  <c r="O83" i="14" a="1"/>
  <c r="O83" i="14" s="1"/>
  <c r="F35" i="14" a="1"/>
  <c r="F35" i="14" s="1"/>
  <c r="F99" i="14" a="1"/>
  <c r="F99" i="14" s="1"/>
  <c r="O99" i="14" a="1"/>
  <c r="O99" i="14" s="1"/>
  <c r="L131" i="14" a="1"/>
  <c r="L131" i="14" s="1"/>
  <c r="I51" i="14" a="1"/>
  <c r="I51" i="14" s="1"/>
  <c r="R83" i="14" a="1"/>
  <c r="R83" i="14" s="1"/>
  <c r="U83" i="14" a="1"/>
  <c r="U83" i="14" s="1"/>
  <c r="X83" i="14" a="1"/>
  <c r="X83" i="14" s="1"/>
  <c r="L19" i="14" a="1"/>
  <c r="L19" i="14" s="1"/>
  <c r="F67" i="14" a="1"/>
  <c r="F67" i="14" s="1"/>
  <c r="I67" i="14" a="1"/>
  <c r="I67" i="14" s="1"/>
  <c r="R99" i="14" a="1"/>
  <c r="R99" i="14" s="1"/>
  <c r="U99" i="14" a="1"/>
  <c r="U99" i="14" s="1"/>
  <c r="X35" i="14" a="1"/>
  <c r="X35" i="14" s="1"/>
  <c r="X99" i="14" a="1"/>
  <c r="X99" i="14" s="1"/>
  <c r="R2" i="12"/>
  <c r="R114" i="12"/>
  <c r="W132" i="14" s="1" a="1"/>
  <c r="W132" i="14" s="1"/>
  <c r="R113" i="12"/>
  <c r="W116" i="14" s="1" a="1"/>
  <c r="W116" i="14" s="1"/>
  <c r="R112" i="12"/>
  <c r="W100" i="14" s="1" a="1"/>
  <c r="W100" i="14" s="1"/>
  <c r="R111" i="12"/>
  <c r="W84" i="14" s="1" a="1"/>
  <c r="W84" i="14" s="1"/>
  <c r="R110" i="12"/>
  <c r="W68" i="14" s="1" a="1"/>
  <c r="W68" i="14" s="1"/>
  <c r="R109" i="12"/>
  <c r="W52" i="14" s="1" a="1"/>
  <c r="W52" i="14" s="1"/>
  <c r="R108" i="12"/>
  <c r="W36" i="14" s="1" a="1"/>
  <c r="W36" i="14" s="1"/>
  <c r="R107" i="12"/>
  <c r="W20" i="14" s="1" a="1"/>
  <c r="W20" i="14" s="1"/>
  <c r="R106" i="12"/>
  <c r="V132" i="14" s="1" a="1"/>
  <c r="V132" i="14" s="1"/>
  <c r="R105" i="12"/>
  <c r="V116" i="14" s="1" a="1"/>
  <c r="V116" i="14" s="1"/>
  <c r="R104" i="12"/>
  <c r="V100" i="14" s="1" a="1"/>
  <c r="V100" i="14" s="1"/>
  <c r="R103" i="12"/>
  <c r="V84" i="14" s="1" a="1"/>
  <c r="V84" i="14" s="1"/>
  <c r="R102" i="12"/>
  <c r="V68" i="14" s="1" a="1"/>
  <c r="V68" i="14" s="1"/>
  <c r="R98" i="12"/>
  <c r="T132" i="14" s="1" a="1"/>
  <c r="T132" i="14" s="1"/>
  <c r="R94" i="12"/>
  <c r="T68" i="14" s="1" a="1"/>
  <c r="T68" i="14" s="1"/>
  <c r="R90" i="12"/>
  <c r="S132" i="14" s="1" a="1"/>
  <c r="S132" i="14" s="1"/>
  <c r="R86" i="12"/>
  <c r="S68" i="14" s="1" a="1"/>
  <c r="S68" i="14" s="1"/>
  <c r="R101" i="12"/>
  <c r="V52" i="14" s="1" a="1"/>
  <c r="V52" i="14" s="1"/>
  <c r="R97" i="12"/>
  <c r="T116" i="14" s="1" a="1"/>
  <c r="T116" i="14" s="1"/>
  <c r="R93" i="12"/>
  <c r="T52" i="14" s="1" a="1"/>
  <c r="T52" i="14" s="1"/>
  <c r="R89" i="12"/>
  <c r="S116" i="14" s="1" a="1"/>
  <c r="S116" i="14" s="1"/>
  <c r="R85" i="12"/>
  <c r="S52" i="14" s="1" a="1"/>
  <c r="S52" i="14" s="1"/>
  <c r="R82" i="12"/>
  <c r="Q132" i="14" s="1" a="1"/>
  <c r="Q132" i="14" s="1"/>
  <c r="R81" i="12"/>
  <c r="Q116" i="14" s="1" a="1"/>
  <c r="Q116" i="14" s="1"/>
  <c r="R80" i="12"/>
  <c r="Q100" i="14" s="1" a="1"/>
  <c r="Q100" i="14" s="1"/>
  <c r="R79" i="12"/>
  <c r="Q84" i="14" s="1" a="1"/>
  <c r="Q84" i="14" s="1"/>
  <c r="R78" i="12"/>
  <c r="Q68" i="14" s="1" a="1"/>
  <c r="Q68" i="14" s="1"/>
  <c r="R77" i="12"/>
  <c r="Q52" i="14" s="1" a="1"/>
  <c r="Q52" i="14" s="1"/>
  <c r="R76" i="12"/>
  <c r="Q36" i="14" s="1" a="1"/>
  <c r="Q36" i="14" s="1"/>
  <c r="R75" i="12"/>
  <c r="Q20" i="14" s="1" a="1"/>
  <c r="Q20" i="14" s="1"/>
  <c r="R100" i="12"/>
  <c r="V36" i="14" s="1" a="1"/>
  <c r="V36" i="14" s="1"/>
  <c r="R96" i="12"/>
  <c r="T100" i="14" s="1" a="1"/>
  <c r="T100" i="14" s="1"/>
  <c r="R92" i="12"/>
  <c r="T36" i="14" s="1" a="1"/>
  <c r="T36" i="14" s="1"/>
  <c r="R88" i="12"/>
  <c r="S100" i="14" s="1" a="1"/>
  <c r="S100" i="14" s="1"/>
  <c r="R84" i="12"/>
  <c r="S36" i="14" s="1" a="1"/>
  <c r="S36" i="14" s="1"/>
  <c r="R72" i="12"/>
  <c r="P100" i="14" s="1" a="1"/>
  <c r="P100" i="14" s="1"/>
  <c r="R71" i="12"/>
  <c r="P84" i="14" s="1" a="1"/>
  <c r="P84" i="14" s="1"/>
  <c r="R70" i="12"/>
  <c r="P68" i="14" s="1" a="1"/>
  <c r="P68" i="14" s="1"/>
  <c r="R69" i="12"/>
  <c r="P52" i="14" s="1" a="1"/>
  <c r="P52" i="14" s="1"/>
  <c r="R68" i="12"/>
  <c r="P36" i="14" s="1" a="1"/>
  <c r="P36" i="14" s="1"/>
  <c r="R67" i="12"/>
  <c r="P20" i="14" s="1" a="1"/>
  <c r="P20" i="14" s="1"/>
  <c r="R66" i="12"/>
  <c r="N132" i="14" s="1" a="1"/>
  <c r="N132" i="14" s="1"/>
  <c r="R65" i="12"/>
  <c r="N116" i="14" s="1" a="1"/>
  <c r="N116" i="14" s="1"/>
  <c r="R64" i="12"/>
  <c r="N100" i="14" s="1" a="1"/>
  <c r="N100" i="14" s="1"/>
  <c r="R63" i="12"/>
  <c r="N84" i="14" s="1" a="1"/>
  <c r="N84" i="14" s="1"/>
  <c r="R62" i="12"/>
  <c r="N68" i="14" s="1" a="1"/>
  <c r="N68" i="14" s="1"/>
  <c r="R58" i="12"/>
  <c r="M132" i="14" s="1" a="1"/>
  <c r="M132" i="14" s="1"/>
  <c r="R99" i="12"/>
  <c r="V20" i="14" s="1" a="1"/>
  <c r="V20" i="14" s="1"/>
  <c r="R95" i="12"/>
  <c r="T84" i="14" s="1" a="1"/>
  <c r="T84" i="14" s="1"/>
  <c r="R91" i="12"/>
  <c r="T20" i="14" s="1" a="1"/>
  <c r="T20" i="14" s="1"/>
  <c r="R87" i="12"/>
  <c r="S84" i="14" s="1" a="1"/>
  <c r="S84" i="14" s="1"/>
  <c r="R74" i="12"/>
  <c r="P132" i="14" s="1" a="1"/>
  <c r="P132" i="14" s="1"/>
  <c r="R73" i="12"/>
  <c r="P116" i="14" s="1" a="1"/>
  <c r="P116" i="14" s="1"/>
  <c r="R59" i="12"/>
  <c r="N20" i="14" s="1" a="1"/>
  <c r="N20" i="14" s="1"/>
  <c r="R56" i="12"/>
  <c r="M100" i="14" s="1" a="1"/>
  <c r="M100" i="14" s="1"/>
  <c r="R54" i="12"/>
  <c r="M68" i="14" s="1" a="1"/>
  <c r="M68" i="14" s="1"/>
  <c r="R52" i="12"/>
  <c r="M36" i="14" s="1" a="1"/>
  <c r="M36" i="14" s="1"/>
  <c r="R50" i="12"/>
  <c r="K132" i="14" s="1" a="1"/>
  <c r="K132" i="14" s="1"/>
  <c r="R48" i="12"/>
  <c r="K100" i="14" s="1" a="1"/>
  <c r="K100" i="14" s="1"/>
  <c r="R46" i="12"/>
  <c r="K68" i="14" s="1" a="1"/>
  <c r="K68" i="14" s="1"/>
  <c r="R44" i="12"/>
  <c r="K36" i="14" s="1" a="1"/>
  <c r="K36" i="14" s="1"/>
  <c r="R42" i="12"/>
  <c r="J132" i="14" s="1" a="1"/>
  <c r="J132" i="14" s="1"/>
  <c r="R60" i="12"/>
  <c r="N36" i="14" s="1" a="1"/>
  <c r="N36" i="14" s="1"/>
  <c r="R83" i="12"/>
  <c r="S20" i="14" s="1" a="1"/>
  <c r="S20" i="14" s="1"/>
  <c r="R61" i="12"/>
  <c r="N52" i="14" s="1" a="1"/>
  <c r="N52" i="14" s="1"/>
  <c r="R57" i="12"/>
  <c r="M116" i="14" s="1" a="1"/>
  <c r="M116" i="14" s="1"/>
  <c r="R55" i="12"/>
  <c r="M84" i="14" s="1" a="1"/>
  <c r="M84" i="14" s="1"/>
  <c r="R53" i="12"/>
  <c r="M52" i="14" s="1" a="1"/>
  <c r="M52" i="14" s="1"/>
  <c r="R51" i="12"/>
  <c r="M20" i="14" s="1" a="1"/>
  <c r="M20" i="14" s="1"/>
  <c r="R49" i="12"/>
  <c r="K116" i="14" s="1" a="1"/>
  <c r="K116" i="14" s="1"/>
  <c r="R47" i="12"/>
  <c r="K84" i="14" s="1" a="1"/>
  <c r="K84" i="14" s="1"/>
  <c r="R45" i="12"/>
  <c r="K52" i="14" s="1" a="1"/>
  <c r="K52" i="14" s="1"/>
  <c r="R43" i="12"/>
  <c r="K20" i="14" s="1" a="1"/>
  <c r="K20" i="14" s="1"/>
  <c r="R41" i="12"/>
  <c r="J116" i="14" s="1" a="1"/>
  <c r="J116" i="14" s="1"/>
  <c r="R39" i="12"/>
  <c r="J84" i="14" s="1" a="1"/>
  <c r="J84" i="14" s="1"/>
  <c r="R37" i="12"/>
  <c r="J52" i="14" s="1" a="1"/>
  <c r="J52" i="14" s="1"/>
  <c r="R35" i="12"/>
  <c r="J20" i="14" s="1" a="1"/>
  <c r="J20" i="14" s="1"/>
  <c r="R33" i="12"/>
  <c r="H116" i="14" s="1" a="1"/>
  <c r="H116" i="14" s="1"/>
  <c r="R31" i="12"/>
  <c r="H84" i="14" s="1" a="1"/>
  <c r="H84" i="14" s="1"/>
  <c r="R30" i="12"/>
  <c r="H68" i="14" s="1" a="1"/>
  <c r="H68" i="14" s="1"/>
  <c r="R29" i="12"/>
  <c r="H52" i="14" s="1" a="1"/>
  <c r="H52" i="14" s="1"/>
  <c r="R28" i="12"/>
  <c r="H36" i="14" s="1" a="1"/>
  <c r="H36" i="14" s="1"/>
  <c r="R34" i="12"/>
  <c r="H132" i="14" s="1" a="1"/>
  <c r="H132" i="14" s="1"/>
  <c r="R26" i="12"/>
  <c r="G132" i="14" s="1" a="1"/>
  <c r="G132" i="14" s="1"/>
  <c r="R22" i="12"/>
  <c r="G68" i="14" s="1" a="1"/>
  <c r="G68" i="14" s="1"/>
  <c r="R18" i="12"/>
  <c r="E132" i="14" s="1" a="1"/>
  <c r="E132" i="14" s="1"/>
  <c r="R14" i="12"/>
  <c r="E68" i="14" s="1" a="1"/>
  <c r="E68" i="14" s="1"/>
  <c r="D132" i="14" a="1"/>
  <c r="D132" i="14" s="1"/>
  <c r="R36" i="12"/>
  <c r="J36" i="14" s="1" a="1"/>
  <c r="J36" i="14" s="1"/>
  <c r="R27" i="12"/>
  <c r="H20" i="14" s="1" a="1"/>
  <c r="H20" i="14" s="1"/>
  <c r="R23" i="12"/>
  <c r="G84" i="14" s="1" a="1"/>
  <c r="G84" i="14" s="1"/>
  <c r="R19" i="12"/>
  <c r="G20" i="14" s="1" a="1"/>
  <c r="G20" i="14" s="1"/>
  <c r="R15" i="12"/>
  <c r="E84" i="14" s="1" a="1"/>
  <c r="E84" i="14" s="1"/>
  <c r="R11" i="12"/>
  <c r="E20" i="14" s="1" a="1"/>
  <c r="E20" i="14" s="1"/>
  <c r="R40" i="12"/>
  <c r="J100" i="14" s="1" a="1"/>
  <c r="J100" i="14" s="1"/>
  <c r="R32" i="12"/>
  <c r="H100" i="14" s="1" a="1"/>
  <c r="H100" i="14" s="1"/>
  <c r="R25" i="12"/>
  <c r="G116" i="14" s="1" a="1"/>
  <c r="G116" i="14" s="1"/>
  <c r="R21" i="12"/>
  <c r="G52" i="14" s="1" a="1"/>
  <c r="G52" i="14" s="1"/>
  <c r="R17" i="12"/>
  <c r="E116" i="14" s="1" a="1"/>
  <c r="E116" i="14" s="1"/>
  <c r="R13" i="12"/>
  <c r="E52" i="14" s="1" a="1"/>
  <c r="E52" i="14" s="1"/>
  <c r="R9" i="12"/>
  <c r="D116" i="14" s="1" a="1"/>
  <c r="D116" i="14" s="1"/>
  <c r="R38" i="12"/>
  <c r="J68" i="14" s="1" a="1"/>
  <c r="J68" i="14" s="1"/>
  <c r="R24" i="12"/>
  <c r="G100" i="14" s="1" a="1"/>
  <c r="G100" i="14" s="1"/>
  <c r="R20" i="12"/>
  <c r="G36" i="14" s="1" a="1"/>
  <c r="G36" i="14" s="1"/>
  <c r="R16" i="12"/>
  <c r="E100" i="14" s="1" a="1"/>
  <c r="E100" i="14" s="1"/>
  <c r="R12" i="12"/>
  <c r="E36" i="14" s="1" a="1"/>
  <c r="E36" i="14" s="1"/>
  <c r="R8" i="12"/>
  <c r="D100" i="14" s="1" a="1"/>
  <c r="D100" i="14" s="1"/>
  <c r="R7" i="12"/>
  <c r="D84" i="14" s="1" a="1"/>
  <c r="D84" i="14" s="1"/>
  <c r="R6" i="12"/>
  <c r="D68" i="14" s="1" a="1"/>
  <c r="D68" i="14" s="1"/>
  <c r="R5" i="12"/>
  <c r="D52" i="14" s="1" a="1"/>
  <c r="D52" i="14" s="1"/>
  <c r="R4" i="12"/>
  <c r="D36" i="14" s="1" a="1"/>
  <c r="D36" i="14" s="1"/>
  <c r="R3" i="12"/>
  <c r="D20" i="14" s="1" a="1"/>
  <c r="D20" i="14" s="1"/>
  <c r="L51" i="14" a="1"/>
  <c r="L51" i="14" s="1"/>
  <c r="L67" i="14" a="1"/>
  <c r="L67" i="14" s="1"/>
  <c r="F19" i="14" a="1"/>
  <c r="F19" i="14" s="1"/>
  <c r="F83" i="14" a="1"/>
  <c r="F83" i="14" s="1"/>
  <c r="I19" i="14" a="1"/>
  <c r="I19" i="14" s="1"/>
  <c r="I83" i="14" a="1"/>
  <c r="I83" i="14" s="1"/>
  <c r="O51" i="14" a="1"/>
  <c r="O51" i="14" s="1"/>
  <c r="O115" i="14" a="1"/>
  <c r="O115" i="14" s="1"/>
  <c r="R51" i="14" a="1"/>
  <c r="R51" i="14" s="1"/>
  <c r="R115" i="14" a="1"/>
  <c r="R115" i="14" s="1"/>
  <c r="U51" i="14" a="1"/>
  <c r="U51" i="14" s="1"/>
  <c r="U115" i="14" a="1"/>
  <c r="U115" i="14" s="1"/>
  <c r="X51" i="14" a="1"/>
  <c r="X51" i="14" s="1"/>
  <c r="X115" i="14" a="1"/>
  <c r="X115" i="14" s="1"/>
  <c r="L115" i="14" a="1"/>
  <c r="L115" i="14" s="1"/>
  <c r="F115" i="14" a="1"/>
  <c r="F115" i="14" s="1"/>
  <c r="R19" i="14" a="1"/>
  <c r="R19" i="14" s="1"/>
  <c r="U19" i="14" a="1"/>
  <c r="U19" i="14" s="1"/>
  <c r="X19" i="14" a="1"/>
  <c r="X19" i="14" s="1"/>
  <c r="L35" i="14" a="1"/>
  <c r="L35" i="14" s="1"/>
  <c r="F131" i="14" a="1"/>
  <c r="F131" i="14" s="1"/>
  <c r="O35" i="14" a="1"/>
  <c r="O35" i="14" s="1"/>
  <c r="R35" i="14" a="1"/>
  <c r="R35" i="14" s="1"/>
  <c r="U35" i="14" a="1"/>
  <c r="U35" i="14" s="1"/>
  <c r="L83" i="14" a="1"/>
  <c r="L83" i="14" s="1"/>
  <c r="L99" i="14" a="1"/>
  <c r="L99" i="14" s="1"/>
  <c r="I35" i="14" a="1"/>
  <c r="I35" i="14" s="1"/>
  <c r="O67" i="14" a="1"/>
  <c r="O67" i="14" s="1"/>
  <c r="O131" i="14" a="1"/>
  <c r="O131" i="14" s="1"/>
  <c r="R67" i="14" a="1"/>
  <c r="R67" i="14" s="1"/>
  <c r="R131" i="14" a="1"/>
  <c r="R131" i="14" s="1"/>
  <c r="U67" i="14" a="1"/>
  <c r="U67" i="14" s="1"/>
  <c r="U131" i="14" a="1"/>
  <c r="U131" i="14" s="1"/>
  <c r="X67" i="14" a="1"/>
  <c r="X67" i="14" s="1"/>
  <c r="X131" i="14" a="1"/>
  <c r="X131" i="14" s="1"/>
  <c r="R156" i="7"/>
  <c r="T156" i="7" s="1"/>
  <c r="R155" i="7"/>
  <c r="R154" i="7"/>
  <c r="R153" i="7"/>
  <c r="R152" i="7"/>
  <c r="R151" i="7"/>
  <c r="R150" i="7"/>
  <c r="R149" i="7"/>
  <c r="T149" i="7" s="1"/>
  <c r="R148" i="7"/>
  <c r="R147" i="7"/>
  <c r="R146" i="7"/>
  <c r="R145" i="7"/>
  <c r="R144" i="7"/>
  <c r="R143" i="7"/>
  <c r="R142" i="7"/>
  <c r="T142" i="7" s="1"/>
  <c r="R141" i="7"/>
  <c r="R140" i="7"/>
  <c r="R139" i="7"/>
  <c r="R138" i="7"/>
  <c r="R137" i="7"/>
  <c r="R136" i="7"/>
  <c r="R135" i="7"/>
  <c r="T135" i="7" s="1"/>
  <c r="R134" i="7"/>
  <c r="R133" i="7"/>
  <c r="R132" i="7"/>
  <c r="R131" i="7"/>
  <c r="R130" i="7"/>
  <c r="R129" i="7"/>
  <c r="R128" i="7"/>
  <c r="T128" i="7" s="1"/>
  <c r="R127" i="7"/>
  <c r="R126" i="7"/>
  <c r="R125" i="7"/>
  <c r="R124" i="7"/>
  <c r="R123" i="7"/>
  <c r="R122" i="7"/>
  <c r="R121" i="7"/>
  <c r="T121" i="7" s="1"/>
  <c r="R120" i="7"/>
  <c r="R119" i="7"/>
  <c r="R118" i="7"/>
  <c r="R117" i="7"/>
  <c r="R116" i="7"/>
  <c r="R115" i="7"/>
  <c r="R114" i="7"/>
  <c r="T114" i="7" s="1"/>
  <c r="R113" i="7"/>
  <c r="R112" i="7"/>
  <c r="R111" i="7"/>
  <c r="R110" i="7"/>
  <c r="R109" i="7"/>
  <c r="R108" i="7"/>
  <c r="R107" i="7"/>
  <c r="T107" i="7" s="1"/>
  <c r="R106" i="7"/>
  <c r="R105" i="7"/>
  <c r="R100" i="7"/>
  <c r="T100" i="7" s="1"/>
  <c r="R99" i="7"/>
  <c r="R98" i="7"/>
  <c r="R97" i="7"/>
  <c r="R96" i="7"/>
  <c r="R95" i="7"/>
  <c r="R94" i="7"/>
  <c r="R93" i="7"/>
  <c r="T93" i="7" s="1"/>
  <c r="R92" i="7"/>
  <c r="R91" i="7"/>
  <c r="R90" i="7"/>
  <c r="R89" i="7"/>
  <c r="R88" i="7"/>
  <c r="R87" i="7"/>
  <c r="R86" i="7"/>
  <c r="T86" i="7" s="1"/>
  <c r="R85" i="7"/>
  <c r="R84" i="7"/>
  <c r="R83" i="7"/>
  <c r="R82" i="7"/>
  <c r="R104" i="7"/>
  <c r="R103" i="7"/>
  <c r="R102" i="7"/>
  <c r="R101" i="7"/>
  <c r="R81" i="7"/>
  <c r="R80" i="7"/>
  <c r="R79" i="7"/>
  <c r="T79" i="7" s="1"/>
  <c r="R78" i="7"/>
  <c r="R77" i="7"/>
  <c r="R76" i="7"/>
  <c r="R75" i="7"/>
  <c r="R74" i="7"/>
  <c r="R73" i="7"/>
  <c r="R72" i="7"/>
  <c r="T72" i="7" s="1"/>
  <c r="R71" i="7"/>
  <c r="R70" i="7"/>
  <c r="R69" i="7"/>
  <c r="R30" i="7"/>
  <c r="T30" i="7" s="1"/>
  <c r="R29" i="7"/>
  <c r="R28" i="7"/>
  <c r="R27" i="7"/>
  <c r="R26" i="7"/>
  <c r="R25" i="7"/>
  <c r="R24" i="7"/>
  <c r="R23" i="7"/>
  <c r="T23" i="7" s="1"/>
  <c r="R22" i="7"/>
  <c r="R21" i="7"/>
  <c r="R20" i="7"/>
  <c r="R19" i="7"/>
  <c r="R18" i="7"/>
  <c r="R17" i="7"/>
  <c r="R16" i="7"/>
  <c r="T16" i="7" s="1"/>
  <c r="R15" i="7"/>
  <c r="R14" i="7"/>
  <c r="R13" i="7"/>
  <c r="R12" i="7"/>
  <c r="R11" i="7"/>
  <c r="I11" i="9" s="1" a="1"/>
  <c r="I11" i="9" s="1"/>
  <c r="R10" i="7"/>
  <c r="I10" i="9" s="1" a="1"/>
  <c r="I10" i="9" s="1"/>
  <c r="R9" i="7"/>
  <c r="T9" i="7" s="1"/>
  <c r="R8" i="7"/>
  <c r="Q8" i="9" s="1" a="1"/>
  <c r="Q8" i="9" s="1"/>
  <c r="R7" i="7"/>
  <c r="Q7" i="9" s="1" a="1"/>
  <c r="Q7" i="9" s="1"/>
  <c r="R6" i="7"/>
  <c r="Q6" i="9" s="1" a="1"/>
  <c r="Q6" i="9" s="1"/>
  <c r="R5" i="7"/>
  <c r="Q5" i="9" s="1" a="1"/>
  <c r="Q5" i="9" s="1"/>
  <c r="R4" i="7"/>
  <c r="Q4" i="9" s="1" a="1"/>
  <c r="Q4" i="9" s="1"/>
  <c r="R3" i="7"/>
  <c r="Q3" i="9" s="1" a="1"/>
  <c r="Q3" i="9" s="1"/>
  <c r="R31" i="7"/>
  <c r="R68" i="7"/>
  <c r="R66" i="7"/>
  <c r="R35" i="7"/>
  <c r="R34" i="7"/>
  <c r="R33" i="7"/>
  <c r="R32" i="7"/>
  <c r="R62" i="7"/>
  <c r="R58" i="7"/>
  <c r="T58" i="7" s="1"/>
  <c r="R54" i="7"/>
  <c r="R50" i="7"/>
  <c r="R46" i="7"/>
  <c r="R42" i="7"/>
  <c r="R38" i="7"/>
  <c r="R37" i="7"/>
  <c r="T37" i="7" s="1"/>
  <c r="R36" i="7"/>
  <c r="R65" i="7"/>
  <c r="T65" i="7" s="1"/>
  <c r="R61" i="7"/>
  <c r="R57" i="7"/>
  <c r="R53" i="7"/>
  <c r="R49" i="7"/>
  <c r="R45" i="7"/>
  <c r="R41" i="7"/>
  <c r="R63" i="7"/>
  <c r="R59" i="7"/>
  <c r="R55" i="7"/>
  <c r="R51" i="7"/>
  <c r="T51" i="7" s="1"/>
  <c r="R47" i="7"/>
  <c r="R43" i="7"/>
  <c r="R39" i="7"/>
  <c r="R52" i="7"/>
  <c r="R44" i="7"/>
  <c r="T44" i="7" s="1"/>
  <c r="R67" i="7"/>
  <c r="R64" i="7"/>
  <c r="R60" i="7"/>
  <c r="R56" i="7"/>
  <c r="R48" i="7"/>
  <c r="R40" i="7"/>
  <c r="T56" i="7" l="1"/>
  <c r="I53" i="9" a="1"/>
  <c r="I53" i="9" s="1"/>
  <c r="T63" i="7"/>
  <c r="Q59" i="9" a="1"/>
  <c r="Q59" i="9" s="1"/>
  <c r="T36" i="7"/>
  <c r="Q34" i="9" a="1"/>
  <c r="Q34" i="9" s="1"/>
  <c r="T46" i="7"/>
  <c r="Q43" i="9" a="1"/>
  <c r="Q43" i="9" s="1"/>
  <c r="T62" i="7"/>
  <c r="Q58" i="9" a="1"/>
  <c r="Q58" i="9" s="1"/>
  <c r="T35" i="7"/>
  <c r="Q33" i="9" a="1"/>
  <c r="Q33" i="9" s="1"/>
  <c r="T15" i="7"/>
  <c r="I15" i="9" a="1"/>
  <c r="I15" i="9" s="1"/>
  <c r="T19" i="7"/>
  <c r="Q18" i="9" a="1"/>
  <c r="Q18" i="9" s="1"/>
  <c r="T27" i="7"/>
  <c r="I26" i="9" a="1"/>
  <c r="I26" i="9" s="1"/>
  <c r="T69" i="7"/>
  <c r="I65" i="9" a="1"/>
  <c r="I65" i="9" s="1"/>
  <c r="T73" i="7"/>
  <c r="Q68" i="9" a="1"/>
  <c r="Q68" i="9" s="1"/>
  <c r="T77" i="7"/>
  <c r="Q72" i="9" a="1"/>
  <c r="Q72" i="9" s="1"/>
  <c r="T81" i="7"/>
  <c r="I76" i="9" a="1"/>
  <c r="I76" i="9" s="1"/>
  <c r="T104" i="7"/>
  <c r="Q97" i="9" a="1"/>
  <c r="Q97" i="9" s="1"/>
  <c r="T85" i="7"/>
  <c r="I80" i="9" a="1"/>
  <c r="I80" i="9" s="1"/>
  <c r="T89" i="7"/>
  <c r="Q83" i="9" a="1"/>
  <c r="Q83" i="9" s="1"/>
  <c r="T97" i="7"/>
  <c r="I91" i="9" a="1"/>
  <c r="I91" i="9" s="1"/>
  <c r="T105" i="7"/>
  <c r="Q98" i="9" a="1"/>
  <c r="Q98" i="9" s="1"/>
  <c r="T109" i="7"/>
  <c r="I102" i="9" a="1"/>
  <c r="I102" i="9" s="1"/>
  <c r="T113" i="7"/>
  <c r="I106" i="9" a="1"/>
  <c r="I106" i="9" s="1"/>
  <c r="T117" i="7"/>
  <c r="Q109" i="9" a="1"/>
  <c r="Q109" i="9" s="1"/>
  <c r="T125" i="7"/>
  <c r="I117" i="9" a="1"/>
  <c r="I117" i="9" s="1"/>
  <c r="T129" i="7"/>
  <c r="Q120" i="9" a="1"/>
  <c r="Q120" i="9" s="1"/>
  <c r="T133" i="7"/>
  <c r="Q124" i="9" a="1"/>
  <c r="Q124" i="9" s="1"/>
  <c r="T137" i="7"/>
  <c r="I128" i="9" a="1"/>
  <c r="I128" i="9" s="1"/>
  <c r="T141" i="7"/>
  <c r="I132" i="9" a="1"/>
  <c r="I132" i="9" s="1"/>
  <c r="T145" i="7"/>
  <c r="Q135" i="9" a="1"/>
  <c r="Q135" i="9" s="1"/>
  <c r="T153" i="7"/>
  <c r="I143" i="9" a="1"/>
  <c r="I143" i="9" s="1"/>
  <c r="T67" i="7"/>
  <c r="I63" i="9" a="1"/>
  <c r="I63" i="9" s="1"/>
  <c r="T49" i="7"/>
  <c r="Q46" i="9" a="1"/>
  <c r="Q46" i="9" s="1"/>
  <c r="T42" i="7"/>
  <c r="I40" i="9" a="1"/>
  <c r="I40" i="9" s="1"/>
  <c r="T57" i="7"/>
  <c r="I54" i="9" a="1"/>
  <c r="I54" i="9" s="1"/>
  <c r="T50" i="7"/>
  <c r="Q47" i="9" a="1"/>
  <c r="Q47" i="9" s="1"/>
  <c r="T66" i="7"/>
  <c r="I62" i="9" a="1"/>
  <c r="I62" i="9" s="1"/>
  <c r="T12" i="7"/>
  <c r="I12" i="9" a="1"/>
  <c r="I12" i="9" s="1"/>
  <c r="T20" i="7"/>
  <c r="Q19" i="9" a="1"/>
  <c r="Q19" i="9" s="1"/>
  <c r="T24" i="7"/>
  <c r="I23" i="9" a="1"/>
  <c r="I23" i="9" s="1"/>
  <c r="T28" i="7"/>
  <c r="I27" i="9" a="1"/>
  <c r="I27" i="9" s="1"/>
  <c r="T70" i="7"/>
  <c r="I66" i="9" a="1"/>
  <c r="I66" i="9" s="1"/>
  <c r="T74" i="7"/>
  <c r="Q69" i="9" a="1"/>
  <c r="Q69" i="9" s="1"/>
  <c r="T78" i="7"/>
  <c r="Q73" i="9" a="1"/>
  <c r="Q73" i="9" s="1"/>
  <c r="T101" i="7"/>
  <c r="Q94" i="9" a="1"/>
  <c r="Q94" i="9" s="1"/>
  <c r="T82" i="7"/>
  <c r="I77" i="9" a="1"/>
  <c r="I77" i="9" s="1"/>
  <c r="T90" i="7"/>
  <c r="Q84" i="9" a="1"/>
  <c r="Q84" i="9" s="1"/>
  <c r="T94" i="7"/>
  <c r="I88" i="9" a="1"/>
  <c r="I88" i="9" s="1"/>
  <c r="T98" i="7"/>
  <c r="I92" i="9" a="1"/>
  <c r="I92" i="9" s="1"/>
  <c r="T106" i="7"/>
  <c r="Q99" i="9" a="1"/>
  <c r="Q99" i="9" s="1"/>
  <c r="T110" i="7"/>
  <c r="I103" i="9" a="1"/>
  <c r="I103" i="9" s="1"/>
  <c r="T118" i="7"/>
  <c r="Q110" i="9" a="1"/>
  <c r="Q110" i="9" s="1"/>
  <c r="T122" i="7"/>
  <c r="I114" i="9" a="1"/>
  <c r="I114" i="9" s="1"/>
  <c r="T126" i="7"/>
  <c r="I118" i="9" a="1"/>
  <c r="I118" i="9" s="1"/>
  <c r="T130" i="7"/>
  <c r="Q121" i="9" a="1"/>
  <c r="Q121" i="9" s="1"/>
  <c r="T134" i="7"/>
  <c r="Q125" i="9" a="1"/>
  <c r="Q125" i="9" s="1"/>
  <c r="T138" i="7"/>
  <c r="I129" i="9" a="1"/>
  <c r="I129" i="9" s="1"/>
  <c r="T146" i="7"/>
  <c r="Q136" i="9" a="1"/>
  <c r="Q136" i="9" s="1"/>
  <c r="T150" i="7"/>
  <c r="I140" i="9" a="1"/>
  <c r="I140" i="9" s="1"/>
  <c r="T154" i="7"/>
  <c r="I144" i="9" a="1"/>
  <c r="I144" i="9" s="1"/>
  <c r="T48" i="7"/>
  <c r="Q45" i="9" a="1"/>
  <c r="Q45" i="9" s="1"/>
  <c r="T43" i="7"/>
  <c r="I41" i="9" a="1"/>
  <c r="I41" i="9" s="1"/>
  <c r="T47" i="7"/>
  <c r="Q44" i="9" a="1"/>
  <c r="Q44" i="9" s="1"/>
  <c r="T53" i="7"/>
  <c r="I50" i="9" a="1"/>
  <c r="I50" i="9" s="1"/>
  <c r="T60" i="7"/>
  <c r="Q56" i="9" a="1"/>
  <c r="Q56" i="9" s="1"/>
  <c r="T52" i="7"/>
  <c r="I49" i="9" a="1"/>
  <c r="I49" i="9" s="1"/>
  <c r="T41" i="7"/>
  <c r="I39" i="9" a="1"/>
  <c r="I39" i="9" s="1"/>
  <c r="T32" i="7"/>
  <c r="Q30" i="9" a="1"/>
  <c r="Q30" i="9" s="1"/>
  <c r="T40" i="7"/>
  <c r="I38" i="9" a="1"/>
  <c r="I38" i="9" s="1"/>
  <c r="T64" i="7"/>
  <c r="Q60" i="9" a="1"/>
  <c r="Q60" i="9" s="1"/>
  <c r="T39" i="7"/>
  <c r="I37" i="9" a="1"/>
  <c r="I37" i="9" s="1"/>
  <c r="T55" i="7"/>
  <c r="I52" i="9" a="1"/>
  <c r="I52" i="9" s="1"/>
  <c r="T45" i="7"/>
  <c r="Q42" i="9" a="1"/>
  <c r="Q42" i="9" s="1"/>
  <c r="T61" i="7"/>
  <c r="Q57" i="9" a="1"/>
  <c r="Q57" i="9" s="1"/>
  <c r="T38" i="7"/>
  <c r="I36" i="9" a="1"/>
  <c r="I36" i="9" s="1"/>
  <c r="T54" i="7"/>
  <c r="I51" i="9" a="1"/>
  <c r="I51" i="9" s="1"/>
  <c r="T33" i="7"/>
  <c r="Q31" i="9" a="1"/>
  <c r="Q31" i="9" s="1"/>
  <c r="T68" i="7"/>
  <c r="I64" i="9" a="1"/>
  <c r="I64" i="9" s="1"/>
  <c r="T13" i="7"/>
  <c r="I13" i="9" a="1"/>
  <c r="I13" i="9" s="1"/>
  <c r="T17" i="7"/>
  <c r="Q16" i="9" a="1"/>
  <c r="Q16" i="9" s="1"/>
  <c r="T21" i="7"/>
  <c r="Q20" i="9" a="1"/>
  <c r="Q20" i="9" s="1"/>
  <c r="T25" i="7"/>
  <c r="I24" i="9" a="1"/>
  <c r="I24" i="9" s="1"/>
  <c r="T29" i="7"/>
  <c r="I28" i="9" a="1"/>
  <c r="I28" i="9" s="1"/>
  <c r="T71" i="7"/>
  <c r="I67" i="9" a="1"/>
  <c r="I67" i="9" s="1"/>
  <c r="T75" i="7"/>
  <c r="Q70" i="9" a="1"/>
  <c r="Q70" i="9" s="1"/>
  <c r="T102" i="7"/>
  <c r="Q95" i="9" a="1"/>
  <c r="Q95" i="9" s="1"/>
  <c r="T83" i="7"/>
  <c r="I78" i="9" a="1"/>
  <c r="I78" i="9" s="1"/>
  <c r="T87" i="7"/>
  <c r="Q81" i="9" a="1"/>
  <c r="Q81" i="9" s="1"/>
  <c r="T91" i="7"/>
  <c r="Q85" i="9" a="1"/>
  <c r="Q85" i="9" s="1"/>
  <c r="T95" i="7"/>
  <c r="I89" i="9" a="1"/>
  <c r="I89" i="9" s="1"/>
  <c r="T99" i="7"/>
  <c r="I93" i="9" a="1"/>
  <c r="I93" i="9" s="1"/>
  <c r="T111" i="7"/>
  <c r="I104" i="9" a="1"/>
  <c r="I104" i="9" s="1"/>
  <c r="T115" i="7"/>
  <c r="Q107" i="9" a="1"/>
  <c r="Q107" i="9" s="1"/>
  <c r="T119" i="7"/>
  <c r="Q111" i="9" a="1"/>
  <c r="Q111" i="9" s="1"/>
  <c r="T123" i="7"/>
  <c r="I115" i="9" a="1"/>
  <c r="I115" i="9" s="1"/>
  <c r="T127" i="7"/>
  <c r="I119" i="9" a="1"/>
  <c r="I119" i="9" s="1"/>
  <c r="T131" i="7"/>
  <c r="Q122" i="9" a="1"/>
  <c r="Q122" i="9" s="1"/>
  <c r="T139" i="7"/>
  <c r="I130" i="9" a="1"/>
  <c r="I130" i="9" s="1"/>
  <c r="T143" i="7"/>
  <c r="Q133" i="9" a="1"/>
  <c r="Q133" i="9" s="1"/>
  <c r="T147" i="7"/>
  <c r="Q137" i="9" a="1"/>
  <c r="Q137" i="9" s="1"/>
  <c r="T151" i="7"/>
  <c r="I141" i="9" a="1"/>
  <c r="I141" i="9" s="1"/>
  <c r="T155" i="7"/>
  <c r="I145" i="9" a="1"/>
  <c r="I145" i="9" s="1"/>
  <c r="T59" i="7"/>
  <c r="Q55" i="9" a="1"/>
  <c r="Q55" i="9" s="1"/>
  <c r="T34" i="7"/>
  <c r="Q32" i="9" a="1"/>
  <c r="Q32" i="9" s="1"/>
  <c r="T31" i="7"/>
  <c r="Q29" i="9" a="1"/>
  <c r="Q29" i="9" s="1"/>
  <c r="T14" i="7"/>
  <c r="I14" i="9" a="1"/>
  <c r="I14" i="9" s="1"/>
  <c r="T18" i="7"/>
  <c r="Q17" i="9" a="1"/>
  <c r="Q17" i="9" s="1"/>
  <c r="T22" i="7"/>
  <c r="Q21" i="9" a="1"/>
  <c r="Q21" i="9" s="1"/>
  <c r="T26" i="7"/>
  <c r="I25" i="9" a="1"/>
  <c r="I25" i="9" s="1"/>
  <c r="T76" i="7"/>
  <c r="Q71" i="9" a="1"/>
  <c r="Q71" i="9" s="1"/>
  <c r="T80" i="7"/>
  <c r="I75" i="9" a="1"/>
  <c r="I75" i="9" s="1"/>
  <c r="T103" i="7"/>
  <c r="Q96" i="9" a="1"/>
  <c r="Q96" i="9" s="1"/>
  <c r="T84" i="7"/>
  <c r="I79" i="9" a="1"/>
  <c r="I79" i="9" s="1"/>
  <c r="T88" i="7"/>
  <c r="Q82" i="9" a="1"/>
  <c r="Q82" i="9" s="1"/>
  <c r="T92" i="7"/>
  <c r="Q86" i="9" a="1"/>
  <c r="Q86" i="9" s="1"/>
  <c r="T96" i="7"/>
  <c r="I90" i="9" a="1"/>
  <c r="I90" i="9" s="1"/>
  <c r="T108" i="7"/>
  <c r="I101" i="9" a="1"/>
  <c r="I101" i="9" s="1"/>
  <c r="T112" i="7"/>
  <c r="I105" i="9" a="1"/>
  <c r="I105" i="9" s="1"/>
  <c r="T116" i="7"/>
  <c r="Q108" i="9" a="1"/>
  <c r="Q108" i="9" s="1"/>
  <c r="T120" i="7"/>
  <c r="Q112" i="9" a="1"/>
  <c r="Q112" i="9" s="1"/>
  <c r="T124" i="7"/>
  <c r="I116" i="9" a="1"/>
  <c r="I116" i="9" s="1"/>
  <c r="T132" i="7"/>
  <c r="Q123" i="9" a="1"/>
  <c r="Q123" i="9" s="1"/>
  <c r="T136" i="7"/>
  <c r="I127" i="9" a="1"/>
  <c r="I127" i="9" s="1"/>
  <c r="T140" i="7"/>
  <c r="I131" i="9" a="1"/>
  <c r="I131" i="9" s="1"/>
  <c r="T144" i="7"/>
  <c r="Q134" i="9" a="1"/>
  <c r="Q134" i="9" s="1"/>
  <c r="T148" i="7"/>
  <c r="Q138" i="9" a="1"/>
  <c r="Q138" i="9" s="1"/>
  <c r="T152" i="7"/>
  <c r="I142" i="9" a="1"/>
  <c r="I142" i="9" s="1"/>
  <c r="U100" i="14" a="1"/>
  <c r="U100" i="14" s="1"/>
  <c r="O36" i="14" a="1"/>
  <c r="O36" i="14" s="1"/>
  <c r="O116" i="14" a="1"/>
  <c r="O116" i="14" s="1"/>
  <c r="R68" i="14" a="1"/>
  <c r="R68" i="14" s="1"/>
  <c r="U52" i="14" a="1"/>
  <c r="U52" i="14" s="1"/>
  <c r="F68" i="14" a="1"/>
  <c r="F68" i="14" s="1"/>
  <c r="U116" i="14" a="1"/>
  <c r="U116" i="14" s="1"/>
  <c r="F116" i="14" a="1"/>
  <c r="F116" i="14" s="1"/>
  <c r="O52" i="14" a="1"/>
  <c r="O52" i="14" s="1"/>
  <c r="I132" i="14" a="1"/>
  <c r="I132" i="14" s="1"/>
  <c r="L84" i="14" a="1"/>
  <c r="L84" i="14" s="1"/>
  <c r="R132" i="14" a="1"/>
  <c r="R132" i="14" s="1"/>
  <c r="U68" i="14" a="1"/>
  <c r="U68" i="14" s="1"/>
  <c r="I20" i="14" a="1"/>
  <c r="I20" i="14" s="1"/>
  <c r="F132" i="14" a="1"/>
  <c r="F132" i="14" s="1"/>
  <c r="I84" i="14" a="1"/>
  <c r="I84" i="14" s="1"/>
  <c r="X36" i="14" a="1"/>
  <c r="X36" i="14" s="1"/>
  <c r="F36" i="14" a="1"/>
  <c r="F36" i="14" s="1"/>
  <c r="F20" i="14" a="1"/>
  <c r="F20" i="14" s="1"/>
  <c r="I36" i="14" a="1"/>
  <c r="I36" i="14" s="1"/>
  <c r="I116" i="14" a="1"/>
  <c r="I116" i="14" s="1"/>
  <c r="L116" i="14" a="1"/>
  <c r="L116" i="14" s="1"/>
  <c r="L132" i="14" a="1"/>
  <c r="L132" i="14" s="1"/>
  <c r="O20" i="14" a="1"/>
  <c r="O20" i="14" s="1"/>
  <c r="U20" i="14" a="1"/>
  <c r="U20" i="14" s="1"/>
  <c r="O68" i="14" a="1"/>
  <c r="O68" i="14" s="1"/>
  <c r="O132" i="14" a="1"/>
  <c r="O132" i="14" s="1"/>
  <c r="R20" i="14" a="1"/>
  <c r="R20" i="14" s="1"/>
  <c r="R84" i="14" a="1"/>
  <c r="R84" i="14" s="1"/>
  <c r="U132" i="14" a="1"/>
  <c r="U132" i="14" s="1"/>
  <c r="X52" i="14" a="1"/>
  <c r="X52" i="14" s="1"/>
  <c r="X116" i="14" a="1"/>
  <c r="X116" i="14" s="1"/>
  <c r="L100" i="14" a="1"/>
  <c r="L100" i="14" s="1"/>
  <c r="F100" i="14" a="1"/>
  <c r="F100" i="14" s="1"/>
  <c r="F84" i="14" a="1"/>
  <c r="F84" i="14" s="1"/>
  <c r="I52" i="14" a="1"/>
  <c r="I52" i="14" s="1"/>
  <c r="L20" i="14" a="1"/>
  <c r="L20" i="14" s="1"/>
  <c r="L36" i="14" a="1"/>
  <c r="L36" i="14" s="1"/>
  <c r="U84" i="14" a="1"/>
  <c r="U84" i="14" s="1"/>
  <c r="O84" i="14" a="1"/>
  <c r="O84" i="14" s="1"/>
  <c r="U36" i="14" a="1"/>
  <c r="U36" i="14" s="1"/>
  <c r="R36" i="14" a="1"/>
  <c r="R36" i="14" s="1"/>
  <c r="R100" i="14" a="1"/>
  <c r="R100" i="14" s="1"/>
  <c r="X68" i="14" a="1"/>
  <c r="X68" i="14" s="1"/>
  <c r="X132" i="14" a="1"/>
  <c r="X132" i="14" s="1"/>
  <c r="X100" i="14" a="1"/>
  <c r="X100" i="14" s="1"/>
  <c r="F52" i="14" a="1"/>
  <c r="F52" i="14" s="1"/>
  <c r="I100" i="14" a="1"/>
  <c r="I100" i="14" s="1"/>
  <c r="I68" i="14" a="1"/>
  <c r="I68" i="14" s="1"/>
  <c r="L52" i="14" a="1"/>
  <c r="L52" i="14" s="1"/>
  <c r="L68" i="14" a="1"/>
  <c r="L68" i="14" s="1"/>
  <c r="O100" i="14" a="1"/>
  <c r="O100" i="14" s="1"/>
  <c r="R52" i="14" a="1"/>
  <c r="R52" i="14" s="1"/>
  <c r="R116" i="14" a="1"/>
  <c r="R116" i="14" s="1"/>
  <c r="X20" i="14" a="1"/>
  <c r="X20" i="14" s="1"/>
  <c r="X84" i="14" a="1"/>
  <c r="X84" i="14" s="1"/>
  <c r="T4" i="7"/>
  <c r="T8" i="7"/>
  <c r="T5" i="7"/>
  <c r="T3" i="7"/>
  <c r="T7" i="7"/>
  <c r="T11" i="7"/>
  <c r="T6" i="7"/>
  <c r="T10" i="7"/>
  <c r="S2" i="9" l="1"/>
  <c r="T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D4" authorId="0" shapeId="0" xr:uid="{E475058B-4C1D-49A5-8CF2-E470FF3B8F2F}">
      <text>
        <r>
          <rPr>
            <sz val="9"/>
            <color indexed="81"/>
            <rFont val="Segoe UI"/>
            <family val="2"/>
          </rPr>
          <t>some comment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<sst xmlns="http://schemas.openxmlformats.org/spreadsheetml/2006/main" count="1357" uniqueCount="983">
  <si>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</si>
  <si>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</si>
  <si>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</si>
  <si>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</si>
  <si>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</si>
  <si>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</si>
  <si>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</si>
  <si>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</si>
  <si>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</si>
  <si>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</si>
  <si>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</si>
  <si>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</si>
  <si>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</si>
  <si>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</si>
  <si>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</si>
  <si>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</si>
  <si>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</si>
  <si>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</si>
  <si>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</si>
  <si>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</si>
  <si>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</si>
  <si>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</si>
  <si>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</si>
  <si>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</si>
  <si>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Yellow = your input (pixels, high bits). Gray = computed: Hex by macro, Bits by formula (Util.HexToBits).</t>
  </si>
  <si>
    <t>Sprite Editor/Viewer</t>
  </si>
  <si>
    <t>40</t>
  </si>
  <si>
    <t>01</t>
  </si>
  <si>
    <t>70</t>
  </si>
  <si>
    <t>60</t>
  </si>
  <si>
    <t>6C</t>
  </si>
  <si>
    <t>36</t>
  </si>
  <si>
    <t>30</t>
  </si>
  <si>
    <t>5E</t>
  </si>
  <si>
    <t>00</t>
  </si>
  <si>
    <t>06</t>
  </si>
  <si>
    <t>02</t>
  </si>
  <si>
    <t xml:space="preserve">    HEX     00 15 55 06 00 55 06 00 10 40 7F 08 08 08 30 40 </t>
  </si>
  <si>
    <t xml:space="preserve">    HEX     40 40 30 26 13 06 60 18 06 18 60 00 00 10 00 25 </t>
  </si>
  <si>
    <t xml:space="preserve">    HEX     20 00 00 00 00 10 00 00 40 40 40 10 10 02 20 08 </t>
  </si>
  <si>
    <t xml:space="preserve">    HEX     02 08 20 20 20 22 22 00 00 00 00 00 00 00 00 00 </t>
  </si>
  <si>
    <t xml:space="preserve">    HEX     00 00 00 00 00 00 00 00 00 00 00 00 00 00 00 00 </t>
  </si>
  <si>
    <t xml:space="preserve">    HEX     00 00 00 00 00 00 02 03 </t>
  </si>
  <si>
    <t xml:space="preserve">    HEX     00 02 02 03 00 02 00 00 00 00 07 00 00 00 00 00 </t>
  </si>
  <si>
    <t xml:space="preserve">    HEX     00 00 00 06 03 03 00 00 03 00 00 00 00 00 00 02 </t>
  </si>
  <si>
    <t xml:space="preserve">    HEX     00 00 00 00 00 00 00 00 00 00 00 00 00 01 00 00 </t>
  </si>
  <si>
    <t xml:space="preserve">    HEX     01 00 00 00 00 04 04 00 00 00 00 00 00 00 00 00 </t>
  </si>
  <si>
    <t xml:space="preserve">    HEX     00 00 00 00 00 00 06 00 </t>
  </si>
  <si>
    <t xml:space="preserve">    HEX     00 15 55 06 7F 55 06 00 28 60 7F 1C 1C 1C 30 60 </t>
  </si>
  <si>
    <t xml:space="preserve">    HEX     60 60 31 76 3B 06 60 18 06 18 60 00 00 00 00 15 </t>
  </si>
  <si>
    <t xml:space="preserve">    HEX     28 20 00 00 00 38 00 00 20 20 20 28 28 02 20 08 </t>
  </si>
  <si>
    <t xml:space="preserve">    HEX     02 08 20 20 21 22 22 00 00 00 00 00 00 00 00 00 </t>
  </si>
  <si>
    <t xml:space="preserve">    HEX     00 00 00 00 00 00 07 00 </t>
  </si>
  <si>
    <t xml:space="preserve">    HEX     00 02 02 03 07 02 00 00 00 01 07 00 00 00 04 01 </t>
  </si>
  <si>
    <t xml:space="preserve">    HEX     01 01 00 06 03 03 00 00 03 00 00 00 00 00 00 02 </t>
  </si>
  <si>
    <t xml:space="preserve">    HEX     00 00 00 00 00 00 00 00 01 01 01 00 00 01 00 00 </t>
  </si>
  <si>
    <t xml:space="preserve">    HEX     01 00 00 04 00 04 04 00 00 00 00 00 00 00 00 00 </t>
  </si>
  <si>
    <t xml:space="preserve">    HEX     00 00 00 00 00 00 70 60 </t>
  </si>
  <si>
    <t xml:space="preserve">    HEX     00 15 55 7E 00 00 7E 00 28 60 7F 1C 1C 1C 70 60 </t>
  </si>
  <si>
    <t xml:space="preserve">    HEX     60 60 3F 76 3B 36 78 78 36 78 78 00 00 00 00 15 </t>
  </si>
  <si>
    <t xml:space="preserve">    HEX     01 28 00 00 00 38 00 00 20 20 20 28 28 22 28 28 </t>
  </si>
  <si>
    <t xml:space="preserve">    HEX     0A 28 28 20 2B 22 22 00 00 00 00 00 00 00 00 00 </t>
  </si>
  <si>
    <t xml:space="preserve">    HEX     00 00 00 00 00 00 00 06 </t>
  </si>
  <si>
    <t xml:space="preserve">    HEX     00 02 02 03 00 00 03 00 00 01 07 00 00 00 07 01 </t>
  </si>
  <si>
    <t xml:space="preserve">    HEX     02 00 00 00 00 00 00 00 01 01 01 00 00 01 00 00 </t>
  </si>
  <si>
    <t xml:space="preserve">    HEX     01 00 00 05 00 04 04 00 00 00 00 00 00 00 00 00 </t>
  </si>
  <si>
    <t xml:space="preserve">    HEX     00 00 00 00 00 00 38 70 </t>
  </si>
  <si>
    <t xml:space="preserve">    HEX     00 15 55 06 00 7C 06 00 20 70 7F 38 18 18 72 40 </t>
  </si>
  <si>
    <t xml:space="preserve">    HEX     60 60 38 7C 7E 76 38 70 3C 70 3B 00 10 00 10 15 </t>
  </si>
  <si>
    <t xml:space="preserve">    HEX     15 29 20 00 00 18 00 10 20 20 20 20 20 22 28 20 </t>
  </si>
  <si>
    <t xml:space="preserve">    HEX     0A 28 08 22 28 28 28 00 00 00 00 2A 28 2A 2A 0A </t>
  </si>
  <si>
    <t xml:space="preserve">    HEX     2A 2A 2A 28 2A 54 15 55 15 55 55 55 41 04 10 41 </t>
  </si>
  <si>
    <t xml:space="preserve">    HEX     01 41 41 55 55 55 55 55 55 41 45 41 41 51 55 01 </t>
  </si>
  <si>
    <t xml:space="preserve">    HEX     00 14 14 40 00 40 00 00 </t>
  </si>
  <si>
    <t xml:space="preserve">    HEX     00 02 02 03 00 01 03 00 00 00 07 00 00 00 00 01 </t>
  </si>
  <si>
    <t xml:space="preserve">    HEX     00 00 02 03 01 01 00 06 03 00 00 00 00 00 00 02 </t>
  </si>
  <si>
    <t xml:space="preserve">    HEX     02 02 00 00 00 00 00 00 00 00 00 00 00 01 00 04 </t>
  </si>
  <si>
    <t xml:space="preserve">    HEX     01 00 00 00 02 01 01 00 00 00 00 01 00 01 01 01 </t>
  </si>
  <si>
    <t xml:space="preserve">    HEX     01 01 01 01 01 00 00 00 00 00 00 00 00 00 00 00 </t>
  </si>
  <si>
    <t xml:space="preserve">    HEX     00 00 00 00 00 00 00 00 </t>
  </si>
  <si>
    <t xml:space="preserve">    HEX     00 00 55 06 00 30 00 00 28 6C 7F 5C 38 7A 7E 70 </t>
  </si>
  <si>
    <t xml:space="preserve">    HEX     70 78 78 60 18 3C 1E 60 70 60 1E 00 00 00 00 00 </t>
  </si>
  <si>
    <t xml:space="preserve">    HEX     00 00 28 00 00 7E 00 00 28 28 28 20 28 28 0A 20 </t>
  </si>
  <si>
    <t xml:space="preserve">    HEX     28 20 0A 2A 28 20 20 00 00 00 00 02 28 02 02 0A </t>
  </si>
  <si>
    <t xml:space="preserve">    HEX     02 02 20 08 02 44 11 41 41 05 05 41 41 04 10 51 </t>
  </si>
  <si>
    <t xml:space="preserve">    HEX     01 45 41 51 41 51 41 41 04 41 45 41 41 51 41 05 </t>
  </si>
  <si>
    <t xml:space="preserve">    HEX     00 14 14 40 00 50 00 00 </t>
  </si>
  <si>
    <t xml:space="preserve">    HEX     00 00 02 03 00 00 03 00 01 01 07 01 00 00 00 07 </t>
  </si>
  <si>
    <t xml:space="preserve">    HEX     00 02 03 00 00 00 00 03 01 03 00 00 00 00 00 00 </t>
  </si>
  <si>
    <t xml:space="preserve">    HEX     00 00 00 00 00 00 00 00 01 00 01 01 01 00 00 01 </t>
  </si>
  <si>
    <t xml:space="preserve">    HEX     00 01 00 00 03 00 00 00 00 00 00 01 00 01 01 01 </t>
  </si>
  <si>
    <t xml:space="preserve">    HEX     00 01 01 01 01 00 00 00 00 00 00 00 00 00 00 00 </t>
  </si>
  <si>
    <t xml:space="preserve">    HEX     00 51 55 06 00 30 00 78 22 36 7F 33 7C 5E 70 5A </t>
  </si>
  <si>
    <t xml:space="preserve">    HEX     78 6C 38 60 18 18 1B 60 60 60 18 00 00 11 01 51 </t>
  </si>
  <si>
    <t xml:space="preserve">    HEX     51 51 28 20 00 5A 00 00 22 28 22 28 28 08 0A 20 </t>
  </si>
  <si>
    <t xml:space="preserve">    HEX     20 20 08 20 28 20 20 00 00 00 00 02 20 00 00 0A </t>
  </si>
  <si>
    <t xml:space="preserve">    HEX     02 02 20 08 02 44 11 01 41 05 05 01 41 04 10 11 </t>
  </si>
  <si>
    <t xml:space="preserve">    HEX     01 55 45 51 41 51 41 01 04 41 45 41 41 51 41 14 </t>
  </si>
  <si>
    <t xml:space="preserve">    HEX     00 05 50 10 55 14 01 01 </t>
  </si>
  <si>
    <t xml:space="preserve">    HEX     00 02 02 03 00 00 03 01 04 06 07 03 00 01 00 05 </t>
  </si>
  <si>
    <t xml:space="preserve">    HEX     01 03 00 00 00 00 00 00 00 06 00 00 02 00 00 02 </t>
  </si>
  <si>
    <t xml:space="preserve">    HEX     02 02 01 00 00 05 00 02 04 01 01 01 04 00 00 00 </t>
  </si>
  <si>
    <t xml:space="preserve">    HEX     00 01 00 00 00 00 00 00 00 00 00 01 00 01 01 01 </t>
  </si>
  <si>
    <t xml:space="preserve">    HEX     00 00 01 01 01 00 00 00 00 00 00 00 00 00 00 00 </t>
  </si>
  <si>
    <t xml:space="preserve">    HEX     00 00 00 00 02 00 08 20 </t>
  </si>
  <si>
    <t xml:space="preserve">    HEX     00 51 55 06 00 30 00 28 60 30 7F 30 7B 18 70 42 </t>
  </si>
  <si>
    <t xml:space="preserve">    HEX     78 60 38 78 78 18 18 60 60 60 18 10 01 00 00 51 </t>
  </si>
  <si>
    <t xml:space="preserve">    HEX     51 51 00 20 00 18 10 05 30 60 60 32 30 08 08 20 </t>
  </si>
  <si>
    <t xml:space="preserve">    HEX     20 20 08 70 38 70 78 00 01 00 00 02 20 2A 28 2A </t>
  </si>
  <si>
    <t xml:space="preserve">    HEX     2A 02 20 2A 2A 55 55 01 41 15 15 01 55 14 50 15 </t>
  </si>
  <si>
    <t xml:space="preserve">    HEX     01 55 55 41 55 41 55 55 04 41 45 41 14 55 10 50 </t>
  </si>
  <si>
    <t xml:space="preserve">    HEX     00 05 50 10 55 05 00 00 </t>
  </si>
  <si>
    <t xml:space="preserve">    HEX     00 02 02 03 00 00 03 01 00 00 07 00 00 00 00 01 </t>
  </si>
  <si>
    <t xml:space="preserve">    HEX     06 00 00 00 00 00 00 00 00 00 00 00 00 02 00 02 </t>
  </si>
  <si>
    <t xml:space="preserve">    HEX     02 02 00 01 00 04 00 00 00 04 00 00 00 00 00 00 </t>
  </si>
  <si>
    <t xml:space="preserve">    HEX     00 00 00 00 00 01 00 00 02 00 00 01 00 01 01 01 </t>
  </si>
  <si>
    <t xml:space="preserve">    HEX     01 00 01 01 01 00 00 00 00 00 00 00 00 00 00 00 </t>
  </si>
  <si>
    <t xml:space="preserve">    HEX     00 00 00 00 02 00 6C 00 </t>
  </si>
  <si>
    <t xml:space="preserve">    HEX     00 51 55 7E 00 30 06 78 70 70 7F 38 1C 3C 58 60 </t>
  </si>
  <si>
    <t xml:space="preserve">    HEX     60 70 6C 6C 58 1E 1C 70 60 60 38 40 04 01 00 51 </t>
  </si>
  <si>
    <t xml:space="preserve">    HEX     51 51 51 29 20 38 44 02 70 60 70 38 78 1E 1C 70 </t>
  </si>
  <si>
    <t xml:space="preserve">    HEX     70 70 1C 58 6C 30 6C 00 01 00 00 22 20 02 00 00 </t>
  </si>
  <si>
    <t xml:space="preserve">    HEX     20 2A 28 02 20 41 41 05 45 01 01 51 45 14 50 55 </t>
  </si>
  <si>
    <t xml:space="preserve">    HEX     05 41 55 41 05 41 15 50 14 45 45 55 14 14 14 50 </t>
  </si>
  <si>
    <t xml:space="preserve">    HEX     00 05 50 04 55 05 00 01 </t>
  </si>
  <si>
    <t xml:space="preserve">    HEX     00 02 02 03 00 00 03 01 00 00 07 00 00 00 01 01 </t>
  </si>
  <si>
    <t xml:space="preserve">    HEX     01 01 00 00 01 00 00 00 03 01 00 04 00 00 02 02 </t>
  </si>
  <si>
    <t xml:space="preserve">    HEX     02 02 02 01 00 00 00 00 00 01 01 00 00 00 00 00 </t>
  </si>
  <si>
    <t xml:space="preserve">    HEX     01 00 00 01 00 03 00 00 02 00 00 01 00 00 01 01 </t>
  </si>
  <si>
    <t xml:space="preserve">    HEX     01 01 00 01 01 00 00 00 00 00 00 00 00 00 00 00 </t>
  </si>
  <si>
    <t xml:space="preserve">    HEX     00 00 00 00 02 00 00 00 </t>
  </si>
  <si>
    <t xml:space="preserve">    HEX     00 51 55 06 00 55 7E 28 58 5E 7F 6C 3C 66 58 30 </t>
  </si>
  <si>
    <t xml:space="preserve">    HEX     70 18 6E 6C 58 13 36 58 20 30 6C 04 50 04 00 51 </t>
  </si>
  <si>
    <t xml:space="preserve">    HEX     51 51 51 01 28 6C 12 52 5E 70 18 78 4C 13 36 58 </t>
  </si>
  <si>
    <t xml:space="preserve">    HEX     10 58 36 58 6E 30 6C 01 01 00 28 22 20 02 00 00 </t>
  </si>
  <si>
    <t xml:space="preserve">    HEX     20 22 08 02 20 41 41 05 45 01 01 51 45 14 50 45 </t>
  </si>
  <si>
    <t xml:space="preserve">    HEX     05 41 51 41 05 41 15 50 14 45 55 55 41 14 01 14 </t>
  </si>
  <si>
    <t xml:space="preserve">    HEX     14 05 50 04 55 14 00 01 </t>
  </si>
  <si>
    <t xml:space="preserve">    HEX     00 02 02 03 00 02 03 01 07 01 07 03 00 00 03 03 </t>
  </si>
  <si>
    <t xml:space="preserve">    HEX     01 03 00 00 01 00 00 01 06 03 00 04 04 00 00 02 </t>
  </si>
  <si>
    <t xml:space="preserve">    HEX     02 02 02 00 00 00 00 00 01 01 03 00 01 00 00 01 </t>
  </si>
  <si>
    <t xml:space="preserve">    HEX     03 01 00 03 00 03 00 02 02 00 00 01 00 00 01 01 </t>
  </si>
  <si>
    <t xml:space="preserve">    HEX     00 00 00 00 02 00 41 45 </t>
  </si>
  <si>
    <t xml:space="preserve">    HEX     00 51 55 06 00 55 06 78 18 40 7F 0C 70 46 18 30 </t>
  </si>
  <si>
    <t xml:space="preserve">    HEX     38 0C 60 6C 58 1B 36 58 60 30 6C 10 04 40 00 51 </t>
  </si>
  <si>
    <t xml:space="preserve">    HEX     51 51 51 51 28 6C 0A 08 40 38 0C 60 0C 1B 36 58 </t>
  </si>
  <si>
    <t xml:space="preserve">    HEX     30 58 36 18 60 30 6C 01 01 28 2A 22 28 22 02 00 </t>
  </si>
  <si>
    <t xml:space="preserve">    HEX     20 22 08 02 20 51 41 45 45 01 01 41 45 14 51 45 </t>
  </si>
  <si>
    <t xml:space="preserve">    HEX     05 41 41 41 05 11 45 51 14 45 14 45 41 14 51 05 </t>
  </si>
  <si>
    <t xml:space="preserve">    HEX     14 14 14 01 00 50 00 00 </t>
  </si>
  <si>
    <t xml:space="preserve">    HEX     00 02 02 03 00 02 00 01 00 01 07 00 00 01 00 03 </t>
  </si>
  <si>
    <t xml:space="preserve">    HEX     00 03 00 00 01 00 00 01 06 03 00 01 05 00 00 02 </t>
  </si>
  <si>
    <t xml:space="preserve">    HEX     02 02 02 02 01 00 02 01 01 00 03 01 03 00 00 01 </t>
  </si>
  <si>
    <t xml:space="preserve">    HEX     03 01 00 00 00 03 00 02 02 00 01 01 01 01 01 01 </t>
  </si>
  <si>
    <t xml:space="preserve">    HEX     00 00 00 00 00 00 55 45 </t>
  </si>
  <si>
    <t xml:space="preserve">    HEX     00 00 00 06 00 00 06 00 18 40 7F 0C 30 40 1C 30 </t>
  </si>
  <si>
    <t xml:space="preserve">    HEX     30 0C 60 60 18 0D 36 58 40 30 6C 00 10 00 00 00 </t>
  </si>
  <si>
    <t xml:space="preserve">    HEX     00 00 00 00 00 6C 08 08 40 30 0C 60 00 0D 30 58 </t>
  </si>
  <si>
    <t xml:space="preserve">    HEX     60 58 36 1C 60 30 60 00 00 2A 2A 2A 28 2A 2A 00 </t>
  </si>
  <si>
    <t xml:space="preserve">    HEX     2A 2A 08 2A 20 51 55 55 15 55 01 55 45 14 55 45 </t>
  </si>
  <si>
    <t xml:space="preserve">    HEX     55 41 41 55 05 45 45 55 14 55 04 41 41 14 55 01 </t>
  </si>
  <si>
    <t xml:space="preserve">    HEX     14 14 14 01 00 40 00 00 </t>
  </si>
  <si>
    <t xml:space="preserve">    HEX     00 00 00 03 00 00 00 00 00 01 07 00 00 01 00 03 </t>
  </si>
  <si>
    <t xml:space="preserve">    HEX     00 00 01 00 00 00 00 01 05 03 00 01 01 00 00 00 </t>
  </si>
  <si>
    <t xml:space="preserve">    HEX     00 00 00 00 00 00 00 01 01 00 00 00 03 00 00 01 </t>
  </si>
  <si>
    <t xml:space="preserve">    HEX     02 01 00 00 01 00 00 00 00 01 01 01 01 01 01 01 </t>
  </si>
  <si>
    <t xml:space="preserve">    HEX     00 00 00 00 00 00 81 A8</t>
  </si>
  <si>
    <t>sprite_data.asm</t>
  </si>
  <si>
    <t>Sprite</t>
  </si>
  <si>
    <t>Base address</t>
  </si>
  <si>
    <t>AD00</t>
  </si>
  <si>
    <t>SpriteCount</t>
  </si>
  <si>
    <t>diff</t>
  </si>
  <si>
    <t>pixel_pattern_table.asm</t>
  </si>
  <si>
    <t xml:space="preserve">    BYTE     %10000000, %10000000</t>
  </si>
  <si>
    <t xml:space="preserve">    BYTE     %10000001, %10000000</t>
  </si>
  <si>
    <t xml:space="preserve">    BYTE     %10000010, %10000000</t>
  </si>
  <si>
    <t xml:space="preserve">    BYTE     %10000100, %10000000</t>
  </si>
  <si>
    <t xml:space="preserve">    BYTE     %10001000, %10000000</t>
  </si>
  <si>
    <t xml:space="preserve">    BYTE     %10010000, %10000000</t>
  </si>
  <si>
    <t xml:space="preserve">    BYTE     %10100000, %10000000</t>
  </si>
  <si>
    <t xml:space="preserve">    BYTE     %11000000, %10000000</t>
  </si>
  <si>
    <t xml:space="preserve">    BYTE     %10000000, %10000001</t>
  </si>
  <si>
    <t xml:space="preserve">    BYTE     %10000011, %10000000</t>
  </si>
  <si>
    <t xml:space="preserve">    BYTE     %10000110, %10000000</t>
  </si>
  <si>
    <t xml:space="preserve">    BYTE     %10001100, %10000000</t>
  </si>
  <si>
    <t xml:space="preserve">    BYTE     %10011000, %10000000</t>
  </si>
  <si>
    <t xml:space="preserve">    BYTE     %10110000, %10000000</t>
  </si>
  <si>
    <t xml:space="preserve">    BYTE     %11100000, %10000000</t>
  </si>
  <si>
    <t xml:space="preserve">    BYTE     %11000000, %10000001</t>
  </si>
  <si>
    <t xml:space="preserve">    BYTE     %10000000, %10000010</t>
  </si>
  <si>
    <t xml:space="preserve">    BYTE     %10000101, %10000000</t>
  </si>
  <si>
    <t xml:space="preserve">    BYTE     %10001010, %10000000</t>
  </si>
  <si>
    <t xml:space="preserve">    BYTE     %10010100, %10000000</t>
  </si>
  <si>
    <t xml:space="preserve">    BYTE     %10101000, %10000000</t>
  </si>
  <si>
    <t xml:space="preserve">    BYTE     %11010000, %10000000</t>
  </si>
  <si>
    <t xml:space="preserve">    BYTE     %10100000, %10000001</t>
  </si>
  <si>
    <t xml:space="preserve">    BYTE     %11000000, %10000010</t>
  </si>
  <si>
    <t xml:space="preserve">    BYTE     %10000000, %10000011</t>
  </si>
  <si>
    <t xml:space="preserve">    BYTE     %10000111, %10000000</t>
  </si>
  <si>
    <t xml:space="preserve">    BYTE     %10001110, %10000000</t>
  </si>
  <si>
    <t xml:space="preserve">    BYTE     %10011100, %10000000</t>
  </si>
  <si>
    <t xml:space="preserve">    BYTE     %10111000, %10000000</t>
  </si>
  <si>
    <t xml:space="preserve">    BYTE     %11110000, %10000000</t>
  </si>
  <si>
    <t xml:space="preserve">    BYTE     %11100000, %10000001</t>
  </si>
  <si>
    <t xml:space="preserve">    BYTE     %11000000, %10000011</t>
  </si>
  <si>
    <t xml:space="preserve">    BYTE     %10000000, %10000100</t>
  </si>
  <si>
    <t xml:space="preserve">    BYTE     %10001001, %10000000</t>
  </si>
  <si>
    <t xml:space="preserve">    BYTE     %10010010, %10000000</t>
  </si>
  <si>
    <t xml:space="preserve">    BYTE     %10100100, %10000000</t>
  </si>
  <si>
    <t xml:space="preserve">    BYTE     %11001000, %10000000</t>
  </si>
  <si>
    <t xml:space="preserve">    BYTE     %10010000, %10000001</t>
  </si>
  <si>
    <t xml:space="preserve">    BYTE     %10100000, %10000010</t>
  </si>
  <si>
    <t xml:space="preserve">    BYTE     %11000000, %10000100</t>
  </si>
  <si>
    <t xml:space="preserve">    BYTE     %10000000, %10000101</t>
  </si>
  <si>
    <t xml:space="preserve">    BYTE     %10001011, %10000000</t>
  </si>
  <si>
    <t xml:space="preserve">    BYTE     %10010110, %10000000</t>
  </si>
  <si>
    <t xml:space="preserve">    BYTE     %10101100, %10000000</t>
  </si>
  <si>
    <t xml:space="preserve">    BYTE     %11011000, %10000000</t>
  </si>
  <si>
    <t xml:space="preserve">    BYTE     %10110000, %10000001</t>
  </si>
  <si>
    <t xml:space="preserve">    BYTE     %11100000, %10000010</t>
  </si>
  <si>
    <t xml:space="preserve">    BYTE     %11000000, %10000101</t>
  </si>
  <si>
    <t xml:space="preserve">    BYTE     %10000000, %10000110</t>
  </si>
  <si>
    <t xml:space="preserve">    BYTE     %10001101, %10000000</t>
  </si>
  <si>
    <t xml:space="preserve">    BYTE     %10011010, %10000000</t>
  </si>
  <si>
    <t xml:space="preserve">    BYTE     %10110100, %10000000</t>
  </si>
  <si>
    <t xml:space="preserve">    BYTE     %11101000, %10000000</t>
  </si>
  <si>
    <t xml:space="preserve">    BYTE     %11010000, %10000001</t>
  </si>
  <si>
    <t xml:space="preserve">    BYTE     %10100000, %10000011</t>
  </si>
  <si>
    <t xml:space="preserve">    BYTE     %11000000, %10000110</t>
  </si>
  <si>
    <t xml:space="preserve">    BYTE     %10000000, %10000111</t>
  </si>
  <si>
    <t xml:space="preserve">    BYTE     %10001111, %10000000</t>
  </si>
  <si>
    <t xml:space="preserve">    BYTE     %10011110, %10000000</t>
  </si>
  <si>
    <t xml:space="preserve">    BYTE     %10111100, %10000000</t>
  </si>
  <si>
    <t xml:space="preserve">    BYTE     %11111000, %10000000</t>
  </si>
  <si>
    <t xml:space="preserve">    BYTE     %11110000, %10000001</t>
  </si>
  <si>
    <t xml:space="preserve">    BYTE     %11100000, %10000011</t>
  </si>
  <si>
    <t xml:space="preserve">    BYTE     %11000000, %10000111</t>
  </si>
  <si>
    <t xml:space="preserve">    BYTE     %10000000, %10001000</t>
  </si>
  <si>
    <t xml:space="preserve">    BYTE     %10010001, %10000000</t>
  </si>
  <si>
    <t xml:space="preserve">    BYTE     %10100010, %10000000</t>
  </si>
  <si>
    <t xml:space="preserve">    BYTE     %11000100, %10000000</t>
  </si>
  <si>
    <t xml:space="preserve">    BYTE     %10001000, %10000001</t>
  </si>
  <si>
    <t xml:space="preserve">    BYTE     %10010000, %10000010</t>
  </si>
  <si>
    <t xml:space="preserve">    BYTE     %10100000, %10000100</t>
  </si>
  <si>
    <t xml:space="preserve">    BYTE     %11000000, %10001000</t>
  </si>
  <si>
    <t xml:space="preserve">    BYTE     %10000000, %10001001</t>
  </si>
  <si>
    <t xml:space="preserve">    BYTE     %10010011, %10000000</t>
  </si>
  <si>
    <t xml:space="preserve">    BYTE     %10100110, %10000000</t>
  </si>
  <si>
    <t xml:space="preserve">    BYTE     %11001100, %10000000</t>
  </si>
  <si>
    <t xml:space="preserve">    BYTE     %10011000, %10000001</t>
  </si>
  <si>
    <t xml:space="preserve">    BYTE     %10110000, %10000010</t>
  </si>
  <si>
    <t xml:space="preserve">    BYTE     %11100000, %10000100</t>
  </si>
  <si>
    <t xml:space="preserve">    BYTE     %11000000, %10001001</t>
  </si>
  <si>
    <t xml:space="preserve">    BYTE     %10000000, %10001010</t>
  </si>
  <si>
    <t xml:space="preserve">    BYTE     %10010101, %10000000</t>
  </si>
  <si>
    <t xml:space="preserve">    BYTE     %10101010, %10000000</t>
  </si>
  <si>
    <t xml:space="preserve">    BYTE     %11010100, %10000000</t>
  </si>
  <si>
    <t xml:space="preserve">    BYTE     %10101000, %10000001</t>
  </si>
  <si>
    <t xml:space="preserve">    BYTE     %11010000, %10000010</t>
  </si>
  <si>
    <t xml:space="preserve">    BYTE     %10100000, %10000101</t>
  </si>
  <si>
    <t xml:space="preserve">    BYTE     %11000000, %10001010</t>
  </si>
  <si>
    <t xml:space="preserve">    BYTE     %10000000, %10001011</t>
  </si>
  <si>
    <t xml:space="preserve">    BYTE     %10010111, %10000000</t>
  </si>
  <si>
    <t xml:space="preserve">    BYTE     %10101110, %10000000</t>
  </si>
  <si>
    <t xml:space="preserve">    BYTE     %11011100, %10000000</t>
  </si>
  <si>
    <t xml:space="preserve">    BYTE     %10111000, %10000001</t>
  </si>
  <si>
    <t xml:space="preserve">    BYTE     %11110000, %10000010</t>
  </si>
  <si>
    <t xml:space="preserve">    BYTE     %11100000, %10000101</t>
  </si>
  <si>
    <t xml:space="preserve">    BYTE     %11000000, %10001011</t>
  </si>
  <si>
    <t xml:space="preserve">    BYTE     %10000000, %10001100</t>
  </si>
  <si>
    <t xml:space="preserve">    BYTE     %10011001, %10000000</t>
  </si>
  <si>
    <t xml:space="preserve">    BYTE     %10110010, %10000000</t>
  </si>
  <si>
    <t xml:space="preserve">    BYTE     %11100100, %10000000</t>
  </si>
  <si>
    <t xml:space="preserve">    BYTE     %11001000, %10000001</t>
  </si>
  <si>
    <t xml:space="preserve">    BYTE     %10010000, %10000011</t>
  </si>
  <si>
    <t xml:space="preserve">    BYTE     %10100000, %10000110</t>
  </si>
  <si>
    <t xml:space="preserve">    BYTE     %11000000, %10001100</t>
  </si>
  <si>
    <t xml:space="preserve">    BYTE     %10000000, %10001101</t>
  </si>
  <si>
    <t xml:space="preserve">    BYTE     %10011011, %10000000</t>
  </si>
  <si>
    <t xml:space="preserve">    BYTE     %10110110, %10000000</t>
  </si>
  <si>
    <t xml:space="preserve">    BYTE     %11101100, %10000000</t>
  </si>
  <si>
    <t xml:space="preserve">    BYTE     %11011000, %10000001</t>
  </si>
  <si>
    <t xml:space="preserve">    BYTE     %10110000, %10000011</t>
  </si>
  <si>
    <t xml:space="preserve">    BYTE     %11100000, %10000110</t>
  </si>
  <si>
    <t xml:space="preserve">    BYTE     %11000000, %10001101</t>
  </si>
  <si>
    <t xml:space="preserve">    BYTE     %10000000, %10001110</t>
  </si>
  <si>
    <t xml:space="preserve">    BYTE     %10011101, %10000000</t>
  </si>
  <si>
    <t xml:space="preserve">    BYTE     %10111010, %10000000</t>
  </si>
  <si>
    <t xml:space="preserve">    BYTE     %11110100, %10000000</t>
  </si>
  <si>
    <t xml:space="preserve">    BYTE     %11101000, %10000001</t>
  </si>
  <si>
    <t xml:space="preserve">    BYTE     %11010000, %10000011</t>
  </si>
  <si>
    <t xml:space="preserve">    BYTE     %10100000, %10000111</t>
  </si>
  <si>
    <t xml:space="preserve">    BYTE     %11000000, %10001110</t>
  </si>
  <si>
    <t xml:space="preserve">    BYTE     %10000000, %10001111</t>
  </si>
  <si>
    <t xml:space="preserve">    BYTE     %10011111, %10000000</t>
  </si>
  <si>
    <t xml:space="preserve">    BYTE     %10111110, %10000000</t>
  </si>
  <si>
    <t xml:space="preserve">    BYTE     %11111100, %10000000</t>
  </si>
  <si>
    <t xml:space="preserve">    BYTE     %11111000, %10000001</t>
  </si>
  <si>
    <t xml:space="preserve">    BYTE     %11110000, %10000011</t>
  </si>
  <si>
    <t xml:space="preserve">    BYTE     %11100000, %10000111</t>
  </si>
  <si>
    <t xml:space="preserve">    BYTE     %11000000, %10001111</t>
  </si>
  <si>
    <t xml:space="preserve">    BYTE     %10000000, %10010000</t>
  </si>
  <si>
    <t xml:space="preserve">    BYTE     %10100001, %10000000</t>
  </si>
  <si>
    <t xml:space="preserve">    BYTE     %11000010, %10000000</t>
  </si>
  <si>
    <t xml:space="preserve">    BYTE     %10000100, %10000001</t>
  </si>
  <si>
    <t xml:space="preserve">    BYTE     %10001000, %10000010</t>
  </si>
  <si>
    <t xml:space="preserve">    BYTE     %10010000, %10000100</t>
  </si>
  <si>
    <t xml:space="preserve">    BYTE     %10100000, %10001000</t>
  </si>
  <si>
    <t xml:space="preserve">    BYTE     %11000000, %10010000</t>
  </si>
  <si>
    <t xml:space="preserve">    BYTE     %10000000, %10010001</t>
  </si>
  <si>
    <t xml:space="preserve">    BYTE     %10100011, %10000000</t>
  </si>
  <si>
    <t xml:space="preserve">    BYTE     %11000110, %10000000</t>
  </si>
  <si>
    <t xml:space="preserve">    BYTE     %10001100, %10000001</t>
  </si>
  <si>
    <t xml:space="preserve">    BYTE     %10011000, %10000010</t>
  </si>
  <si>
    <t xml:space="preserve">    BYTE     %10110000, %10000100</t>
  </si>
  <si>
    <t xml:space="preserve">    BYTE     %11100000, %10001000</t>
  </si>
  <si>
    <t xml:space="preserve">    BYTE     %11000000, %10010001</t>
  </si>
  <si>
    <t xml:space="preserve">    BYTE     %10000000, %10010010</t>
  </si>
  <si>
    <t xml:space="preserve">    BYTE     %10100101, %10000000</t>
  </si>
  <si>
    <t xml:space="preserve">    BYTE     %11001010, %10000000</t>
  </si>
  <si>
    <t xml:space="preserve">    BYTE     %10010100, %10000001</t>
  </si>
  <si>
    <t xml:space="preserve">    BYTE     %10101000, %10000010</t>
  </si>
  <si>
    <t xml:space="preserve">    BYTE     %11010000, %10000100</t>
  </si>
  <si>
    <t xml:space="preserve">    BYTE     %10100000, %10001001</t>
  </si>
  <si>
    <t xml:space="preserve">    BYTE     %11000000, %10010010</t>
  </si>
  <si>
    <t xml:space="preserve">    BYTE     %10000000, %10010011</t>
  </si>
  <si>
    <t xml:space="preserve">    BYTE     %10100111, %10000000</t>
  </si>
  <si>
    <t xml:space="preserve">    BYTE     %11001110, %10000000</t>
  </si>
  <si>
    <t xml:space="preserve">    BYTE     %10011100, %10000001</t>
  </si>
  <si>
    <t xml:space="preserve">    BYTE     %10111000, %10000010</t>
  </si>
  <si>
    <t xml:space="preserve">    BYTE     %11110000, %10000100</t>
  </si>
  <si>
    <t xml:space="preserve">    BYTE     %11100000, %10001001</t>
  </si>
  <si>
    <t xml:space="preserve">    BYTE     %11000000, %10010011</t>
  </si>
  <si>
    <t xml:space="preserve">    BYTE     %10000000, %10010100</t>
  </si>
  <si>
    <t xml:space="preserve">    BYTE     %10101001, %10000000</t>
  </si>
  <si>
    <t xml:space="preserve">    BYTE     %11010010, %10000000</t>
  </si>
  <si>
    <t xml:space="preserve">    BYTE     %10100100, %10000001</t>
  </si>
  <si>
    <t xml:space="preserve">    BYTE     %11001000, %10000010</t>
  </si>
  <si>
    <t xml:space="preserve">    BYTE     %10010000, %10000101</t>
  </si>
  <si>
    <t xml:space="preserve">    BYTE     %10100000, %10001010</t>
  </si>
  <si>
    <t xml:space="preserve">    BYTE     %11000000, %10010100</t>
  </si>
  <si>
    <t xml:space="preserve">    BYTE     %10000000, %10010101</t>
  </si>
  <si>
    <t xml:space="preserve">    BYTE     %10101011, %10000000</t>
  </si>
  <si>
    <t xml:space="preserve">    BYTE     %11010110, %10000000</t>
  </si>
  <si>
    <t xml:space="preserve">    BYTE     %10101100, %10000001</t>
  </si>
  <si>
    <t xml:space="preserve">    BYTE     %11011000, %10000010</t>
  </si>
  <si>
    <t xml:space="preserve">    BYTE     %10110000, %10000101</t>
  </si>
  <si>
    <t xml:space="preserve">    BYTE     %11100000, %10001010</t>
  </si>
  <si>
    <t xml:space="preserve">    BYTE     %11000000, %10010101</t>
  </si>
  <si>
    <t xml:space="preserve">    BYTE     %10000000, %10010110</t>
  </si>
  <si>
    <t xml:space="preserve">    BYTE     %10101101, %10000000</t>
  </si>
  <si>
    <t xml:space="preserve">    BYTE     %11011010, %10000000</t>
  </si>
  <si>
    <t xml:space="preserve">    BYTE     %10110100, %10000001</t>
  </si>
  <si>
    <t xml:space="preserve">    BYTE     %11101000, %10000010</t>
  </si>
  <si>
    <t xml:space="preserve">    BYTE     %11010000, %10000101</t>
  </si>
  <si>
    <t xml:space="preserve">    BYTE     %10100000, %10001011</t>
  </si>
  <si>
    <t xml:space="preserve">    BYTE     %11000000, %10010110</t>
  </si>
  <si>
    <t xml:space="preserve">    BYTE     %10000000, %10010111</t>
  </si>
  <si>
    <t xml:space="preserve">    BYTE     %10101111, %10000000</t>
  </si>
  <si>
    <t xml:space="preserve">    BYTE     %11011110, %10000000</t>
  </si>
  <si>
    <t xml:space="preserve">    BYTE     %10111100, %10000001</t>
  </si>
  <si>
    <t xml:space="preserve">    BYTE     %11111000, %10000010</t>
  </si>
  <si>
    <t xml:space="preserve">    BYTE     %11110000, %10000101</t>
  </si>
  <si>
    <t xml:space="preserve">    BYTE     %11100000, %10001011</t>
  </si>
  <si>
    <t xml:space="preserve">    BYTE     %11000000, %10010111</t>
  </si>
  <si>
    <t xml:space="preserve">    BYTE     %10000000, %10011000</t>
  </si>
  <si>
    <t xml:space="preserve">    BYTE     %10110001, %10000000</t>
  </si>
  <si>
    <t xml:space="preserve">    BYTE     %11100010, %10000000</t>
  </si>
  <si>
    <t xml:space="preserve">    BYTE     %11000100, %10000001</t>
  </si>
  <si>
    <t xml:space="preserve">    BYTE     %10001000, %10000011</t>
  </si>
  <si>
    <t xml:space="preserve">    BYTE     %10010000, %10000110</t>
  </si>
  <si>
    <t xml:space="preserve">    BYTE     %10100000, %10001100</t>
  </si>
  <si>
    <t xml:space="preserve">    BYTE     %11000000, %10011000</t>
  </si>
  <si>
    <t xml:space="preserve">    BYTE     %10000000, %10011001</t>
  </si>
  <si>
    <t xml:space="preserve">    BYTE     %10110011, %10000000</t>
  </si>
  <si>
    <t xml:space="preserve">    BYTE     %11100110, %10000000</t>
  </si>
  <si>
    <t xml:space="preserve">    BYTE     %11001100, %10000001</t>
  </si>
  <si>
    <t xml:space="preserve">    BYTE     %10011000, %10000011</t>
  </si>
  <si>
    <t xml:space="preserve">    BYTE     %10110000, %10000110</t>
  </si>
  <si>
    <t xml:space="preserve">    BYTE     %11100000, %10001100</t>
  </si>
  <si>
    <t xml:space="preserve">    BYTE     %11000000, %10011001</t>
  </si>
  <si>
    <t xml:space="preserve">    BYTE     %10000000, %10011010</t>
  </si>
  <si>
    <t xml:space="preserve">    BYTE     %10110101, %10000000</t>
  </si>
  <si>
    <t xml:space="preserve">    BYTE     %11101010, %10000000</t>
  </si>
  <si>
    <t xml:space="preserve">    BYTE     %11010100, %10000001</t>
  </si>
  <si>
    <t xml:space="preserve">    BYTE     %10101000, %10000011</t>
  </si>
  <si>
    <t xml:space="preserve">    BYTE     %11010000, %10000110</t>
  </si>
  <si>
    <t xml:space="preserve">    BYTE     %10100000, %10001101</t>
  </si>
  <si>
    <t xml:space="preserve">    BYTE     %11000000, %10011010</t>
  </si>
  <si>
    <t xml:space="preserve">    BYTE     %10000000, %10011011</t>
  </si>
  <si>
    <t xml:space="preserve">    BYTE     %10110111, %10000000</t>
  </si>
  <si>
    <t xml:space="preserve">    BYTE     %11101110, %10000000</t>
  </si>
  <si>
    <t xml:space="preserve">    BYTE     %11011100, %10000001</t>
  </si>
  <si>
    <t xml:space="preserve">    BYTE     %10111000, %10000011</t>
  </si>
  <si>
    <t xml:space="preserve">    BYTE     %11110000, %10000110</t>
  </si>
  <si>
    <t xml:space="preserve">    BYTE     %11100000, %10001101</t>
  </si>
  <si>
    <t xml:space="preserve">    BYTE     %11000000, %10011011</t>
  </si>
  <si>
    <t xml:space="preserve">    BYTE     %10000000, %10011100</t>
  </si>
  <si>
    <t xml:space="preserve">    BYTE     %10111001, %10000000</t>
  </si>
  <si>
    <t xml:space="preserve">    BYTE     %11110010, %10000000</t>
  </si>
  <si>
    <t xml:space="preserve">    BYTE     %11100100, %10000001</t>
  </si>
  <si>
    <t xml:space="preserve">    BYTE     %11001000, %10000011</t>
  </si>
  <si>
    <t xml:space="preserve">    BYTE     %10010000, %10000111</t>
  </si>
  <si>
    <t xml:space="preserve">    BYTE     %10100000, %10001110</t>
  </si>
  <si>
    <t xml:space="preserve">    BYTE     %11000000, %10011100</t>
  </si>
  <si>
    <t xml:space="preserve">    BYTE     %10000000, %10011101</t>
  </si>
  <si>
    <t xml:space="preserve">    BYTE     %10111011, %10000000</t>
  </si>
  <si>
    <t xml:space="preserve">    BYTE     %11110110, %10000000</t>
  </si>
  <si>
    <t xml:space="preserve">    BYTE     %11101100, %10000001</t>
  </si>
  <si>
    <t xml:space="preserve">    BYTE     %11011000, %10000011</t>
  </si>
  <si>
    <t xml:space="preserve">    BYTE     %10110000, %10000111</t>
  </si>
  <si>
    <t xml:space="preserve">    BYTE     %11100000, %10001110</t>
  </si>
  <si>
    <t xml:space="preserve">    BYTE     %11000000, %10011101</t>
  </si>
  <si>
    <t xml:space="preserve">    BYTE     %10000000, %10011110</t>
  </si>
  <si>
    <t xml:space="preserve">    BYTE     %10111101, %10000000</t>
  </si>
  <si>
    <t xml:space="preserve">    BYTE     %11111010, %10000000</t>
  </si>
  <si>
    <t xml:space="preserve">    BYTE     %11110100, %10000001</t>
  </si>
  <si>
    <t xml:space="preserve">    BYTE     %11101000, %10000011</t>
  </si>
  <si>
    <t xml:space="preserve">    BYTE     %11010000, %10000111</t>
  </si>
  <si>
    <t xml:space="preserve">    BYTE     %10100000, %10001111</t>
  </si>
  <si>
    <t xml:space="preserve">    BYTE     %11000000, %10011110</t>
  </si>
  <si>
    <t xml:space="preserve">    BYTE     %10000000, %10011111</t>
  </si>
  <si>
    <t xml:space="preserve">    BYTE     %10111111, %10000000</t>
  </si>
  <si>
    <t xml:space="preserve">    BYTE     %11111110, %10000000</t>
  </si>
  <si>
    <t xml:space="preserve">    BYTE     %11111100, %10000001</t>
  </si>
  <si>
    <t xml:space="preserve">    BYTE     %11111000, %10000011</t>
  </si>
  <si>
    <t xml:space="preserve">    BYTE     %11110000, %10000111</t>
  </si>
  <si>
    <t xml:space="preserve">    BYTE     %11100000, %10001111</t>
  </si>
  <si>
    <t xml:space="preserve">    BYTE     %11000000, %10011111</t>
  </si>
  <si>
    <t xml:space="preserve">    BYTE     %10000000, %10100000</t>
  </si>
  <si>
    <t xml:space="preserve">    BYTE     %11000001, %10000000</t>
  </si>
  <si>
    <t xml:space="preserve">    BYTE     %10000010, %10000001</t>
  </si>
  <si>
    <t xml:space="preserve">    BYTE     %10000100, %10000010</t>
  </si>
  <si>
    <t xml:space="preserve">    BYTE     %10001000, %10000100</t>
  </si>
  <si>
    <t xml:space="preserve">    BYTE     %10010000, %10001000</t>
  </si>
  <si>
    <t xml:space="preserve">    BYTE     %10100000, %10010000</t>
  </si>
  <si>
    <t xml:space="preserve">    BYTE     %11000000, %10100000</t>
  </si>
  <si>
    <t xml:space="preserve">    BYTE     %10000000, %10100001</t>
  </si>
  <si>
    <t xml:space="preserve">    BYTE     %11000011, %10000000</t>
  </si>
  <si>
    <t xml:space="preserve">    BYTE     %10000110, %10000001</t>
  </si>
  <si>
    <t xml:space="preserve">    BYTE     %10001100, %10000010</t>
  </si>
  <si>
    <t xml:space="preserve">    BYTE     %10011000, %10000100</t>
  </si>
  <si>
    <t xml:space="preserve">    BYTE     %10110000, %10001000</t>
  </si>
  <si>
    <t xml:space="preserve">    BYTE     %11100000, %10010000</t>
  </si>
  <si>
    <t xml:space="preserve">    BYTE     %11000000, %10100001</t>
  </si>
  <si>
    <t xml:space="preserve">    BYTE     %10000000, %10100010</t>
  </si>
  <si>
    <t xml:space="preserve">    BYTE     %11000101, %10000000</t>
  </si>
  <si>
    <t xml:space="preserve">    BYTE     %10001010, %10000001</t>
  </si>
  <si>
    <t xml:space="preserve">    BYTE     %10010100, %10000010</t>
  </si>
  <si>
    <t xml:space="preserve">    BYTE     %10101000, %10000100</t>
  </si>
  <si>
    <t xml:space="preserve">    BYTE     %11010000, %10001000</t>
  </si>
  <si>
    <t xml:space="preserve">    BYTE     %10100000, %10010001</t>
  </si>
  <si>
    <t xml:space="preserve">    BYTE     %11000000, %10100010</t>
  </si>
  <si>
    <t xml:space="preserve">    BYTE     %10000000, %10100011</t>
  </si>
  <si>
    <t xml:space="preserve">    BYTE     %11000111, %10000000</t>
  </si>
  <si>
    <t xml:space="preserve">    BYTE     %10001110, %10000001</t>
  </si>
  <si>
    <t xml:space="preserve">    BYTE     %10011100, %10000010</t>
  </si>
  <si>
    <t xml:space="preserve">    BYTE     %10111000, %10000100</t>
  </si>
  <si>
    <t xml:space="preserve">    BYTE     %11110000, %10001000</t>
  </si>
  <si>
    <t xml:space="preserve">    BYTE     %11100000, %10010001</t>
  </si>
  <si>
    <t xml:space="preserve">    BYTE     %11000000, %10100011</t>
  </si>
  <si>
    <t xml:space="preserve">    BYTE     %10000000, %10100100</t>
  </si>
  <si>
    <t xml:space="preserve">    BYTE     %11001001, %10000000</t>
  </si>
  <si>
    <t xml:space="preserve">    BYTE     %10010010, %10000001</t>
  </si>
  <si>
    <t xml:space="preserve">    BYTE     %10100100, %10000010</t>
  </si>
  <si>
    <t xml:space="preserve">    BYTE     %11001000, %10000100</t>
  </si>
  <si>
    <t xml:space="preserve">    BYTE     %10010000, %10001001</t>
  </si>
  <si>
    <t xml:space="preserve">    BYTE     %10100000, %10010010</t>
  </si>
  <si>
    <t xml:space="preserve">    BYTE     %11000000, %10100100</t>
  </si>
  <si>
    <t xml:space="preserve">    BYTE     %10000000, %10100101</t>
  </si>
  <si>
    <t xml:space="preserve">    BYTE     %11001011, %10000000</t>
  </si>
  <si>
    <t xml:space="preserve">    BYTE     %10010110, %10000001</t>
  </si>
  <si>
    <t xml:space="preserve">    BYTE     %10101100, %10000010</t>
  </si>
  <si>
    <t xml:space="preserve">    BYTE     %11011000, %10000100</t>
  </si>
  <si>
    <t xml:space="preserve">    BYTE     %10110000, %10001001</t>
  </si>
  <si>
    <t xml:space="preserve">    BYTE     %11100000, %10010010</t>
  </si>
  <si>
    <t xml:space="preserve">    BYTE     %11000000, %10100101</t>
  </si>
  <si>
    <t xml:space="preserve">    BYTE     %10000000, %10100110</t>
  </si>
  <si>
    <t xml:space="preserve">    BYTE     %11001101, %10000000</t>
  </si>
  <si>
    <t xml:space="preserve">    BYTE     %10011010, %10000001</t>
  </si>
  <si>
    <t xml:space="preserve">    BYTE     %10110100, %10000010</t>
  </si>
  <si>
    <t xml:space="preserve">    BYTE     %11101000, %10000100</t>
  </si>
  <si>
    <t xml:space="preserve">    BYTE     %11010000, %10001001</t>
  </si>
  <si>
    <t xml:space="preserve">    BYTE     %10100000, %10010011</t>
  </si>
  <si>
    <t xml:space="preserve">    BYTE     %11000000, %10100110</t>
  </si>
  <si>
    <t xml:space="preserve">    BYTE     %10000000, %10100111</t>
  </si>
  <si>
    <t xml:space="preserve">    BYTE     %11001111, %10000000</t>
  </si>
  <si>
    <t xml:space="preserve">    BYTE     %10011110, %10000001</t>
  </si>
  <si>
    <t xml:space="preserve">    BYTE     %10111100, %10000010</t>
  </si>
  <si>
    <t xml:space="preserve">    BYTE     %11111000, %10000100</t>
  </si>
  <si>
    <t xml:space="preserve">    BYTE     %11110000, %10001001</t>
  </si>
  <si>
    <t xml:space="preserve">    BYTE     %11100000, %10010011</t>
  </si>
  <si>
    <t xml:space="preserve">    BYTE     %11000000, %10100111</t>
  </si>
  <si>
    <t xml:space="preserve">    BYTE     %10000000, %10101000</t>
  </si>
  <si>
    <t xml:space="preserve">    BYTE     %11010001, %10000000</t>
  </si>
  <si>
    <t xml:space="preserve">    BYTE     %10100010, %10000001</t>
  </si>
  <si>
    <t xml:space="preserve">    BYTE     %11000100, %10000010</t>
  </si>
  <si>
    <t xml:space="preserve">    BYTE     %10001000, %10000101</t>
  </si>
  <si>
    <t xml:space="preserve">    BYTE     %10010000, %10001010</t>
  </si>
  <si>
    <t xml:space="preserve">    BYTE     %10100000, %10010100</t>
  </si>
  <si>
    <t xml:space="preserve">    BYTE     %11000000, %10101000</t>
  </si>
  <si>
    <t xml:space="preserve">    BYTE     %10000000, %10101001</t>
  </si>
  <si>
    <t xml:space="preserve">    BYTE     %11010011, %10000000</t>
  </si>
  <si>
    <t xml:space="preserve">    BYTE     %10100110, %10000001</t>
  </si>
  <si>
    <t xml:space="preserve">    BYTE     %11001100, %10000010</t>
  </si>
  <si>
    <t xml:space="preserve">    BYTE     %10011000, %10000101</t>
  </si>
  <si>
    <t xml:space="preserve">    BYTE     %10110000, %10001010</t>
  </si>
  <si>
    <t xml:space="preserve">    BYTE     %11100000, %10010100</t>
  </si>
  <si>
    <t xml:space="preserve">    BYTE     %11000000, %10101001</t>
  </si>
  <si>
    <t xml:space="preserve">    BYTE     %10000000, %10101010</t>
  </si>
  <si>
    <t xml:space="preserve">    BYTE     %11010101, %10000000</t>
  </si>
  <si>
    <t xml:space="preserve">    BYTE     %10101010, %10000001</t>
  </si>
  <si>
    <t xml:space="preserve">    BYTE     %11010100, %10000010</t>
  </si>
  <si>
    <t xml:space="preserve">    BYTE     %10101000, %10000101</t>
  </si>
  <si>
    <t xml:space="preserve">    BYTE     %11010000, %10001010</t>
  </si>
  <si>
    <t xml:space="preserve">    BYTE     %10100000, %10010101</t>
  </si>
  <si>
    <t xml:space="preserve">    BYTE     %11000000, %10101010</t>
  </si>
  <si>
    <t xml:space="preserve">    BYTE     %10000000, %10101011</t>
  </si>
  <si>
    <t xml:space="preserve">    BYTE     %11010111, %10000000</t>
  </si>
  <si>
    <t xml:space="preserve">    BYTE     %10101110, %10000001</t>
  </si>
  <si>
    <t xml:space="preserve">    BYTE     %11011100, %10000010</t>
  </si>
  <si>
    <t xml:space="preserve">    BYTE     %10111000, %10000101</t>
  </si>
  <si>
    <t xml:space="preserve">    BYTE     %11110000, %10001010</t>
  </si>
  <si>
    <t xml:space="preserve">    BYTE     %11100000, %10010101</t>
  </si>
  <si>
    <t xml:space="preserve">    BYTE     %11000000, %10101011</t>
  </si>
  <si>
    <t xml:space="preserve">    BYTE     %10000000, %10101100</t>
  </si>
  <si>
    <t xml:space="preserve">    BYTE     %11011001, %10000000</t>
  </si>
  <si>
    <t xml:space="preserve">    BYTE     %10110010, %10000001</t>
  </si>
  <si>
    <t xml:space="preserve">    BYTE     %11100100, %10000010</t>
  </si>
  <si>
    <t xml:space="preserve">    BYTE     %11001000, %10000101</t>
  </si>
  <si>
    <t xml:space="preserve">    BYTE     %10010000, %10001011</t>
  </si>
  <si>
    <t xml:space="preserve">    BYTE     %10100000, %10010110</t>
  </si>
  <si>
    <t xml:space="preserve">    BYTE     %11000000, %10101100</t>
  </si>
  <si>
    <t xml:space="preserve">    BYTE     %10000000, %10101101</t>
  </si>
  <si>
    <t xml:space="preserve">    BYTE     %11011011, %10000000</t>
  </si>
  <si>
    <t xml:space="preserve">    BYTE     %10110110, %10000001</t>
  </si>
  <si>
    <t xml:space="preserve">    BYTE     %11101100, %10000010</t>
  </si>
  <si>
    <t xml:space="preserve">    BYTE     %11011000, %10000101</t>
  </si>
  <si>
    <t xml:space="preserve">    BYTE     %10110000, %10001011</t>
  </si>
  <si>
    <t xml:space="preserve">    BYTE     %11100000, %10010110</t>
  </si>
  <si>
    <t xml:space="preserve">    BYTE     %11000000, %10101101</t>
  </si>
  <si>
    <t xml:space="preserve">    BYTE     %10000000, %10101110</t>
  </si>
  <si>
    <t xml:space="preserve">    BYTE     %11011101, %10000000</t>
  </si>
  <si>
    <t xml:space="preserve">    BYTE     %10111010, %10000001</t>
  </si>
  <si>
    <t xml:space="preserve">    BYTE     %11110100, %10000010</t>
  </si>
  <si>
    <t xml:space="preserve">    BYTE     %11101000, %10000101</t>
  </si>
  <si>
    <t xml:space="preserve">    BYTE     %11010000, %10001011</t>
  </si>
  <si>
    <t xml:space="preserve">    BYTE     %10100000, %10010111</t>
  </si>
  <si>
    <t xml:space="preserve">    BYTE     %11000000, %10101110</t>
  </si>
  <si>
    <t xml:space="preserve">    BYTE     %10000000, %10101111</t>
  </si>
  <si>
    <t xml:space="preserve">    BYTE     %11011111, %10000000</t>
  </si>
  <si>
    <t xml:space="preserve">    BYTE     %10111110, %10000001</t>
  </si>
  <si>
    <t xml:space="preserve">    BYTE     %11111100, %10000010</t>
  </si>
  <si>
    <t xml:space="preserve">    BYTE     %11111000, %10000101</t>
  </si>
  <si>
    <t xml:space="preserve">    BYTE     %11110000, %10001011</t>
  </si>
  <si>
    <t xml:space="preserve">    BYTE     %11100000, %10010111</t>
  </si>
  <si>
    <t xml:space="preserve">    BYTE     %11000000, %10101111</t>
  </si>
  <si>
    <t xml:space="preserve">    BYTE     %10000000, %10110000</t>
  </si>
  <si>
    <t xml:space="preserve">    BYTE     %11100001, %10000000</t>
  </si>
  <si>
    <t xml:space="preserve">    BYTE     %11000010, %10000001</t>
  </si>
  <si>
    <t xml:space="preserve">    BYTE     %10000100, %10000011</t>
  </si>
  <si>
    <t xml:space="preserve">    BYTE     %10001000, %10000110</t>
  </si>
  <si>
    <t xml:space="preserve">    BYTE     %10010000, %10001100</t>
  </si>
  <si>
    <t xml:space="preserve">    BYTE     %10100000, %10011000</t>
  </si>
  <si>
    <t xml:space="preserve">    BYTE     %11000000, %10110000</t>
  </si>
  <si>
    <t xml:space="preserve">    BYTE     %10000000, %10110001</t>
  </si>
  <si>
    <t xml:space="preserve">    BYTE     %11100011, %10000000</t>
  </si>
  <si>
    <t xml:space="preserve">    BYTE     %11000110, %10000001</t>
  </si>
  <si>
    <t xml:space="preserve">    BYTE     %10001100, %10000011</t>
  </si>
  <si>
    <t xml:space="preserve">    BYTE     %10011000, %10000110</t>
  </si>
  <si>
    <t xml:space="preserve">    BYTE     %10110000, %10001100</t>
  </si>
  <si>
    <t xml:space="preserve">    BYTE     %11100000, %10011000</t>
  </si>
  <si>
    <t xml:space="preserve">    BYTE     %11000000, %10110001</t>
  </si>
  <si>
    <t xml:space="preserve">    BYTE     %10000000, %10110010</t>
  </si>
  <si>
    <t xml:space="preserve">    BYTE     %11100101, %10000000</t>
  </si>
  <si>
    <t xml:space="preserve">    BYTE     %11001010, %10000001</t>
  </si>
  <si>
    <t xml:space="preserve">    BYTE     %10010100, %10000011</t>
  </si>
  <si>
    <t xml:space="preserve">    BYTE     %10101000, %10000110</t>
  </si>
  <si>
    <t xml:space="preserve">    BYTE     %11010000, %10001100</t>
  </si>
  <si>
    <t xml:space="preserve">    BYTE     %10100000, %10011001</t>
  </si>
  <si>
    <t xml:space="preserve">    BYTE     %11000000, %10110010</t>
  </si>
  <si>
    <t xml:space="preserve">    BYTE     %10000000, %10110011</t>
  </si>
  <si>
    <t xml:space="preserve">    BYTE     %11100111, %10000000</t>
  </si>
  <si>
    <t xml:space="preserve">    BYTE     %11001110, %10000001</t>
  </si>
  <si>
    <t xml:space="preserve">    BYTE     %10011100, %10000011</t>
  </si>
  <si>
    <t xml:space="preserve">    BYTE     %10111000, %10000110</t>
  </si>
  <si>
    <t xml:space="preserve">    BYTE     %11110000, %10001100</t>
  </si>
  <si>
    <t xml:space="preserve">    BYTE     %11100000, %10011001</t>
  </si>
  <si>
    <t xml:space="preserve">    BYTE     %11000000, %10110011</t>
  </si>
  <si>
    <t xml:space="preserve">    BYTE     %10000000, %10110100</t>
  </si>
  <si>
    <t xml:space="preserve">    BYTE     %11101001, %10000000</t>
  </si>
  <si>
    <t xml:space="preserve">    BYTE     %11010010, %10000001</t>
  </si>
  <si>
    <t xml:space="preserve">    BYTE     %10100100, %10000011</t>
  </si>
  <si>
    <t xml:space="preserve">    BYTE     %11001000, %10000110</t>
  </si>
  <si>
    <t xml:space="preserve">    BYTE     %10010000, %10001101</t>
  </si>
  <si>
    <t xml:space="preserve">    BYTE     %10100000, %10011010</t>
  </si>
  <si>
    <t xml:space="preserve">    BYTE     %11000000, %10110100</t>
  </si>
  <si>
    <t xml:space="preserve">    BYTE     %10000000, %10110101</t>
  </si>
  <si>
    <t xml:space="preserve">    BYTE     %11101011, %10000000</t>
  </si>
  <si>
    <t xml:space="preserve">    BYTE     %11010110, %10000001</t>
  </si>
  <si>
    <t xml:space="preserve">    BYTE     %10101100, %10000011</t>
  </si>
  <si>
    <t xml:space="preserve">    BYTE     %11011000, %10000110</t>
  </si>
  <si>
    <t xml:space="preserve">    BYTE     %10110000, %10001101</t>
  </si>
  <si>
    <t xml:space="preserve">    BYTE     %11100000, %10011010</t>
  </si>
  <si>
    <t xml:space="preserve">    BYTE     %11000000, %10110101</t>
  </si>
  <si>
    <t xml:space="preserve">    BYTE     %10000000, %10110110</t>
  </si>
  <si>
    <t xml:space="preserve">    BYTE     %11101101, %10000000</t>
  </si>
  <si>
    <t xml:space="preserve">    BYTE     %11011010, %10000001</t>
  </si>
  <si>
    <t xml:space="preserve">    BYTE     %10110100, %10000011</t>
  </si>
  <si>
    <t xml:space="preserve">    BYTE     %11101000, %10000110</t>
  </si>
  <si>
    <t xml:space="preserve">    BYTE     %11010000, %10001101</t>
  </si>
  <si>
    <t xml:space="preserve">    BYTE     %10100000, %10011011</t>
  </si>
  <si>
    <t xml:space="preserve">    BYTE     %11000000, %10110110</t>
  </si>
  <si>
    <t xml:space="preserve">    BYTE     %10000000, %10110111</t>
  </si>
  <si>
    <t xml:space="preserve">    BYTE     %11101111, %10000000</t>
  </si>
  <si>
    <t xml:space="preserve">    BYTE     %11011110, %10000001</t>
  </si>
  <si>
    <t xml:space="preserve">    BYTE     %10111100, %10000011</t>
  </si>
  <si>
    <t xml:space="preserve">    BYTE     %11111000, %10000110</t>
  </si>
  <si>
    <t xml:space="preserve">    BYTE     %11110000, %10001101</t>
  </si>
  <si>
    <t xml:space="preserve">    BYTE     %11100000, %10011011</t>
  </si>
  <si>
    <t xml:space="preserve">    BYTE     %11000000, %10110111</t>
  </si>
  <si>
    <t xml:space="preserve">    BYTE     %10000000, %10111000</t>
  </si>
  <si>
    <t xml:space="preserve">    BYTE     %11110001, %10000000</t>
  </si>
  <si>
    <t xml:space="preserve">    BYTE     %11100010, %10000001</t>
  </si>
  <si>
    <t xml:space="preserve">    BYTE     %11000100, %10000011</t>
  </si>
  <si>
    <t xml:space="preserve">    BYTE     %10001000, %10000111</t>
  </si>
  <si>
    <t xml:space="preserve">    BYTE     %10010000, %10001110</t>
  </si>
  <si>
    <t xml:space="preserve">    BYTE     %10100000, %10011100</t>
  </si>
  <si>
    <t xml:space="preserve">    BYTE     %11000000, %10111000</t>
  </si>
  <si>
    <t xml:space="preserve">    BYTE     %10000000, %10111001</t>
  </si>
  <si>
    <t xml:space="preserve">    BYTE     %11110011, %10000000</t>
  </si>
  <si>
    <t xml:space="preserve">    BYTE     %11100110, %10000001</t>
  </si>
  <si>
    <t xml:space="preserve">    BYTE     %11001100, %10000011</t>
  </si>
  <si>
    <t xml:space="preserve">    BYTE     %10011000, %10000111</t>
  </si>
  <si>
    <t xml:space="preserve">    BYTE     %10110000, %10001110</t>
  </si>
  <si>
    <t xml:space="preserve">    BYTE     %11100000, %10011100</t>
  </si>
  <si>
    <t xml:space="preserve">    BYTE     %11000000, %10111001</t>
  </si>
  <si>
    <t xml:space="preserve">    BYTE     %10000000, %10111010</t>
  </si>
  <si>
    <t xml:space="preserve">    BYTE     %11110101, %10000000</t>
  </si>
  <si>
    <t xml:space="preserve">    BYTE     %11101010, %10000001</t>
  </si>
  <si>
    <t xml:space="preserve">    BYTE     %11010100, %10000011</t>
  </si>
  <si>
    <t xml:space="preserve">    BYTE     %10101000, %10000111</t>
  </si>
  <si>
    <t xml:space="preserve">    BYTE     %11010000, %10001110</t>
  </si>
  <si>
    <t xml:space="preserve">    BYTE     %10100000, %10011101</t>
  </si>
  <si>
    <t xml:space="preserve">    BYTE     %11000000, %10111010</t>
  </si>
  <si>
    <t xml:space="preserve">    BYTE     %10000000, %10111011</t>
  </si>
  <si>
    <t xml:space="preserve">    BYTE     %11110111, %10000000</t>
  </si>
  <si>
    <t xml:space="preserve">    BYTE     %11101110, %10000001</t>
  </si>
  <si>
    <t xml:space="preserve">    BYTE     %11011100, %10000011</t>
  </si>
  <si>
    <t xml:space="preserve">    BYTE     %10111000, %10000111</t>
  </si>
  <si>
    <t xml:space="preserve">    BYTE     %11110000, %10001110</t>
  </si>
  <si>
    <t xml:space="preserve">    BYTE     %11100000, %10011101</t>
  </si>
  <si>
    <t xml:space="preserve">    BYTE     %11000000, %10111011</t>
  </si>
  <si>
    <t xml:space="preserve">    BYTE     %10000000, %10111100</t>
  </si>
  <si>
    <t xml:space="preserve">    BYTE     %11111001, %10000000</t>
  </si>
  <si>
    <t xml:space="preserve">    BYTE     %11110010, %10000001</t>
  </si>
  <si>
    <t xml:space="preserve">    BYTE     %11100100, %10000011</t>
  </si>
  <si>
    <t xml:space="preserve">    BYTE     %11001000, %10000111</t>
  </si>
  <si>
    <t xml:space="preserve">    BYTE     %10010000, %10001111</t>
  </si>
  <si>
    <t xml:space="preserve">    BYTE     %10100000, %10011110</t>
  </si>
  <si>
    <t xml:space="preserve">    BYTE     %11000000, %10111100</t>
  </si>
  <si>
    <t xml:space="preserve">    BYTE     %10000000, %10111101</t>
  </si>
  <si>
    <t xml:space="preserve">    BYTE     %11111011, %10000000</t>
  </si>
  <si>
    <t xml:space="preserve">    BYTE     %11110110, %10000001</t>
  </si>
  <si>
    <t xml:space="preserve">    BYTE     %11101100, %10000011</t>
  </si>
  <si>
    <t xml:space="preserve">    BYTE     %11011000, %10000111</t>
  </si>
  <si>
    <t xml:space="preserve">    BYTE     %10110000, %10001111</t>
  </si>
  <si>
    <t xml:space="preserve">    BYTE     %11100000, %10011110</t>
  </si>
  <si>
    <t xml:space="preserve">    BYTE     %11000000, %10111101</t>
  </si>
  <si>
    <t xml:space="preserve">    BYTE     %10000000, %10111110</t>
  </si>
  <si>
    <t xml:space="preserve">    BYTE     %11111101, %10000000</t>
  </si>
  <si>
    <t xml:space="preserve">    BYTE     %11111010, %10000001</t>
  </si>
  <si>
    <t xml:space="preserve">    BYTE     %11110100, %10000011</t>
  </si>
  <si>
    <t xml:space="preserve">    BYTE     %11101000, %10000111</t>
  </si>
  <si>
    <t xml:space="preserve">    BYTE     %11010000, %10001111</t>
  </si>
  <si>
    <t xml:space="preserve">    BYTE     %10100000, %10011111</t>
  </si>
  <si>
    <t xml:space="preserve">    BYTE     %11000000, %10111110</t>
  </si>
  <si>
    <t xml:space="preserve">    BYTE     %10000000, %10111111</t>
  </si>
  <si>
    <t xml:space="preserve">    BYTE     %11111111, %10000000</t>
  </si>
  <si>
    <t xml:space="preserve">    BYTE     %11111110, %10000001</t>
  </si>
  <si>
    <t xml:space="preserve">    BYTE     %11111100, %10000011</t>
  </si>
  <si>
    <t xml:space="preserve">    BYTE     %11111000, %10000111</t>
  </si>
  <si>
    <t xml:space="preserve">    BYTE     %11110000, %10001111</t>
  </si>
  <si>
    <t xml:space="preserve">    BYTE     %11100000, %10011111</t>
  </si>
  <si>
    <t xml:space="preserve">    BYTE     %11000000, %10111111</t>
  </si>
  <si>
    <t xml:space="preserve">    HEX     00 02 04 12 06 22 14 32 08 42 24 52 16 62 34 72 </t>
  </si>
  <si>
    <t xml:space="preserve">    HEX     0A 82 44 92 26 A2 54 B2 18 C2 64 D2 36 E2 74 F2 </t>
  </si>
  <si>
    <t xml:space="preserve">    HEX     0C 02 84 12 46 22 94 32 28 42 A4 52 56 62 B4 72 </t>
  </si>
  <si>
    <t xml:space="preserve">    HEX     1A 82 C4 92 66 A2 D4 B2 38 C2 E4 D2 76 E2 F4 F2 </t>
  </si>
  <si>
    <t xml:space="preserve">    HEX     0E 02 04 12 86 22 14 32 48 42 24 52 96 62 34 72 </t>
  </si>
  <si>
    <t xml:space="preserve">    HEX     2A 82 44 92 A6 A2 54 B2 58 C2 64 D2 B6 E2 74 F2 </t>
  </si>
  <si>
    <t xml:space="preserve">    HEX     1C 02 84 12 C6 22 94 32 68 42 A4 52 D6 62 B4 72 </t>
  </si>
  <si>
    <t xml:space="preserve">    HEX     3A 82 C4 92 E6 A2 D4 B2 78 C2 E4 D2 F6 E2 F4 F2 </t>
  </si>
  <si>
    <t xml:space="preserve">    HEX     A9 A9 A9 A9 A9 A9 A9 A9 A9 A9 A9 A9 A9 A9 A9 A9 </t>
  </si>
  <si>
    <t xml:space="preserve">    HEX     A9 AA A9 AA A9 AA A9 AA A9 AA A9 AA A9 AA A9 AA </t>
  </si>
  <si>
    <t xml:space="preserve">    HEX     A9 AB AA AB A9 AB AA AB A9 AB AA AB A9 AB AA AB </t>
  </si>
  <si>
    <t xml:space="preserve">    HEX     A9 AC AA AC A9 AC AA AC A9 AC AA AC A9 AC AA AC </t>
  </si>
  <si>
    <t xml:space="preserve">    HEX     00 04 06 14 08 24 16 34 0A 44 26 54 18 64 36 74 </t>
  </si>
  <si>
    <t xml:space="preserve">    HEX     0C 84 46 94 28 A4 56 B4 1A C4 66 D4 38 E4 76 F4 </t>
  </si>
  <si>
    <t xml:space="preserve">    HEX     0E 04 86 14 48 24 96 34 2A 44 A6 54 58 64 B6 74 </t>
  </si>
  <si>
    <t xml:space="preserve">    HEX     1C 84 C6 94 68 A4 D6 B4 3A C4 E6 D4 78 E4 F6 F4 </t>
  </si>
  <si>
    <t xml:space="preserve">    HEX     10 04 06 14 88 24 16 34 4A 44 26 54 98 64 36 74 </t>
  </si>
  <si>
    <t xml:space="preserve">    HEX     2C 84 46 94 A8 A4 56 B4 5A C4 66 D4 B8 E4 76 F4 </t>
  </si>
  <si>
    <t xml:space="preserve">    HEX     1E 04 86 14 C8 24 96 34 6A 44 A6 54 D8 64 B6 74 </t>
  </si>
  <si>
    <t xml:space="preserve">    HEX     3C 84 C6 94 E8 A4 D6 B4 7A C4 E6 D4 F8 E4 F6 F4 </t>
  </si>
  <si>
    <t xml:space="preserve">    HEX     00 06 08 16 0A 26 18 36 0C 46 28 56 1A 66 38 76 </t>
  </si>
  <si>
    <t xml:space="preserve">    HEX     0E 86 48 96 2A A6 58 B6 1C C6 68 D6 3A E6 78 F6 </t>
  </si>
  <si>
    <t xml:space="preserve">    HEX     10 06 88 16 4A 26 98 36 2C 46 A8 56 5A 66 B8 76 </t>
  </si>
  <si>
    <t xml:space="preserve">    HEX     1E 86 C8 96 6A A6 D8 B6 3C C6 E8 D6 7A E6 F8 F6 </t>
  </si>
  <si>
    <t xml:space="preserve">    HEX     20 06 08 16 8A 26 18 36 4C 46 28 56 9A 66 38 76 </t>
  </si>
  <si>
    <t xml:space="preserve">    HEX     2E 86 48 96 AA A6 58 B6 5C C6 68 D6 BA E6 78 F6 </t>
  </si>
  <si>
    <t xml:space="preserve">    HEX     30 06 88 16 CA 26 98 36 6C 46 A8 56 DA 66 B8 76 </t>
  </si>
  <si>
    <t xml:space="preserve">    HEX     3E 86 C8 96 EA A6 D8 B6 7C C6 E8 D6 FA E6 F8 F6 </t>
  </si>
  <si>
    <t xml:space="preserve">    HEX     00 08 0A 18 0C 28 1A 38 0E 48 2A 58 1C 68 3A 78 </t>
  </si>
  <si>
    <t xml:space="preserve">    HEX     10 88 4A 98 2C A8 5A B8 1E C8 6A D8 3C E8 7A F8 </t>
  </si>
  <si>
    <t xml:space="preserve">    HEX     20 08 8A 18 4C 28 9A 38 2E 48 AA 58 5C 68 BA 78 </t>
  </si>
  <si>
    <t xml:space="preserve">    HEX     30 88 CA 98 6C A8 DA B8 3E C8 EA D8 7C E8 FA F8 </t>
  </si>
  <si>
    <t xml:space="preserve">    HEX     40 08 0A 18 8C 28 1A 38 4E 48 2A 58 9C 68 3A 78 </t>
  </si>
  <si>
    <t xml:space="preserve">    HEX     50 88 4A 98 AC A8 5A B8 5E C8 6A D8 BC E8 7A F8 </t>
  </si>
  <si>
    <t xml:space="preserve">    HEX     60 08 8A 18 CC 28 9A 38 6E 48 AA 58 DC 68 BA 78 </t>
  </si>
  <si>
    <t xml:space="preserve">    HEX     70 88 CA 98 EC A8 DA B8 7E C8 EA D8 FC E8 FA F8 </t>
  </si>
  <si>
    <t xml:space="preserve">    HEX     00 0A 0C 1A 0E 2A 1C 3A 10 4A 2C 5A 1E 6A 3C 7A </t>
  </si>
  <si>
    <t xml:space="preserve">    HEX     20 8A 4C 9A 2E AA 5C BA 30 CA 6C DA 3E EA 7C FA </t>
  </si>
  <si>
    <t xml:space="preserve">    HEX     40 0A 8C 1A 4E 2A 9C 3A 50 4A AC 5A 5E 6A BC 7A </t>
  </si>
  <si>
    <t xml:space="preserve">    HEX     60 8A CC 9A 6E AA DC BA 70 CA EC DA 7E EA FC FA </t>
  </si>
  <si>
    <t xml:space="preserve">    HEX     80 0A 0C 1A 8E 2A 1C 3A 90 4A 2C 5A 9E 6A 3C 7A </t>
  </si>
  <si>
    <t xml:space="preserve">    HEX     A0 8A 4C 9A AE AA 5C BA B0 CA 6C DA BE EA 7C FA </t>
  </si>
  <si>
    <t xml:space="preserve">    HEX     C0 0A 8C 1A CE 2A 9C 3A D0 4A AC 5A DE 6A BC 7A </t>
  </si>
  <si>
    <t xml:space="preserve">    HEX     E0 8A CC 9A EE AA DC BA F0 CA EC DA FE EA FC FA </t>
  </si>
  <si>
    <t xml:space="preserve">    HEX     00 0C 0E 1C 10 2C 1E 3C 20 4C 2E 5C 30 6C 3E 7C </t>
  </si>
  <si>
    <t xml:space="preserve">    HEX     40 8C 4E 9C 50 AC 5E BC 60 CC 6E DC 70 EC 7E FC </t>
  </si>
  <si>
    <t xml:space="preserve">    HEX     80 0C 8E 1C 90 2C 9E 3C A0 4C AE 5C B0 6C BE 7C </t>
  </si>
  <si>
    <t xml:space="preserve">    HEX     C0 8C CE 9C D0 AC DE BC E0 CC EE DC F0 EC FE FC </t>
  </si>
  <si>
    <t xml:space="preserve">    HEX     AA AB AA AB AA AB AA AB AA AB AA AB AA AB AA AB </t>
  </si>
  <si>
    <t xml:space="preserve">    HEX     AA AC AA AC AA AC AA AC AA AC AA AC AA AC AA AC </t>
  </si>
  <si>
    <t xml:space="preserve">    HEX     00 0E 10 1E 20 2E 30 3E 40 4E 50 5E 60 6E 70 7E </t>
  </si>
  <si>
    <t xml:space="preserve">    HEX     80 8E 90 9E A0 AE B0 BE C0 CE D0 DE E0 EE F0 FE </t>
  </si>
  <si>
    <t xml:space="preserve">    HEX     AA AA AA AA AA AA AA AA AA AA AA AA AA AA AA AA </t>
  </si>
  <si>
    <t xml:space="preserve">    HEX     AB AB AB AB AB AB AB AB AB AB AB AB AB AB AB AB </t>
  </si>
  <si>
    <t xml:space="preserve">    HEX     AC AC AC AC AC AC AC AC AC AC AC AC AC AC AC AC </t>
  </si>
  <si>
    <t>pixel_shift_table.asm</t>
  </si>
  <si>
    <t>7-Bit Input Pattern</t>
  </si>
  <si>
    <t>Index Y</t>
  </si>
  <si>
    <t>Pixels %</t>
  </si>
  <si>
    <t>Hex</t>
  </si>
  <si>
    <t>Lo (Offset)</t>
  </si>
  <si>
    <t>Hi (Page)</t>
  </si>
  <si>
    <t>Target Addr</t>
  </si>
  <si>
    <t>$00</t>
  </si>
  <si>
    <t>$01</t>
  </si>
  <si>
    <t>$02</t>
  </si>
  <si>
    <t>$03</t>
  </si>
  <si>
    <t>$04</t>
  </si>
  <si>
    <t>$05</t>
  </si>
  <si>
    <t>$06</t>
  </si>
  <si>
    <t>$07</t>
  </si>
  <si>
    <t>$08</t>
  </si>
  <si>
    <t>$09</t>
  </si>
  <si>
    <t>$0A</t>
  </si>
  <si>
    <t>$0B</t>
  </si>
  <si>
    <t>$0C</t>
  </si>
  <si>
    <t>$0D</t>
  </si>
  <si>
    <t>$0E</t>
  </si>
  <si>
    <t>$0F</t>
  </si>
  <si>
    <t>$10</t>
  </si>
  <si>
    <t>$11</t>
  </si>
  <si>
    <t>$12</t>
  </si>
  <si>
    <t>$13</t>
  </si>
  <si>
    <t>$14</t>
  </si>
  <si>
    <t>$15</t>
  </si>
  <si>
    <t>$16</t>
  </si>
  <si>
    <t>$17</t>
  </si>
  <si>
    <t>$18</t>
  </si>
  <si>
    <t>$19</t>
  </si>
  <si>
    <t>$1A</t>
  </si>
  <si>
    <t>$1B</t>
  </si>
  <si>
    <t>$1C</t>
  </si>
  <si>
    <t>$1D</t>
  </si>
  <si>
    <t>$1E</t>
  </si>
  <si>
    <t>$1F</t>
  </si>
  <si>
    <t>$20</t>
  </si>
  <si>
    <t>$21</t>
  </si>
  <si>
    <t>$22</t>
  </si>
  <si>
    <t>$23</t>
  </si>
  <si>
    <t>$24</t>
  </si>
  <si>
    <t>$25</t>
  </si>
  <si>
    <t>$26</t>
  </si>
  <si>
    <t>$27</t>
  </si>
  <si>
    <t>$28</t>
  </si>
  <si>
    <t>$29</t>
  </si>
  <si>
    <t>$2A</t>
  </si>
  <si>
    <t>$2B</t>
  </si>
  <si>
    <t>$2C</t>
  </si>
  <si>
    <t>$2D</t>
  </si>
  <si>
    <t>$2E</t>
  </si>
  <si>
    <t>$2F</t>
  </si>
  <si>
    <t>$30</t>
  </si>
  <si>
    <t>$31</t>
  </si>
  <si>
    <t>$32</t>
  </si>
  <si>
    <t>$33</t>
  </si>
  <si>
    <t>$34</t>
  </si>
  <si>
    <t>$35</t>
  </si>
  <si>
    <t>$36</t>
  </si>
  <si>
    <t>$37</t>
  </si>
  <si>
    <t>$38</t>
  </si>
  <si>
    <t>$39</t>
  </si>
  <si>
    <t>$3A</t>
  </si>
  <si>
    <t>$3B</t>
  </si>
  <si>
    <t>$3C</t>
  </si>
  <si>
    <t>$3D</t>
  </si>
  <si>
    <t>$3E</t>
  </si>
  <si>
    <t>$3F</t>
  </si>
  <si>
    <t>$40</t>
  </si>
  <si>
    <t>$41</t>
  </si>
  <si>
    <t>$42</t>
  </si>
  <si>
    <t>$43</t>
  </si>
  <si>
    <t>$44</t>
  </si>
  <si>
    <t>$45</t>
  </si>
  <si>
    <t>$46</t>
  </si>
  <si>
    <t>$47</t>
  </si>
  <si>
    <t>$48</t>
  </si>
  <si>
    <t>$49</t>
  </si>
  <si>
    <t>$4A</t>
  </si>
  <si>
    <t>$4B</t>
  </si>
  <si>
    <t>$4C</t>
  </si>
  <si>
    <t>$4D</t>
  </si>
  <si>
    <t>$4E</t>
  </si>
  <si>
    <t>$4F</t>
  </si>
  <si>
    <t>$50</t>
  </si>
  <si>
    <t>$51</t>
  </si>
  <si>
    <t>$52</t>
  </si>
  <si>
    <t>$53</t>
  </si>
  <si>
    <t>$54</t>
  </si>
  <si>
    <t>$55</t>
  </si>
  <si>
    <t>$56</t>
  </si>
  <si>
    <t>$57</t>
  </si>
  <si>
    <t>$58</t>
  </si>
  <si>
    <t>$59</t>
  </si>
  <si>
    <t>$5A</t>
  </si>
  <si>
    <t>$5B</t>
  </si>
  <si>
    <t>$5C</t>
  </si>
  <si>
    <t>$5D</t>
  </si>
  <si>
    <t>$5E</t>
  </si>
  <si>
    <t>$5F</t>
  </si>
  <si>
    <t>$60</t>
  </si>
  <si>
    <t>$61</t>
  </si>
  <si>
    <t>$62</t>
  </si>
  <si>
    <t>$63</t>
  </si>
  <si>
    <t>$64</t>
  </si>
  <si>
    <t>$65</t>
  </si>
  <si>
    <t>$66</t>
  </si>
  <si>
    <t>$67</t>
  </si>
  <si>
    <t>$68</t>
  </si>
  <si>
    <t>$69</t>
  </si>
  <si>
    <t>$6A</t>
  </si>
  <si>
    <t>$6B</t>
  </si>
  <si>
    <t>$6C</t>
  </si>
  <si>
    <t>$6D</t>
  </si>
  <si>
    <t>$6E</t>
  </si>
  <si>
    <t>$6F</t>
  </si>
  <si>
    <t>$70</t>
  </si>
  <si>
    <t>$71</t>
  </si>
  <si>
    <t>$72</t>
  </si>
  <si>
    <t>$73</t>
  </si>
  <si>
    <t>$74</t>
  </si>
  <si>
    <t>$75</t>
  </si>
  <si>
    <t>$76</t>
  </si>
  <si>
    <t>$77</t>
  </si>
  <si>
    <t>$78</t>
  </si>
  <si>
    <t>$79</t>
  </si>
  <si>
    <t>$7A</t>
  </si>
  <si>
    <t>$7B</t>
  </si>
  <si>
    <t>$7C</t>
  </si>
  <si>
    <t>$7D</t>
  </si>
  <si>
    <t>$7E</t>
  </si>
  <si>
    <t>$7F</t>
  </si>
  <si>
    <t>Shift</t>
  </si>
  <si>
    <t>A200</t>
  </si>
  <si>
    <t>A2</t>
  </si>
  <si>
    <t>A900</t>
  </si>
  <si>
    <t>A8</t>
  </si>
  <si>
    <t>A3</t>
  </si>
  <si>
    <t>A4</t>
  </si>
  <si>
    <t>A5</t>
  </si>
  <si>
    <t>A6</t>
  </si>
  <si>
    <t>A7</t>
  </si>
  <si>
    <t>Output pixels 1</t>
  </si>
  <si>
    <t>Output pixels 0</t>
  </si>
  <si>
    <t>shift</t>
  </si>
  <si>
    <t>bits</t>
  </si>
  <si>
    <t>hex</t>
  </si>
  <si>
    <t>pixels</t>
  </si>
  <si>
    <t>shift page</t>
  </si>
  <si>
    <t>PST low</t>
  </si>
  <si>
    <t>PST base</t>
  </si>
  <si>
    <t>PPT low</t>
  </si>
  <si>
    <t>PPT</t>
  </si>
  <si>
    <t>PPT high</t>
  </si>
  <si>
    <t>offs0</t>
  </si>
  <si>
    <t>PTT base</t>
  </si>
  <si>
    <t>pixels 1</t>
  </si>
  <si>
    <t>offs1</t>
  </si>
  <si>
    <t>pixels 0</t>
  </si>
  <si>
    <t>PPT hex 0</t>
  </si>
  <si>
    <t>PPT hex 1</t>
  </si>
  <si>
    <t>PPT bits 0</t>
  </si>
  <si>
    <t>PPT bits 1</t>
  </si>
  <si>
    <t>Pixels 0 (cols 0-6)</t>
  </si>
  <si>
    <t>Pixels 1 (col 7-13)</t>
  </si>
  <si>
    <t>Input pixels (0-6)</t>
  </si>
  <si>
    <t>End</t>
  </si>
  <si>
    <t>Sprites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</si>
  <si>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</si>
  <si>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</si>
  <si>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</si>
  <si>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</si>
  <si>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</si>
  <si>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</si>
  <si>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</si>
  <si>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</si>
  <si>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</si>
  <si>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</si>
  <si>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</si>
  <si>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</si>
  <si>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</si>
  <si>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D</t>
  </si>
  <si>
    <t>E</t>
  </si>
  <si>
    <t>F</t>
  </si>
  <si>
    <t>PSPT low</t>
  </si>
  <si>
    <t>PSPT base</t>
  </si>
  <si>
    <t>PSPT hex 0</t>
  </si>
  <si>
    <t>PSPT bits 0</t>
  </si>
  <si>
    <t>offs low
(0d)</t>
  </si>
  <si>
    <t>offs high
(0d)</t>
  </si>
  <si>
    <t>PPT bits 0
(7bit)</t>
  </si>
  <si>
    <t>PPT bits 1
(7bit)</t>
  </si>
  <si>
    <t>PSPT bits 0
(7bit)</t>
  </si>
  <si>
    <t>INDEX into TOROW linear memory</t>
  </si>
  <si>
    <t>INDEX into 2D range, navigatable with Arixcel / Detective</t>
  </si>
  <si>
    <t>INDEX into "rewritten in place" shift table without indirection</t>
  </si>
  <si>
    <t>Sprite Shifting</t>
  </si>
  <si>
    <t>HB2</t>
  </si>
  <si>
    <t>byte 1</t>
  </si>
  <si>
    <t>byte 0</t>
  </si>
  <si>
    <t>Byte 0</t>
  </si>
  <si>
    <t>Byte 1</t>
  </si>
  <si>
    <t xml:space="preserve"> </t>
  </si>
  <si>
    <t>bits (7bit)</t>
  </si>
  <si>
    <t>byte 2</t>
  </si>
  <si>
    <t>Loaded sprite</t>
  </si>
  <si>
    <t>Apply shift to both bytes</t>
  </si>
  <si>
    <t>Assemble 3-byte output, BITOR middle</t>
  </si>
  <si>
    <t>Manual pixel input</t>
  </si>
  <si>
    <t>Pixels 2 (col 14-20)</t>
  </si>
  <si>
    <t>Pixel Shifting</t>
  </si>
  <si>
    <t>90</t>
  </si>
  <si>
    <t>A0</t>
  </si>
  <si>
    <t>84</t>
  </si>
  <si>
    <t>98</t>
  </si>
  <si>
    <t>87</t>
  </si>
  <si>
    <t>D8</t>
  </si>
  <si>
    <t>Intro</t>
  </si>
  <si>
    <t>SkipWorksheets</t>
  </si>
  <si>
    <t>address</t>
  </si>
  <si>
    <t>comments</t>
  </si>
  <si>
    <t>&gt; comments &lt;</t>
  </si>
  <si>
    <t>Versions</t>
  </si>
  <si>
    <t>Worksheets matrix</t>
  </si>
  <si>
    <t>Sprite Shifter</t>
  </si>
  <si>
    <t>Sprite (load)</t>
  </si>
  <si>
    <t>Pixel Shifter</t>
  </si>
  <si>
    <t>Pixel Shift Pattern Table</t>
  </si>
  <si>
    <t>Pixel Shift Table</t>
  </si>
  <si>
    <t>Pixel Shift Pages</t>
  </si>
  <si>
    <t>Sprite Loader</t>
  </si>
  <si>
    <t>Sprite (S)</t>
  </si>
  <si>
    <t>Sprite (Player)</t>
  </si>
  <si>
    <t>Sprite (Player HB0)</t>
  </si>
  <si>
    <t>Sprite (HB0&lt;&gt;HB1)</t>
  </si>
  <si>
    <t>Sprite Data</t>
  </si>
  <si>
    <t>260920 v0009</t>
  </si>
  <si>
    <t>GitHub public, Phase 1-4 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</si>
</sst>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4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theme="3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sz val="8"/>
      <color rgb="FF963634"/>
      <name val="Arial"/>
      <family val="2"/>
    </font>
    <font>
      <sz val="8"/>
      <color theme="0" tint="-0.499984740745262"/>
      <name val="Arial"/>
      <family val="2"/>
    </font>
    <font>
      <sz val="8"/>
      <color theme="5" tint="-0.249977111117893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i/>
      <sz val="8"/>
      <color theme="1"/>
      <name val="Arial"/>
      <family val="2"/>
    </font>
    <font>
      <sz val="8"/>
      <color theme="0" tint="-0.249977111117893"/>
      <name val="Arial"/>
      <family val="2"/>
    </font>
    <font>
      <b/>
      <sz val="12"/>
      <color theme="1"/>
      <name val="Arial"/>
      <family val="2"/>
    </font>
    <font>
      <sz val="8"/>
      <color rgb="FF969696"/>
      <name val="Arial"/>
      <family val="2"/>
    </font>
    <font>
      <b/>
      <sz val="8"/>
      <color rgb="FF969696"/>
      <name val="Arial"/>
      <family val="2"/>
    </font>
    <font>
      <sz val="8"/>
      <color rgb="FF800080"/>
      <name val="Arial"/>
      <family val="2"/>
    </font>
    <font>
      <b/>
      <sz val="8"/>
      <color rgb="FF800080"/>
      <name val="Arial"/>
      <family val="2"/>
    </font>
    <font>
      <b/>
      <sz val="8"/>
      <color rgb="FF3366FF"/>
      <name val="Arial"/>
      <family val="2"/>
    </font>
    <font>
      <b/>
      <i/>
      <sz val="8"/>
      <color theme="1"/>
      <name val="Arial"/>
      <family val="2"/>
    </font>
    <font>
      <sz val="8"/>
      <color rgb="FFFFFFFF"/>
      <name val="Arial"/>
      <family val="2"/>
    </font>
    <font>
      <sz val="12"/>
      <color theme="1"/>
      <name val="Arial"/>
      <family val="2"/>
    </font>
    <font>
      <sz val="9"/>
      <color indexed="81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14CFFD"/>
        <bgColor rgb="FF003300"/>
      </patternFill>
    </fill>
    <fill>
      <patternFill patternType="solid">
        <fgColor rgb="FFFF6A3C"/>
        <bgColor rgb="FF003300"/>
      </patternFill>
    </fill>
    <fill>
      <patternFill patternType="solid">
        <fgColor rgb="FFFF44FD"/>
        <bgColor rgb="FF003300"/>
      </patternFill>
    </fill>
    <fill>
      <patternFill patternType="solid">
        <fgColor rgb="FF14F53C"/>
        <bgColor rgb="FF0033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5F5F5"/>
        <bgColor rgb="FFFFFF99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2B164B"/>
        <bgColor indexed="64"/>
      </patternFill>
    </fill>
  </fills>
  <borders count="2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theme="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double">
        <color theme="1"/>
      </right>
      <top style="thin">
        <color rgb="FF808080"/>
      </top>
      <bottom style="thin">
        <color rgb="FF808080"/>
      </bottom>
      <diagonal/>
    </border>
    <border>
      <left style="double">
        <color theme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Dashed">
        <color rgb="FFE6B8B7"/>
      </left>
      <right style="mediumDashed">
        <color rgb="FFE6B8B7"/>
      </right>
      <top style="mediumDashed">
        <color rgb="FFE6B8B7"/>
      </top>
      <bottom/>
      <diagonal/>
    </border>
    <border>
      <left style="mediumDashed">
        <color rgb="FFE6B8B7"/>
      </left>
      <right style="mediumDashed">
        <color rgb="FFE6B8B7"/>
      </right>
      <top/>
      <bottom/>
      <diagonal/>
    </border>
    <border>
      <left style="mediumDashed">
        <color rgb="FFE6B8B7"/>
      </left>
      <right style="mediumDashed">
        <color rgb="FFE6B8B7"/>
      </right>
      <top/>
      <bottom style="mediumDashed">
        <color rgb="FFE6B8B7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2" applyNumberFormat="0" applyFill="0" applyAlignment="0" applyProtection="0"/>
    <xf numFmtId="0" fontId="4" fillId="0" borderId="0" applyNumberFormat="0" applyFill="0" applyBorder="0" applyAlignment="0" applyProtection="0"/>
    <xf numFmtId="0" fontId="1" fillId="15" borderId="13" applyNumberFormat="0" applyFont="0" applyAlignment="0" applyProtection="0"/>
    <xf numFmtId="0" fontId="1" fillId="0" borderId="0"/>
    <xf numFmtId="0" fontId="22" fillId="0" borderId="0"/>
  </cellStyleXfs>
  <cellXfs count="160">
    <xf numFmtId="0" fontId="0" fillId="0" borderId="0" xfId="0"/>
    <xf numFmtId="0" fontId="0" fillId="0" borderId="0" xfId="1" applyNumberFormat="1" applyFont="1"/>
    <xf numFmtId="0" fontId="0" fillId="0" borderId="0" xfId="1" applyNumberFormat="1" applyFont="1" applyAlignment="1">
      <alignment horizontal="center"/>
    </xf>
    <xf numFmtId="0" fontId="0" fillId="0" borderId="0" xfId="1" applyNumberFormat="1" applyFont="1" applyFill="1"/>
    <xf numFmtId="0" fontId="0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9" fontId="0" fillId="0" borderId="0" xfId="0" applyNumberFormat="1"/>
    <xf numFmtId="0" fontId="0" fillId="0" borderId="7" xfId="1" applyNumberFormat="1" applyFont="1" applyFill="1" applyBorder="1"/>
    <xf numFmtId="0" fontId="0" fillId="0" borderId="7" xfId="1" applyNumberFormat="1" applyFont="1" applyBorder="1"/>
    <xf numFmtId="0" fontId="0" fillId="0" borderId="0" xfId="1" applyNumberFormat="1" applyFont="1" applyBorder="1"/>
    <xf numFmtId="0" fontId="0" fillId="0" borderId="8" xfId="1" applyNumberFormat="1" applyFont="1" applyBorder="1"/>
    <xf numFmtId="0" fontId="0" fillId="0" borderId="0" xfId="0" applyAlignment="1">
      <alignment textRotation="90"/>
    </xf>
    <xf numFmtId="0" fontId="0" fillId="0" borderId="5" xfId="0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0" fillId="0" borderId="11" xfId="1" applyNumberFormat="1" applyFont="1" applyFill="1" applyBorder="1"/>
    <xf numFmtId="0" fontId="0" fillId="0" borderId="10" xfId="1" applyNumberFormat="1" applyFont="1" applyBorder="1"/>
    <xf numFmtId="0" fontId="0" fillId="0" borderId="9" xfId="1" applyNumberFormat="1" applyFont="1" applyBorder="1"/>
    <xf numFmtId="0" fontId="0" fillId="0" borderId="10" xfId="1" applyNumberFormat="1" applyFont="1" applyFill="1" applyBorder="1"/>
    <xf numFmtId="0" fontId="0" fillId="14" borderId="0" xfId="1" applyNumberFormat="1" applyFont="1" applyFill="1" applyAlignment="1">
      <alignment horizontal="center"/>
    </xf>
    <xf numFmtId="0" fontId="0" fillId="16" borderId="0" xfId="0" applyFill="1"/>
    <xf numFmtId="9" fontId="0" fillId="16" borderId="0" xfId="0" applyNumberFormat="1" applyFill="1"/>
    <xf numFmtId="0" fontId="0" fillId="16" borderId="0" xfId="0" applyFill="1" applyAlignment="1">
      <alignment horizontal="center"/>
    </xf>
    <xf numFmtId="0" fontId="0" fillId="16" borderId="5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16" borderId="0" xfId="1" applyNumberFormat="1" applyFont="1" applyFill="1" applyBorder="1"/>
    <xf numFmtId="0" fontId="0" fillId="0" borderId="0" xfId="1" applyNumberFormat="1" applyFont="1" applyFill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left" textRotation="90"/>
    </xf>
    <xf numFmtId="0" fontId="0" fillId="11" borderId="0" xfId="0" applyFill="1" applyAlignment="1">
      <alignment horizontal="center"/>
    </xf>
    <xf numFmtId="0" fontId="2" fillId="2" borderId="3" xfId="0" applyFont="1" applyFill="1" applyBorder="1" applyAlignment="1">
      <alignment horizontal="centerContinuous" vertical="center"/>
    </xf>
    <xf numFmtId="0" fontId="2" fillId="2" borderId="2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17" borderId="0" xfId="0" applyFont="1" applyFill="1"/>
    <xf numFmtId="0" fontId="3" fillId="0" borderId="0" xfId="0" applyFont="1"/>
    <xf numFmtId="0" fontId="0" fillId="12" borderId="0" xfId="0" applyFill="1"/>
    <xf numFmtId="0" fontId="0" fillId="0" borderId="10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13" borderId="0" xfId="0" applyFill="1"/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0" fontId="3" fillId="16" borderId="0" xfId="0" applyFont="1" applyFill="1" applyAlignment="1">
      <alignment horizontal="center"/>
    </xf>
    <xf numFmtId="0" fontId="12" fillId="12" borderId="0" xfId="9" applyFont="1" applyFill="1"/>
    <xf numFmtId="0" fontId="1" fillId="12" borderId="0" xfId="9" applyFill="1"/>
    <xf numFmtId="0" fontId="0" fillId="12" borderId="0" xfId="9" applyFont="1" applyFill="1"/>
    <xf numFmtId="0" fontId="1" fillId="18" borderId="0" xfId="9" applyFill="1"/>
    <xf numFmtId="0" fontId="13" fillId="18" borderId="14" xfId="9" applyFont="1" applyFill="1" applyBorder="1" applyAlignment="1">
      <alignment vertical="center"/>
    </xf>
    <xf numFmtId="0" fontId="14" fillId="12" borderId="0" xfId="9" applyFont="1" applyFill="1"/>
    <xf numFmtId="0" fontId="13" fillId="18" borderId="0" xfId="9" applyFont="1" applyFill="1" applyAlignment="1">
      <alignment vertical="center"/>
    </xf>
    <xf numFmtId="15" fontId="1" fillId="12" borderId="0" xfId="9" applyNumberFormat="1" applyFill="1"/>
    <xf numFmtId="0" fontId="11" fillId="12" borderId="0" xfId="9" applyFont="1" applyFill="1"/>
    <xf numFmtId="0" fontId="15" fillId="19" borderId="11" xfId="1" applyNumberFormat="1" applyFont="1" applyFill="1" applyBorder="1"/>
    <xf numFmtId="0" fontId="15" fillId="19" borderId="7" xfId="1" applyNumberFormat="1" applyFont="1" applyFill="1" applyBorder="1"/>
    <xf numFmtId="0" fontId="15" fillId="19" borderId="10" xfId="1" applyNumberFormat="1" applyFont="1" applyFill="1" applyBorder="1"/>
    <xf numFmtId="0" fontId="15" fillId="19" borderId="0" xfId="1" applyNumberFormat="1" applyFont="1" applyFill="1" applyBorder="1"/>
    <xf numFmtId="0" fontId="15" fillId="19" borderId="9" xfId="1" applyNumberFormat="1" applyFont="1" applyFill="1" applyBorder="1"/>
    <xf numFmtId="0" fontId="15" fillId="19" borderId="8" xfId="1" applyNumberFormat="1" applyFont="1" applyFill="1" applyBorder="1"/>
    <xf numFmtId="0" fontId="9" fillId="0" borderId="0" xfId="0" applyFont="1"/>
    <xf numFmtId="0" fontId="0" fillId="0" borderId="0" xfId="0" applyAlignment="1">
      <alignment horizontal="left" textRotation="90" wrapText="1"/>
    </xf>
    <xf numFmtId="0" fontId="15" fillId="20" borderId="4" xfId="0" applyFont="1" applyFill="1" applyBorder="1" applyAlignment="1">
      <alignment horizontal="center" vertical="center"/>
    </xf>
    <xf numFmtId="0" fontId="15" fillId="20" borderId="1" xfId="0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textRotation="90"/>
    </xf>
    <xf numFmtId="0" fontId="2" fillId="3" borderId="2" xfId="0" applyFont="1" applyFill="1" applyBorder="1" applyAlignment="1">
      <alignment horizontal="center" vertical="center"/>
    </xf>
    <xf numFmtId="49" fontId="15" fillId="19" borderId="1" xfId="0" applyNumberFormat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49" fontId="6" fillId="0" borderId="15" xfId="0" applyNumberFormat="1" applyFont="1" applyBorder="1" applyAlignment="1">
      <alignment horizontal="center" vertical="center"/>
    </xf>
    <xf numFmtId="0" fontId="15" fillId="20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90"/>
    </xf>
    <xf numFmtId="0" fontId="16" fillId="2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16" fillId="0" borderId="1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/>
    <xf numFmtId="0" fontId="15" fillId="19" borderId="0" xfId="0" applyFont="1" applyFill="1"/>
    <xf numFmtId="0" fontId="17" fillId="0" borderId="0" xfId="0" applyFont="1"/>
    <xf numFmtId="0" fontId="18" fillId="0" borderId="0" xfId="0" applyFont="1"/>
    <xf numFmtId="0" fontId="15" fillId="0" borderId="0" xfId="0" applyFont="1" applyAlignment="1">
      <alignment horizontal="center"/>
    </xf>
    <xf numFmtId="0" fontId="0" fillId="0" borderId="5" xfId="0" applyBorder="1"/>
    <xf numFmtId="0" fontId="0" fillId="0" borderId="6" xfId="0" applyBorder="1"/>
    <xf numFmtId="0" fontId="19" fillId="20" borderId="2" xfId="0" applyFont="1" applyFill="1" applyBorder="1" applyAlignment="1">
      <alignment horizontal="center" vertical="center"/>
    </xf>
    <xf numFmtId="0" fontId="19" fillId="20" borderId="16" xfId="0" applyFont="1" applyFill="1" applyBorder="1" applyAlignment="1">
      <alignment horizontal="center" vertical="center"/>
    </xf>
    <xf numFmtId="0" fontId="6" fillId="20" borderId="4" xfId="0" applyFon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0" fillId="21" borderId="0" xfId="0" applyFill="1"/>
    <xf numFmtId="0" fontId="0" fillId="21" borderId="0" xfId="0" applyFill="1" applyAlignment="1">
      <alignment horizontal="center"/>
    </xf>
    <xf numFmtId="0" fontId="0" fillId="21" borderId="5" xfId="0" applyFill="1" applyBorder="1" applyAlignment="1">
      <alignment horizontal="center"/>
    </xf>
    <xf numFmtId="0" fontId="0" fillId="21" borderId="6" xfId="0" applyFill="1" applyBorder="1" applyAlignment="1">
      <alignment horizontal="center"/>
    </xf>
    <xf numFmtId="0" fontId="0" fillId="0" borderId="5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20" fillId="21" borderId="0" xfId="0" applyFont="1" applyFill="1"/>
    <xf numFmtId="0" fontId="0" fillId="0" borderId="17" xfId="0" applyBorder="1"/>
    <xf numFmtId="0" fontId="0" fillId="0" borderId="8" xfId="0" applyBorder="1" applyAlignment="1">
      <alignment horizontal="left" textRotation="90"/>
    </xf>
    <xf numFmtId="0" fontId="0" fillId="0" borderId="8" xfId="0" applyBorder="1" applyAlignment="1">
      <alignment horizontal="left" textRotation="90" wrapText="1"/>
    </xf>
    <xf numFmtId="0" fontId="0" fillId="0" borderId="18" xfId="0" applyBorder="1" applyAlignment="1">
      <alignment horizontal="center" textRotation="90"/>
    </xf>
    <xf numFmtId="0" fontId="0" fillId="0" borderId="19" xfId="0" applyBorder="1" applyAlignment="1">
      <alignment horizontal="center" textRotation="9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0" fontId="3" fillId="12" borderId="0" xfId="9" applyFont="1" applyFill="1"/>
    <xf numFmtId="0" fontId="1" fillId="18" borderId="0" xfId="9" applyFill="1" applyAlignment="1">
      <alignment vertical="center"/>
    </xf>
    <xf numFmtId="0" fontId="1" fillId="12" borderId="0" xfId="9" applyFill="1" applyAlignment="1">
      <alignment vertical="center"/>
    </xf>
    <xf numFmtId="0" fontId="12" fillId="0" borderId="0" xfId="0" applyFont="1"/>
    <xf numFmtId="0" fontId="21" fillId="22" borderId="20" xfId="0" applyFont="1" applyFill="1" applyBorder="1"/>
    <xf numFmtId="0" fontId="10" fillId="0" borderId="21" xfId="0" applyFont="1" applyBorder="1"/>
    <xf numFmtId="0" fontId="21" fillId="22" borderId="21" xfId="0" applyFont="1" applyFill="1" applyBorder="1"/>
    <xf numFmtId="0" fontId="0" fillId="0" borderId="22" xfId="0" applyBorder="1"/>
    <xf numFmtId="0" fontId="3" fillId="0" borderId="0" xfId="9" applyFont="1" applyAlignment="1">
      <alignment vertical="top" wrapText="1"/>
    </xf>
    <xf numFmtId="0" fontId="3" fillId="0" borderId="0" xfId="9" applyFont="1" applyAlignment="1">
      <alignment wrapText="1"/>
    </xf>
    <xf numFmtId="0" fontId="3" fillId="0" borderId="0" xfId="9" applyFont="1"/>
    <xf numFmtId="0" fontId="1" fillId="0" borderId="0" xfId="9" applyAlignment="1">
      <alignment vertical="top" wrapText="1"/>
    </xf>
    <xf numFmtId="0" fontId="1" fillId="0" borderId="0" xfId="10" applyFont="1" applyAlignment="1">
      <alignment vertical="top" wrapText="1"/>
    </xf>
    <xf numFmtId="0" fontId="1" fillId="0" borderId="0" xfId="9"/>
    <xf numFmtId="0" fontId="1" fillId="17" borderId="0" xfId="9" applyFill="1" applyAlignment="1">
      <alignment vertical="top" wrapText="1"/>
    </xf>
    <xf numFmtId="0" fontId="1" fillId="17" borderId="0" xfId="9" applyFill="1"/>
    <xf numFmtId="0" fontId="11" fillId="0" borderId="0" xfId="0" applyFont="1"/>
    <xf numFmtId="0" fontId="11" fillId="0" borderId="0" xfId="0" applyFont="1" applyAlignment="1">
      <alignment horizontal="left" vertical="center"/>
    </xf>
    <xf numFmtId="15" fontId="0" fillId="0" borderId="0" xfId="0" applyNumberFormat="1"/>
    <xf numFmtId="0" fontId="21" fillId="22" borderId="0" xfId="0" applyFont="1" applyFill="1" applyAlignment="1">
      <alignment textRotation="90"/>
    </xf>
    <xf numFmtId="0" fontId="10" fillId="0" borderId="0" xfId="0" applyFont="1" applyAlignment="1">
      <alignment textRotation="90"/>
    </xf>
    <xf numFmtId="0" fontId="21" fillId="0" borderId="0" xfId="0" applyFont="1" applyAlignment="1">
      <alignment textRotation="90"/>
    </xf>
    <xf numFmtId="0" fontId="21" fillId="22" borderId="0" xfId="0" applyFont="1" applyFill="1"/>
    <xf numFmtId="0" fontId="0" fillId="22" borderId="0" xfId="0" applyFill="1"/>
    <xf numFmtId="0" fontId="10" fillId="0" borderId="0" xfId="0" applyFont="1"/>
    <xf numFmtId="0" fontId="0" fillId="19" borderId="0" xfId="0" applyFill="1"/>
    <xf numFmtId="0" fontId="0" fillId="0" borderId="0" xfId="0" quotePrefix="1"/>
    <xf numFmtId="0" fontId="21" fillId="0" borderId="0" xfId="0" applyFont="1"/>
    <xf numFmtId="0" fontId="10" fillId="18" borderId="0" xfId="0" applyFont="1" applyFill="1"/>
    <xf numFmtId="0" fontId="10" fillId="18" borderId="0" xfId="0" applyFont="1" applyFill="1" applyAlignment="1">
      <alignment textRotation="90"/>
    </xf>
    <xf numFmtId="0" fontId="0" fillId="18" borderId="0" xfId="0" applyFill="1"/>
  </cellXfs>
  <cellStyles count="11">
    <cellStyle name="Dezimal [0]" xfId="2" builtinId="6" customBuiltin="1"/>
    <cellStyle name="Komma" xfId="1" builtinId="3" customBuiltin="1"/>
    <cellStyle name="Notiz" xfId="8" builtinId="10" customBuiltin="1"/>
    <cellStyle name="Prozent" xfId="5" builtinId="5" customBuiltin="1"/>
    <cellStyle name="Standard" xfId="0" builtinId="0" customBuiltin="1"/>
    <cellStyle name="Standard 2" xfId="10" xr:uid="{120481FF-815A-430F-911B-167F76777AFC}"/>
    <cellStyle name="Standard 2 2 2" xfId="9" xr:uid="{653D0402-4BD9-4C41-8319-C48DF4FD6DED}"/>
    <cellStyle name="Überschrift 3" xfId="6" builtinId="18" customBuiltin="1"/>
    <cellStyle name="Überschrift 4" xfId="7" builtinId="19" customBuiltin="1"/>
    <cellStyle name="Währung" xfId="3" builtinId="4" customBuiltin="1"/>
    <cellStyle name="Währung [0]" xfId="4" builtinId="7" customBuiltin="1"/>
  </cellStyles>
  <dxfs count="31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681037</xdr:colOff>
      <xdr:row>17</xdr:row>
      <xdr:rowOff>9526</xdr:rowOff>
    </xdr:from>
    <xdr:to>
      <xdr:col>14</xdr:col>
      <xdr:colOff>576262</xdr:colOff>
      <xdr:row>32</xdr:row>
      <xdr:rowOff>109542</xdr:rowOff>
    </xdr:to>
    <xdr:sp macro="" textlink="">
      <xdr:nvSpPr>
        <xdr:cNvPr id="3" name="Infobox1">
          <a:extLst>
            <a:ext uri="{FF2B5EF4-FFF2-40B4-BE49-F238E27FC236}">
              <a16:creationId xmlns:a16="http://schemas.microsoft.com/office/drawing/2014/main" id="{13CEC8EC-B7B7-46E1-836F-5587881AD896}"/>
            </a:ext>
          </a:extLst>
        </xdr:cNvPr>
        <xdr:cNvSpPr/>
      </xdr:nvSpPr>
      <xdr:spPr>
        <a:xfrm>
          <a:off x="5519737" y="2195514"/>
          <a:ext cx="4848225" cy="2090741"/>
        </a:xfrm>
        <a:prstGeom prst="rect">
          <a:avLst/>
        </a:prstGeom>
        <a:solidFill>
          <a:schemeClr val="bg1">
            <a:lumMod val="95000"/>
            <a:alpha val="8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GB" sz="1000" b="1" baseline="0">
              <a:solidFill>
                <a:srgbClr val="008000"/>
              </a:solidFill>
              <a:latin typeface="Consolas" panose="020B0609020204030204" pitchFamily="49" charset="0"/>
              <a:cs typeface="Arial" panose="020B0604020202020204" pitchFamily="34" charset="0"/>
            </a:rPr>
            <a:t>a2-hires-lab</a:t>
          </a:r>
          <a:r>
            <a:rPr lang="en-GB" sz="1000" b="1" baseline="0">
              <a:solidFill>
                <a:srgbClr val="008000"/>
              </a:solidFill>
              <a:latin typeface="Arial" panose="020B0604020202020204" pitchFamily="34" charset="0"/>
              <a:cs typeface="Arial" panose="020B0604020202020204" pitchFamily="34" charset="0"/>
            </a:rPr>
            <a:t> Workbench</a:t>
          </a: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An Excel/VBA lab that makes the Apple II hi-res graphics system tangible, built tightly around XekriRedmane's Lode Runner disassembly.</a:t>
          </a:r>
          <a:endParaRPr lang="en-GB" sz="1000" b="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Sprites Viewer / Editor</a:t>
          </a: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Inventory with 104 original sprites</a:t>
          </a: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Pixel Shifter</a:t>
          </a: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Sprite Shifter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40</xdr:row>
          <xdr:rowOff>104775</xdr:rowOff>
        </xdr:from>
        <xdr:to>
          <xdr:col>10</xdr:col>
          <xdr:colOff>38100</xdr:colOff>
          <xdr:row>42</xdr:row>
          <xdr:rowOff>71438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sheets in ALL sections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44</xdr:row>
          <xdr:rowOff>57150</xdr:rowOff>
        </xdr:from>
        <xdr:to>
          <xdr:col>10</xdr:col>
          <xdr:colOff>38100</xdr:colOff>
          <xdr:row>46</xdr:row>
          <xdr:rowOff>23813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data flow boxes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42</xdr:row>
          <xdr:rowOff>80963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0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39</xdr:row>
          <xdr:rowOff>0</xdr:rowOff>
        </xdr:from>
        <xdr:to>
          <xdr:col>10</xdr:col>
          <xdr:colOff>38100</xdr:colOff>
          <xdr:row>40</xdr:row>
          <xdr:rowOff>95250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0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sheets in ALL sections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71432</xdr:rowOff>
    </xdr:from>
    <xdr:to>
      <xdr:col>9</xdr:col>
      <xdr:colOff>609600</xdr:colOff>
      <xdr:row>3</xdr:row>
      <xdr:rowOff>61907</xdr:rowOff>
    </xdr:to>
    <xdr:sp macro="" textlink="">
      <xdr:nvSpPr>
        <xdr:cNvPr id="4" name="VersionBox">
          <a:extLst>
            <a:ext uri="{FF2B5EF4-FFF2-40B4-BE49-F238E27FC236}">
              <a16:creationId xmlns:a16="http://schemas.microsoft.com/office/drawing/2014/main" id="{953D1445-840E-4C9D-9D4F-896CDF75D35E}"/>
            </a:ext>
          </a:extLst>
        </xdr:cNvPr>
        <xdr:cNvSpPr/>
      </xdr:nvSpPr>
      <xdr:spPr>
        <a:xfrm>
          <a:off x="5524500" y="200020"/>
          <a:ext cx="1295400" cy="2476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Version: 260920 v0009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0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923925</xdr:colOff>
          <xdr:row>0</xdr:row>
          <xdr:rowOff>9525</xdr:rowOff>
        </xdr:from>
        <xdr:to>
          <xdr:col>1</xdr:col>
          <xdr:colOff>1571625</xdr:colOff>
          <xdr:row>1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376238</xdr:colOff>
          <xdr:row>2</xdr:row>
          <xdr:rowOff>352425</xdr:rowOff>
        </xdr:from>
        <xdr:to>
          <xdr:col>1</xdr:col>
          <xdr:colOff>1366838</xdr:colOff>
          <xdr:row>2</xdr:row>
          <xdr:rowOff>571500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3</xdr:row>
      <xdr:rowOff>0</xdr:rowOff>
    </xdr:from>
    <xdr:to>
      <xdr:col>43</xdr:col>
      <xdr:colOff>28575</xdr:colOff>
      <xdr:row>6</xdr:row>
      <xdr:rowOff>114300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820D2BFD-481C-47D0-B59A-1A9B44E6574E}"/>
            </a:ext>
          </a:extLst>
        </xdr:cNvPr>
        <xdr:cNvSpPr/>
      </xdr:nvSpPr>
      <xdr:spPr>
        <a:xfrm>
          <a:off x="5953125" y="385763"/>
          <a:ext cx="1914525" cy="6096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Sprite (load)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6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6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6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6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104775</xdr:colOff>
      <xdr:row>0</xdr:row>
      <xdr:rowOff>119063</xdr:rowOff>
    </xdr:from>
    <xdr:to>
      <xdr:col>30</xdr:col>
      <xdr:colOff>38100</xdr:colOff>
      <xdr:row>2</xdr:row>
      <xdr:rowOff>147638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48881EA3-E8EA-4699-81B5-33A25F9DE07B}"/>
            </a:ext>
          </a:extLst>
        </xdr:cNvPr>
        <xdr:cNvSpPr/>
      </xdr:nvSpPr>
      <xdr:spPr>
        <a:xfrm>
          <a:off x="6858000" y="1190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Loader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0</xdr:rowOff>
    </xdr:from>
    <xdr:to>
      <xdr:col>30</xdr:col>
      <xdr:colOff>161925</xdr:colOff>
      <xdr:row>5</xdr:row>
      <xdr:rowOff>109538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0072933A-AA06-4815-B7E3-7AEAC557584C}"/>
            </a:ext>
          </a:extLst>
        </xdr:cNvPr>
        <xdr:cNvSpPr/>
      </xdr:nvSpPr>
      <xdr:spPr>
        <a:xfrm>
          <a:off x="485775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3</xdr:row>
      <xdr:rowOff>0</xdr:rowOff>
    </xdr:from>
    <xdr:to>
      <xdr:col>56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5BC161F3-CC7D-4E3C-BE84-A003CC57F532}"/>
            </a:ext>
          </a:extLst>
        </xdr:cNvPr>
        <xdr:cNvSpPr/>
      </xdr:nvSpPr>
      <xdr:spPr>
        <a:xfrm>
          <a:off x="1188720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1</xdr:row>
      <xdr:rowOff>0</xdr:rowOff>
    </xdr:from>
    <xdr:to>
      <xdr:col>28</xdr:col>
      <xdr:colOff>85725</xdr:colOff>
      <xdr:row>3</xdr:row>
      <xdr:rowOff>276225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14DEBBA3-C9EA-49F1-8E0E-D0BCF1B8CF2B}"/>
            </a:ext>
          </a:extLst>
        </xdr:cNvPr>
        <xdr:cNvSpPr/>
      </xdr:nvSpPr>
      <xdr:spPr>
        <a:xfrm>
          <a:off x="7343775" y="128588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10</xdr:col>
      <xdr:colOff>85725</xdr:colOff>
      <xdr:row>6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38C6BF7E-0FFE-4748-A835-769E70D26E1F}"/>
            </a:ext>
          </a:extLst>
        </xdr:cNvPr>
        <xdr:cNvSpPr/>
      </xdr:nvSpPr>
      <xdr:spPr>
        <a:xfrm>
          <a:off x="4543425" y="25717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3</xdr:row>
      <xdr:rowOff>0</xdr:rowOff>
    </xdr:from>
    <xdr:to>
      <xdr:col>22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6FA9F3AF-B6AA-49B4-8106-F3F4263A14E8}"/>
            </a:ext>
          </a:extLst>
        </xdr:cNvPr>
        <xdr:cNvSpPr/>
      </xdr:nvSpPr>
      <xdr:spPr>
        <a:xfrm>
          <a:off x="6567488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Table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1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1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1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1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1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1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1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1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1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1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1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1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1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29</xdr:row>
      <xdr:rowOff>128587</xdr:rowOff>
    </xdr:from>
    <xdr:to>
      <xdr:col>13</xdr:col>
      <xdr:colOff>542925</xdr:colOff>
      <xdr:row>33</xdr:row>
      <xdr:rowOff>85725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20918354-7ED9-420E-B2C5-610F2B2F7E75}"/>
            </a:ext>
          </a:extLst>
        </xdr:cNvPr>
        <xdr:cNvSpPr/>
      </xdr:nvSpPr>
      <xdr:spPr>
        <a:xfrm>
          <a:off x="7581900" y="385762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(no references)</a:t>
          </a:r>
        </a:p>
      </xdr:txBody>
    </xdr:sp>
    <xdr:clientData/>
  </xdr:twoCellAnchor>
  <xdr:twoCellAnchor>
    <xdr:from>
      <xdr:col>11</xdr:col>
      <xdr:colOff>0</xdr:colOff>
      <xdr:row>22</xdr:row>
      <xdr:rowOff>0</xdr:rowOff>
    </xdr:from>
    <xdr:to>
      <xdr:col>11</xdr:col>
      <xdr:colOff>681470</xdr:colOff>
      <xdr:row>26</xdr:row>
      <xdr:rowOff>17319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93B7CAED-C7AB-42D7-A40F-7D5EAD0FF0AC}"/>
            </a:ext>
          </a:extLst>
        </xdr:cNvPr>
        <xdr:cNvSpPr/>
      </xdr:nvSpPr>
      <xdr:spPr>
        <a:xfrm>
          <a:off x="7581900" y="2828925"/>
          <a:ext cx="681470" cy="531669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1000" b="0" u="none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  <xdr:twoCellAnchor>
    <xdr:from>
      <xdr:col>11</xdr:col>
      <xdr:colOff>0</xdr:colOff>
      <xdr:row>26</xdr:row>
      <xdr:rowOff>128587</xdr:rowOff>
    </xdr:from>
    <xdr:to>
      <xdr:col>12</xdr:col>
      <xdr:colOff>485775</xdr:colOff>
      <xdr:row>29</xdr:row>
      <xdr:rowOff>28574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22E21AA6-EE75-479F-9042-1D5EA0CFD3EF}"/>
            </a:ext>
          </a:extLst>
        </xdr:cNvPr>
        <xdr:cNvSpPr/>
      </xdr:nvSpPr>
      <xdr:spPr>
        <a:xfrm>
          <a:off x="7581900" y="3471862"/>
          <a:ext cx="1171575" cy="2857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D9E86-1634-4353-AC01-09AC37B85C19}">
  <sheetPr codeName="Tabelle001">
    <tabColor rgb="FF2B164B"/>
  </sheetPr>
  <dimension ref="A1:M67"/>
  <sheetViews>
    <sheetView showRowColHeaders="0" tabSelected="1" zoomScaleNormal="100" workbookViewId="0"/>
  </sheetViews>
  <sheetFormatPr baseColWidth="10" defaultColWidth="12" defaultRowHeight="10.15" x14ac:dyDescent="0.3"/>
  <cols>
    <col min="1" max="1" width="8.58203125" style="63" customWidth="1"/>
    <col min="2" max="6" width="8.58203125" style="61" customWidth="1"/>
    <col min="7" max="7" width="33.1640625" style="61" customWidth="1"/>
    <col min="8" max="9" width="12" style="61"/>
    <col min="10" max="10" width="12.83203125" style="61" customWidth="1"/>
    <col min="11" max="11" width="12" style="61"/>
    <col min="12" max="12" width="13.83203125" style="61" bestFit="1" customWidth="1"/>
    <col min="13" max="16384" width="12" style="61"/>
  </cols>
  <sheetData>
    <row r="1" spans="11:11" ht="10.25" customHeight="1" x14ac:dyDescent="0.3"/>
    <row r="2" spans="11:11" ht="10.25" customHeight="1" x14ac:dyDescent="0.3"/>
    <row r="3" spans="11:11" ht="10.25" customHeight="1" x14ac:dyDescent="0.3">
      <c r="K3" s="63" t="str" cm="1">
        <f t="array" ref="K3">LastInColumn2(Versions!C:C)</f>
        <v>GitHub public, Phase 1-4 completed</v>
      </c>
    </row>
    <row r="4" spans="11:11" ht="10.25" customHeight="1" x14ac:dyDescent="0.3"/>
    <row r="5" spans="11:11" ht="10.25" customHeight="1" x14ac:dyDescent="0.3"/>
    <row r="6" spans="11:11" ht="10.25" customHeight="1" x14ac:dyDescent="0.3"/>
    <row r="7" spans="11:11" ht="10.25" customHeight="1" x14ac:dyDescent="0.3"/>
    <row r="8" spans="11:11" ht="10.25" customHeight="1" x14ac:dyDescent="0.3"/>
    <row r="9" spans="11:11" ht="10.25" customHeight="1" x14ac:dyDescent="0.3"/>
    <row r="10" spans="11:11" ht="10.25" customHeight="1" x14ac:dyDescent="0.3"/>
    <row r="11" spans="11:11" ht="10.25" customHeight="1" x14ac:dyDescent="0.3"/>
    <row r="12" spans="11:11" ht="10.25" customHeight="1" x14ac:dyDescent="0.3"/>
    <row r="13" spans="11:11" ht="10.25" customHeight="1" x14ac:dyDescent="0.3"/>
    <row r="14" spans="11:11" ht="10.25" customHeight="1" x14ac:dyDescent="0.3"/>
    <row r="15" spans="11:11" ht="10.25" customHeight="1" x14ac:dyDescent="0.3"/>
    <row r="16" spans="11:11" ht="10.25" customHeight="1" x14ac:dyDescent="0.3"/>
    <row r="17" spans="7:9" ht="10.25" customHeight="1" x14ac:dyDescent="0.3"/>
    <row r="18" spans="7:9" ht="10.25" customHeight="1" x14ac:dyDescent="0.3"/>
    <row r="19" spans="7:9" ht="10.25" customHeight="1" x14ac:dyDescent="0.3"/>
    <row r="20" spans="7:9" ht="10.25" customHeight="1" x14ac:dyDescent="0.4">
      <c r="G20" s="65"/>
    </row>
    <row r="21" spans="7:9" ht="10.25" customHeight="1" x14ac:dyDescent="0.3"/>
    <row r="22" spans="7:9" ht="10.25" customHeight="1" x14ac:dyDescent="0.3"/>
    <row r="23" spans="7:9" ht="10.25" customHeight="1" x14ac:dyDescent="0.3"/>
    <row r="24" spans="7:9" ht="10.25" customHeight="1" x14ac:dyDescent="0.3"/>
    <row r="25" spans="7:9" ht="10.25" customHeight="1" x14ac:dyDescent="0.4">
      <c r="G25" s="65"/>
    </row>
    <row r="26" spans="7:9" ht="10.25" customHeight="1" x14ac:dyDescent="0.3"/>
    <row r="27" spans="7:9" ht="10.25" customHeight="1" x14ac:dyDescent="0.3"/>
    <row r="28" spans="7:9" ht="10.25" customHeight="1" x14ac:dyDescent="0.3"/>
    <row r="29" spans="7:9" ht="10.25" customHeight="1" x14ac:dyDescent="0.3"/>
    <row r="30" spans="7:9" ht="15" customHeight="1" x14ac:dyDescent="0.4">
      <c r="G30" s="65" t="s">
        <v>962</v>
      </c>
    </row>
    <row r="31" spans="7:9" ht="10.25" customHeight="1" x14ac:dyDescent="0.3">
      <c r="G31" s="61" t="s">
        <v>941</v>
      </c>
      <c r="I31" s="129"/>
    </row>
    <row r="32" spans="7:9" ht="10.25" customHeight="1" x14ac:dyDescent="0.3">
      <c r="G32" s="61" t="s">
        <v>955</v>
      </c>
    </row>
    <row r="33" spans="1:13" ht="10.25" customHeight="1" x14ac:dyDescent="0.3">
      <c r="G33" s="61" t="s">
        <v>912</v>
      </c>
    </row>
    <row r="34" spans="1:13" ht="10.25" customHeight="1" x14ac:dyDescent="0.3">
      <c r="G34" s="61" t="s">
        <v>911</v>
      </c>
    </row>
    <row r="35" spans="1:13" ht="10.25" customHeight="1" x14ac:dyDescent="0.3"/>
    <row r="36" spans="1:13" ht="10.25" customHeight="1" x14ac:dyDescent="0.3"/>
    <row r="37" spans="1:13" ht="10.25" customHeight="1" x14ac:dyDescent="0.3"/>
    <row r="38" spans="1:13" ht="10.25" customHeight="1" x14ac:dyDescent="0.3"/>
    <row r="39" spans="1:13" ht="10.25" customHeight="1" x14ac:dyDescent="0.3"/>
    <row r="40" spans="1:13" s="131" customFormat="1" ht="10.25" customHeight="1" x14ac:dyDescent="0.3">
      <c r="A40" s="130"/>
      <c r="L40" s="64" t="b">
        <f>AND(L42:L46)</f>
        <v>1</v>
      </c>
    </row>
    <row r="41" spans="1:13" s="131" customFormat="1" ht="10.25" customHeight="1" x14ac:dyDescent="0.3">
      <c r="A41" s="130"/>
      <c r="L41" s="66" t="b">
        <f>'Sprite Shifting'!I30</f>
        <v>1</v>
      </c>
      <c r="M41" s="131" t="str" cm="1">
        <f t="array" ref="M41">GetWorksheetName('Sprite Shifting'!I30)</f>
        <v>Sprite Shifting</v>
      </c>
    </row>
    <row r="42" spans="1:13" s="131" customFormat="1" ht="10.25" customHeight="1" x14ac:dyDescent="0.3">
      <c r="A42" s="130"/>
      <c r="L42" s="66" t="b">
        <f>'Pixel Shifting'!I30</f>
        <v>1</v>
      </c>
      <c r="M42" s="131" t="str" cm="1">
        <f t="array" ref="M42">GetWorksheetName('Pixel Shifting'!I30)</f>
        <v>Pixel Shifting</v>
      </c>
    </row>
    <row r="43" spans="1:13" s="131" customFormat="1" ht="10.25" customHeight="1" x14ac:dyDescent="0.3">
      <c r="A43" s="130"/>
      <c r="L43" s="66" t="b">
        <f>Sprites!I30</f>
        <v>1</v>
      </c>
      <c r="M43" s="131" t="str" cm="1">
        <f t="array" ref="M43">GetWorksheetName(Sprites!I30)</f>
        <v>Sprites</v>
      </c>
    </row>
    <row r="44" spans="1:13" s="131" customFormat="1" ht="10.25" customHeight="1" x14ac:dyDescent="0.3">
      <c r="A44" s="130"/>
    </row>
    <row r="45" spans="1:13" s="131" customFormat="1" ht="10.25" customHeight="1" x14ac:dyDescent="0.3">
      <c r="A45" s="130"/>
    </row>
    <row r="46" spans="1:13" s="131" customFormat="1" ht="10.25" customHeight="1" x14ac:dyDescent="0.3">
      <c r="A46" s="130"/>
    </row>
    <row r="47" spans="1:13" s="131" customFormat="1" ht="10.25" customHeight="1" x14ac:dyDescent="0.3">
      <c r="A47" s="130"/>
    </row>
    <row r="48" spans="1:13" s="131" customFormat="1" ht="10.25" customHeight="1" x14ac:dyDescent="0.3">
      <c r="A48" s="130"/>
    </row>
    <row r="49" spans="1:9" s="131" customFormat="1" ht="10.25" customHeight="1" x14ac:dyDescent="0.3">
      <c r="A49" s="130"/>
    </row>
    <row r="50" spans="1:9" s="131" customFormat="1" ht="10.25" customHeight="1" x14ac:dyDescent="0.3">
      <c r="A50" s="130"/>
    </row>
    <row r="51" spans="1:9" s="131" customFormat="1" ht="10.25" customHeight="1" x14ac:dyDescent="0.3">
      <c r="A51" s="130"/>
    </row>
    <row r="52" spans="1:9" s="131" customFormat="1" ht="10.25" customHeight="1" x14ac:dyDescent="0.3">
      <c r="A52" s="130"/>
    </row>
    <row r="53" spans="1:9" ht="10.25" customHeight="1" x14ac:dyDescent="0.3"/>
    <row r="59" spans="1:9" ht="10.5" thickBot="1" x14ac:dyDescent="0.35">
      <c r="I59" s="132" t="s">
        <v>963</v>
      </c>
    </row>
    <row r="60" spans="1:9" x14ac:dyDescent="0.3">
      <c r="I60" s="133" t="str" cm="1">
        <f t="array" ref="I60">GetWorksheetName(A1)</f>
        <v>Intro</v>
      </c>
    </row>
    <row r="61" spans="1:9" x14ac:dyDescent="0.3">
      <c r="I61" s="134" t="str" cm="1">
        <f t="array" ref="I61">GetWorksheetName('&gt; comments &lt;'!A1)</f>
        <v>&gt; comments &lt;</v>
      </c>
    </row>
    <row r="62" spans="1:9" x14ac:dyDescent="0.3">
      <c r="I62" s="134" t="str" cm="1">
        <f t="array" ref="I62">GetWorksheetName(Versions!A1)</f>
        <v>Versions</v>
      </c>
    </row>
    <row r="63" spans="1:9" x14ac:dyDescent="0.3">
      <c r="I63" s="134" t="str" cm="1">
        <f t="array" ref="I63">GetWorksheetName('Worksheets matrix'!A1)</f>
        <v>Worksheets matrix</v>
      </c>
    </row>
    <row r="64" spans="1:9" x14ac:dyDescent="0.3">
      <c r="I64" s="135" t="str" cm="1">
        <f t="array" ref="I64">GetWorksheetName('Sprite Shifting'!A1)</f>
        <v>Sprite Shifting</v>
      </c>
    </row>
    <row r="65" spans="9:9" x14ac:dyDescent="0.3">
      <c r="I65" s="135" t="str" cm="1">
        <f t="array" ref="I65">GetWorksheetName('Pixel Shifting'!A1)</f>
        <v>Pixel Shifting</v>
      </c>
    </row>
    <row r="66" spans="9:9" x14ac:dyDescent="0.3">
      <c r="I66" s="135" t="str" cm="1">
        <f t="array" ref="I66">GetWorksheetName(Sprites!A1)</f>
        <v>Sprites</v>
      </c>
    </row>
    <row r="67" spans="9:9" ht="10.5" thickBot="1" x14ac:dyDescent="0.35">
      <c r="I67" s="136"/>
    </row>
  </sheetData>
  <conditionalFormatting sqref="L41:L43">
    <cfRule type="expression" dxfId="30" priority="2">
      <formula>IFERROR(NOT(L41),TRUE)</formula>
    </cfRule>
  </conditionalFormatting>
  <conditionalFormatting sqref="L40">
    <cfRule type="expression" dxfId="29" priority="1">
      <formula>IFERROR(NOT(L40),TRUE)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_HideSheetsInAllSections">
                <anchor moveWithCells="1" sizeWithCells="1">
                  <from>
                    <xdr:col>8</xdr:col>
                    <xdr:colOff>19050</xdr:colOff>
                    <xdr:row>40</xdr:row>
                    <xdr:rowOff>104775</xdr:rowOff>
                  </from>
                  <to>
                    <xdr:col>10</xdr:col>
                    <xdr:colOff>38100</xdr:colOff>
                    <xdr:row>42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_UpdateDataFlowBoxes">
                <anchor moveWithCells="1" sizeWithCells="1">
                  <from>
                    <xdr:col>8</xdr:col>
                    <xdr:colOff>19050</xdr:colOff>
                    <xdr:row>44</xdr:row>
                    <xdr:rowOff>57150</xdr:rowOff>
                  </from>
                  <to>
                    <xdr:col>10</xdr:col>
                    <xdr:colOff>38100</xdr:colOff>
                    <xdr:row>46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Button 4">
              <controlPr defaultSize="0" print="0" autoFill="0" autoPict="0" macro="[0]!Button_SetVersion">
                <anchor moveWithCells="1" sizeWithCells="1">
                  <from>
                    <xdr:col>8</xdr:col>
                    <xdr:colOff>19050</xdr:colOff>
                    <xdr:row>42</xdr:row>
                    <xdr:rowOff>80963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7" name="Button 5">
              <controlPr defaultSize="0" print="0" autoFill="0" autoPict="0" macro="[0]!Button_ShowSheetsInAllSections">
                <anchor moveWithCells="1" sizeWithCells="1">
                  <from>
                    <xdr:col>8</xdr:col>
                    <xdr:colOff>19050</xdr:colOff>
                    <xdr:row>39</xdr:row>
                    <xdr:rowOff>0</xdr:rowOff>
                  </from>
                  <to>
                    <xdr:col>10</xdr:col>
                    <xdr:colOff>38100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8" name="Button 7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DE4BD-7D0E-414E-91B8-953C6A62E972}">
  <sheetPr codeName="Tabelle02"/>
  <dimension ref="A1:B200"/>
  <sheetViews>
    <sheetView showRowColHeaders="0" zoomScaleNormal="100" workbookViewId="0">
      <pane ySplit="1" topLeftCell="A2" activePane="bottomLeft" state="frozen"/>
      <selection pane="bottomLeft" activeCell="A2" sqref="A2"/>
    </sheetView>
  </sheetViews>
  <sheetFormatPr baseColWidth="10" defaultColWidth="13.6640625" defaultRowHeight="10.15" x14ac:dyDescent="0.3"/>
  <cols>
    <col min="1" max="1" width="35" style="140" customWidth="1"/>
    <col min="2" max="2" width="131" style="140" customWidth="1"/>
    <col min="3" max="16384" width="13.6640625" style="142"/>
  </cols>
  <sheetData>
    <row r="1" spans="1:2" s="139" customFormat="1" x14ac:dyDescent="0.3">
      <c r="A1" s="137" t="s">
        <v>964</v>
      </c>
      <c r="B1" s="138" t="s">
        <v>965</v>
      </c>
    </row>
    <row r="2" spans="1:2" x14ac:dyDescent="0.3">
      <c r="A2" s="140" t="str">
        <f>GetAddress('Sprite Shifter'!$AD$4, TRUE)</f>
        <v>'Sprite Shifter'!$AD$4</v>
      </c>
      <c r="B2" s="141" t="str">
        <f>GetComment($A$2, TRUE)</f>
        <v>some comment</v>
      </c>
    </row>
    <row r="3" spans="1:2" x14ac:dyDescent="0.3">
      <c r="B3" s="141" t="str">
        <f>GetComment($A$3, TRUE)</f>
        <v/>
      </c>
    </row>
    <row r="4" spans="1:2" x14ac:dyDescent="0.3">
      <c r="B4" s="141" t="str">
        <f>GetComment($A$4, TRUE)</f>
        <v/>
      </c>
    </row>
    <row r="5" spans="1:2" x14ac:dyDescent="0.3">
      <c r="B5" s="141" t="str">
        <f>GetComment($A$5, TRUE)</f>
        <v/>
      </c>
    </row>
    <row r="6" spans="1:2" x14ac:dyDescent="0.3">
      <c r="B6" s="141" t="str">
        <f>GetComment($A$6, TRUE)</f>
        <v/>
      </c>
    </row>
    <row r="7" spans="1:2" x14ac:dyDescent="0.3">
      <c r="B7" s="141" t="str">
        <f>GetComment($A$7, TRUE)</f>
        <v/>
      </c>
    </row>
    <row r="8" spans="1:2" x14ac:dyDescent="0.3">
      <c r="B8" s="141" t="str">
        <f>GetComment($A$8, TRUE)</f>
        <v/>
      </c>
    </row>
    <row r="9" spans="1:2" x14ac:dyDescent="0.3">
      <c r="B9" s="141" t="str">
        <f>GetComment($A$9, TRUE)</f>
        <v/>
      </c>
    </row>
    <row r="10" spans="1:2" x14ac:dyDescent="0.3">
      <c r="B10" s="141" t="str">
        <f>GetComment($A$10, TRUE)</f>
        <v/>
      </c>
    </row>
    <row r="11" spans="1:2" x14ac:dyDescent="0.3">
      <c r="B11" s="141" t="str">
        <f>GetComment($A$11, TRUE)</f>
        <v/>
      </c>
    </row>
    <row r="12" spans="1:2" x14ac:dyDescent="0.3">
      <c r="B12" s="141" t="str">
        <f>GetComment($A$12, TRUE)</f>
        <v/>
      </c>
    </row>
    <row r="13" spans="1:2" x14ac:dyDescent="0.3">
      <c r="B13" s="141" t="str">
        <f>GetComment($A$13, TRUE)</f>
        <v/>
      </c>
    </row>
    <row r="14" spans="1:2" x14ac:dyDescent="0.3">
      <c r="B14" s="141" t="str">
        <f>GetComment($A$14, TRUE)</f>
        <v/>
      </c>
    </row>
    <row r="15" spans="1:2" x14ac:dyDescent="0.3">
      <c r="B15" s="141" t="str">
        <f>GetComment($A$15, TRUE)</f>
        <v/>
      </c>
    </row>
    <row r="16" spans="1:2" x14ac:dyDescent="0.3">
      <c r="B16" s="141" t="str">
        <f>GetComment($A$16, TRUE)</f>
        <v/>
      </c>
    </row>
    <row r="17" spans="2:2" x14ac:dyDescent="0.3">
      <c r="B17" s="141" t="str">
        <f>GetComment($A$17, TRUE)</f>
        <v/>
      </c>
    </row>
    <row r="18" spans="2:2" x14ac:dyDescent="0.3">
      <c r="B18" s="141" t="str">
        <f>GetComment($A$18, TRUE)</f>
        <v/>
      </c>
    </row>
    <row r="19" spans="2:2" x14ac:dyDescent="0.3">
      <c r="B19" s="141" t="str">
        <f>GetComment($A$19, TRUE)</f>
        <v/>
      </c>
    </row>
    <row r="20" spans="2:2" x14ac:dyDescent="0.3">
      <c r="B20" s="141" t="str">
        <f>GetComment($A$20, TRUE)</f>
        <v/>
      </c>
    </row>
    <row r="21" spans="2:2" x14ac:dyDescent="0.3">
      <c r="B21" s="141" t="str">
        <f>GetComment($A$21, TRUE)</f>
        <v/>
      </c>
    </row>
    <row r="22" spans="2:2" x14ac:dyDescent="0.3">
      <c r="B22" s="141" t="str">
        <f>GetComment($A$22, TRUE)</f>
        <v/>
      </c>
    </row>
    <row r="23" spans="2:2" x14ac:dyDescent="0.3">
      <c r="B23" s="141" t="str">
        <f>GetComment($A$23, TRUE)</f>
        <v/>
      </c>
    </row>
    <row r="24" spans="2:2" x14ac:dyDescent="0.3">
      <c r="B24" s="141" t="str">
        <f>GetComment($A$24, TRUE)</f>
        <v/>
      </c>
    </row>
    <row r="25" spans="2:2" x14ac:dyDescent="0.3">
      <c r="B25" s="141" t="str">
        <f>GetComment($A$25, TRUE)</f>
        <v/>
      </c>
    </row>
    <row r="26" spans="2:2" x14ac:dyDescent="0.3">
      <c r="B26" s="141" t="str">
        <f>GetComment($A$26, TRUE)</f>
        <v/>
      </c>
    </row>
    <row r="27" spans="2:2" x14ac:dyDescent="0.3">
      <c r="B27" s="141" t="str">
        <f>GetComment($A$27, TRUE)</f>
        <v/>
      </c>
    </row>
    <row r="28" spans="2:2" x14ac:dyDescent="0.3">
      <c r="B28" s="141" t="str">
        <f>GetComment($A$28, TRUE)</f>
        <v/>
      </c>
    </row>
    <row r="29" spans="2:2" x14ac:dyDescent="0.3">
      <c r="B29" s="141" t="str">
        <f>GetComment($A$29, TRUE)</f>
        <v/>
      </c>
    </row>
    <row r="30" spans="2:2" x14ac:dyDescent="0.3">
      <c r="B30" s="141" t="str">
        <f>GetComment($A$30, TRUE)</f>
        <v/>
      </c>
    </row>
    <row r="31" spans="2:2" x14ac:dyDescent="0.3">
      <c r="B31" s="141" t="str">
        <f>GetComment($A$31, TRUE)</f>
        <v/>
      </c>
    </row>
    <row r="32" spans="2:2" x14ac:dyDescent="0.3">
      <c r="B32" s="141" t="str">
        <f>GetComment($A$32, TRUE)</f>
        <v/>
      </c>
    </row>
    <row r="33" spans="2:2" x14ac:dyDescent="0.3">
      <c r="B33" s="141" t="str">
        <f>GetComment($A$33, TRUE)</f>
        <v/>
      </c>
    </row>
    <row r="34" spans="2:2" x14ac:dyDescent="0.3">
      <c r="B34" s="141" t="str">
        <f>GetComment($A$34, TRUE)</f>
        <v/>
      </c>
    </row>
    <row r="35" spans="2:2" x14ac:dyDescent="0.3">
      <c r="B35" s="141" t="str">
        <f>GetComment($A$35, TRUE)</f>
        <v/>
      </c>
    </row>
    <row r="36" spans="2:2" x14ac:dyDescent="0.3">
      <c r="B36" s="141" t="str">
        <f>GetComment($A$36, TRUE)</f>
        <v/>
      </c>
    </row>
    <row r="37" spans="2:2" x14ac:dyDescent="0.3">
      <c r="B37" s="141" t="str">
        <f>GetComment($A$37, TRUE)</f>
        <v/>
      </c>
    </row>
    <row r="38" spans="2:2" x14ac:dyDescent="0.3">
      <c r="B38" s="141" t="str">
        <f>GetComment($A$38, TRUE)</f>
        <v/>
      </c>
    </row>
    <row r="39" spans="2:2" x14ac:dyDescent="0.3">
      <c r="B39" s="141" t="str">
        <f>GetComment($A$39, TRUE)</f>
        <v/>
      </c>
    </row>
    <row r="40" spans="2:2" x14ac:dyDescent="0.3">
      <c r="B40" s="141" t="str">
        <f>GetComment($A$40, TRUE)</f>
        <v/>
      </c>
    </row>
    <row r="41" spans="2:2" x14ac:dyDescent="0.3">
      <c r="B41" s="141" t="str">
        <f>GetComment($A$41, TRUE)</f>
        <v/>
      </c>
    </row>
    <row r="42" spans="2:2" x14ac:dyDescent="0.3">
      <c r="B42" s="141" t="str">
        <f>GetComment($A$42, TRUE)</f>
        <v/>
      </c>
    </row>
    <row r="43" spans="2:2" x14ac:dyDescent="0.3">
      <c r="B43" s="141" t="str">
        <f>GetComment($A$43, TRUE)</f>
        <v/>
      </c>
    </row>
    <row r="44" spans="2:2" x14ac:dyDescent="0.3">
      <c r="B44" s="141" t="str">
        <f>GetComment($A$44, TRUE)</f>
        <v/>
      </c>
    </row>
    <row r="45" spans="2:2" x14ac:dyDescent="0.3">
      <c r="B45" s="141" t="str">
        <f>GetComment($A$45, TRUE)</f>
        <v/>
      </c>
    </row>
    <row r="46" spans="2:2" x14ac:dyDescent="0.3">
      <c r="B46" s="141" t="str">
        <f>GetComment($A$46, TRUE)</f>
        <v/>
      </c>
    </row>
    <row r="47" spans="2:2" x14ac:dyDescent="0.3">
      <c r="B47" s="141" t="str">
        <f>GetComment($A$47, TRUE)</f>
        <v/>
      </c>
    </row>
    <row r="48" spans="2:2" x14ac:dyDescent="0.3">
      <c r="B48" s="141" t="str">
        <f>GetComment($A$48, TRUE)</f>
        <v/>
      </c>
    </row>
    <row r="49" spans="2:2" x14ac:dyDescent="0.3">
      <c r="B49" s="141" t="str">
        <f>GetComment($A$49, TRUE)</f>
        <v/>
      </c>
    </row>
    <row r="50" spans="2:2" x14ac:dyDescent="0.3">
      <c r="B50" s="141" t="str">
        <f>GetComment($A$50, TRUE)</f>
        <v/>
      </c>
    </row>
    <row r="51" spans="2:2" x14ac:dyDescent="0.3">
      <c r="B51" s="141" t="str">
        <f>GetComment($A$51, TRUE)</f>
        <v/>
      </c>
    </row>
    <row r="52" spans="2:2" x14ac:dyDescent="0.3">
      <c r="B52" s="141" t="str">
        <f>GetComment($A$52, TRUE)</f>
        <v/>
      </c>
    </row>
    <row r="53" spans="2:2" x14ac:dyDescent="0.3">
      <c r="B53" s="141" t="str">
        <f>GetComment($A$53, TRUE)</f>
        <v/>
      </c>
    </row>
    <row r="54" spans="2:2" x14ac:dyDescent="0.3">
      <c r="B54" s="141" t="str">
        <f>GetComment($A$54, TRUE)</f>
        <v/>
      </c>
    </row>
    <row r="55" spans="2:2" x14ac:dyDescent="0.3">
      <c r="B55" s="141" t="str">
        <f>GetComment($A$55, TRUE)</f>
        <v/>
      </c>
    </row>
    <row r="56" spans="2:2" x14ac:dyDescent="0.3">
      <c r="B56" s="141" t="str">
        <f>GetComment($A$56, TRUE)</f>
        <v/>
      </c>
    </row>
    <row r="57" spans="2:2" x14ac:dyDescent="0.3">
      <c r="B57" s="141" t="str">
        <f>GetComment($A$57, TRUE)</f>
        <v/>
      </c>
    </row>
    <row r="58" spans="2:2" x14ac:dyDescent="0.3">
      <c r="B58" s="141" t="str">
        <f>GetComment($A$58, TRUE)</f>
        <v/>
      </c>
    </row>
    <row r="59" spans="2:2" x14ac:dyDescent="0.3">
      <c r="B59" s="141" t="str">
        <f>GetComment($A$59, TRUE)</f>
        <v/>
      </c>
    </row>
    <row r="60" spans="2:2" x14ac:dyDescent="0.3">
      <c r="B60" s="141" t="str">
        <f>GetComment($A$60, TRUE)</f>
        <v/>
      </c>
    </row>
    <row r="61" spans="2:2" x14ac:dyDescent="0.3">
      <c r="B61" s="141" t="str">
        <f>GetComment($A$61, TRUE)</f>
        <v/>
      </c>
    </row>
    <row r="62" spans="2:2" x14ac:dyDescent="0.3">
      <c r="B62" s="141" t="str">
        <f>GetComment($A$62, TRUE)</f>
        <v/>
      </c>
    </row>
    <row r="63" spans="2:2" x14ac:dyDescent="0.3">
      <c r="B63" s="141" t="str">
        <f>GetComment($A$63, TRUE)</f>
        <v/>
      </c>
    </row>
    <row r="64" spans="2:2" x14ac:dyDescent="0.3">
      <c r="B64" s="141" t="str">
        <f>GetComment($A$64, TRUE)</f>
        <v/>
      </c>
    </row>
    <row r="65" spans="2:2" x14ac:dyDescent="0.3">
      <c r="B65" s="141" t="str">
        <f>GetComment($A$65, TRUE)</f>
        <v/>
      </c>
    </row>
    <row r="66" spans="2:2" x14ac:dyDescent="0.3">
      <c r="B66" s="141" t="str">
        <f>GetComment($A$66, TRUE)</f>
        <v/>
      </c>
    </row>
    <row r="67" spans="2:2" x14ac:dyDescent="0.3">
      <c r="B67" s="141" t="str">
        <f>GetComment($A$67, TRUE)</f>
        <v/>
      </c>
    </row>
    <row r="68" spans="2:2" x14ac:dyDescent="0.3">
      <c r="B68" s="141" t="str">
        <f>GetComment($A$68, TRUE)</f>
        <v/>
      </c>
    </row>
    <row r="69" spans="2:2" x14ac:dyDescent="0.3">
      <c r="B69" s="141" t="str">
        <f>GetComment($A$69, TRUE)</f>
        <v/>
      </c>
    </row>
    <row r="70" spans="2:2" x14ac:dyDescent="0.3">
      <c r="B70" s="141" t="str">
        <f>GetComment($A$70, TRUE)</f>
        <v/>
      </c>
    </row>
    <row r="71" spans="2:2" x14ac:dyDescent="0.3">
      <c r="B71" s="141" t="str">
        <f>GetComment($A$71, TRUE)</f>
        <v/>
      </c>
    </row>
    <row r="72" spans="2:2" x14ac:dyDescent="0.3">
      <c r="B72" s="141" t="str">
        <f>GetComment($A$72, TRUE)</f>
        <v/>
      </c>
    </row>
    <row r="73" spans="2:2" x14ac:dyDescent="0.3">
      <c r="B73" s="141" t="str">
        <f>GetComment($A$73, TRUE)</f>
        <v/>
      </c>
    </row>
    <row r="74" spans="2:2" x14ac:dyDescent="0.3">
      <c r="B74" s="141" t="str">
        <f>GetComment($A$74, TRUE)</f>
        <v/>
      </c>
    </row>
    <row r="75" spans="2:2" x14ac:dyDescent="0.3">
      <c r="B75" s="141" t="str">
        <f>GetComment($A$75, TRUE)</f>
        <v/>
      </c>
    </row>
    <row r="76" spans="2:2" x14ac:dyDescent="0.3">
      <c r="B76" s="141" t="str">
        <f>GetComment($A$76, TRUE)</f>
        <v/>
      </c>
    </row>
    <row r="77" spans="2:2" x14ac:dyDescent="0.3">
      <c r="B77" s="141" t="str">
        <f>GetComment($A$77, TRUE)</f>
        <v/>
      </c>
    </row>
    <row r="78" spans="2:2" x14ac:dyDescent="0.3">
      <c r="B78" s="141" t="str">
        <f>GetComment($A$78, TRUE)</f>
        <v/>
      </c>
    </row>
    <row r="79" spans="2:2" x14ac:dyDescent="0.3">
      <c r="B79" s="141" t="str">
        <f>GetComment($A$79, TRUE)</f>
        <v/>
      </c>
    </row>
    <row r="80" spans="2:2" x14ac:dyDescent="0.3">
      <c r="B80" s="141" t="str">
        <f>GetComment($A$80, TRUE)</f>
        <v/>
      </c>
    </row>
    <row r="81" spans="2:2" x14ac:dyDescent="0.3">
      <c r="B81" s="141" t="str">
        <f>GetComment($A$81, TRUE)</f>
        <v/>
      </c>
    </row>
    <row r="82" spans="2:2" x14ac:dyDescent="0.3">
      <c r="B82" s="141" t="str">
        <f>GetComment($A$82, TRUE)</f>
        <v/>
      </c>
    </row>
    <row r="83" spans="2:2" x14ac:dyDescent="0.3">
      <c r="B83" s="141" t="str">
        <f>GetComment($A$83, TRUE)</f>
        <v/>
      </c>
    </row>
    <row r="84" spans="2:2" x14ac:dyDescent="0.3">
      <c r="B84" s="141" t="str">
        <f>GetComment($A$84, TRUE)</f>
        <v/>
      </c>
    </row>
    <row r="85" spans="2:2" x14ac:dyDescent="0.3">
      <c r="B85" s="141" t="str">
        <f>GetComment($A$85, TRUE)</f>
        <v/>
      </c>
    </row>
    <row r="86" spans="2:2" x14ac:dyDescent="0.3">
      <c r="B86" s="141" t="str">
        <f>GetComment($A$86, TRUE)</f>
        <v/>
      </c>
    </row>
    <row r="87" spans="2:2" x14ac:dyDescent="0.3">
      <c r="B87" s="141" t="str">
        <f>GetComment($A$87, TRUE)</f>
        <v/>
      </c>
    </row>
    <row r="88" spans="2:2" x14ac:dyDescent="0.3">
      <c r="B88" s="141" t="str">
        <f>GetComment($A$88, TRUE)</f>
        <v/>
      </c>
    </row>
    <row r="89" spans="2:2" x14ac:dyDescent="0.3">
      <c r="B89" s="141" t="str">
        <f>GetComment($A$89, TRUE)</f>
        <v/>
      </c>
    </row>
    <row r="90" spans="2:2" x14ac:dyDescent="0.3">
      <c r="B90" s="141" t="str">
        <f>GetComment($A$90, TRUE)</f>
        <v/>
      </c>
    </row>
    <row r="91" spans="2:2" x14ac:dyDescent="0.3">
      <c r="B91" s="141" t="str">
        <f>GetComment($A$91, TRUE)</f>
        <v/>
      </c>
    </row>
    <row r="92" spans="2:2" x14ac:dyDescent="0.3">
      <c r="B92" s="141" t="str">
        <f>GetComment($A$92, TRUE)</f>
        <v/>
      </c>
    </row>
    <row r="93" spans="2:2" x14ac:dyDescent="0.3">
      <c r="B93" s="141" t="str">
        <f>GetComment($A$93, TRUE)</f>
        <v/>
      </c>
    </row>
    <row r="94" spans="2:2" x14ac:dyDescent="0.3">
      <c r="B94" s="141" t="str">
        <f>GetComment($A$94, TRUE)</f>
        <v/>
      </c>
    </row>
    <row r="95" spans="2:2" x14ac:dyDescent="0.3">
      <c r="B95" s="141" t="str">
        <f>GetComment($A$95, TRUE)</f>
        <v/>
      </c>
    </row>
    <row r="96" spans="2:2" x14ac:dyDescent="0.3">
      <c r="B96" s="141" t="str">
        <f>GetComment($A$96, TRUE)</f>
        <v/>
      </c>
    </row>
    <row r="97" spans="2:2" x14ac:dyDescent="0.3">
      <c r="B97" s="141" t="str">
        <f>GetComment($A$97, TRUE)</f>
        <v/>
      </c>
    </row>
    <row r="98" spans="2:2" x14ac:dyDescent="0.3">
      <c r="B98" s="141" t="str">
        <f>GetComment($A$98, TRUE)</f>
        <v/>
      </c>
    </row>
    <row r="99" spans="2:2" x14ac:dyDescent="0.3">
      <c r="B99" s="141" t="str">
        <f>GetComment($A$99, TRUE)</f>
        <v/>
      </c>
    </row>
    <row r="100" spans="2:2" x14ac:dyDescent="0.3">
      <c r="B100" s="141" t="str">
        <f>GetComment($A$100, TRUE)</f>
        <v/>
      </c>
    </row>
    <row r="101" spans="2:2" x14ac:dyDescent="0.3">
      <c r="B101" s="141" t="str">
        <f>GetComment($A$101, TRUE)</f>
        <v/>
      </c>
    </row>
    <row r="102" spans="2:2" x14ac:dyDescent="0.3">
      <c r="B102" s="141" t="str">
        <f>GetComment($A$102, TRUE)</f>
        <v/>
      </c>
    </row>
    <row r="103" spans="2:2" x14ac:dyDescent="0.3">
      <c r="B103" s="141" t="str">
        <f>GetComment($A$103, TRUE)</f>
        <v/>
      </c>
    </row>
    <row r="104" spans="2:2" x14ac:dyDescent="0.3">
      <c r="B104" s="141" t="str">
        <f>GetComment($A$104, TRUE)</f>
        <v/>
      </c>
    </row>
    <row r="105" spans="2:2" x14ac:dyDescent="0.3">
      <c r="B105" s="141" t="str">
        <f>GetComment($A$105, TRUE)</f>
        <v/>
      </c>
    </row>
    <row r="106" spans="2:2" x14ac:dyDescent="0.3">
      <c r="B106" s="141" t="str">
        <f>GetComment($A$106, TRUE)</f>
        <v/>
      </c>
    </row>
    <row r="107" spans="2:2" x14ac:dyDescent="0.3">
      <c r="B107" s="141" t="str">
        <f>GetComment($A$107, TRUE)</f>
        <v/>
      </c>
    </row>
    <row r="108" spans="2:2" x14ac:dyDescent="0.3">
      <c r="B108" s="141" t="str">
        <f>GetComment($A$108, TRUE)</f>
        <v/>
      </c>
    </row>
    <row r="109" spans="2:2" x14ac:dyDescent="0.3">
      <c r="B109" s="141" t="str">
        <f>GetComment($A$109, TRUE)</f>
        <v/>
      </c>
    </row>
    <row r="110" spans="2:2" x14ac:dyDescent="0.3">
      <c r="B110" s="141" t="str">
        <f>GetComment($A$110, TRUE)</f>
        <v/>
      </c>
    </row>
    <row r="111" spans="2:2" x14ac:dyDescent="0.3">
      <c r="B111" s="141" t="str">
        <f>GetComment($A$111, TRUE)</f>
        <v/>
      </c>
    </row>
    <row r="112" spans="2:2" x14ac:dyDescent="0.3">
      <c r="B112" s="141" t="str">
        <f>GetComment($A$112, TRUE)</f>
        <v/>
      </c>
    </row>
    <row r="113" spans="2:2" x14ac:dyDescent="0.3">
      <c r="B113" s="141" t="str">
        <f>GetComment($A$113, TRUE)</f>
        <v/>
      </c>
    </row>
    <row r="114" spans="2:2" x14ac:dyDescent="0.3">
      <c r="B114" s="141" t="str">
        <f>GetComment($A$114, TRUE)</f>
        <v/>
      </c>
    </row>
    <row r="115" spans="2:2" x14ac:dyDescent="0.3">
      <c r="B115" s="141" t="str">
        <f>GetComment($A$115, TRUE)</f>
        <v/>
      </c>
    </row>
    <row r="116" spans="2:2" x14ac:dyDescent="0.3">
      <c r="B116" s="141" t="str">
        <f>GetComment($A$116, TRUE)</f>
        <v/>
      </c>
    </row>
    <row r="117" spans="2:2" x14ac:dyDescent="0.3">
      <c r="B117" s="141" t="str">
        <f>GetComment($A$117, TRUE)</f>
        <v/>
      </c>
    </row>
    <row r="118" spans="2:2" x14ac:dyDescent="0.3">
      <c r="B118" s="141" t="str">
        <f>GetComment($A$118, TRUE)</f>
        <v/>
      </c>
    </row>
    <row r="119" spans="2:2" x14ac:dyDescent="0.3">
      <c r="B119" s="141" t="str">
        <f>GetComment($A$119, TRUE)</f>
        <v/>
      </c>
    </row>
    <row r="120" spans="2:2" x14ac:dyDescent="0.3">
      <c r="B120" s="141" t="str">
        <f>GetComment($A$120, TRUE)</f>
        <v/>
      </c>
    </row>
    <row r="121" spans="2:2" x14ac:dyDescent="0.3">
      <c r="B121" s="141" t="str">
        <f>GetComment($A$121, TRUE)</f>
        <v/>
      </c>
    </row>
    <row r="122" spans="2:2" x14ac:dyDescent="0.3">
      <c r="B122" s="141" t="str">
        <f>GetComment($A$122, TRUE)</f>
        <v/>
      </c>
    </row>
    <row r="123" spans="2:2" x14ac:dyDescent="0.3">
      <c r="B123" s="141" t="str">
        <f>GetComment($A$123, TRUE)</f>
        <v/>
      </c>
    </row>
    <row r="124" spans="2:2" x14ac:dyDescent="0.3">
      <c r="B124" s="141" t="str">
        <f>GetComment($A$124, TRUE)</f>
        <v/>
      </c>
    </row>
    <row r="125" spans="2:2" x14ac:dyDescent="0.3">
      <c r="B125" s="141" t="str">
        <f>GetComment($A$125, TRUE)</f>
        <v/>
      </c>
    </row>
    <row r="126" spans="2:2" x14ac:dyDescent="0.3">
      <c r="B126" s="141" t="str">
        <f>GetComment($A$126, TRUE)</f>
        <v/>
      </c>
    </row>
    <row r="127" spans="2:2" x14ac:dyDescent="0.3">
      <c r="B127" s="141" t="str">
        <f>GetComment($A$127, TRUE)</f>
        <v/>
      </c>
    </row>
    <row r="128" spans="2:2" x14ac:dyDescent="0.3">
      <c r="B128" s="141" t="str">
        <f>GetComment($A$128, TRUE)</f>
        <v/>
      </c>
    </row>
    <row r="129" spans="2:2" x14ac:dyDescent="0.3">
      <c r="B129" s="141" t="str">
        <f>GetComment($A$129, TRUE)</f>
        <v/>
      </c>
    </row>
    <row r="130" spans="2:2" x14ac:dyDescent="0.3">
      <c r="B130" s="141" t="str">
        <f>GetComment($A$130, TRUE)</f>
        <v/>
      </c>
    </row>
    <row r="131" spans="2:2" x14ac:dyDescent="0.3">
      <c r="B131" s="141" t="str">
        <f>GetComment($A$131, TRUE)</f>
        <v/>
      </c>
    </row>
    <row r="132" spans="2:2" x14ac:dyDescent="0.3">
      <c r="B132" s="141" t="str">
        <f>GetComment($A$132, TRUE)</f>
        <v/>
      </c>
    </row>
    <row r="133" spans="2:2" x14ac:dyDescent="0.3">
      <c r="B133" s="141" t="str">
        <f>GetComment($A$133, TRUE)</f>
        <v/>
      </c>
    </row>
    <row r="134" spans="2:2" x14ac:dyDescent="0.3">
      <c r="B134" s="141" t="str">
        <f>GetComment($A$134, TRUE)</f>
        <v/>
      </c>
    </row>
    <row r="135" spans="2:2" x14ac:dyDescent="0.3">
      <c r="B135" s="141" t="str">
        <f>GetComment($A$135, TRUE)</f>
        <v/>
      </c>
    </row>
    <row r="136" spans="2:2" x14ac:dyDescent="0.3">
      <c r="B136" s="141" t="str">
        <f>GetComment($A$136, TRUE)</f>
        <v/>
      </c>
    </row>
    <row r="137" spans="2:2" x14ac:dyDescent="0.3">
      <c r="B137" s="141" t="str">
        <f>GetComment($A$137, TRUE)</f>
        <v/>
      </c>
    </row>
    <row r="138" spans="2:2" x14ac:dyDescent="0.3">
      <c r="B138" s="141" t="str">
        <f>GetComment($A$138, TRUE)</f>
        <v/>
      </c>
    </row>
    <row r="139" spans="2:2" x14ac:dyDescent="0.3">
      <c r="B139" s="141" t="str">
        <f>GetComment($A$139, TRUE)</f>
        <v/>
      </c>
    </row>
    <row r="140" spans="2:2" x14ac:dyDescent="0.3">
      <c r="B140" s="141" t="str">
        <f>GetComment($A$140, TRUE)</f>
        <v/>
      </c>
    </row>
    <row r="141" spans="2:2" x14ac:dyDescent="0.3">
      <c r="B141" s="141" t="str">
        <f>GetComment($A$141, TRUE)</f>
        <v/>
      </c>
    </row>
    <row r="142" spans="2:2" x14ac:dyDescent="0.3">
      <c r="B142" s="141" t="str">
        <f>GetComment($A$142, TRUE)</f>
        <v/>
      </c>
    </row>
    <row r="143" spans="2:2" x14ac:dyDescent="0.3">
      <c r="B143" s="141" t="str">
        <f>GetComment($A$143, TRUE)</f>
        <v/>
      </c>
    </row>
    <row r="144" spans="2:2" x14ac:dyDescent="0.3">
      <c r="B144" s="141" t="str">
        <f>GetComment($A$144, TRUE)</f>
        <v/>
      </c>
    </row>
    <row r="145" spans="2:2" x14ac:dyDescent="0.3">
      <c r="B145" s="141" t="str">
        <f>GetComment($A$145, TRUE)</f>
        <v/>
      </c>
    </row>
    <row r="146" spans="2:2" x14ac:dyDescent="0.3">
      <c r="B146" s="141" t="str">
        <f>GetComment($A$146, TRUE)</f>
        <v/>
      </c>
    </row>
    <row r="147" spans="2:2" x14ac:dyDescent="0.3">
      <c r="B147" s="141" t="str">
        <f>GetComment($A$147, TRUE)</f>
        <v/>
      </c>
    </row>
    <row r="148" spans="2:2" x14ac:dyDescent="0.3">
      <c r="B148" s="141" t="str">
        <f>GetComment($A$148, TRUE)</f>
        <v/>
      </c>
    </row>
    <row r="149" spans="2:2" x14ac:dyDescent="0.3">
      <c r="B149" s="141" t="str">
        <f>GetComment($A$149, TRUE)</f>
        <v/>
      </c>
    </row>
    <row r="150" spans="2:2" x14ac:dyDescent="0.3">
      <c r="B150" s="141" t="str">
        <f>GetComment($A$150, TRUE)</f>
        <v/>
      </c>
    </row>
    <row r="151" spans="2:2" x14ac:dyDescent="0.3">
      <c r="B151" s="141" t="str">
        <f>GetComment($A$151, TRUE)</f>
        <v/>
      </c>
    </row>
    <row r="152" spans="2:2" x14ac:dyDescent="0.3">
      <c r="B152" s="141" t="str">
        <f>GetComment($A$152, TRUE)</f>
        <v/>
      </c>
    </row>
    <row r="153" spans="2:2" x14ac:dyDescent="0.3">
      <c r="B153" s="141" t="str">
        <f>GetComment($A$153, TRUE)</f>
        <v/>
      </c>
    </row>
    <row r="154" spans="2:2" x14ac:dyDescent="0.3">
      <c r="B154" s="141" t="str">
        <f>GetComment($A$154, TRUE)</f>
        <v/>
      </c>
    </row>
    <row r="155" spans="2:2" x14ac:dyDescent="0.3">
      <c r="B155" s="141" t="str">
        <f>GetComment($A$155, TRUE)</f>
        <v/>
      </c>
    </row>
    <row r="156" spans="2:2" x14ac:dyDescent="0.3">
      <c r="B156" s="141" t="str">
        <f>GetComment($A$156, TRUE)</f>
        <v/>
      </c>
    </row>
    <row r="157" spans="2:2" x14ac:dyDescent="0.3">
      <c r="B157" s="141" t="str">
        <f>GetComment($A$157, TRUE)</f>
        <v/>
      </c>
    </row>
    <row r="158" spans="2:2" x14ac:dyDescent="0.3">
      <c r="B158" s="141" t="str">
        <f>GetComment($A$158, TRUE)</f>
        <v/>
      </c>
    </row>
    <row r="159" spans="2:2" x14ac:dyDescent="0.3">
      <c r="B159" s="141" t="str">
        <f>GetComment($A$159, TRUE)</f>
        <v/>
      </c>
    </row>
    <row r="160" spans="2:2" x14ac:dyDescent="0.3">
      <c r="B160" s="141" t="str">
        <f>GetComment($A$160, TRUE)</f>
        <v/>
      </c>
    </row>
    <row r="161" spans="2:2" x14ac:dyDescent="0.3">
      <c r="B161" s="141" t="str">
        <f>GetComment($A$161, TRUE)</f>
        <v/>
      </c>
    </row>
    <row r="162" spans="2:2" x14ac:dyDescent="0.3">
      <c r="B162" s="141" t="str">
        <f>GetComment($A$162, TRUE)</f>
        <v/>
      </c>
    </row>
    <row r="163" spans="2:2" x14ac:dyDescent="0.3">
      <c r="B163" s="141" t="str">
        <f>GetComment($A$163, TRUE)</f>
        <v/>
      </c>
    </row>
    <row r="164" spans="2:2" x14ac:dyDescent="0.3">
      <c r="B164" s="141" t="str">
        <f>GetComment($A$164, TRUE)</f>
        <v/>
      </c>
    </row>
    <row r="165" spans="2:2" x14ac:dyDescent="0.3">
      <c r="B165" s="141" t="str">
        <f>GetComment($A$165, TRUE)</f>
        <v/>
      </c>
    </row>
    <row r="166" spans="2:2" x14ac:dyDescent="0.3">
      <c r="B166" s="141" t="str">
        <f>GetComment($A$166, TRUE)</f>
        <v/>
      </c>
    </row>
    <row r="167" spans="2:2" x14ac:dyDescent="0.3">
      <c r="B167" s="141" t="str">
        <f>GetComment($A$167, TRUE)</f>
        <v/>
      </c>
    </row>
    <row r="168" spans="2:2" x14ac:dyDescent="0.3">
      <c r="B168" s="141" t="str">
        <f>GetComment($A$168, TRUE)</f>
        <v/>
      </c>
    </row>
    <row r="169" spans="2:2" x14ac:dyDescent="0.3">
      <c r="B169" s="141" t="str">
        <f>GetComment($A$169, TRUE)</f>
        <v/>
      </c>
    </row>
    <row r="170" spans="2:2" x14ac:dyDescent="0.3">
      <c r="B170" s="141" t="str">
        <f>GetComment($A$170, TRUE)</f>
        <v/>
      </c>
    </row>
    <row r="171" spans="2:2" x14ac:dyDescent="0.3">
      <c r="B171" s="141" t="str">
        <f>GetComment($A$171, TRUE)</f>
        <v/>
      </c>
    </row>
    <row r="172" spans="2:2" x14ac:dyDescent="0.3">
      <c r="B172" s="141" t="str">
        <f>GetComment($A$172, TRUE)</f>
        <v/>
      </c>
    </row>
    <row r="173" spans="2:2" x14ac:dyDescent="0.3">
      <c r="B173" s="141" t="str">
        <f>GetComment($A$173, TRUE)</f>
        <v/>
      </c>
    </row>
    <row r="174" spans="2:2" x14ac:dyDescent="0.3">
      <c r="B174" s="141" t="str">
        <f>GetComment($A$174, TRUE)</f>
        <v/>
      </c>
    </row>
    <row r="175" spans="2:2" x14ac:dyDescent="0.3">
      <c r="B175" s="141" t="str">
        <f>GetComment($A$175, TRUE)</f>
        <v/>
      </c>
    </row>
    <row r="176" spans="2:2" x14ac:dyDescent="0.3">
      <c r="B176" s="141" t="str">
        <f>GetComment($A$176, TRUE)</f>
        <v/>
      </c>
    </row>
    <row r="177" spans="2:2" x14ac:dyDescent="0.3">
      <c r="B177" s="141" t="str">
        <f>GetComment($A$177, TRUE)</f>
        <v/>
      </c>
    </row>
    <row r="178" spans="2:2" x14ac:dyDescent="0.3">
      <c r="B178" s="141" t="str">
        <f>GetComment($A$178, TRUE)</f>
        <v/>
      </c>
    </row>
    <row r="179" spans="2:2" x14ac:dyDescent="0.3">
      <c r="B179" s="141" t="str">
        <f>GetComment($A$179, TRUE)</f>
        <v/>
      </c>
    </row>
    <row r="180" spans="2:2" x14ac:dyDescent="0.3">
      <c r="B180" s="141" t="str">
        <f>GetComment($A$180, TRUE)</f>
        <v/>
      </c>
    </row>
    <row r="181" spans="2:2" x14ac:dyDescent="0.3">
      <c r="B181" s="141" t="str">
        <f>GetComment($A$181, TRUE)</f>
        <v/>
      </c>
    </row>
    <row r="182" spans="2:2" x14ac:dyDescent="0.3">
      <c r="B182" s="141" t="str">
        <f>GetComment($A$182, TRUE)</f>
        <v/>
      </c>
    </row>
    <row r="183" spans="2:2" x14ac:dyDescent="0.3">
      <c r="B183" s="141" t="str">
        <f>GetComment($A$183, TRUE)</f>
        <v/>
      </c>
    </row>
    <row r="184" spans="2:2" x14ac:dyDescent="0.3">
      <c r="B184" s="141" t="str">
        <f>GetComment($A$184, TRUE)</f>
        <v/>
      </c>
    </row>
    <row r="185" spans="2:2" x14ac:dyDescent="0.3">
      <c r="B185" s="141" t="str">
        <f>GetComment($A$185, TRUE)</f>
        <v/>
      </c>
    </row>
    <row r="186" spans="2:2" x14ac:dyDescent="0.3">
      <c r="B186" s="141" t="str">
        <f>GetComment($A$186, TRUE)</f>
        <v/>
      </c>
    </row>
    <row r="187" spans="2:2" x14ac:dyDescent="0.3">
      <c r="B187" s="141" t="str">
        <f>GetComment($A$187, TRUE)</f>
        <v/>
      </c>
    </row>
    <row r="188" spans="2:2" x14ac:dyDescent="0.3">
      <c r="B188" s="141" t="str">
        <f>GetComment($A$188, TRUE)</f>
        <v/>
      </c>
    </row>
    <row r="189" spans="2:2" x14ac:dyDescent="0.3">
      <c r="B189" s="141" t="str">
        <f>GetComment($A$189, TRUE)</f>
        <v/>
      </c>
    </row>
    <row r="190" spans="2:2" x14ac:dyDescent="0.3">
      <c r="B190" s="141" t="str">
        <f>GetComment($A$190, TRUE)</f>
        <v/>
      </c>
    </row>
    <row r="191" spans="2:2" x14ac:dyDescent="0.3">
      <c r="B191" s="141" t="str">
        <f>GetComment($A$191, TRUE)</f>
        <v/>
      </c>
    </row>
    <row r="192" spans="2:2" x14ac:dyDescent="0.3">
      <c r="B192" s="141" t="str">
        <f>GetComment($A$192, TRUE)</f>
        <v/>
      </c>
    </row>
    <row r="193" spans="1:2" x14ac:dyDescent="0.3">
      <c r="B193" s="141" t="str">
        <f>GetComment($A$193, TRUE)</f>
        <v/>
      </c>
    </row>
    <row r="194" spans="1:2" x14ac:dyDescent="0.3">
      <c r="B194" s="141" t="str">
        <f>GetComment($A$194, TRUE)</f>
        <v/>
      </c>
    </row>
    <row r="195" spans="1:2" x14ac:dyDescent="0.3">
      <c r="B195" s="141" t="str">
        <f>GetComment($A$195, TRUE)</f>
        <v/>
      </c>
    </row>
    <row r="196" spans="1:2" x14ac:dyDescent="0.3">
      <c r="B196" s="141" t="str">
        <f>GetComment($A$196, TRUE)</f>
        <v/>
      </c>
    </row>
    <row r="197" spans="1:2" x14ac:dyDescent="0.3">
      <c r="B197" s="141" t="str">
        <f>GetComment($A$197, TRUE)</f>
        <v/>
      </c>
    </row>
    <row r="198" spans="1:2" x14ac:dyDescent="0.3">
      <c r="B198" s="141" t="str">
        <f>GetComment($A$198, TRUE)</f>
        <v/>
      </c>
    </row>
    <row r="199" spans="1:2" x14ac:dyDescent="0.3">
      <c r="B199" s="141" t="str">
        <f>GetComment($A$199, TRUE)</f>
        <v/>
      </c>
    </row>
    <row r="200" spans="1:2" s="144" customFormat="1" x14ac:dyDescent="0.3">
      <c r="A200" s="143"/>
      <c r="B200" s="143"/>
    </row>
  </sheetData>
  <conditionalFormatting sqref="B2:B199">
    <cfRule type="expression" dxfId="28" priority="1">
      <formula>NOT(ISERROR(SEARCH("ERR:",B2)))</formula>
    </cfRule>
    <cfRule type="expression" dxfId="27" priority="2">
      <formula>NOT(ISERROR(SEARCH("TOGET:",B2)))</formula>
    </cfRule>
    <cfRule type="expression" dxfId="26" priority="3">
      <formula>NOT(ISERROR(SEARCH("!!!",B2)))</formula>
    </cfRule>
    <cfRule type="expression" dxfId="25" priority="4">
      <formula>NOT(ISERROR(SEARCH("~?~?~?",B2)))</formula>
    </cfRule>
    <cfRule type="expression" dxfId="24" priority="5">
      <formula>NOT(ISERROR(SEARCH("TODO:",B2)))</formula>
    </cfRule>
    <cfRule type="expression" dxfId="23" priority="6">
      <formula>NOT(ISERROR(SEARCH("DONE:",B2)))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_DumpAllCommentsForAllSheetsDefault">
                <anchor moveWithCells="1" sizeWithCells="1">
                  <from>
                    <xdr:col>1</xdr:col>
                    <xdr:colOff>923925</xdr:colOff>
                    <xdr:row>0</xdr:row>
                    <xdr:rowOff>9525</xdr:rowOff>
                  </from>
                  <to>
                    <xdr:col>1</xdr:col>
                    <xdr:colOff>1571625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0036-2B7E-4CE2-BC20-46D18D11CC53}">
  <sheetPr codeName="Tabelle16"/>
  <dimension ref="B2:C14"/>
  <sheetViews>
    <sheetView zoomScaleNormal="100" workbookViewId="0"/>
  </sheetViews>
  <sheetFormatPr baseColWidth="10" defaultRowHeight="10.15" x14ac:dyDescent="0.3"/>
  <cols>
    <col min="1" max="1" width="1.83203125" customWidth="1"/>
    <col min="2" max="2" width="14.33203125" style="145" customWidth="1"/>
    <col min="3" max="3" width="127.75" bestFit="1" customWidth="1"/>
  </cols>
  <sheetData>
    <row r="2" spans="2:3" x14ac:dyDescent="0.3">
      <c r="B2" s="145" t="s">
        <v>981</v>
      </c>
      <c r="C2" t="s">
        <v>982</v>
      </c>
    </row>
    <row r="3" spans="2:3" x14ac:dyDescent="0.3">
      <c r="B3" s="146"/>
    </row>
    <row r="14" spans="2:3" x14ac:dyDescent="0.3">
      <c r="C14" s="147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A165-770A-4863-BE84-681793EF1856}">
  <sheetPr codeName="Tabelle002">
    <outlinePr summaryBelow="0" summaryRight="0"/>
  </sheetPr>
  <dimension ref="B3:DC108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baseColWidth="10" defaultRowHeight="10.15" outlineLevelRow="1" outlineLevelCol="1" x14ac:dyDescent="0.3"/>
  <cols>
    <col min="1" max="1" width="3.83203125" customWidth="1"/>
    <col min="2" max="2" width="31.1640625" bestFit="1" customWidth="1"/>
    <col min="3" max="3" width="3.5" bestFit="1" customWidth="1"/>
    <col min="4" max="6" width="3.5" customWidth="1" outlineLevel="1"/>
    <col min="7" max="7" width="3.5" bestFit="1" customWidth="1"/>
    <col min="8" max="8" width="3.5" customWidth="1" outlineLevel="1" collapsed="1"/>
    <col min="9" max="9" width="3.5" customWidth="1" outlineLevel="1"/>
    <col min="10" max="10" width="3.5" customWidth="1"/>
    <col min="11" max="14" width="3.5" customWidth="1" outlineLevel="1"/>
    <col min="15" max="16" width="3.5" bestFit="1" customWidth="1" outlineLevel="1"/>
    <col min="17" max="17" width="3.5" bestFit="1" customWidth="1"/>
    <col min="18" max="24" width="3.5" bestFit="1" customWidth="1" outlineLevel="1"/>
    <col min="25" max="119" width="3.5" bestFit="1" customWidth="1"/>
  </cols>
  <sheetData>
    <row r="3" spans="2:107" s="13" customFormat="1" ht="87.75" x14ac:dyDescent="0.3">
      <c r="C3" s="148" t="s">
        <v>962</v>
      </c>
      <c r="D3" s="149" t="s">
        <v>966</v>
      </c>
      <c r="E3" s="149" t="s">
        <v>967</v>
      </c>
      <c r="F3" s="149" t="s">
        <v>968</v>
      </c>
      <c r="G3" s="148" t="s">
        <v>941</v>
      </c>
      <c r="H3" s="149" t="s">
        <v>969</v>
      </c>
      <c r="I3" s="149" t="s">
        <v>970</v>
      </c>
      <c r="J3" s="148" t="s">
        <v>955</v>
      </c>
      <c r="K3" s="149" t="s">
        <v>971</v>
      </c>
      <c r="L3" s="149" t="s">
        <v>972</v>
      </c>
      <c r="M3" s="149" t="s">
        <v>973</v>
      </c>
      <c r="N3" s="149" t="s">
        <v>974</v>
      </c>
      <c r="O3" s="158" t="s">
        <v>173</v>
      </c>
      <c r="P3" s="158" t="s">
        <v>741</v>
      </c>
      <c r="Q3" s="148" t="s">
        <v>912</v>
      </c>
      <c r="R3" s="149" t="s">
        <v>975</v>
      </c>
      <c r="S3" s="149" t="s">
        <v>976</v>
      </c>
      <c r="T3" s="149" t="s">
        <v>977</v>
      </c>
      <c r="U3" s="149" t="s">
        <v>978</v>
      </c>
      <c r="V3" s="149" t="s">
        <v>979</v>
      </c>
      <c r="W3" s="149" t="s">
        <v>980</v>
      </c>
      <c r="X3" s="158" t="s">
        <v>167</v>
      </c>
      <c r="Y3" s="148" t="s">
        <v>911</v>
      </c>
      <c r="Z3" s="150"/>
      <c r="AA3" s="150"/>
      <c r="AB3" s="149"/>
      <c r="AC3" s="149"/>
      <c r="AD3" s="149"/>
      <c r="AE3" s="149"/>
      <c r="AF3" s="150"/>
      <c r="AG3" s="149"/>
      <c r="AH3" s="150"/>
      <c r="AI3" s="149"/>
      <c r="AJ3" s="150"/>
      <c r="AK3" s="149"/>
      <c r="AL3" s="149"/>
      <c r="AM3" s="150"/>
      <c r="AN3" s="150"/>
      <c r="AO3" s="150"/>
      <c r="AP3" s="149"/>
      <c r="AQ3" s="150"/>
      <c r="AR3" s="150"/>
      <c r="AS3" s="150"/>
      <c r="AT3" s="149"/>
      <c r="AU3" s="150"/>
      <c r="AV3" s="150"/>
      <c r="AW3" s="150"/>
      <c r="AX3" s="149"/>
      <c r="AY3" s="150"/>
      <c r="AZ3" s="149"/>
      <c r="BA3" s="149"/>
      <c r="BB3" s="149"/>
      <c r="BC3" s="150"/>
      <c r="BD3" s="149"/>
      <c r="BE3" s="149"/>
      <c r="BF3" s="150"/>
      <c r="BG3" s="150"/>
      <c r="BH3" s="150"/>
      <c r="BI3" s="149"/>
      <c r="BJ3" s="149"/>
      <c r="BK3" s="150"/>
      <c r="BL3" s="149"/>
      <c r="BM3" s="149"/>
      <c r="BN3" s="149"/>
      <c r="BO3" s="149"/>
      <c r="BP3" s="149"/>
      <c r="BQ3" s="149"/>
      <c r="BR3" s="149"/>
      <c r="BS3" s="149"/>
      <c r="BT3" s="149"/>
      <c r="BU3" s="150"/>
      <c r="BV3" s="149"/>
      <c r="BW3" s="149"/>
      <c r="BX3" s="149"/>
      <c r="BY3" s="149"/>
      <c r="BZ3" s="149"/>
      <c r="CA3" s="149"/>
      <c r="CB3" s="149"/>
      <c r="CC3" s="149"/>
      <c r="CD3" s="149"/>
      <c r="CE3" s="149"/>
      <c r="CF3" s="149"/>
      <c r="CG3" s="150"/>
      <c r="CH3" s="149"/>
      <c r="CI3" s="149"/>
      <c r="CJ3" s="150"/>
      <c r="CK3" s="149"/>
      <c r="CL3" s="149"/>
      <c r="CM3" s="149"/>
      <c r="CN3" s="149"/>
      <c r="CO3" s="149"/>
      <c r="CP3" s="149"/>
      <c r="CQ3" s="149"/>
      <c r="CR3" s="149"/>
      <c r="CS3" s="149"/>
      <c r="CT3" s="150"/>
      <c r="CU3" s="149"/>
      <c r="CV3" s="149"/>
      <c r="CW3" s="149"/>
      <c r="CX3" s="149"/>
      <c r="CY3" s="149"/>
      <c r="CZ3" s="150"/>
      <c r="DA3" s="149"/>
      <c r="DB3" s="150"/>
      <c r="DC3" s="150"/>
    </row>
    <row r="4" spans="2:107" x14ac:dyDescent="0.3">
      <c r="B4" s="151" t="s">
        <v>962</v>
      </c>
      <c r="C4" s="152"/>
      <c r="D4" t="str">
        <f>LinkSheets("&lt;=", Intro!A1, '&gt; comments &lt;'!A1)</f>
        <v>&lt;=</v>
      </c>
      <c r="E4" t="str">
        <f>LinkSheets("&lt;=", Intro!A1, Versions!A1)</f>
        <v>&lt;=</v>
      </c>
      <c r="F4" t="str">
        <f>LinkSheets("&lt;=&gt;", 'Worksheets matrix'!A1, Intro!A1)</f>
        <v>&lt;=&gt;</v>
      </c>
      <c r="G4" t="str">
        <f>LinkSheets("&lt;=&gt;", 'Sprite Shifting'!A1, Intro!A1)</f>
        <v>&lt;=&gt;</v>
      </c>
      <c r="J4" t="str">
        <f>LinkSheets("&lt;=&gt;", 'Pixel Shifting'!A1, Intro!A1)</f>
        <v>&lt;=&gt;</v>
      </c>
      <c r="Q4" t="str">
        <f>LinkSheets("&lt;=&gt;", Sprites!A1, Intro!A1)</f>
        <v>&lt;=&gt;</v>
      </c>
    </row>
    <row r="5" spans="2:107" outlineLevel="1" x14ac:dyDescent="0.3">
      <c r="B5" s="153" t="s">
        <v>966</v>
      </c>
      <c r="C5" t="str">
        <f>LinkSheets("=&gt;", Intro!A1, '&gt; comments &lt;'!A1)</f>
        <v>=&gt;</v>
      </c>
      <c r="D5" s="154"/>
      <c r="E5" s="155"/>
      <c r="F5" t="str">
        <f>LinkSheets("=&gt;", 'Worksheets matrix'!A1, '&gt; comments &lt;'!A1)</f>
        <v>=&gt;</v>
      </c>
      <c r="H5" t="str">
        <f>LinkSheets("&lt;=", '&gt; comments &lt;'!A1, 'Sprite Shifter'!A1)</f>
        <v>&lt;=</v>
      </c>
    </row>
    <row r="6" spans="2:107" outlineLevel="1" x14ac:dyDescent="0.3">
      <c r="B6" s="153" t="s">
        <v>967</v>
      </c>
      <c r="C6" t="str">
        <f>LinkSheets("=&gt;", Intro!A1, Versions!A1)</f>
        <v>=&gt;</v>
      </c>
      <c r="E6" s="154"/>
      <c r="F6" t="str">
        <f>LinkSheets("=&gt;", 'Worksheets matrix'!A1, Versions!A1)</f>
        <v>=&gt;</v>
      </c>
    </row>
    <row r="7" spans="2:107" outlineLevel="1" x14ac:dyDescent="0.3">
      <c r="B7" s="153" t="s">
        <v>968</v>
      </c>
      <c r="C7" t="str">
        <f>LinkSheets("&lt;=&gt;", 'Worksheets matrix'!A1, Intro!A1)</f>
        <v>&lt;=&gt;</v>
      </c>
      <c r="D7" s="155" t="str">
        <f>LinkSheets("&lt;=", 'Worksheets matrix'!A1, '&gt; comments &lt;'!A1)</f>
        <v>&lt;=</v>
      </c>
      <c r="E7" s="155" t="str">
        <f>LinkSheets("&lt;=", 'Worksheets matrix'!A1, Versions!A1)</f>
        <v>&lt;=</v>
      </c>
      <c r="F7" s="154"/>
      <c r="G7" t="str">
        <f>LinkSheets("&lt;=", 'Worksheets matrix'!A1, 'Sprite Shifting'!A1)</f>
        <v>&lt;=</v>
      </c>
      <c r="H7" t="str">
        <f>LinkSheets("&lt;=", 'Worksheets matrix'!A1, 'Sprite Shifter'!A1)</f>
        <v>&lt;=</v>
      </c>
      <c r="J7" t="str">
        <f>LinkSheets("&lt;=", 'Worksheets matrix'!A1, 'Pixel Shifting'!A1)</f>
        <v>&lt;=</v>
      </c>
      <c r="Q7" t="str">
        <f>LinkSheets("&lt;=", 'Worksheets matrix'!A1, Sprites!A1)</f>
        <v>&lt;=</v>
      </c>
      <c r="AV7" s="155"/>
      <c r="AW7" s="155"/>
      <c r="BM7" s="155"/>
    </row>
    <row r="8" spans="2:107" x14ac:dyDescent="0.3">
      <c r="B8" s="151" t="s">
        <v>941</v>
      </c>
      <c r="C8" t="str">
        <f>LinkSheets("&lt;=&gt;", 'Sprite Shifting'!A1, Intro!A1)</f>
        <v>&lt;=&gt;</v>
      </c>
      <c r="F8" t="str">
        <f>LinkSheets("=&gt;", 'Worksheets matrix'!A1, 'Sprite Shifting'!A1)</f>
        <v>=&gt;</v>
      </c>
      <c r="G8" s="152"/>
    </row>
    <row r="9" spans="2:107" outlineLevel="1" x14ac:dyDescent="0.3">
      <c r="B9" s="153" t="s">
        <v>969</v>
      </c>
      <c r="D9" t="str">
        <f>LinkSheets("=&gt;", '&gt; comments &lt;'!A1, 'Sprite Shifter'!A1)</f>
        <v>=&gt;</v>
      </c>
      <c r="F9" t="str">
        <f>LinkSheets("=&gt;", 'Worksheets matrix'!A1, 'Sprite Shifter'!A1)</f>
        <v>=&gt;</v>
      </c>
      <c r="H9" s="154"/>
      <c r="I9" t="str">
        <f>LinkSheets("&lt;=", 'Sprite Shifter'!A1, 'Sprite (load)'!A1)</f>
        <v>&lt;=</v>
      </c>
      <c r="N9" t="str">
        <f>LinkSheets("&lt;=", 'Sprite Shifter'!A1, 'Pixel Shift Pages'!A1)</f>
        <v>&lt;=</v>
      </c>
      <c r="O9" t="str">
        <f>LinkSheets("&lt;=", 'Sprite Shifter'!A1, pixel_pattern_table.asm!A1)</f>
        <v>&lt;=</v>
      </c>
      <c r="P9" t="str">
        <f>LinkSheets("&lt;=", 'Sprite Shifter'!A1, pixel_shift_table.asm!A1)</f>
        <v>&lt;=</v>
      </c>
    </row>
    <row r="10" spans="2:107" outlineLevel="1" x14ac:dyDescent="0.3">
      <c r="B10" s="153" t="s">
        <v>970</v>
      </c>
      <c r="H10" s="155" t="str">
        <f>LinkSheets("=&gt;", 'Sprite Shifter'!A1, 'Sprite (load)'!A1)</f>
        <v>=&gt;</v>
      </c>
      <c r="I10" s="154"/>
      <c r="R10" t="str">
        <f>LinkSheets("=&gt;", 'Sprite Loader'!A1, 'Sprite (load)'!A1)</f>
        <v>=&gt;</v>
      </c>
    </row>
    <row r="11" spans="2:107" x14ac:dyDescent="0.3">
      <c r="B11" s="151" t="s">
        <v>955</v>
      </c>
      <c r="C11" t="str">
        <f>LinkSheets("&lt;=&gt;", 'Pixel Shifting'!A1, Intro!A1)</f>
        <v>&lt;=&gt;</v>
      </c>
      <c r="F11" t="str">
        <f>LinkSheets("=&gt;", 'Worksheets matrix'!A1, 'Pixel Shifting'!A1)</f>
        <v>=&gt;</v>
      </c>
      <c r="H11" s="155"/>
      <c r="I11" s="155"/>
      <c r="J11" s="152"/>
    </row>
    <row r="12" spans="2:107" outlineLevel="1" x14ac:dyDescent="0.3">
      <c r="B12" s="153" t="s">
        <v>971</v>
      </c>
      <c r="D12" s="155"/>
      <c r="E12" s="155"/>
      <c r="H12" s="155"/>
      <c r="I12" s="155"/>
      <c r="J12" s="155"/>
      <c r="K12" s="154"/>
      <c r="L12" t="str">
        <f>LinkSheets("&lt;=", 'Pixel Shifter'!A1, 'Pixel Shift Pattern Table'!A1)</f>
        <v>&lt;=</v>
      </c>
      <c r="N12" t="str">
        <f>LinkSheets("&lt;=", 'Pixel Shifter'!A1, 'Pixel Shift Pages'!A1)</f>
        <v>&lt;=</v>
      </c>
      <c r="O12" t="str">
        <f>LinkSheets("&lt;=", 'Pixel Shifter'!A1, pixel_pattern_table.asm!A1)</f>
        <v>&lt;=</v>
      </c>
      <c r="P12" t="str">
        <f>LinkSheets("&lt;=", 'Pixel Shifter'!A1, pixel_shift_table.asm!A1)</f>
        <v>&lt;=</v>
      </c>
    </row>
    <row r="13" spans="2:107" outlineLevel="1" x14ac:dyDescent="0.3">
      <c r="B13" s="153" t="s">
        <v>972</v>
      </c>
      <c r="H13" s="155"/>
      <c r="I13" s="155"/>
      <c r="J13" s="155"/>
      <c r="K13" t="str">
        <f>LinkSheets("=&gt;", 'Pixel Shifter'!A1, 'Pixel Shift Pattern Table'!A1)</f>
        <v>=&gt;</v>
      </c>
      <c r="L13" s="154"/>
      <c r="O13" t="str">
        <f>LinkSheets("&lt;=", 'Pixel Shift Pattern Table'!A1, pixel_pattern_table.asm!A1)</f>
        <v>&lt;=</v>
      </c>
      <c r="P13" t="str">
        <f>LinkSheets("&lt;=", 'Pixel Shift Pattern Table'!A1, pixel_shift_table.asm!A1)</f>
        <v>&lt;=</v>
      </c>
    </row>
    <row r="14" spans="2:107" outlineLevel="1" x14ac:dyDescent="0.3">
      <c r="B14" s="153" t="s">
        <v>973</v>
      </c>
      <c r="H14" s="155"/>
      <c r="I14" s="155"/>
      <c r="J14" s="155"/>
      <c r="K14" s="155"/>
      <c r="M14" s="154"/>
      <c r="P14" t="str">
        <f>LinkSheets("&lt;=", 'Pixel Shift Table'!A1, pixel_shift_table.asm!A1)</f>
        <v>&lt;=</v>
      </c>
    </row>
    <row r="15" spans="2:107" outlineLevel="1" x14ac:dyDescent="0.3">
      <c r="B15" s="153" t="s">
        <v>974</v>
      </c>
      <c r="D15" s="155"/>
      <c r="E15" s="155"/>
      <c r="H15" t="str">
        <f>LinkSheets("=&gt;", 'Sprite Shifter'!A1, 'Pixel Shift Pages'!A1)</f>
        <v>=&gt;</v>
      </c>
      <c r="K15" t="str">
        <f>LinkSheets("=&gt;", 'Pixel Shifter'!A1, 'Pixel Shift Pages'!A1)</f>
        <v>=&gt;</v>
      </c>
      <c r="M15" s="155"/>
      <c r="N15" s="154"/>
    </row>
    <row r="16" spans="2:107" outlineLevel="1" x14ac:dyDescent="0.3">
      <c r="B16" s="157" t="s">
        <v>173</v>
      </c>
      <c r="H16" t="str">
        <f>LinkSheets("=&gt;", 'Sprite Shifter'!A1, pixel_pattern_table.asm!A1)</f>
        <v>=&gt;</v>
      </c>
      <c r="K16" s="155" t="str">
        <f>LinkSheets("=&gt;", 'Pixel Shifter'!A1, pixel_pattern_table.asm!A1)</f>
        <v>=&gt;</v>
      </c>
      <c r="L16" t="str">
        <f>LinkSheets("=&gt;", 'Pixel Shift Pattern Table'!A1, pixel_pattern_table.asm!A1)</f>
        <v>=&gt;</v>
      </c>
      <c r="O16" s="159"/>
    </row>
    <row r="17" spans="2:42" outlineLevel="1" x14ac:dyDescent="0.3">
      <c r="B17" s="157" t="s">
        <v>741</v>
      </c>
      <c r="H17" t="str">
        <f>LinkSheets("=&gt;", 'Sprite Shifter'!A1, pixel_shift_table.asm!A1)</f>
        <v>=&gt;</v>
      </c>
      <c r="K17" t="str">
        <f>LinkSheets("=&gt;", 'Pixel Shifter'!A1, pixel_shift_table.asm!A1)</f>
        <v>=&gt;</v>
      </c>
      <c r="L17" t="str">
        <f>LinkSheets("=&gt;", 'Pixel Shift Pattern Table'!A1, pixel_shift_table.asm!A1)</f>
        <v>=&gt;</v>
      </c>
      <c r="M17" t="str">
        <f>LinkSheets("=&gt;", 'Pixel Shift Table'!A1, pixel_shift_table.asm!A1)</f>
        <v>=&gt;</v>
      </c>
      <c r="P17" s="159"/>
    </row>
    <row r="18" spans="2:42" x14ac:dyDescent="0.3">
      <c r="B18" s="151" t="s">
        <v>912</v>
      </c>
      <c r="C18" t="str">
        <f>LinkSheets("&lt;=&gt;", Sprites!A1, Intro!A1)</f>
        <v>&lt;=&gt;</v>
      </c>
      <c r="F18" t="str">
        <f>LinkSheets("=&gt;", 'Worksheets matrix'!A1, Sprites!A1)</f>
        <v>=&gt;</v>
      </c>
      <c r="L18" s="155"/>
      <c r="Q18" s="152"/>
    </row>
    <row r="19" spans="2:42" outlineLevel="1" x14ac:dyDescent="0.3">
      <c r="B19" s="153" t="s">
        <v>975</v>
      </c>
      <c r="I19" s="155" t="str">
        <f>LinkSheets("&lt;=", 'Sprite Loader'!A1, 'Sprite (load)'!A1)</f>
        <v>&lt;=</v>
      </c>
      <c r="R19" s="154"/>
      <c r="W19" t="str">
        <f>LinkSheets("=&gt;", 'Sprite Data'!A1, 'Sprite Loader'!A1)</f>
        <v>=&gt;</v>
      </c>
      <c r="X19" t="str">
        <f>LinkSheets("=&gt;", sprite_data.asm!A1, 'Sprite Loader'!A1)</f>
        <v>=&gt;</v>
      </c>
      <c r="AP19" s="155"/>
    </row>
    <row r="20" spans="2:42" outlineLevel="1" x14ac:dyDescent="0.3">
      <c r="B20" s="153" t="s">
        <v>976</v>
      </c>
      <c r="S20" s="154"/>
    </row>
    <row r="21" spans="2:42" outlineLevel="1" x14ac:dyDescent="0.3">
      <c r="B21" s="153" t="s">
        <v>977</v>
      </c>
      <c r="I21" s="155"/>
      <c r="J21" s="155"/>
      <c r="K21" s="155"/>
      <c r="L21" s="155"/>
      <c r="T21" s="154"/>
    </row>
    <row r="22" spans="2:42" outlineLevel="1" x14ac:dyDescent="0.3">
      <c r="B22" s="153" t="s">
        <v>978</v>
      </c>
      <c r="D22" s="155"/>
      <c r="E22" s="155"/>
      <c r="T22" s="155"/>
      <c r="U22" s="154"/>
    </row>
    <row r="23" spans="2:42" outlineLevel="1" x14ac:dyDescent="0.3">
      <c r="B23" s="153" t="s">
        <v>979</v>
      </c>
      <c r="D23" s="155"/>
      <c r="E23" s="155"/>
      <c r="U23" s="155"/>
      <c r="V23" s="154"/>
      <c r="Y23" s="155"/>
    </row>
    <row r="24" spans="2:42" outlineLevel="1" x14ac:dyDescent="0.3">
      <c r="B24" s="153" t="s">
        <v>980</v>
      </c>
      <c r="R24" t="str">
        <f>LinkSheets("&lt;=", 'Sprite Data'!A1, 'Sprite Loader'!A1)</f>
        <v>&lt;=</v>
      </c>
      <c r="V24" s="155"/>
      <c r="W24" s="154"/>
      <c r="X24" t="str">
        <f>LinkSheets("&lt;=", 'Sprite Data'!A1, sprite_data.asm!A1)</f>
        <v>&lt;=</v>
      </c>
    </row>
    <row r="25" spans="2:42" outlineLevel="1" x14ac:dyDescent="0.3">
      <c r="B25" s="157" t="s">
        <v>167</v>
      </c>
      <c r="D25" s="155"/>
      <c r="E25" s="155"/>
      <c r="R25" t="str">
        <f>LinkSheets("&lt;=", sprite_data.asm!A1, 'Sprite Loader'!A1)</f>
        <v>&lt;=</v>
      </c>
      <c r="T25" s="155"/>
      <c r="W25" t="str">
        <f>LinkSheets("=&gt;", 'Sprite Data'!A1, sprite_data.asm!A1)</f>
        <v>=&gt;</v>
      </c>
      <c r="X25" s="159"/>
    </row>
    <row r="26" spans="2:42" x14ac:dyDescent="0.3">
      <c r="B26" s="151" t="s">
        <v>911</v>
      </c>
      <c r="D26" s="155"/>
      <c r="E26" s="155"/>
      <c r="X26" s="155"/>
      <c r="Y26" s="152"/>
    </row>
    <row r="27" spans="2:42" x14ac:dyDescent="0.3">
      <c r="B27" s="156"/>
      <c r="D27" s="155"/>
      <c r="E27" s="155"/>
      <c r="X27" s="155"/>
    </row>
    <row r="28" spans="2:42" x14ac:dyDescent="0.3">
      <c r="B28" s="156"/>
      <c r="D28" s="155"/>
      <c r="E28" s="155"/>
      <c r="V28" s="155"/>
      <c r="X28" s="155"/>
    </row>
    <row r="29" spans="2:42" x14ac:dyDescent="0.3">
      <c r="B29" s="153"/>
      <c r="D29" s="155"/>
      <c r="E29" s="155"/>
      <c r="T29" s="155"/>
    </row>
    <row r="30" spans="2:42" x14ac:dyDescent="0.3">
      <c r="B30" s="153"/>
      <c r="T30" s="155"/>
    </row>
    <row r="31" spans="2:42" x14ac:dyDescent="0.3">
      <c r="B31" s="153"/>
      <c r="AB31" s="155"/>
    </row>
    <row r="32" spans="2:42" x14ac:dyDescent="0.3">
      <c r="B32" s="153"/>
    </row>
    <row r="33" spans="2:65" x14ac:dyDescent="0.3">
      <c r="B33" s="156"/>
    </row>
    <row r="34" spans="2:65" x14ac:dyDescent="0.3">
      <c r="B34" s="153"/>
    </row>
    <row r="35" spans="2:65" x14ac:dyDescent="0.3">
      <c r="B35" s="156"/>
    </row>
    <row r="36" spans="2:65" x14ac:dyDescent="0.3">
      <c r="B36" s="153"/>
    </row>
    <row r="37" spans="2:65" x14ac:dyDescent="0.3">
      <c r="B37" s="156"/>
    </row>
    <row r="38" spans="2:65" x14ac:dyDescent="0.3">
      <c r="B38" s="153"/>
      <c r="D38" s="155"/>
      <c r="E38" s="155"/>
      <c r="AJ38" s="155"/>
    </row>
    <row r="39" spans="2:65" x14ac:dyDescent="0.3">
      <c r="B39" s="153"/>
      <c r="AJ39" s="155"/>
    </row>
    <row r="40" spans="2:65" x14ac:dyDescent="0.3">
      <c r="B40" s="156"/>
      <c r="C40" s="155"/>
    </row>
    <row r="41" spans="2:65" x14ac:dyDescent="0.3">
      <c r="B41" s="156"/>
      <c r="D41" s="155"/>
      <c r="E41" s="155"/>
      <c r="AJ41" s="155"/>
      <c r="AM41" s="155"/>
      <c r="BM41" s="155"/>
    </row>
    <row r="42" spans="2:65" x14ac:dyDescent="0.3">
      <c r="B42" s="156"/>
    </row>
    <row r="43" spans="2:65" x14ac:dyDescent="0.3">
      <c r="B43" s="153"/>
    </row>
    <row r="44" spans="2:65" x14ac:dyDescent="0.3">
      <c r="B44" s="156"/>
    </row>
    <row r="45" spans="2:65" x14ac:dyDescent="0.3">
      <c r="B45" s="156"/>
      <c r="AJ45" s="155"/>
      <c r="AQ45" s="155"/>
      <c r="AU45" s="155"/>
      <c r="AX45" s="155"/>
    </row>
    <row r="46" spans="2:65" x14ac:dyDescent="0.3">
      <c r="B46" s="156"/>
      <c r="AR46" s="155"/>
    </row>
    <row r="47" spans="2:65" x14ac:dyDescent="0.3">
      <c r="B47" s="153"/>
      <c r="O47" s="155"/>
      <c r="AR47" s="155"/>
    </row>
    <row r="48" spans="2:65" x14ac:dyDescent="0.3">
      <c r="B48" s="156"/>
      <c r="C48" s="155"/>
      <c r="E48" s="155"/>
    </row>
    <row r="49" spans="2:88" x14ac:dyDescent="0.3">
      <c r="B49" s="156"/>
      <c r="D49" s="155"/>
      <c r="E49" s="155"/>
      <c r="AG49" s="155"/>
    </row>
    <row r="50" spans="2:88" x14ac:dyDescent="0.3">
      <c r="B50" s="156"/>
      <c r="D50" s="155"/>
      <c r="E50" s="155"/>
      <c r="R50" s="155"/>
      <c r="AG50" s="155"/>
      <c r="AN50" s="155"/>
      <c r="AO50" s="155"/>
      <c r="AP50" s="155"/>
    </row>
    <row r="51" spans="2:88" x14ac:dyDescent="0.3">
      <c r="B51" s="153"/>
      <c r="D51" s="155"/>
      <c r="E51" s="155"/>
      <c r="K51" s="155"/>
      <c r="AN51" s="155"/>
      <c r="AO51" s="155"/>
      <c r="AQ51" s="155"/>
      <c r="AU51" s="155"/>
      <c r="AV51" s="155"/>
      <c r="AW51" s="155"/>
    </row>
    <row r="52" spans="2:88" x14ac:dyDescent="0.3">
      <c r="B52" s="156"/>
      <c r="D52" s="155"/>
      <c r="E52" s="155"/>
      <c r="AX52" s="155"/>
    </row>
    <row r="53" spans="2:88" x14ac:dyDescent="0.3">
      <c r="B53" s="153"/>
      <c r="D53" s="155"/>
      <c r="E53" s="155"/>
      <c r="L53" s="155"/>
      <c r="AV53" s="155"/>
      <c r="AW53" s="155"/>
    </row>
    <row r="54" spans="2:88" x14ac:dyDescent="0.3">
      <c r="B54" s="153"/>
      <c r="M54" s="155"/>
      <c r="AV54" s="155"/>
      <c r="AW54" s="155"/>
    </row>
    <row r="55" spans="2:88" x14ac:dyDescent="0.3">
      <c r="B55" s="153"/>
      <c r="AV55" s="155"/>
      <c r="AW55" s="155"/>
    </row>
    <row r="56" spans="2:88" x14ac:dyDescent="0.3">
      <c r="B56" s="156"/>
    </row>
    <row r="57" spans="2:88" x14ac:dyDescent="0.3">
      <c r="B57" s="153"/>
      <c r="D57" s="155"/>
      <c r="E57" s="155"/>
      <c r="BA57" s="155"/>
    </row>
    <row r="58" spans="2:88" x14ac:dyDescent="0.3">
      <c r="B58" s="153"/>
      <c r="BB58" s="155"/>
    </row>
    <row r="59" spans="2:88" x14ac:dyDescent="0.3">
      <c r="B59" s="156"/>
      <c r="D59" s="155"/>
      <c r="E59" s="155"/>
    </row>
    <row r="60" spans="2:88" x14ac:dyDescent="0.3">
      <c r="B60" s="156"/>
      <c r="D60" s="155"/>
      <c r="E60" s="155"/>
      <c r="BF60" s="155"/>
    </row>
    <row r="61" spans="2:88" x14ac:dyDescent="0.3">
      <c r="B61" s="156"/>
      <c r="BG61" s="155"/>
      <c r="BZ61" s="155"/>
      <c r="CA61" s="155"/>
      <c r="CB61" s="155"/>
      <c r="CC61" s="155"/>
      <c r="CD61" s="155"/>
      <c r="CE61" s="155"/>
      <c r="CF61" s="155"/>
      <c r="CG61" s="155"/>
      <c r="CH61" s="155"/>
      <c r="CI61" s="155"/>
      <c r="CJ61" s="155"/>
    </row>
    <row r="62" spans="2:88" x14ac:dyDescent="0.3">
      <c r="B62" s="153"/>
    </row>
    <row r="63" spans="2:88" x14ac:dyDescent="0.3">
      <c r="B63" s="153"/>
      <c r="D63" s="155"/>
      <c r="E63" s="155"/>
      <c r="BL63" s="155"/>
      <c r="BM63" s="155"/>
      <c r="BO63" s="155"/>
      <c r="BW63" s="155"/>
    </row>
    <row r="64" spans="2:88" x14ac:dyDescent="0.3">
      <c r="B64" s="156"/>
      <c r="BZ64" s="155"/>
      <c r="CA64" s="155"/>
      <c r="CB64" s="155"/>
      <c r="CC64" s="155"/>
      <c r="CD64" s="155"/>
      <c r="CE64" s="155"/>
      <c r="CF64" s="155"/>
      <c r="CG64" s="155"/>
      <c r="CH64" s="155"/>
      <c r="CI64" s="155"/>
      <c r="CJ64" s="155"/>
    </row>
    <row r="65" spans="2:76" x14ac:dyDescent="0.3">
      <c r="B65" s="153"/>
      <c r="D65" s="155"/>
      <c r="E65" s="155"/>
      <c r="K65" s="155"/>
      <c r="BM65" s="155"/>
      <c r="BN65" s="155"/>
    </row>
    <row r="66" spans="2:76" x14ac:dyDescent="0.3">
      <c r="B66" s="153"/>
      <c r="D66" s="155"/>
      <c r="E66" s="155"/>
    </row>
    <row r="67" spans="2:76" x14ac:dyDescent="0.3">
      <c r="B67" s="153"/>
      <c r="D67" s="155"/>
      <c r="E67" s="155"/>
    </row>
    <row r="68" spans="2:76" x14ac:dyDescent="0.3">
      <c r="B68" s="153"/>
      <c r="D68" s="155"/>
      <c r="E68" s="155"/>
      <c r="U68" s="155"/>
      <c r="BL68" s="155"/>
      <c r="BN68" s="155"/>
    </row>
    <row r="69" spans="2:76" x14ac:dyDescent="0.3">
      <c r="B69" s="153"/>
      <c r="D69" s="155"/>
      <c r="E69" s="155"/>
      <c r="BO69" s="155"/>
    </row>
    <row r="70" spans="2:76" x14ac:dyDescent="0.3">
      <c r="B70" s="153"/>
      <c r="D70" s="155"/>
      <c r="E70" s="155"/>
      <c r="BJ70" s="155"/>
    </row>
    <row r="71" spans="2:76" x14ac:dyDescent="0.3">
      <c r="B71" s="153"/>
      <c r="BJ71" s="155"/>
      <c r="BL71" s="155"/>
      <c r="BO71" s="155"/>
    </row>
    <row r="72" spans="2:76" x14ac:dyDescent="0.3">
      <c r="B72" s="153"/>
      <c r="BR72" s="155"/>
    </row>
    <row r="73" spans="2:76" x14ac:dyDescent="0.3">
      <c r="B73" s="153"/>
      <c r="D73" s="155"/>
      <c r="E73" s="155"/>
      <c r="BJ73" s="155"/>
      <c r="BN73" s="155"/>
    </row>
    <row r="74" spans="2:76" x14ac:dyDescent="0.3">
      <c r="B74" s="156"/>
      <c r="BN74" s="155"/>
    </row>
    <row r="75" spans="2:76" x14ac:dyDescent="0.3">
      <c r="B75" s="153"/>
    </row>
    <row r="76" spans="2:76" x14ac:dyDescent="0.3">
      <c r="B76" s="153"/>
      <c r="D76" s="155"/>
      <c r="E76" s="155"/>
    </row>
    <row r="77" spans="2:76" x14ac:dyDescent="0.3">
      <c r="B77" s="153"/>
    </row>
    <row r="78" spans="2:76" x14ac:dyDescent="0.3">
      <c r="B78" s="153"/>
    </row>
    <row r="79" spans="2:76" x14ac:dyDescent="0.3">
      <c r="B79" s="153"/>
      <c r="BW79" s="155"/>
      <c r="BX79" s="155"/>
    </row>
    <row r="80" spans="2:76" x14ac:dyDescent="0.3">
      <c r="B80" s="153"/>
      <c r="BW80" s="155"/>
      <c r="BX80" s="155"/>
    </row>
    <row r="81" spans="2:88" x14ac:dyDescent="0.3">
      <c r="B81" s="153"/>
      <c r="BW81" s="155"/>
    </row>
    <row r="82" spans="2:88" x14ac:dyDescent="0.3">
      <c r="B82" s="153"/>
      <c r="BW82" s="155"/>
    </row>
    <row r="83" spans="2:88" x14ac:dyDescent="0.3">
      <c r="B83" s="153"/>
      <c r="BW83" s="155"/>
    </row>
    <row r="84" spans="2:88" x14ac:dyDescent="0.3">
      <c r="B84" s="153"/>
      <c r="BW84" s="155"/>
    </row>
    <row r="85" spans="2:88" x14ac:dyDescent="0.3">
      <c r="B85" s="153"/>
      <c r="BW85" s="155"/>
    </row>
    <row r="86" spans="2:88" x14ac:dyDescent="0.3">
      <c r="B86" s="156"/>
      <c r="BW86" s="155"/>
      <c r="BX86" s="155"/>
    </row>
    <row r="87" spans="2:88" x14ac:dyDescent="0.3">
      <c r="B87" s="153"/>
      <c r="BW87" s="155"/>
    </row>
    <row r="88" spans="2:88" x14ac:dyDescent="0.3">
      <c r="B88" s="153"/>
      <c r="BW88" s="155"/>
    </row>
    <row r="89" spans="2:88" x14ac:dyDescent="0.3">
      <c r="B89" s="156"/>
      <c r="D89" s="155"/>
      <c r="E89" s="155"/>
      <c r="BZ89" s="155"/>
      <c r="CA89" s="155"/>
      <c r="CB89" s="155"/>
      <c r="CC89" s="155"/>
      <c r="CD89" s="155"/>
      <c r="CE89" s="155"/>
      <c r="CF89" s="155"/>
      <c r="CG89" s="155"/>
      <c r="CH89" s="155"/>
      <c r="CI89" s="155"/>
      <c r="CJ89" s="155"/>
    </row>
    <row r="90" spans="2:88" x14ac:dyDescent="0.3">
      <c r="B90" s="153"/>
    </row>
    <row r="91" spans="2:88" x14ac:dyDescent="0.3">
      <c r="B91" s="153"/>
    </row>
    <row r="92" spans="2:88" x14ac:dyDescent="0.3">
      <c r="B92" s="153"/>
    </row>
    <row r="93" spans="2:88" x14ac:dyDescent="0.3">
      <c r="B93" s="153"/>
    </row>
    <row r="94" spans="2:88" x14ac:dyDescent="0.3">
      <c r="B94" s="153"/>
    </row>
    <row r="95" spans="2:88" x14ac:dyDescent="0.3">
      <c r="B95" s="153"/>
    </row>
    <row r="96" spans="2:88" x14ac:dyDescent="0.3">
      <c r="B96" s="153"/>
    </row>
    <row r="97" spans="2:2" x14ac:dyDescent="0.3">
      <c r="B97" s="153"/>
    </row>
    <row r="98" spans="2:2" x14ac:dyDescent="0.3">
      <c r="B98" s="153"/>
    </row>
    <row r="99" spans="2:2" x14ac:dyDescent="0.3">
      <c r="B99" s="156"/>
    </row>
    <row r="100" spans="2:2" x14ac:dyDescent="0.3">
      <c r="B100" s="153"/>
    </row>
    <row r="101" spans="2:2" x14ac:dyDescent="0.3">
      <c r="B101" s="153"/>
    </row>
    <row r="102" spans="2:2" x14ac:dyDescent="0.3">
      <c r="B102" s="153"/>
    </row>
    <row r="103" spans="2:2" x14ac:dyDescent="0.3">
      <c r="B103" s="153"/>
    </row>
    <row r="104" spans="2:2" x14ac:dyDescent="0.3">
      <c r="B104" s="153"/>
    </row>
    <row r="105" spans="2:2" x14ac:dyDescent="0.3">
      <c r="B105" s="156"/>
    </row>
    <row r="106" spans="2:2" x14ac:dyDescent="0.3">
      <c r="B106" s="153"/>
    </row>
    <row r="107" spans="2:2" x14ac:dyDescent="0.3">
      <c r="B107" s="156"/>
    </row>
    <row r="108" spans="2:2" x14ac:dyDescent="0.3">
      <c r="B108" s="156"/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Button_GenerateWorksheetsMatrix">
                <anchor moveWithCells="1" sizeWithCells="1">
                  <from>
                    <xdr:col>1</xdr:col>
                    <xdr:colOff>376238</xdr:colOff>
                    <xdr:row>2</xdr:row>
                    <xdr:rowOff>352425</xdr:rowOff>
                  </from>
                  <to>
                    <xdr:col>1</xdr:col>
                    <xdr:colOff>1366838</xdr:colOff>
                    <xdr:row>2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86249-0628-46E2-912C-E12FA717B535}">
  <sheetPr codeName="Tabelle33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K27" s="62"/>
      <c r="L27" s="62"/>
    </row>
    <row r="28" spans="7:12" x14ac:dyDescent="0.3">
      <c r="I28" s="63"/>
      <c r="K28" s="62"/>
      <c r="L28" s="62"/>
    </row>
    <row r="29" spans="7:12" x14ac:dyDescent="0.3">
      <c r="G29" s="61" t="s">
        <v>962</v>
      </c>
      <c r="I29" s="64" t="b">
        <f>MasterCheck</f>
        <v>1</v>
      </c>
    </row>
    <row r="30" spans="7:12" ht="15" x14ac:dyDescent="0.4">
      <c r="G30" s="65" t="s">
        <v>941</v>
      </c>
      <c r="I30" s="64" t="b">
        <v>1</v>
      </c>
    </row>
    <row r="31" spans="7:12" x14ac:dyDescent="0.3">
      <c r="G31" s="61" t="s">
        <v>955</v>
      </c>
    </row>
    <row r="32" spans="7:12" x14ac:dyDescent="0.3">
      <c r="G32" s="61" t="s">
        <v>912</v>
      </c>
      <c r="I32" s="66"/>
    </row>
    <row r="33" spans="7:12" x14ac:dyDescent="0.3">
      <c r="G33" s="61" t="s">
        <v>911</v>
      </c>
      <c r="I33" s="66"/>
    </row>
    <row r="34" spans="7:12" x14ac:dyDescent="0.3">
      <c r="I34" s="66"/>
    </row>
    <row r="35" spans="7:12" x14ac:dyDescent="0.3">
      <c r="I35" s="66"/>
    </row>
    <row r="36" spans="7:12" x14ac:dyDescent="0.3">
      <c r="I36" s="66"/>
      <c r="J36" s="67"/>
    </row>
    <row r="37" spans="7:12" x14ac:dyDescent="0.3">
      <c r="I37" s="66"/>
    </row>
    <row r="38" spans="7:12" x14ac:dyDescent="0.3">
      <c r="I38" s="66"/>
      <c r="J38" s="63"/>
    </row>
    <row r="39" spans="7:12" x14ac:dyDescent="0.3">
      <c r="I39" s="66"/>
      <c r="J39" s="63"/>
      <c r="L39" s="68"/>
    </row>
  </sheetData>
  <conditionalFormatting sqref="I30">
    <cfRule type="expression" dxfId="22" priority="2">
      <formula>IFERROR(NOT(I30),TRUE)</formula>
    </cfRule>
  </conditionalFormatting>
  <conditionalFormatting sqref="I29">
    <cfRule type="expression" dxfId="21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F1332-254E-4E14-9B46-6AE88B76092D}">
  <sheetPr codeName="Tabelle15">
    <outlinePr summaryBelow="0"/>
  </sheetPr>
  <dimension ref="A1:BN65"/>
  <sheetViews>
    <sheetView workbookViewId="0">
      <selection activeCell="AG22" sqref="AG22"/>
    </sheetView>
  </sheetViews>
  <sheetFormatPr baseColWidth="10" defaultColWidth="8.6640625" defaultRowHeight="10.15" outlineLevelRow="1" x14ac:dyDescent="0.3"/>
  <cols>
    <col min="1" max="1" width="1.58203125" customWidth="1"/>
    <col min="3" max="3" width="6" customWidth="1"/>
    <col min="4" max="10" width="2.58203125" customWidth="1"/>
    <col min="11" max="11" width="2.58203125" hidden="1" customWidth="1"/>
    <col min="12" max="18" width="2.58203125" customWidth="1"/>
    <col min="19" max="19" width="2.58203125" hidden="1" customWidth="1"/>
    <col min="20" max="26" width="2.58203125" customWidth="1"/>
    <col min="27" max="27" width="2.58203125" hidden="1" customWidth="1"/>
    <col min="28" max="29" width="2.58203125" customWidth="1"/>
    <col min="30" max="31" width="7" customWidth="1"/>
    <col min="32" max="32" width="1.58203125" customWidth="1"/>
    <col min="33" max="33" width="3.25" customWidth="1"/>
    <col min="34" max="35" width="4.83203125" customWidth="1"/>
    <col min="36" max="36" width="4.75" customWidth="1"/>
    <col min="37" max="37" width="3.25" customWidth="1"/>
    <col min="38" max="38" width="4.75" customWidth="1"/>
    <col min="39" max="39" width="3.25" customWidth="1"/>
    <col min="40" max="41" width="5" customWidth="1"/>
    <col min="42" max="42" width="3.75" customWidth="1"/>
    <col min="43" max="44" width="3.25" style="5" customWidth="1"/>
    <col min="45" max="47" width="8.75" customWidth="1"/>
    <col min="48" max="48" width="3.75" customWidth="1"/>
    <col min="49" max="50" width="3.25" style="5" customWidth="1"/>
    <col min="51" max="53" width="8.75" customWidth="1"/>
    <col min="55" max="57" width="3.25" customWidth="1"/>
  </cols>
  <sheetData>
    <row r="1" spans="1:50" x14ac:dyDescent="0.3"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</row>
    <row r="2" spans="1:50" s="111" customFormat="1" x14ac:dyDescent="0.3">
      <c r="A2" s="119" t="s">
        <v>950</v>
      </c>
      <c r="AQ2" s="112"/>
      <c r="AR2" s="112"/>
      <c r="AW2" s="112"/>
      <c r="AX2" s="112"/>
    </row>
    <row r="3" spans="1:50" outlineLevel="1" x14ac:dyDescent="0.3">
      <c r="A3" t="s">
        <v>947</v>
      </c>
    </row>
    <row r="4" spans="1:50" ht="18.75" outlineLevel="1" x14ac:dyDescent="0.3">
      <c r="C4" s="48" t="s">
        <v>0</v>
      </c>
      <c r="D4" s="32" t="s">
        <v>908</v>
      </c>
      <c r="E4" s="33"/>
      <c r="F4" s="33"/>
      <c r="G4" s="33"/>
      <c r="H4" s="33"/>
      <c r="I4" s="33"/>
      <c r="J4" s="33"/>
      <c r="K4" s="81" t="s">
        <v>1</v>
      </c>
      <c r="L4" s="85" t="s">
        <v>909</v>
      </c>
      <c r="M4" s="33"/>
      <c r="N4" s="33"/>
      <c r="O4" s="33"/>
      <c r="P4" s="33"/>
      <c r="Q4" s="33"/>
      <c r="R4" s="33"/>
      <c r="S4" s="90" t="s">
        <v>2</v>
      </c>
      <c r="T4" s="92"/>
      <c r="U4" s="93"/>
      <c r="V4" s="93"/>
      <c r="W4" s="93"/>
      <c r="X4" s="93"/>
      <c r="Y4" s="93"/>
      <c r="Z4" s="93"/>
      <c r="AA4" s="93"/>
      <c r="AB4" s="93"/>
      <c r="AC4" s="93"/>
      <c r="AD4" s="49" t="s">
        <v>945</v>
      </c>
      <c r="AE4" s="49" t="s">
        <v>946</v>
      </c>
    </row>
    <row r="5" spans="1:50" outlineLevel="1" x14ac:dyDescent="0.3">
      <c r="C5" s="48">
        <v>0</v>
      </c>
      <c r="D5" s="77">
        <f>'Sprite (load)'!B4</f>
        <v>0</v>
      </c>
      <c r="E5" s="78">
        <f>'Sprite (load)'!C4</f>
        <v>0</v>
      </c>
      <c r="F5" s="78">
        <f>'Sprite (load)'!D4</f>
        <v>0</v>
      </c>
      <c r="G5" s="78">
        <f>'Sprite (load)'!E4</f>
        <v>0</v>
      </c>
      <c r="H5" s="78">
        <f>'Sprite (load)'!F4</f>
        <v>1</v>
      </c>
      <c r="I5" s="78">
        <f>'Sprite (load)'!G4</f>
        <v>0</v>
      </c>
      <c r="J5" s="78">
        <f>'Sprite (load)'!H4</f>
        <v>0</v>
      </c>
      <c r="K5" s="84">
        <f>'Sprite (load)'!I4</f>
        <v>1</v>
      </c>
      <c r="L5" s="89">
        <f>'Sprite (load)'!J4</f>
        <v>0</v>
      </c>
      <c r="M5" s="78">
        <f>'Sprite (load)'!K4</f>
        <v>0</v>
      </c>
      <c r="N5" s="78">
        <f>'Sprite (load)'!L4</f>
        <v>0</v>
      </c>
      <c r="O5" s="78">
        <f>'Sprite (load)'!M4</f>
        <v>0</v>
      </c>
      <c r="P5" s="78">
        <f>'Sprite (load)'!N4</f>
        <v>0</v>
      </c>
      <c r="Q5" s="78">
        <f>'Sprite (load)'!O4</f>
        <v>0</v>
      </c>
      <c r="R5" s="78">
        <f>'Sprite (load)'!P4</f>
        <v>0</v>
      </c>
      <c r="S5" s="91">
        <f>'Sprite (load)'!Q4</f>
        <v>1</v>
      </c>
      <c r="T5" s="94"/>
      <c r="U5" s="95"/>
      <c r="V5" s="95"/>
      <c r="W5" s="95"/>
      <c r="X5" s="95"/>
      <c r="Y5" s="95"/>
      <c r="Z5" s="95"/>
      <c r="AA5" s="95"/>
      <c r="AB5" s="95"/>
      <c r="AC5" s="95"/>
      <c r="AD5" s="83" t="str">
        <f>'Sprite (load)'!W4</f>
        <v>10</v>
      </c>
      <c r="AE5" s="83" t="str">
        <f>'Sprite (load)'!X4</f>
        <v>00</v>
      </c>
    </row>
    <row r="6" spans="1:50" outlineLevel="1" x14ac:dyDescent="0.3">
      <c r="C6" s="48">
        <v>1</v>
      </c>
      <c r="D6" s="77">
        <f>'Sprite (load)'!B5</f>
        <v>0</v>
      </c>
      <c r="E6" s="78">
        <f>'Sprite (load)'!C5</f>
        <v>0</v>
      </c>
      <c r="F6" s="78">
        <f>'Sprite (load)'!D5</f>
        <v>0</v>
      </c>
      <c r="G6" s="78">
        <f>'Sprite (load)'!E5</f>
        <v>1</v>
      </c>
      <c r="H6" s="78">
        <f>'Sprite (load)'!F5</f>
        <v>0</v>
      </c>
      <c r="I6" s="78">
        <f>'Sprite (load)'!G5</f>
        <v>1</v>
      </c>
      <c r="J6" s="78">
        <f>'Sprite (load)'!H5</f>
        <v>0</v>
      </c>
      <c r="K6" s="84">
        <f>'Sprite (load)'!I5</f>
        <v>1</v>
      </c>
      <c r="L6" s="89">
        <f>'Sprite (load)'!J5</f>
        <v>0</v>
      </c>
      <c r="M6" s="78">
        <f>'Sprite (load)'!K5</f>
        <v>0</v>
      </c>
      <c r="N6" s="78">
        <f>'Sprite (load)'!L5</f>
        <v>0</v>
      </c>
      <c r="O6" s="78">
        <f>'Sprite (load)'!M5</f>
        <v>0</v>
      </c>
      <c r="P6" s="78">
        <f>'Sprite (load)'!N5</f>
        <v>0</v>
      </c>
      <c r="Q6" s="78">
        <f>'Sprite (load)'!O5</f>
        <v>0</v>
      </c>
      <c r="R6" s="78">
        <f>'Sprite (load)'!P5</f>
        <v>0</v>
      </c>
      <c r="S6" s="91">
        <f>'Sprite (load)'!Q5</f>
        <v>1</v>
      </c>
      <c r="T6" s="94"/>
      <c r="U6" s="95"/>
      <c r="V6" s="95"/>
      <c r="W6" s="95"/>
      <c r="X6" s="95"/>
      <c r="Y6" s="95"/>
      <c r="Z6" s="95"/>
      <c r="AA6" s="95"/>
      <c r="AB6" s="95"/>
      <c r="AC6" s="95"/>
      <c r="AD6" s="83" t="str">
        <f>'Sprite (load)'!W5</f>
        <v>28</v>
      </c>
      <c r="AE6" s="83" t="str">
        <f>'Sprite (load)'!X5</f>
        <v>00</v>
      </c>
    </row>
    <row r="7" spans="1:50" outlineLevel="1" x14ac:dyDescent="0.3">
      <c r="B7" s="95"/>
      <c r="C7" s="48">
        <v>2</v>
      </c>
      <c r="D7" s="77">
        <f>'Sprite (load)'!B6</f>
        <v>0</v>
      </c>
      <c r="E7" s="78">
        <f>'Sprite (load)'!C6</f>
        <v>0</v>
      </c>
      <c r="F7" s="78">
        <f>'Sprite (load)'!D6</f>
        <v>0</v>
      </c>
      <c r="G7" s="78">
        <f>'Sprite (load)'!E6</f>
        <v>1</v>
      </c>
      <c r="H7" s="78">
        <f>'Sprite (load)'!F6</f>
        <v>0</v>
      </c>
      <c r="I7" s="78">
        <f>1</f>
        <v>1</v>
      </c>
      <c r="J7" s="78">
        <f>'Sprite (load)'!H6</f>
        <v>0</v>
      </c>
      <c r="K7" s="84">
        <f>'Sprite (load)'!I6</f>
        <v>1</v>
      </c>
      <c r="L7" s="89">
        <f>'Sprite (load)'!J6</f>
        <v>0</v>
      </c>
      <c r="M7" s="78">
        <f>'Sprite (load)'!K6</f>
        <v>0</v>
      </c>
      <c r="N7" s="78">
        <f>'Sprite (load)'!L6</f>
        <v>0</v>
      </c>
      <c r="O7" s="78">
        <f>'Sprite (load)'!M6</f>
        <v>0</v>
      </c>
      <c r="P7" s="78">
        <f>'Sprite (load)'!N6</f>
        <v>0</v>
      </c>
      <c r="Q7" s="78">
        <f>'Sprite (load)'!O6</f>
        <v>0</v>
      </c>
      <c r="R7" s="78">
        <f>'Sprite (load)'!P6</f>
        <v>0</v>
      </c>
      <c r="S7" s="91">
        <f>'Sprite (load)'!Q6</f>
        <v>1</v>
      </c>
      <c r="T7" s="94"/>
      <c r="U7" s="95"/>
      <c r="W7" s="95"/>
      <c r="X7" s="95"/>
      <c r="Y7" s="95"/>
      <c r="Z7" s="95"/>
      <c r="AA7" s="95"/>
      <c r="AB7" s="95"/>
      <c r="AC7" s="95"/>
      <c r="AD7" s="83" t="str">
        <f>'Sprite (load)'!W6</f>
        <v>28</v>
      </c>
      <c r="AE7" s="83" t="str">
        <f>'Sprite (load)'!X6</f>
        <v>00</v>
      </c>
    </row>
    <row r="8" spans="1:50" outlineLevel="1" x14ac:dyDescent="0.3">
      <c r="C8" s="48">
        <v>3</v>
      </c>
      <c r="D8" s="77">
        <f>'Sprite (load)'!B7</f>
        <v>0</v>
      </c>
      <c r="E8" s="78">
        <f>'Sprite (load)'!C7</f>
        <v>0</v>
      </c>
      <c r="F8" s="78">
        <f>'Sprite (load)'!D7</f>
        <v>0</v>
      </c>
      <c r="G8" s="78">
        <f>'Sprite (load)'!E7</f>
        <v>0</v>
      </c>
      <c r="H8" s="78">
        <f>'Sprite (load)'!F7</f>
        <v>0</v>
      </c>
      <c r="I8" s="78">
        <f>'Sprite (load)'!G7</f>
        <v>1</v>
      </c>
      <c r="J8" s="78">
        <f>'Sprite (load)'!H7</f>
        <v>0</v>
      </c>
      <c r="K8" s="84">
        <f>'Sprite (load)'!I7</f>
        <v>1</v>
      </c>
      <c r="L8" s="89">
        <f>'Sprite (load)'!J7</f>
        <v>0</v>
      </c>
      <c r="M8" s="78">
        <f>'Sprite (load)'!K7</f>
        <v>0</v>
      </c>
      <c r="N8" s="78">
        <f>'Sprite (load)'!L7</f>
        <v>0</v>
      </c>
      <c r="O8" s="78">
        <f>'Sprite (load)'!M7</f>
        <v>0</v>
      </c>
      <c r="P8" s="78">
        <f>'Sprite (load)'!N7</f>
        <v>0</v>
      </c>
      <c r="Q8" s="78">
        <f>'Sprite (load)'!O7</f>
        <v>0</v>
      </c>
      <c r="R8" s="78">
        <f>'Sprite (load)'!P7</f>
        <v>0</v>
      </c>
      <c r="S8" s="91">
        <f>'Sprite (load)'!Q7</f>
        <v>1</v>
      </c>
      <c r="T8" s="94"/>
      <c r="U8" s="95"/>
      <c r="V8" s="95"/>
      <c r="W8" s="95"/>
      <c r="X8" s="95"/>
      <c r="Y8" s="95"/>
      <c r="Z8" s="95"/>
      <c r="AA8" s="95"/>
      <c r="AB8" s="95"/>
      <c r="AC8" s="95"/>
      <c r="AD8" s="83" t="str">
        <f>'Sprite (load)'!W7</f>
        <v>20</v>
      </c>
      <c r="AE8" s="83" t="str">
        <f>'Sprite (load)'!X7</f>
        <v>00</v>
      </c>
    </row>
    <row r="9" spans="1:50" outlineLevel="1" x14ac:dyDescent="0.3">
      <c r="C9" s="48">
        <v>4</v>
      </c>
      <c r="D9" s="77">
        <f>'Sprite (load)'!B8</f>
        <v>0</v>
      </c>
      <c r="E9" s="78">
        <f>'Sprite (load)'!C8</f>
        <v>0</v>
      </c>
      <c r="F9" s="78">
        <f>'Sprite (load)'!D8</f>
        <v>0</v>
      </c>
      <c r="G9" s="78">
        <f>'Sprite (load)'!E8</f>
        <v>1</v>
      </c>
      <c r="H9" s="78">
        <f>'Sprite (load)'!F8</f>
        <v>0</v>
      </c>
      <c r="I9" s="78">
        <f>'Sprite (load)'!G8</f>
        <v>1</v>
      </c>
      <c r="J9" s="78">
        <f>'Sprite (load)'!H8</f>
        <v>0</v>
      </c>
      <c r="K9" s="84">
        <f>'Sprite (load)'!I8</f>
        <v>1</v>
      </c>
      <c r="L9" s="89">
        <f>'Sprite (load)'!J8</f>
        <v>1</v>
      </c>
      <c r="M9" s="78">
        <f>'Sprite (load)'!K8</f>
        <v>0</v>
      </c>
      <c r="N9" s="78">
        <f>'Sprite (load)'!L8</f>
        <v>0</v>
      </c>
      <c r="O9" s="78">
        <f>'Sprite (load)'!M8</f>
        <v>0</v>
      </c>
      <c r="P9" s="78">
        <f>'Sprite (load)'!N8</f>
        <v>0</v>
      </c>
      <c r="Q9" s="78">
        <f>'Sprite (load)'!O8</f>
        <v>0</v>
      </c>
      <c r="R9" s="78">
        <f>'Sprite (load)'!P8</f>
        <v>0</v>
      </c>
      <c r="S9" s="91">
        <f>'Sprite (load)'!Q8</f>
        <v>1</v>
      </c>
      <c r="T9" s="94"/>
      <c r="U9" s="95"/>
      <c r="V9" s="95"/>
      <c r="W9" s="95"/>
      <c r="X9" s="95"/>
      <c r="Y9" s="95"/>
      <c r="Z9" s="95"/>
      <c r="AA9" s="95"/>
      <c r="AB9" s="95"/>
      <c r="AC9" s="95"/>
      <c r="AD9" s="83" t="str">
        <f>'Sprite (load)'!W8</f>
        <v>28</v>
      </c>
      <c r="AE9" s="83" t="str">
        <f>'Sprite (load)'!X8</f>
        <v>01</v>
      </c>
    </row>
    <row r="10" spans="1:50" outlineLevel="1" x14ac:dyDescent="0.3">
      <c r="C10" s="48">
        <v>5</v>
      </c>
      <c r="D10" s="77">
        <f>'Sprite (load)'!B9</f>
        <v>0</v>
      </c>
      <c r="E10" s="78">
        <f>'Sprite (load)'!C9</f>
        <v>1</v>
      </c>
      <c r="F10" s="78">
        <f>'Sprite (load)'!D9</f>
        <v>0</v>
      </c>
      <c r="G10" s="78">
        <f>'Sprite (load)'!E9</f>
        <v>0</v>
      </c>
      <c r="H10" s="78">
        <f>'Sprite (load)'!F9</f>
        <v>0</v>
      </c>
      <c r="I10" s="78">
        <f>'Sprite (load)'!G9</f>
        <v>1</v>
      </c>
      <c r="J10" s="78">
        <f>'Sprite (load)'!H9</f>
        <v>0</v>
      </c>
      <c r="K10" s="84">
        <f>'Sprite (load)'!I9</f>
        <v>1</v>
      </c>
      <c r="L10" s="89">
        <f>'Sprite (load)'!J9</f>
        <v>0</v>
      </c>
      <c r="M10" s="78">
        <f>'Sprite (load)'!K9</f>
        <v>0</v>
      </c>
      <c r="N10" s="78">
        <f>'Sprite (load)'!L9</f>
        <v>1</v>
      </c>
      <c r="O10" s="78">
        <f>'Sprite (load)'!M9</f>
        <v>0</v>
      </c>
      <c r="P10" s="78">
        <f>'Sprite (load)'!N9</f>
        <v>0</v>
      </c>
      <c r="Q10" s="78">
        <f>'Sprite (load)'!O9</f>
        <v>0</v>
      </c>
      <c r="R10" s="78">
        <f>'Sprite (load)'!P9</f>
        <v>0</v>
      </c>
      <c r="S10" s="91">
        <f>'Sprite (load)'!Q9</f>
        <v>1</v>
      </c>
      <c r="T10" s="94"/>
      <c r="U10" s="95"/>
      <c r="V10" s="95"/>
      <c r="W10" s="95"/>
      <c r="X10" s="95"/>
      <c r="Y10" s="95"/>
      <c r="Z10" s="95"/>
      <c r="AA10" s="95"/>
      <c r="AB10" s="95"/>
      <c r="AC10" s="95"/>
      <c r="AD10" s="83" t="str">
        <f>'Sprite (load)'!W9</f>
        <v>22</v>
      </c>
      <c r="AE10" s="83" t="str">
        <f>'Sprite (load)'!X9</f>
        <v>04</v>
      </c>
    </row>
    <row r="11" spans="1:50" outlineLevel="1" x14ac:dyDescent="0.3">
      <c r="C11" s="48">
        <v>6</v>
      </c>
      <c r="D11" s="77">
        <f>'Sprite (load)'!B10</f>
        <v>0</v>
      </c>
      <c r="E11" s="78">
        <f>'Sprite (load)'!C10</f>
        <v>0</v>
      </c>
      <c r="F11" s="78">
        <f>'Sprite (load)'!D10</f>
        <v>0</v>
      </c>
      <c r="G11" s="78">
        <f>'Sprite (load)'!E10</f>
        <v>0</v>
      </c>
      <c r="H11" s="78">
        <f>'Sprite (load)'!F10</f>
        <v>0</v>
      </c>
      <c r="I11" s="78">
        <f>'Sprite (load)'!G10</f>
        <v>1</v>
      </c>
      <c r="J11" s="78">
        <f>'Sprite (load)'!H10</f>
        <v>1</v>
      </c>
      <c r="K11" s="84">
        <f>'Sprite (load)'!I10</f>
        <v>1</v>
      </c>
      <c r="L11" s="89">
        <f>'Sprite (load)'!J10</f>
        <v>0</v>
      </c>
      <c r="M11" s="78">
        <f>'Sprite (load)'!K10</f>
        <v>0</v>
      </c>
      <c r="N11" s="78">
        <f>'Sprite (load)'!L10</f>
        <v>0</v>
      </c>
      <c r="O11" s="78">
        <f>'Sprite (load)'!M10</f>
        <v>0</v>
      </c>
      <c r="P11" s="78">
        <f>'Sprite (load)'!N10</f>
        <v>0</v>
      </c>
      <c r="Q11" s="78">
        <f>'Sprite (load)'!O10</f>
        <v>0</v>
      </c>
      <c r="R11" s="78">
        <f>'Sprite (load)'!P10</f>
        <v>0</v>
      </c>
      <c r="S11" s="91">
        <f>'Sprite (load)'!Q10</f>
        <v>1</v>
      </c>
      <c r="T11" s="94"/>
      <c r="U11" s="95"/>
      <c r="V11" s="95"/>
      <c r="W11" s="95"/>
      <c r="X11" s="95"/>
      <c r="Y11" s="95"/>
      <c r="Z11" s="95"/>
      <c r="AA11" s="95"/>
      <c r="AB11" s="95"/>
      <c r="AC11" s="95"/>
      <c r="AD11" s="83" t="str">
        <f>'Sprite (load)'!W10</f>
        <v>60</v>
      </c>
      <c r="AE11" s="83" t="str">
        <f>'Sprite (load)'!X10</f>
        <v>00</v>
      </c>
    </row>
    <row r="12" spans="1:50" outlineLevel="1" x14ac:dyDescent="0.3">
      <c r="C12" s="48">
        <v>7</v>
      </c>
      <c r="D12" s="77">
        <f>'Sprite (load)'!B11</f>
        <v>0</v>
      </c>
      <c r="E12" s="78">
        <f>'Sprite (load)'!C11</f>
        <v>0</v>
      </c>
      <c r="F12" s="78">
        <f>'Sprite (load)'!D11</f>
        <v>0</v>
      </c>
      <c r="G12" s="78">
        <f>'Sprite (load)'!E11</f>
        <v>0</v>
      </c>
      <c r="H12" s="78">
        <f>'Sprite (load)'!F11</f>
        <v>1</v>
      </c>
      <c r="I12" s="78">
        <f>'Sprite (load)'!G11</f>
        <v>1</v>
      </c>
      <c r="J12" s="78">
        <f>'Sprite (load)'!H11</f>
        <v>1</v>
      </c>
      <c r="K12" s="84">
        <f>'Sprite (load)'!I11</f>
        <v>1</v>
      </c>
      <c r="L12" s="89">
        <f>'Sprite (load)'!J11</f>
        <v>0</v>
      </c>
      <c r="M12" s="78">
        <f>'Sprite (load)'!K11</f>
        <v>0</v>
      </c>
      <c r="N12" s="78">
        <f>'Sprite (load)'!L11</f>
        <v>0</v>
      </c>
      <c r="O12" s="78">
        <f>'Sprite (load)'!M11</f>
        <v>0</v>
      </c>
      <c r="P12" s="78">
        <f>'Sprite (load)'!N11</f>
        <v>0</v>
      </c>
      <c r="Q12" s="78">
        <f>'Sprite (load)'!O11</f>
        <v>0</v>
      </c>
      <c r="R12" s="78">
        <f>'Sprite (load)'!P11</f>
        <v>0</v>
      </c>
      <c r="S12" s="91">
        <f>'Sprite (load)'!Q11</f>
        <v>1</v>
      </c>
      <c r="T12" s="94"/>
      <c r="U12" s="95"/>
      <c r="V12" s="95"/>
      <c r="W12" s="95"/>
      <c r="X12" s="95"/>
      <c r="Y12" s="95"/>
      <c r="Z12" s="95"/>
      <c r="AA12" s="95"/>
      <c r="AB12" s="95"/>
      <c r="AC12" s="95"/>
      <c r="AD12" s="83" t="str">
        <f>'Sprite (load)'!W11</f>
        <v>70</v>
      </c>
      <c r="AE12" s="83" t="str">
        <f>'Sprite (load)'!X11</f>
        <v>00</v>
      </c>
    </row>
    <row r="13" spans="1:50" outlineLevel="1" x14ac:dyDescent="0.3">
      <c r="C13" s="48">
        <v>8</v>
      </c>
      <c r="D13" s="77">
        <f>'Sprite (load)'!B12</f>
        <v>0</v>
      </c>
      <c r="E13" s="78">
        <f>'Sprite (load)'!C12</f>
        <v>0</v>
      </c>
      <c r="F13" s="78">
        <f>'Sprite (load)'!D12</f>
        <v>0</v>
      </c>
      <c r="G13" s="78">
        <f>'Sprite (load)'!E12</f>
        <v>1</v>
      </c>
      <c r="H13" s="78">
        <f>'Sprite (load)'!F12</f>
        <v>1</v>
      </c>
      <c r="I13" s="78">
        <f>'Sprite (load)'!G12</f>
        <v>0</v>
      </c>
      <c r="J13" s="78">
        <f>'Sprite (load)'!H12</f>
        <v>1</v>
      </c>
      <c r="K13" s="84">
        <f>'Sprite (load)'!I12</f>
        <v>1</v>
      </c>
      <c r="L13" s="89">
        <f>'Sprite (load)'!J12</f>
        <v>1</v>
      </c>
      <c r="M13" s="78">
        <f>'Sprite (load)'!K12</f>
        <v>1</v>
      </c>
      <c r="N13" s="78">
        <f>'Sprite (load)'!L12</f>
        <v>1</v>
      </c>
      <c r="O13" s="78">
        <f>'Sprite (load)'!M12</f>
        <v>0</v>
      </c>
      <c r="P13" s="78">
        <f>'Sprite (load)'!N12</f>
        <v>0</v>
      </c>
      <c r="Q13" s="78">
        <f>'Sprite (load)'!O12</f>
        <v>0</v>
      </c>
      <c r="R13" s="78">
        <f>'Sprite (load)'!P12</f>
        <v>0</v>
      </c>
      <c r="S13" s="91">
        <f>'Sprite (load)'!Q12</f>
        <v>1</v>
      </c>
      <c r="T13" s="94"/>
      <c r="U13" s="95"/>
      <c r="V13" s="95"/>
      <c r="W13" s="95"/>
      <c r="X13" s="95"/>
      <c r="Y13" s="95"/>
      <c r="Z13" s="95"/>
      <c r="AA13" s="95"/>
      <c r="AB13" s="95"/>
      <c r="AC13" s="95"/>
      <c r="AD13" s="83" t="str">
        <f>'Sprite (load)'!W12</f>
        <v>58</v>
      </c>
      <c r="AE13" s="83" t="str">
        <f>'Sprite (load)'!X12</f>
        <v>07</v>
      </c>
    </row>
    <row r="14" spans="1:50" outlineLevel="1" x14ac:dyDescent="0.3">
      <c r="C14" s="48">
        <v>9</v>
      </c>
      <c r="D14" s="77">
        <f>'Sprite (load)'!B13</f>
        <v>0</v>
      </c>
      <c r="E14" s="78">
        <f>'Sprite (load)'!C13</f>
        <v>0</v>
      </c>
      <c r="F14" s="78">
        <f>'Sprite (load)'!D13</f>
        <v>0</v>
      </c>
      <c r="G14" s="78">
        <f>'Sprite (load)'!E13</f>
        <v>1</v>
      </c>
      <c r="H14" s="78">
        <f>'Sprite (load)'!F13</f>
        <v>1</v>
      </c>
      <c r="I14" s="78">
        <f>'Sprite (load)'!G13</f>
        <v>0</v>
      </c>
      <c r="J14" s="78">
        <f>'Sprite (load)'!H13</f>
        <v>0</v>
      </c>
      <c r="K14" s="84">
        <f>'Sprite (load)'!I13</f>
        <v>1</v>
      </c>
      <c r="L14" s="89">
        <f>'Sprite (load)'!J13</f>
        <v>0</v>
      </c>
      <c r="M14" s="78">
        <f>'Sprite (load)'!K13</f>
        <v>0</v>
      </c>
      <c r="N14" s="78">
        <f>'Sprite (load)'!L13</f>
        <v>0</v>
      </c>
      <c r="O14" s="78">
        <f>'Sprite (load)'!M13</f>
        <v>0</v>
      </c>
      <c r="P14" s="78">
        <f>'Sprite (load)'!N13</f>
        <v>0</v>
      </c>
      <c r="Q14" s="78">
        <f>'Sprite (load)'!O13</f>
        <v>0</v>
      </c>
      <c r="R14" s="78">
        <f>'Sprite (load)'!P13</f>
        <v>0</v>
      </c>
      <c r="S14" s="91">
        <f>'Sprite (load)'!Q13</f>
        <v>1</v>
      </c>
      <c r="T14" s="94"/>
      <c r="U14" s="95"/>
      <c r="V14" s="95"/>
      <c r="W14" s="95"/>
      <c r="X14" s="95"/>
      <c r="Y14" s="95"/>
      <c r="Z14" s="95"/>
      <c r="AA14" s="95"/>
      <c r="AB14" s="95"/>
      <c r="AC14" s="95"/>
      <c r="AD14" s="83" t="str">
        <f>'Sprite (load)'!W13</f>
        <v>18</v>
      </c>
      <c r="AE14" s="83" t="str">
        <f>'Sprite (load)'!X13</f>
        <v>00</v>
      </c>
    </row>
    <row r="15" spans="1:50" outlineLevel="1" x14ac:dyDescent="0.3">
      <c r="C15" s="48">
        <v>10</v>
      </c>
      <c r="D15" s="77">
        <f>'Sprite (load)'!B14</f>
        <v>0</v>
      </c>
      <c r="E15" s="78">
        <f>'Sprite (load)'!C14</f>
        <v>0</v>
      </c>
      <c r="F15" s="78">
        <f>'Sprite (load)'!D14</f>
        <v>0</v>
      </c>
      <c r="G15" s="78">
        <f>'Sprite (load)'!E14</f>
        <v>1</v>
      </c>
      <c r="H15" s="78">
        <f>'Sprite (load)'!F14</f>
        <v>1</v>
      </c>
      <c r="I15" s="78">
        <f>'Sprite (load)'!G14</f>
        <v>0</v>
      </c>
      <c r="J15" s="78">
        <f>'Sprite (load)'!H14</f>
        <v>0</v>
      </c>
      <c r="K15" s="84">
        <f>'Sprite (load)'!I14</f>
        <v>1</v>
      </c>
      <c r="L15" s="89">
        <f>'Sprite (load)'!J14</f>
        <v>0</v>
      </c>
      <c r="M15" s="78">
        <f>'Sprite (load)'!K14</f>
        <v>0</v>
      </c>
      <c r="N15" s="78">
        <f>'Sprite (load)'!L14</f>
        <v>0</v>
      </c>
      <c r="O15" s="78">
        <f>'Sprite (load)'!M14</f>
        <v>0</v>
      </c>
      <c r="P15" s="78">
        <f>'Sprite (load)'!N14</f>
        <v>0</v>
      </c>
      <c r="Q15" s="78">
        <f>'Sprite (load)'!O14</f>
        <v>0</v>
      </c>
      <c r="R15" s="78">
        <f>'Sprite (load)'!P14</f>
        <v>0</v>
      </c>
      <c r="S15" s="91">
        <f>'Sprite (load)'!Q14</f>
        <v>1</v>
      </c>
      <c r="T15" s="94"/>
      <c r="U15" s="95"/>
      <c r="V15" s="95"/>
      <c r="W15" s="95"/>
      <c r="X15" s="95"/>
      <c r="Y15" s="95"/>
      <c r="Z15" s="95"/>
      <c r="AA15" s="95"/>
      <c r="AB15" s="95"/>
      <c r="AC15" s="95"/>
      <c r="AD15" s="83" t="str">
        <f>'Sprite (load)'!W14</f>
        <v>18</v>
      </c>
      <c r="AE15" s="83" t="str">
        <f>'Sprite (load)'!X14</f>
        <v>00</v>
      </c>
    </row>
    <row r="16" spans="1:50" outlineLevel="1" x14ac:dyDescent="0.3"/>
    <row r="17" spans="1:53" outlineLevel="1" x14ac:dyDescent="0.3"/>
    <row r="18" spans="1:53" s="111" customFormat="1" x14ac:dyDescent="0.3">
      <c r="A18" s="119" t="s">
        <v>951</v>
      </c>
      <c r="AQ18" s="112"/>
      <c r="AR18" s="112"/>
      <c r="AW18" s="112"/>
      <c r="AX18" s="112"/>
    </row>
    <row r="19" spans="1:53" outlineLevel="1" x14ac:dyDescent="0.3">
      <c r="A19" t="s">
        <v>947</v>
      </c>
    </row>
    <row r="20" spans="1:53" ht="39.75" outlineLevel="1" x14ac:dyDescent="0.3">
      <c r="AG20" s="121" t="s">
        <v>893</v>
      </c>
      <c r="AH20" s="121" t="s">
        <v>894</v>
      </c>
      <c r="AI20" s="121" t="s">
        <v>895</v>
      </c>
      <c r="AJ20" s="122" t="s">
        <v>933</v>
      </c>
      <c r="AK20" s="121" t="s">
        <v>896</v>
      </c>
      <c r="AL20" s="122" t="s">
        <v>934</v>
      </c>
      <c r="AM20" s="121" t="s">
        <v>898</v>
      </c>
      <c r="AN20" s="121" t="s">
        <v>897</v>
      </c>
      <c r="AO20" s="121" t="s">
        <v>900</v>
      </c>
      <c r="AP20" s="121" t="s">
        <v>899</v>
      </c>
      <c r="AQ20" s="123" t="s">
        <v>904</v>
      </c>
      <c r="AR20" s="124" t="s">
        <v>904</v>
      </c>
      <c r="AS20" s="121" t="s">
        <v>906</v>
      </c>
      <c r="AT20" s="122" t="s">
        <v>935</v>
      </c>
      <c r="AU20" s="121" t="s">
        <v>903</v>
      </c>
      <c r="AV20" s="121" t="s">
        <v>902</v>
      </c>
      <c r="AW20" s="123" t="s">
        <v>905</v>
      </c>
      <c r="AX20" s="124" t="s">
        <v>905</v>
      </c>
      <c r="AY20" s="121" t="s">
        <v>907</v>
      </c>
      <c r="AZ20" s="122" t="s">
        <v>936</v>
      </c>
      <c r="BA20" s="121" t="s">
        <v>901</v>
      </c>
    </row>
    <row r="21" spans="1:53" ht="18.75" outlineLevel="1" x14ac:dyDescent="0.3">
      <c r="B21" s="48" t="s">
        <v>889</v>
      </c>
      <c r="C21" s="48" t="s">
        <v>0</v>
      </c>
      <c r="D21" s="32" t="s">
        <v>908</v>
      </c>
      <c r="E21" s="33"/>
      <c r="F21" s="33"/>
      <c r="G21" s="33"/>
      <c r="H21" s="33"/>
      <c r="I21" s="33"/>
      <c r="J21" s="33"/>
      <c r="K21" s="90" t="s">
        <v>1</v>
      </c>
      <c r="L21" s="120"/>
      <c r="AD21" s="49" t="s">
        <v>945</v>
      </c>
      <c r="AQ21" s="6"/>
      <c r="AR21" s="7"/>
      <c r="AW21" s="6"/>
      <c r="AX21" s="7"/>
    </row>
    <row r="22" spans="1:53" outlineLevel="1" x14ac:dyDescent="0.3">
      <c r="B22" s="31">
        <v>5</v>
      </c>
      <c r="C22" s="48">
        <v>0</v>
      </c>
      <c r="D22" s="77">
        <f>D5</f>
        <v>0</v>
      </c>
      <c r="E22" s="78">
        <f t="shared" ref="E22:K22" si="0">E5</f>
        <v>0</v>
      </c>
      <c r="F22" s="78">
        <f t="shared" si="0"/>
        <v>0</v>
      </c>
      <c r="G22" s="78">
        <f t="shared" si="0"/>
        <v>0</v>
      </c>
      <c r="H22" s="78">
        <f t="shared" si="0"/>
        <v>1</v>
      </c>
      <c r="I22" s="78">
        <f t="shared" si="0"/>
        <v>0</v>
      </c>
      <c r="J22" s="78">
        <f t="shared" si="0"/>
        <v>0</v>
      </c>
      <c r="K22" s="91">
        <f t="shared" si="0"/>
        <v>1</v>
      </c>
      <c r="L22" s="120"/>
      <c r="AD22" s="83" t="str">
        <f t="shared" ref="AD22:AD32" si="1">AD5</f>
        <v>10</v>
      </c>
      <c r="AG22" s="36" t="str" cm="1">
        <f t="array" ref="AG22">INDEX(PixelShiftPages,$B22+1)</f>
        <v>A7</v>
      </c>
      <c r="AH22" t="str">
        <f t="shared" ref="AH22:AH32" si="2">AG22&amp;AD22</f>
        <v>A710</v>
      </c>
      <c r="AI22" s="37" t="str">
        <f>pixel_shift_table.asm!$B$3</f>
        <v>A200</v>
      </c>
      <c r="AJ22">
        <f t="shared" ref="AJ22" si="3">HEX2DEC(AH22)-HEX2DEC(AI22)</f>
        <v>1296</v>
      </c>
      <c r="AK22" s="36" t="str" cm="1">
        <f t="array" ref="AK22">INDEX(_xlfn.TOROW(PixelShiftTable),AJ22+1)</f>
        <v>40</v>
      </c>
      <c r="AL22">
        <f t="shared" ref="AL22" si="4">AJ22+128</f>
        <v>1424</v>
      </c>
      <c r="AM22" s="36" t="str" cm="1">
        <f t="array" ref="AM22">INDEX(_xlfn.TOROW(PixelShiftTable),AL22+1)</f>
        <v>A9</v>
      </c>
      <c r="AN22" t="str">
        <f t="shared" ref="AN22" si="5">AM22&amp;AK22</f>
        <v>A940</v>
      </c>
      <c r="AO22" t="str">
        <f>pixel_pattern_table.asm!$B$2</f>
        <v>A900</v>
      </c>
      <c r="AP22">
        <f t="shared" ref="AP22" si="6">HEX2DEC(AN22)-HEX2DEC(AO22)</f>
        <v>64</v>
      </c>
      <c r="AQ22" s="107" t="str" cm="1">
        <f t="array" ref="AQ22">INDEX(_xlfn.TOROW(PixelPatternTable),AP22+1)</f>
        <v>80</v>
      </c>
      <c r="AR22" s="108"/>
      <c r="AS22" t="str">
        <f t="shared" ref="AS22" si="7">HEX2BIN(AQ22,8)</f>
        <v>10000000</v>
      </c>
      <c r="AT22" t="str">
        <f t="shared" ref="AT22" si="8">RIGHT(AS22,7)</f>
        <v>0000000</v>
      </c>
      <c r="AU22" t="str" cm="1">
        <f t="array" ref="AU22">ReverseString(AT22)</f>
        <v>0000000</v>
      </c>
      <c r="AV22">
        <f t="shared" ref="AV22" si="9">AP22+1</f>
        <v>65</v>
      </c>
      <c r="AW22" s="107" t="str" cm="1">
        <f t="array" ref="AW22">INDEX(_xlfn.TOROW(PixelPatternTable),AV22+1)</f>
        <v>84</v>
      </c>
      <c r="AX22" s="108"/>
      <c r="AY22" t="str">
        <f t="shared" ref="AY22" si="10">HEX2BIN(AW22,8)</f>
        <v>10000100</v>
      </c>
      <c r="AZ22" t="str">
        <f t="shared" ref="AZ22" si="11">RIGHT(AY22,7)</f>
        <v>0000100</v>
      </c>
      <c r="BA22" t="str" cm="1">
        <f t="array" ref="BA22">ReverseString(AZ22)</f>
        <v>0010000</v>
      </c>
    </row>
    <row r="23" spans="1:53" outlineLevel="1" x14ac:dyDescent="0.3">
      <c r="B23" s="100">
        <f>B22</f>
        <v>5</v>
      </c>
      <c r="C23" s="48">
        <v>1</v>
      </c>
      <c r="D23" s="77">
        <f t="shared" ref="D23:K23" si="12">D6</f>
        <v>0</v>
      </c>
      <c r="E23" s="78">
        <f t="shared" si="12"/>
        <v>0</v>
      </c>
      <c r="F23" s="78">
        <f t="shared" si="12"/>
        <v>0</v>
      </c>
      <c r="G23" s="78">
        <f t="shared" si="12"/>
        <v>1</v>
      </c>
      <c r="H23" s="78">
        <f t="shared" si="12"/>
        <v>0</v>
      </c>
      <c r="I23" s="78">
        <f t="shared" si="12"/>
        <v>1</v>
      </c>
      <c r="J23" s="78">
        <f t="shared" si="12"/>
        <v>0</v>
      </c>
      <c r="K23" s="91">
        <f t="shared" si="12"/>
        <v>1</v>
      </c>
      <c r="L23" s="120"/>
      <c r="AD23" s="83" t="str">
        <f t="shared" si="1"/>
        <v>28</v>
      </c>
      <c r="AG23" s="36" t="str" cm="1">
        <f t="array" ref="AG23">INDEX(PixelShiftPages,$B23+1)</f>
        <v>A7</v>
      </c>
      <c r="AH23" t="str">
        <f t="shared" si="2"/>
        <v>A728</v>
      </c>
      <c r="AI23" s="37" t="str">
        <f>pixel_shift_table.asm!$B$3</f>
        <v>A200</v>
      </c>
      <c r="AJ23">
        <f t="shared" ref="AJ23:AJ32" si="13">HEX2DEC(AH23)-HEX2DEC(AI23)</f>
        <v>1320</v>
      </c>
      <c r="AK23" s="36" t="str" cm="1">
        <f t="array" ref="AK23">INDEX(_xlfn.TOROW(PixelShiftTable),AJ23+1)</f>
        <v>A0</v>
      </c>
      <c r="AL23">
        <f t="shared" ref="AL23:AL32" si="14">AJ23+128</f>
        <v>1448</v>
      </c>
      <c r="AM23" s="36" t="str" cm="1">
        <f t="array" ref="AM23">INDEX(_xlfn.TOROW(PixelShiftTable),AL23+1)</f>
        <v>A9</v>
      </c>
      <c r="AN23" t="str">
        <f t="shared" ref="AN23:AN32" si="15">AM23&amp;AK23</f>
        <v>A9A0</v>
      </c>
      <c r="AO23" t="str">
        <f>pixel_pattern_table.asm!$B$2</f>
        <v>A900</v>
      </c>
      <c r="AP23">
        <f t="shared" ref="AP23:AP32" si="16">HEX2DEC(AN23)-HEX2DEC(AO23)</f>
        <v>160</v>
      </c>
      <c r="AQ23" s="107" t="str" cm="1">
        <f t="array" ref="AQ23">INDEX(_xlfn.TOROW(PixelPatternTable),AP23+1)</f>
        <v>80</v>
      </c>
      <c r="AR23" s="108"/>
      <c r="AS23" t="str">
        <f t="shared" ref="AS23:AS32" si="17">HEX2BIN(AQ23,8)</f>
        <v>10000000</v>
      </c>
      <c r="AT23" t="str">
        <f t="shared" ref="AT23:AT32" si="18">RIGHT(AS23,7)</f>
        <v>0000000</v>
      </c>
      <c r="AU23" t="str" cm="1">
        <f t="array" ref="AU23">ReverseString(AT23)</f>
        <v>0000000</v>
      </c>
      <c r="AV23">
        <f t="shared" ref="AV23:AV32" si="19">AP23+1</f>
        <v>161</v>
      </c>
      <c r="AW23" s="107" t="str" cm="1">
        <f t="array" ref="AW23">INDEX(_xlfn.TOROW(PixelPatternTable),AV23+1)</f>
        <v>8A</v>
      </c>
      <c r="AX23" s="108"/>
      <c r="AY23" t="str">
        <f t="shared" ref="AY23:AY32" si="20">HEX2BIN(AW23,8)</f>
        <v>10001010</v>
      </c>
      <c r="AZ23" t="str">
        <f t="shared" ref="AZ23:AZ32" si="21">RIGHT(AY23,7)</f>
        <v>0001010</v>
      </c>
      <c r="BA23" t="str" cm="1">
        <f t="array" ref="BA23">ReverseString(AZ23)</f>
        <v>0101000</v>
      </c>
    </row>
    <row r="24" spans="1:53" outlineLevel="1" x14ac:dyDescent="0.3">
      <c r="B24" s="100">
        <f t="shared" ref="B24:B32" si="22">B23</f>
        <v>5</v>
      </c>
      <c r="C24" s="48">
        <v>2</v>
      </c>
      <c r="D24" s="77">
        <f t="shared" ref="D24:K24" si="23">D7</f>
        <v>0</v>
      </c>
      <c r="E24" s="78">
        <f t="shared" si="23"/>
        <v>0</v>
      </c>
      <c r="F24" s="78">
        <f t="shared" si="23"/>
        <v>0</v>
      </c>
      <c r="G24" s="78">
        <f t="shared" si="23"/>
        <v>1</v>
      </c>
      <c r="H24" s="78">
        <f t="shared" si="23"/>
        <v>0</v>
      </c>
      <c r="I24" s="78">
        <f t="shared" si="23"/>
        <v>1</v>
      </c>
      <c r="J24" s="78">
        <f t="shared" si="23"/>
        <v>0</v>
      </c>
      <c r="K24" s="91">
        <f t="shared" si="23"/>
        <v>1</v>
      </c>
      <c r="L24" s="120"/>
      <c r="AD24" s="83" t="str">
        <f t="shared" si="1"/>
        <v>28</v>
      </c>
      <c r="AG24" s="36" t="str" cm="1">
        <f t="array" ref="AG24">INDEX(PixelShiftPages,$B24+1)</f>
        <v>A7</v>
      </c>
      <c r="AH24" t="str">
        <f t="shared" si="2"/>
        <v>A728</v>
      </c>
      <c r="AI24" s="37" t="str">
        <f>pixel_shift_table.asm!$B$3</f>
        <v>A200</v>
      </c>
      <c r="AJ24">
        <f t="shared" si="13"/>
        <v>1320</v>
      </c>
      <c r="AK24" s="36" t="str" cm="1">
        <f t="array" ref="AK24">INDEX(_xlfn.TOROW(PixelShiftTable),AJ24+1)</f>
        <v>A0</v>
      </c>
      <c r="AL24">
        <f t="shared" si="14"/>
        <v>1448</v>
      </c>
      <c r="AM24" s="36" t="str" cm="1">
        <f t="array" ref="AM24">INDEX(_xlfn.TOROW(PixelShiftTable),AL24+1)</f>
        <v>A9</v>
      </c>
      <c r="AN24" t="str">
        <f t="shared" si="15"/>
        <v>A9A0</v>
      </c>
      <c r="AO24" t="str">
        <f>pixel_pattern_table.asm!$B$2</f>
        <v>A900</v>
      </c>
      <c r="AP24">
        <f t="shared" si="16"/>
        <v>160</v>
      </c>
      <c r="AQ24" s="107" t="str" cm="1">
        <f t="array" ref="AQ24">INDEX(_xlfn.TOROW(PixelPatternTable),AP24+1)</f>
        <v>80</v>
      </c>
      <c r="AR24" s="108"/>
      <c r="AS24" t="str">
        <f t="shared" si="17"/>
        <v>10000000</v>
      </c>
      <c r="AT24" t="str">
        <f t="shared" si="18"/>
        <v>0000000</v>
      </c>
      <c r="AU24" t="str" cm="1">
        <f t="array" ref="AU24">ReverseString(AT24)</f>
        <v>0000000</v>
      </c>
      <c r="AV24">
        <f t="shared" si="19"/>
        <v>161</v>
      </c>
      <c r="AW24" s="107" t="str" cm="1">
        <f t="array" ref="AW24">INDEX(_xlfn.TOROW(PixelPatternTable),AV24+1)</f>
        <v>8A</v>
      </c>
      <c r="AX24" s="108"/>
      <c r="AY24" t="str">
        <f t="shared" si="20"/>
        <v>10001010</v>
      </c>
      <c r="AZ24" t="str">
        <f t="shared" si="21"/>
        <v>0001010</v>
      </c>
      <c r="BA24" t="str" cm="1">
        <f t="array" ref="BA24">ReverseString(AZ24)</f>
        <v>0101000</v>
      </c>
    </row>
    <row r="25" spans="1:53" outlineLevel="1" x14ac:dyDescent="0.3">
      <c r="B25" s="100">
        <f t="shared" si="22"/>
        <v>5</v>
      </c>
      <c r="C25" s="48">
        <v>3</v>
      </c>
      <c r="D25" s="77">
        <f t="shared" ref="D25:K25" si="24">D8</f>
        <v>0</v>
      </c>
      <c r="E25" s="78">
        <f t="shared" si="24"/>
        <v>0</v>
      </c>
      <c r="F25" s="78">
        <f t="shared" si="24"/>
        <v>0</v>
      </c>
      <c r="G25" s="78">
        <f t="shared" si="24"/>
        <v>0</v>
      </c>
      <c r="H25" s="78">
        <f t="shared" si="24"/>
        <v>0</v>
      </c>
      <c r="I25" s="78">
        <f t="shared" si="24"/>
        <v>1</v>
      </c>
      <c r="J25" s="78">
        <f t="shared" si="24"/>
        <v>0</v>
      </c>
      <c r="K25" s="91">
        <f t="shared" si="24"/>
        <v>1</v>
      </c>
      <c r="L25" s="120"/>
      <c r="AD25" s="83" t="str">
        <f t="shared" si="1"/>
        <v>20</v>
      </c>
      <c r="AG25" s="36" t="str" cm="1">
        <f t="array" ref="AG25">INDEX(PixelShiftPages,$B25+1)</f>
        <v>A7</v>
      </c>
      <c r="AH25" t="str">
        <f t="shared" si="2"/>
        <v>A720</v>
      </c>
      <c r="AI25" s="37" t="str">
        <f>pixel_shift_table.asm!$B$3</f>
        <v>A200</v>
      </c>
      <c r="AJ25">
        <f t="shared" si="13"/>
        <v>1312</v>
      </c>
      <c r="AK25" s="36" t="str" cm="1">
        <f t="array" ref="AK25">INDEX(_xlfn.TOROW(PixelShiftTable),AJ25+1)</f>
        <v>80</v>
      </c>
      <c r="AL25">
        <f t="shared" si="14"/>
        <v>1440</v>
      </c>
      <c r="AM25" s="36" t="str" cm="1">
        <f t="array" ref="AM25">INDEX(_xlfn.TOROW(PixelShiftTable),AL25+1)</f>
        <v>A9</v>
      </c>
      <c r="AN25" t="str">
        <f t="shared" si="15"/>
        <v>A980</v>
      </c>
      <c r="AO25" t="str">
        <f>pixel_pattern_table.asm!$B$2</f>
        <v>A900</v>
      </c>
      <c r="AP25">
        <f t="shared" si="16"/>
        <v>128</v>
      </c>
      <c r="AQ25" s="107" t="str" cm="1">
        <f t="array" ref="AQ25">INDEX(_xlfn.TOROW(PixelPatternTable),AP25+1)</f>
        <v>80</v>
      </c>
      <c r="AR25" s="108"/>
      <c r="AS25" t="str">
        <f t="shared" si="17"/>
        <v>10000000</v>
      </c>
      <c r="AT25" t="str">
        <f t="shared" si="18"/>
        <v>0000000</v>
      </c>
      <c r="AU25" t="str" cm="1">
        <f t="array" ref="AU25">ReverseString(AT25)</f>
        <v>0000000</v>
      </c>
      <c r="AV25">
        <f t="shared" si="19"/>
        <v>129</v>
      </c>
      <c r="AW25" s="107" t="str" cm="1">
        <f t="array" ref="AW25">INDEX(_xlfn.TOROW(PixelPatternTable),AV25+1)</f>
        <v>88</v>
      </c>
      <c r="AX25" s="108"/>
      <c r="AY25" t="str">
        <f t="shared" si="20"/>
        <v>10001000</v>
      </c>
      <c r="AZ25" t="str">
        <f t="shared" si="21"/>
        <v>0001000</v>
      </c>
      <c r="BA25" t="str" cm="1">
        <f t="array" ref="BA25">ReverseString(AZ25)</f>
        <v>0001000</v>
      </c>
    </row>
    <row r="26" spans="1:53" outlineLevel="1" x14ac:dyDescent="0.3">
      <c r="B26" s="100">
        <f t="shared" si="22"/>
        <v>5</v>
      </c>
      <c r="C26" s="48">
        <v>4</v>
      </c>
      <c r="D26" s="77">
        <f t="shared" ref="D26:K26" si="25">D9</f>
        <v>0</v>
      </c>
      <c r="E26" s="78">
        <f t="shared" si="25"/>
        <v>0</v>
      </c>
      <c r="F26" s="78">
        <f t="shared" si="25"/>
        <v>0</v>
      </c>
      <c r="G26" s="78">
        <f t="shared" si="25"/>
        <v>1</v>
      </c>
      <c r="H26" s="78">
        <f t="shared" si="25"/>
        <v>0</v>
      </c>
      <c r="I26" s="78">
        <f t="shared" si="25"/>
        <v>1</v>
      </c>
      <c r="J26" s="78">
        <f t="shared" si="25"/>
        <v>0</v>
      </c>
      <c r="K26" s="91">
        <f t="shared" si="25"/>
        <v>1</v>
      </c>
      <c r="L26" s="120"/>
      <c r="AD26" s="83" t="str">
        <f t="shared" si="1"/>
        <v>28</v>
      </c>
      <c r="AG26" s="36" t="str" cm="1">
        <f t="array" ref="AG26">INDEX(PixelShiftPages,$B26+1)</f>
        <v>A7</v>
      </c>
      <c r="AH26" t="str">
        <f t="shared" si="2"/>
        <v>A728</v>
      </c>
      <c r="AI26" s="37" t="str">
        <f>pixel_shift_table.asm!$B$3</f>
        <v>A200</v>
      </c>
      <c r="AJ26">
        <f t="shared" si="13"/>
        <v>1320</v>
      </c>
      <c r="AK26" s="36" t="str" cm="1">
        <f t="array" ref="AK26">INDEX(_xlfn.TOROW(PixelShiftTable),AJ26+1)</f>
        <v>A0</v>
      </c>
      <c r="AL26">
        <f t="shared" si="14"/>
        <v>1448</v>
      </c>
      <c r="AM26" s="36" t="str" cm="1">
        <f t="array" ref="AM26">INDEX(_xlfn.TOROW(PixelShiftTable),AL26+1)</f>
        <v>A9</v>
      </c>
      <c r="AN26" t="str">
        <f t="shared" si="15"/>
        <v>A9A0</v>
      </c>
      <c r="AO26" t="str">
        <f>pixel_pattern_table.asm!$B$2</f>
        <v>A900</v>
      </c>
      <c r="AP26">
        <f t="shared" si="16"/>
        <v>160</v>
      </c>
      <c r="AQ26" s="107" t="str" cm="1">
        <f t="array" ref="AQ26">INDEX(_xlfn.TOROW(PixelPatternTable),AP26+1)</f>
        <v>80</v>
      </c>
      <c r="AR26" s="108"/>
      <c r="AS26" t="str">
        <f t="shared" si="17"/>
        <v>10000000</v>
      </c>
      <c r="AT26" t="str">
        <f t="shared" si="18"/>
        <v>0000000</v>
      </c>
      <c r="AU26" t="str" cm="1">
        <f t="array" ref="AU26">ReverseString(AT26)</f>
        <v>0000000</v>
      </c>
      <c r="AV26">
        <f t="shared" si="19"/>
        <v>161</v>
      </c>
      <c r="AW26" s="107" t="str" cm="1">
        <f t="array" ref="AW26">INDEX(_xlfn.TOROW(PixelPatternTable),AV26+1)</f>
        <v>8A</v>
      </c>
      <c r="AX26" s="108"/>
      <c r="AY26" t="str">
        <f t="shared" si="20"/>
        <v>10001010</v>
      </c>
      <c r="AZ26" t="str">
        <f t="shared" si="21"/>
        <v>0001010</v>
      </c>
      <c r="BA26" t="str" cm="1">
        <f t="array" ref="BA26">ReverseString(AZ26)</f>
        <v>0101000</v>
      </c>
    </row>
    <row r="27" spans="1:53" outlineLevel="1" x14ac:dyDescent="0.3">
      <c r="B27" s="100">
        <f t="shared" si="22"/>
        <v>5</v>
      </c>
      <c r="C27" s="48">
        <v>5</v>
      </c>
      <c r="D27" s="77">
        <f t="shared" ref="D27:K27" si="26">D10</f>
        <v>0</v>
      </c>
      <c r="E27" s="78">
        <f t="shared" si="26"/>
        <v>1</v>
      </c>
      <c r="F27" s="78">
        <f t="shared" si="26"/>
        <v>0</v>
      </c>
      <c r="G27" s="78">
        <f t="shared" si="26"/>
        <v>0</v>
      </c>
      <c r="H27" s="78">
        <f t="shared" si="26"/>
        <v>0</v>
      </c>
      <c r="I27" s="78">
        <f t="shared" si="26"/>
        <v>1</v>
      </c>
      <c r="J27" s="78">
        <f t="shared" si="26"/>
        <v>0</v>
      </c>
      <c r="K27" s="91">
        <f t="shared" si="26"/>
        <v>1</v>
      </c>
      <c r="L27" s="120"/>
      <c r="AD27" s="83" t="str">
        <f t="shared" si="1"/>
        <v>22</v>
      </c>
      <c r="AG27" s="36" t="str" cm="1">
        <f t="array" ref="AG27">INDEX(PixelShiftPages,$B27+1)</f>
        <v>A7</v>
      </c>
      <c r="AH27" t="str">
        <f t="shared" si="2"/>
        <v>A722</v>
      </c>
      <c r="AI27" s="37" t="str">
        <f>pixel_shift_table.asm!$B$3</f>
        <v>A200</v>
      </c>
      <c r="AJ27">
        <f t="shared" si="13"/>
        <v>1314</v>
      </c>
      <c r="AK27" s="36" t="str" cm="1">
        <f t="array" ref="AK27">INDEX(_xlfn.TOROW(PixelShiftTable),AJ27+1)</f>
        <v>8E</v>
      </c>
      <c r="AL27">
        <f t="shared" si="14"/>
        <v>1442</v>
      </c>
      <c r="AM27" s="36" t="str" cm="1">
        <f t="array" ref="AM27">INDEX(_xlfn.TOROW(PixelShiftTable),AL27+1)</f>
        <v>A9</v>
      </c>
      <c r="AN27" t="str">
        <f t="shared" si="15"/>
        <v>A98E</v>
      </c>
      <c r="AO27" t="str">
        <f>pixel_pattern_table.asm!$B$2</f>
        <v>A900</v>
      </c>
      <c r="AP27">
        <f t="shared" si="16"/>
        <v>142</v>
      </c>
      <c r="AQ27" s="107" t="str" cm="1">
        <f t="array" ref="AQ27">INDEX(_xlfn.TOROW(PixelPatternTable),AP27+1)</f>
        <v>C0</v>
      </c>
      <c r="AR27" s="108"/>
      <c r="AS27" t="str">
        <f t="shared" si="17"/>
        <v>11000000</v>
      </c>
      <c r="AT27" t="str">
        <f t="shared" si="18"/>
        <v>1000000</v>
      </c>
      <c r="AU27" t="str" cm="1">
        <f t="array" ref="AU27">ReverseString(AT27)</f>
        <v>0000001</v>
      </c>
      <c r="AV27">
        <f t="shared" si="19"/>
        <v>143</v>
      </c>
      <c r="AW27" s="107" t="str" cm="1">
        <f t="array" ref="AW27">INDEX(_xlfn.TOROW(PixelPatternTable),AV27+1)</f>
        <v>88</v>
      </c>
      <c r="AX27" s="108"/>
      <c r="AY27" t="str">
        <f t="shared" si="20"/>
        <v>10001000</v>
      </c>
      <c r="AZ27" t="str">
        <f t="shared" si="21"/>
        <v>0001000</v>
      </c>
      <c r="BA27" t="str" cm="1">
        <f t="array" ref="BA27">ReverseString(AZ27)</f>
        <v>0001000</v>
      </c>
    </row>
    <row r="28" spans="1:53" outlineLevel="1" x14ac:dyDescent="0.3">
      <c r="B28" s="100">
        <f t="shared" si="22"/>
        <v>5</v>
      </c>
      <c r="C28" s="48">
        <v>6</v>
      </c>
      <c r="D28" s="77">
        <f t="shared" ref="D28:K28" si="27">D11</f>
        <v>0</v>
      </c>
      <c r="E28" s="78">
        <f t="shared" si="27"/>
        <v>0</v>
      </c>
      <c r="F28" s="78">
        <f t="shared" si="27"/>
        <v>0</v>
      </c>
      <c r="G28" s="78">
        <f t="shared" si="27"/>
        <v>0</v>
      </c>
      <c r="H28" s="78">
        <f t="shared" si="27"/>
        <v>0</v>
      </c>
      <c r="I28" s="78">
        <f t="shared" si="27"/>
        <v>1</v>
      </c>
      <c r="J28" s="78">
        <f t="shared" si="27"/>
        <v>1</v>
      </c>
      <c r="K28" s="91">
        <f t="shared" si="27"/>
        <v>1</v>
      </c>
      <c r="L28" s="120"/>
      <c r="AD28" s="83" t="str">
        <f t="shared" si="1"/>
        <v>60</v>
      </c>
      <c r="AG28" s="36" t="str" cm="1">
        <f t="array" ref="AG28">INDEX(PixelShiftPages,$B28+1)</f>
        <v>A7</v>
      </c>
      <c r="AH28" t="str">
        <f t="shared" si="2"/>
        <v>A760</v>
      </c>
      <c r="AI28" s="37" t="str">
        <f>pixel_shift_table.asm!$B$3</f>
        <v>A200</v>
      </c>
      <c r="AJ28">
        <f t="shared" si="13"/>
        <v>1376</v>
      </c>
      <c r="AK28" s="36" t="str" cm="1">
        <f t="array" ref="AK28">INDEX(_xlfn.TOROW(PixelShiftTable),AJ28+1)</f>
        <v>80</v>
      </c>
      <c r="AL28">
        <f t="shared" si="14"/>
        <v>1504</v>
      </c>
      <c r="AM28" s="36" t="str" cm="1">
        <f t="array" ref="AM28">INDEX(_xlfn.TOROW(PixelShiftTable),AL28+1)</f>
        <v>AA</v>
      </c>
      <c r="AN28" t="str">
        <f t="shared" si="15"/>
        <v>AA80</v>
      </c>
      <c r="AO28" t="str">
        <f>pixel_pattern_table.asm!$B$2</f>
        <v>A900</v>
      </c>
      <c r="AP28">
        <f t="shared" si="16"/>
        <v>384</v>
      </c>
      <c r="AQ28" s="107" t="str" cm="1">
        <f t="array" ref="AQ28">INDEX(_xlfn.TOROW(PixelPatternTable),AP28+1)</f>
        <v>80</v>
      </c>
      <c r="AR28" s="108"/>
      <c r="AS28" t="str">
        <f t="shared" si="17"/>
        <v>10000000</v>
      </c>
      <c r="AT28" t="str">
        <f t="shared" si="18"/>
        <v>0000000</v>
      </c>
      <c r="AU28" t="str" cm="1">
        <f t="array" ref="AU28">ReverseString(AT28)</f>
        <v>0000000</v>
      </c>
      <c r="AV28">
        <f t="shared" si="19"/>
        <v>385</v>
      </c>
      <c r="AW28" s="107" t="str" cm="1">
        <f t="array" ref="AW28">INDEX(_xlfn.TOROW(PixelPatternTable),AV28+1)</f>
        <v>98</v>
      </c>
      <c r="AX28" s="108"/>
      <c r="AY28" t="str">
        <f t="shared" si="20"/>
        <v>10011000</v>
      </c>
      <c r="AZ28" t="str">
        <f t="shared" si="21"/>
        <v>0011000</v>
      </c>
      <c r="BA28" t="str" cm="1">
        <f t="array" ref="BA28">ReverseString(AZ28)</f>
        <v>0001100</v>
      </c>
    </row>
    <row r="29" spans="1:53" outlineLevel="1" x14ac:dyDescent="0.3">
      <c r="B29" s="100">
        <f t="shared" si="22"/>
        <v>5</v>
      </c>
      <c r="C29" s="48">
        <v>7</v>
      </c>
      <c r="D29" s="77">
        <f t="shared" ref="D29:K29" si="28">D12</f>
        <v>0</v>
      </c>
      <c r="E29" s="78">
        <f t="shared" si="28"/>
        <v>0</v>
      </c>
      <c r="F29" s="78">
        <f t="shared" si="28"/>
        <v>0</v>
      </c>
      <c r="G29" s="78">
        <f t="shared" si="28"/>
        <v>0</v>
      </c>
      <c r="H29" s="78">
        <f t="shared" si="28"/>
        <v>1</v>
      </c>
      <c r="I29" s="78">
        <f t="shared" si="28"/>
        <v>1</v>
      </c>
      <c r="J29" s="78">
        <f t="shared" si="28"/>
        <v>1</v>
      </c>
      <c r="K29" s="91">
        <f t="shared" si="28"/>
        <v>1</v>
      </c>
      <c r="L29" s="120"/>
      <c r="AD29" s="83" t="str">
        <f t="shared" si="1"/>
        <v>70</v>
      </c>
      <c r="AG29" s="36" t="str" cm="1">
        <f t="array" ref="AG29">INDEX(PixelShiftPages,$B29+1)</f>
        <v>A7</v>
      </c>
      <c r="AH29" t="str">
        <f t="shared" si="2"/>
        <v>A770</v>
      </c>
      <c r="AI29" s="37" t="str">
        <f>pixel_shift_table.asm!$B$3</f>
        <v>A200</v>
      </c>
      <c r="AJ29">
        <f t="shared" si="13"/>
        <v>1392</v>
      </c>
      <c r="AK29" s="36" t="str" cm="1">
        <f t="array" ref="AK29">INDEX(_xlfn.TOROW(PixelShiftTable),AJ29+1)</f>
        <v>C0</v>
      </c>
      <c r="AL29">
        <f t="shared" si="14"/>
        <v>1520</v>
      </c>
      <c r="AM29" s="36" t="str" cm="1">
        <f t="array" ref="AM29">INDEX(_xlfn.TOROW(PixelShiftTable),AL29+1)</f>
        <v>AA</v>
      </c>
      <c r="AN29" t="str">
        <f t="shared" si="15"/>
        <v>AAC0</v>
      </c>
      <c r="AO29" t="str">
        <f>pixel_pattern_table.asm!$B$2</f>
        <v>A900</v>
      </c>
      <c r="AP29">
        <f t="shared" si="16"/>
        <v>448</v>
      </c>
      <c r="AQ29" s="107" t="str" cm="1">
        <f t="array" ref="AQ29">INDEX(_xlfn.TOROW(PixelPatternTable),AP29+1)</f>
        <v>80</v>
      </c>
      <c r="AR29" s="108"/>
      <c r="AS29" t="str">
        <f t="shared" si="17"/>
        <v>10000000</v>
      </c>
      <c r="AT29" t="str">
        <f t="shared" si="18"/>
        <v>0000000</v>
      </c>
      <c r="AU29" t="str" cm="1">
        <f t="array" ref="AU29">ReverseString(AT29)</f>
        <v>0000000</v>
      </c>
      <c r="AV29">
        <f t="shared" si="19"/>
        <v>449</v>
      </c>
      <c r="AW29" s="107" t="str" cm="1">
        <f t="array" ref="AW29">INDEX(_xlfn.TOROW(PixelPatternTable),AV29+1)</f>
        <v>9C</v>
      </c>
      <c r="AX29" s="108"/>
      <c r="AY29" t="str">
        <f t="shared" si="20"/>
        <v>10011100</v>
      </c>
      <c r="AZ29" t="str">
        <f t="shared" si="21"/>
        <v>0011100</v>
      </c>
      <c r="BA29" t="str" cm="1">
        <f t="array" ref="BA29">ReverseString(AZ29)</f>
        <v>0011100</v>
      </c>
    </row>
    <row r="30" spans="1:53" outlineLevel="1" x14ac:dyDescent="0.3">
      <c r="B30" s="100">
        <f t="shared" si="22"/>
        <v>5</v>
      </c>
      <c r="C30" s="48">
        <v>8</v>
      </c>
      <c r="D30" s="77">
        <f t="shared" ref="D30:K30" si="29">D13</f>
        <v>0</v>
      </c>
      <c r="E30" s="78">
        <f t="shared" si="29"/>
        <v>0</v>
      </c>
      <c r="F30" s="78">
        <f t="shared" si="29"/>
        <v>0</v>
      </c>
      <c r="G30" s="78">
        <f t="shared" si="29"/>
        <v>1</v>
      </c>
      <c r="H30" s="78">
        <f t="shared" si="29"/>
        <v>1</v>
      </c>
      <c r="I30" s="78">
        <f t="shared" si="29"/>
        <v>0</v>
      </c>
      <c r="J30" s="78">
        <f t="shared" si="29"/>
        <v>1</v>
      </c>
      <c r="K30" s="91">
        <f t="shared" si="29"/>
        <v>1</v>
      </c>
      <c r="L30" s="120"/>
      <c r="AD30" s="83" t="str">
        <f t="shared" si="1"/>
        <v>58</v>
      </c>
      <c r="AG30" s="36" t="str" cm="1">
        <f t="array" ref="AG30">INDEX(PixelShiftPages,$B30+1)</f>
        <v>A7</v>
      </c>
      <c r="AH30" t="str">
        <f t="shared" si="2"/>
        <v>A758</v>
      </c>
      <c r="AI30" s="37" t="str">
        <f>pixel_shift_table.asm!$B$3</f>
        <v>A200</v>
      </c>
      <c r="AJ30">
        <f t="shared" si="13"/>
        <v>1368</v>
      </c>
      <c r="AK30" s="36" t="str" cm="1">
        <f t="array" ref="AK30">INDEX(_xlfn.TOROW(PixelShiftTable),AJ30+1)</f>
        <v>60</v>
      </c>
      <c r="AL30">
        <f t="shared" si="14"/>
        <v>1496</v>
      </c>
      <c r="AM30" s="36" t="str" cm="1">
        <f t="array" ref="AM30">INDEX(_xlfn.TOROW(PixelShiftTable),AL30+1)</f>
        <v>AA</v>
      </c>
      <c r="AN30" t="str">
        <f t="shared" si="15"/>
        <v>AA60</v>
      </c>
      <c r="AO30" t="str">
        <f>pixel_pattern_table.asm!$B$2</f>
        <v>A900</v>
      </c>
      <c r="AP30">
        <f t="shared" si="16"/>
        <v>352</v>
      </c>
      <c r="AQ30" s="107" t="str" cm="1">
        <f t="array" ref="AQ30">INDEX(_xlfn.TOROW(PixelPatternTable),AP30+1)</f>
        <v>80</v>
      </c>
      <c r="AR30" s="108"/>
      <c r="AS30" t="str">
        <f t="shared" si="17"/>
        <v>10000000</v>
      </c>
      <c r="AT30" t="str">
        <f t="shared" si="18"/>
        <v>0000000</v>
      </c>
      <c r="AU30" t="str" cm="1">
        <f t="array" ref="AU30">ReverseString(AT30)</f>
        <v>0000000</v>
      </c>
      <c r="AV30">
        <f t="shared" si="19"/>
        <v>353</v>
      </c>
      <c r="AW30" s="107" t="str" cm="1">
        <f t="array" ref="AW30">INDEX(_xlfn.TOROW(PixelPatternTable),AV30+1)</f>
        <v>96</v>
      </c>
      <c r="AX30" s="108"/>
      <c r="AY30" t="str">
        <f t="shared" si="20"/>
        <v>10010110</v>
      </c>
      <c r="AZ30" t="str">
        <f t="shared" si="21"/>
        <v>0010110</v>
      </c>
      <c r="BA30" t="str" cm="1">
        <f t="array" ref="BA30">ReverseString(AZ30)</f>
        <v>0110100</v>
      </c>
    </row>
    <row r="31" spans="1:53" outlineLevel="1" x14ac:dyDescent="0.3">
      <c r="B31" s="100">
        <f t="shared" si="22"/>
        <v>5</v>
      </c>
      <c r="C31" s="48">
        <v>9</v>
      </c>
      <c r="D31" s="77">
        <f t="shared" ref="D31:K31" si="30">D14</f>
        <v>0</v>
      </c>
      <c r="E31" s="78">
        <f t="shared" si="30"/>
        <v>0</v>
      </c>
      <c r="F31" s="78">
        <f t="shared" si="30"/>
        <v>0</v>
      </c>
      <c r="G31" s="78">
        <f t="shared" si="30"/>
        <v>1</v>
      </c>
      <c r="H31" s="78">
        <f t="shared" si="30"/>
        <v>1</v>
      </c>
      <c r="I31" s="78">
        <f t="shared" si="30"/>
        <v>0</v>
      </c>
      <c r="J31" s="78">
        <f t="shared" si="30"/>
        <v>0</v>
      </c>
      <c r="K31" s="91">
        <f t="shared" si="30"/>
        <v>1</v>
      </c>
      <c r="L31" s="120"/>
      <c r="AD31" s="83" t="str">
        <f t="shared" si="1"/>
        <v>18</v>
      </c>
      <c r="AG31" s="36" t="str" cm="1">
        <f t="array" ref="AG31">INDEX(PixelShiftPages,$B31+1)</f>
        <v>A7</v>
      </c>
      <c r="AH31" t="str">
        <f t="shared" si="2"/>
        <v>A718</v>
      </c>
      <c r="AI31" s="37" t="str">
        <f>pixel_shift_table.asm!$B$3</f>
        <v>A200</v>
      </c>
      <c r="AJ31">
        <f t="shared" si="13"/>
        <v>1304</v>
      </c>
      <c r="AK31" s="36" t="str" cm="1">
        <f t="array" ref="AK31">INDEX(_xlfn.TOROW(PixelShiftTable),AJ31+1)</f>
        <v>60</v>
      </c>
      <c r="AL31">
        <f t="shared" si="14"/>
        <v>1432</v>
      </c>
      <c r="AM31" s="36" t="str" cm="1">
        <f t="array" ref="AM31">INDEX(_xlfn.TOROW(PixelShiftTable),AL31+1)</f>
        <v>A9</v>
      </c>
      <c r="AN31" t="str">
        <f t="shared" si="15"/>
        <v>A960</v>
      </c>
      <c r="AO31" t="str">
        <f>pixel_pattern_table.asm!$B$2</f>
        <v>A900</v>
      </c>
      <c r="AP31">
        <f t="shared" si="16"/>
        <v>96</v>
      </c>
      <c r="AQ31" s="107" t="str" cm="1">
        <f t="array" ref="AQ31">INDEX(_xlfn.TOROW(PixelPatternTable),AP31+1)</f>
        <v>80</v>
      </c>
      <c r="AR31" s="108"/>
      <c r="AS31" t="str">
        <f t="shared" si="17"/>
        <v>10000000</v>
      </c>
      <c r="AT31" t="str">
        <f t="shared" si="18"/>
        <v>0000000</v>
      </c>
      <c r="AU31" t="str" cm="1">
        <f t="array" ref="AU31">ReverseString(AT31)</f>
        <v>0000000</v>
      </c>
      <c r="AV31">
        <f t="shared" si="19"/>
        <v>97</v>
      </c>
      <c r="AW31" s="107" t="str" cm="1">
        <f t="array" ref="AW31">INDEX(_xlfn.TOROW(PixelPatternTable),AV31+1)</f>
        <v>86</v>
      </c>
      <c r="AX31" s="108"/>
      <c r="AY31" t="str">
        <f t="shared" si="20"/>
        <v>10000110</v>
      </c>
      <c r="AZ31" t="str">
        <f t="shared" si="21"/>
        <v>0000110</v>
      </c>
      <c r="BA31" t="str" cm="1">
        <f t="array" ref="BA31">ReverseString(AZ31)</f>
        <v>0110000</v>
      </c>
    </row>
    <row r="32" spans="1:53" outlineLevel="1" x14ac:dyDescent="0.3">
      <c r="B32" s="100">
        <f t="shared" si="22"/>
        <v>5</v>
      </c>
      <c r="C32" s="48">
        <v>10</v>
      </c>
      <c r="D32" s="77">
        <f t="shared" ref="D32:K32" si="31">D15</f>
        <v>0</v>
      </c>
      <c r="E32" s="78">
        <f t="shared" si="31"/>
        <v>0</v>
      </c>
      <c r="F32" s="78">
        <f t="shared" si="31"/>
        <v>0</v>
      </c>
      <c r="G32" s="78">
        <f t="shared" si="31"/>
        <v>1</v>
      </c>
      <c r="H32" s="78">
        <f t="shared" si="31"/>
        <v>1</v>
      </c>
      <c r="I32" s="78">
        <f t="shared" si="31"/>
        <v>0</v>
      </c>
      <c r="J32" s="78">
        <f t="shared" si="31"/>
        <v>0</v>
      </c>
      <c r="K32" s="91">
        <f t="shared" si="31"/>
        <v>1</v>
      </c>
      <c r="L32" s="120"/>
      <c r="AD32" s="83" t="str">
        <f t="shared" si="1"/>
        <v>18</v>
      </c>
      <c r="AG32" s="36" t="str" cm="1">
        <f t="array" ref="AG32">INDEX(PixelShiftPages,$B32+1)</f>
        <v>A7</v>
      </c>
      <c r="AH32" t="str">
        <f t="shared" si="2"/>
        <v>A718</v>
      </c>
      <c r="AI32" s="37" t="str">
        <f>pixel_shift_table.asm!$B$3</f>
        <v>A200</v>
      </c>
      <c r="AJ32">
        <f t="shared" si="13"/>
        <v>1304</v>
      </c>
      <c r="AK32" s="36" t="str" cm="1">
        <f t="array" ref="AK32">INDEX(_xlfn.TOROW(PixelShiftTable),AJ32+1)</f>
        <v>60</v>
      </c>
      <c r="AL32">
        <f t="shared" si="14"/>
        <v>1432</v>
      </c>
      <c r="AM32" s="36" t="str" cm="1">
        <f t="array" ref="AM32">INDEX(_xlfn.TOROW(PixelShiftTable),AL32+1)</f>
        <v>A9</v>
      </c>
      <c r="AN32" t="str">
        <f t="shared" si="15"/>
        <v>A960</v>
      </c>
      <c r="AO32" t="str">
        <f>pixel_pattern_table.asm!$B$2</f>
        <v>A900</v>
      </c>
      <c r="AP32">
        <f t="shared" si="16"/>
        <v>96</v>
      </c>
      <c r="AQ32" s="107" t="str" cm="1">
        <f t="array" ref="AQ32">INDEX(_xlfn.TOROW(PixelPatternTable),AP32+1)</f>
        <v>80</v>
      </c>
      <c r="AR32" s="108"/>
      <c r="AS32" t="str">
        <f t="shared" si="17"/>
        <v>10000000</v>
      </c>
      <c r="AT32" t="str">
        <f t="shared" si="18"/>
        <v>0000000</v>
      </c>
      <c r="AU32" t="str" cm="1">
        <f t="array" ref="AU32">ReverseString(AT32)</f>
        <v>0000000</v>
      </c>
      <c r="AV32">
        <f t="shared" si="19"/>
        <v>97</v>
      </c>
      <c r="AW32" s="107" t="str" cm="1">
        <f t="array" ref="AW32">INDEX(_xlfn.TOROW(PixelPatternTable),AV32+1)</f>
        <v>86</v>
      </c>
      <c r="AX32" s="108"/>
      <c r="AY32" t="str">
        <f t="shared" si="20"/>
        <v>10000110</v>
      </c>
      <c r="AZ32" t="str">
        <f t="shared" si="21"/>
        <v>0000110</v>
      </c>
      <c r="BA32" t="str" cm="1">
        <f t="array" ref="BA32">ReverseString(AZ32)</f>
        <v>0110000</v>
      </c>
    </row>
    <row r="33" spans="1:53" outlineLevel="1" x14ac:dyDescent="0.3">
      <c r="AQ33" s="6"/>
      <c r="AR33" s="7"/>
      <c r="AW33" s="6"/>
      <c r="AX33" s="7"/>
    </row>
    <row r="34" spans="1:53" ht="18.75" outlineLevel="1" x14ac:dyDescent="0.3">
      <c r="L34" s="85" t="s">
        <v>909</v>
      </c>
      <c r="M34" s="33"/>
      <c r="N34" s="33"/>
      <c r="O34" s="33"/>
      <c r="P34" s="33"/>
      <c r="Q34" s="33"/>
      <c r="R34" s="33"/>
      <c r="S34" s="90" t="s">
        <v>2</v>
      </c>
      <c r="T34" s="120"/>
      <c r="AE34" s="49" t="s">
        <v>946</v>
      </c>
      <c r="AF34" s="46"/>
      <c r="AQ34" s="6"/>
      <c r="AR34" s="7"/>
      <c r="AW34" s="6"/>
      <c r="AX34" s="7"/>
    </row>
    <row r="35" spans="1:53" outlineLevel="1" x14ac:dyDescent="0.3">
      <c r="B35" s="100">
        <f>B22</f>
        <v>5</v>
      </c>
      <c r="L35" s="89">
        <f>L5</f>
        <v>0</v>
      </c>
      <c r="M35" s="78">
        <f t="shared" ref="M35:S35" si="32">M5</f>
        <v>0</v>
      </c>
      <c r="N35" s="78">
        <f t="shared" si="32"/>
        <v>0</v>
      </c>
      <c r="O35" s="78">
        <f t="shared" si="32"/>
        <v>0</v>
      </c>
      <c r="P35" s="78">
        <f t="shared" si="32"/>
        <v>0</v>
      </c>
      <c r="Q35" s="78">
        <f t="shared" si="32"/>
        <v>0</v>
      </c>
      <c r="R35" s="78">
        <f t="shared" si="32"/>
        <v>0</v>
      </c>
      <c r="S35" s="91">
        <f t="shared" si="32"/>
        <v>1</v>
      </c>
      <c r="T35" s="120"/>
      <c r="AE35" s="83" t="str">
        <f t="shared" ref="AE35:AE45" si="33">AE5</f>
        <v>00</v>
      </c>
      <c r="AF35" s="128"/>
      <c r="AG35" s="36" t="str" cm="1">
        <f t="array" ref="AG35">INDEX(PixelShiftPages,$B35+1)</f>
        <v>A7</v>
      </c>
      <c r="AH35" t="str">
        <f t="shared" ref="AH35:AH45" si="34">AG35&amp;AE35</f>
        <v>A700</v>
      </c>
      <c r="AI35" s="37" t="str">
        <f>pixel_shift_table.asm!$B$3</f>
        <v>A200</v>
      </c>
      <c r="AJ35">
        <f t="shared" ref="AJ35" si="35">HEX2DEC(AH35)-HEX2DEC(AI35)</f>
        <v>1280</v>
      </c>
      <c r="AK35" s="36" t="str" cm="1">
        <f t="array" ref="AK35">INDEX(_xlfn.TOROW(PixelShiftTable),AJ35+1)</f>
        <v>00</v>
      </c>
      <c r="AL35">
        <f t="shared" ref="AL35" si="36">AJ35+128</f>
        <v>1408</v>
      </c>
      <c r="AM35" s="36" t="str" cm="1">
        <f t="array" ref="AM35">INDEX(_xlfn.TOROW(PixelShiftTable),AL35+1)</f>
        <v>A9</v>
      </c>
      <c r="AN35" t="str">
        <f t="shared" ref="AN35" si="37">AM35&amp;AK35</f>
        <v>A900</v>
      </c>
      <c r="AO35" t="str">
        <f>pixel_pattern_table.asm!$B$2</f>
        <v>A900</v>
      </c>
      <c r="AP35">
        <f t="shared" ref="AP35" si="38">HEX2DEC(AN35)-HEX2DEC(AO35)</f>
        <v>0</v>
      </c>
      <c r="AQ35" s="6"/>
      <c r="AR35" s="108" t="str" cm="1">
        <f t="array" ref="AR35">INDEX(_xlfn.TOROW(PixelPatternTable),AP35+1)</f>
        <v>80</v>
      </c>
      <c r="AS35" t="str">
        <f t="shared" ref="AS35:AS45" si="39">HEX2BIN(AR35,8)</f>
        <v>10000000</v>
      </c>
      <c r="AT35" t="str">
        <f t="shared" ref="AT35" si="40">RIGHT(AS35,7)</f>
        <v>0000000</v>
      </c>
      <c r="AU35" t="str" cm="1">
        <f t="array" ref="AU35">ReverseString(AT35)</f>
        <v>0000000</v>
      </c>
      <c r="AV35">
        <f t="shared" ref="AV35" si="41">AP35+1</f>
        <v>1</v>
      </c>
      <c r="AW35" s="6"/>
      <c r="AX35" s="108" t="str" cm="1">
        <f t="array" ref="AX35">INDEX(_xlfn.TOROW(PixelPatternTable),AV35+1)</f>
        <v>80</v>
      </c>
      <c r="AY35" t="str">
        <f t="shared" ref="AY35:AY45" si="42">HEX2BIN(AX35,8)</f>
        <v>10000000</v>
      </c>
      <c r="AZ35" t="str">
        <f t="shared" ref="AZ35" si="43">RIGHT(AY35,7)</f>
        <v>0000000</v>
      </c>
      <c r="BA35" t="str" cm="1">
        <f t="array" ref="BA35">ReverseString(AZ35)</f>
        <v>0000000</v>
      </c>
    </row>
    <row r="36" spans="1:53" outlineLevel="1" x14ac:dyDescent="0.3">
      <c r="B36" s="100">
        <f t="shared" ref="B36:B45" si="44">B23</f>
        <v>5</v>
      </c>
      <c r="L36" s="89">
        <f t="shared" ref="L36:S36" si="45">L6</f>
        <v>0</v>
      </c>
      <c r="M36" s="78">
        <f t="shared" si="45"/>
        <v>0</v>
      </c>
      <c r="N36" s="78">
        <f t="shared" si="45"/>
        <v>0</v>
      </c>
      <c r="O36" s="78">
        <f t="shared" si="45"/>
        <v>0</v>
      </c>
      <c r="P36" s="78">
        <f t="shared" si="45"/>
        <v>0</v>
      </c>
      <c r="Q36" s="78">
        <f t="shared" si="45"/>
        <v>0</v>
      </c>
      <c r="R36" s="78">
        <f t="shared" si="45"/>
        <v>0</v>
      </c>
      <c r="S36" s="91">
        <f t="shared" si="45"/>
        <v>1</v>
      </c>
      <c r="T36" s="120"/>
      <c r="AE36" s="83" t="str">
        <f t="shared" si="33"/>
        <v>00</v>
      </c>
      <c r="AF36" s="128"/>
      <c r="AG36" s="36" t="str" cm="1">
        <f t="array" ref="AG36">INDEX(PixelShiftPages,$B36+1)</f>
        <v>A7</v>
      </c>
      <c r="AH36" t="str">
        <f t="shared" si="34"/>
        <v>A700</v>
      </c>
      <c r="AI36" s="37" t="str">
        <f>pixel_shift_table.asm!$B$3</f>
        <v>A200</v>
      </c>
      <c r="AJ36">
        <f t="shared" ref="AJ36:AJ45" si="46">HEX2DEC(AH36)-HEX2DEC(AI36)</f>
        <v>1280</v>
      </c>
      <c r="AK36" s="36" t="str" cm="1">
        <f t="array" ref="AK36">INDEX(_xlfn.TOROW(PixelShiftTable),AJ36+1)</f>
        <v>00</v>
      </c>
      <c r="AL36">
        <f t="shared" ref="AL36:AL45" si="47">AJ36+128</f>
        <v>1408</v>
      </c>
      <c r="AM36" s="36" t="str" cm="1">
        <f t="array" ref="AM36">INDEX(_xlfn.TOROW(PixelShiftTable),AL36+1)</f>
        <v>A9</v>
      </c>
      <c r="AN36" t="str">
        <f t="shared" ref="AN36:AN45" si="48">AM36&amp;AK36</f>
        <v>A900</v>
      </c>
      <c r="AO36" t="str">
        <f>pixel_pattern_table.asm!$B$2</f>
        <v>A900</v>
      </c>
      <c r="AP36">
        <f t="shared" ref="AP36:AP45" si="49">HEX2DEC(AN36)-HEX2DEC(AO36)</f>
        <v>0</v>
      </c>
      <c r="AQ36" s="6"/>
      <c r="AR36" s="108" t="str" cm="1">
        <f t="array" ref="AR36">INDEX(_xlfn.TOROW(PixelPatternTable),AP36+1)</f>
        <v>80</v>
      </c>
      <c r="AS36" t="str">
        <f t="shared" si="39"/>
        <v>10000000</v>
      </c>
      <c r="AT36" t="str">
        <f t="shared" ref="AT36:AT45" si="50">RIGHT(AS36,7)</f>
        <v>0000000</v>
      </c>
      <c r="AU36" t="str" cm="1">
        <f t="array" ref="AU36">ReverseString(AT36)</f>
        <v>0000000</v>
      </c>
      <c r="AV36">
        <f t="shared" ref="AV36:AV45" si="51">AP36+1</f>
        <v>1</v>
      </c>
      <c r="AW36" s="6"/>
      <c r="AX36" s="108" t="str" cm="1">
        <f t="array" ref="AX36">INDEX(_xlfn.TOROW(PixelPatternTable),AV36+1)</f>
        <v>80</v>
      </c>
      <c r="AY36" t="str">
        <f t="shared" si="42"/>
        <v>10000000</v>
      </c>
      <c r="AZ36" t="str">
        <f t="shared" ref="AZ36:AZ45" si="52">RIGHT(AY36,7)</f>
        <v>0000000</v>
      </c>
      <c r="BA36" t="str" cm="1">
        <f t="array" ref="BA36">ReverseString(AZ36)</f>
        <v>0000000</v>
      </c>
    </row>
    <row r="37" spans="1:53" outlineLevel="1" x14ac:dyDescent="0.3">
      <c r="B37" s="100">
        <f t="shared" si="44"/>
        <v>5</v>
      </c>
      <c r="L37" s="89">
        <f t="shared" ref="L37:S37" si="53">L7</f>
        <v>0</v>
      </c>
      <c r="M37" s="78">
        <f t="shared" si="53"/>
        <v>0</v>
      </c>
      <c r="N37" s="78">
        <f t="shared" si="53"/>
        <v>0</v>
      </c>
      <c r="O37" s="78">
        <f t="shared" si="53"/>
        <v>0</v>
      </c>
      <c r="P37" s="78">
        <f t="shared" si="53"/>
        <v>0</v>
      </c>
      <c r="Q37" s="78">
        <f t="shared" si="53"/>
        <v>0</v>
      </c>
      <c r="R37" s="78">
        <f t="shared" si="53"/>
        <v>0</v>
      </c>
      <c r="S37" s="91">
        <f t="shared" si="53"/>
        <v>1</v>
      </c>
      <c r="T37" s="120"/>
      <c r="AE37" s="83" t="str">
        <f t="shared" si="33"/>
        <v>00</v>
      </c>
      <c r="AF37" s="128"/>
      <c r="AG37" s="36" t="str" cm="1">
        <f t="array" ref="AG37">INDEX(PixelShiftPages,$B37+1)</f>
        <v>A7</v>
      </c>
      <c r="AH37" t="str">
        <f t="shared" si="34"/>
        <v>A700</v>
      </c>
      <c r="AI37" s="37" t="str">
        <f>pixel_shift_table.asm!$B$3</f>
        <v>A200</v>
      </c>
      <c r="AJ37">
        <f t="shared" si="46"/>
        <v>1280</v>
      </c>
      <c r="AK37" s="36" t="str" cm="1">
        <f t="array" ref="AK37">INDEX(_xlfn.TOROW(PixelShiftTable),AJ37+1)</f>
        <v>00</v>
      </c>
      <c r="AL37">
        <f t="shared" si="47"/>
        <v>1408</v>
      </c>
      <c r="AM37" s="36" t="str" cm="1">
        <f t="array" ref="AM37">INDEX(_xlfn.TOROW(PixelShiftTable),AL37+1)</f>
        <v>A9</v>
      </c>
      <c r="AN37" t="str">
        <f t="shared" si="48"/>
        <v>A900</v>
      </c>
      <c r="AO37" t="str">
        <f>pixel_pattern_table.asm!$B$2</f>
        <v>A900</v>
      </c>
      <c r="AP37">
        <f t="shared" si="49"/>
        <v>0</v>
      </c>
      <c r="AQ37" s="6"/>
      <c r="AR37" s="108" t="str" cm="1">
        <f t="array" ref="AR37">INDEX(_xlfn.TOROW(PixelPatternTable),AP37+1)</f>
        <v>80</v>
      </c>
      <c r="AS37" t="str">
        <f t="shared" si="39"/>
        <v>10000000</v>
      </c>
      <c r="AT37" t="str">
        <f t="shared" si="50"/>
        <v>0000000</v>
      </c>
      <c r="AU37" t="str" cm="1">
        <f t="array" ref="AU37">ReverseString(AT37)</f>
        <v>0000000</v>
      </c>
      <c r="AV37">
        <f t="shared" si="51"/>
        <v>1</v>
      </c>
      <c r="AW37" s="6"/>
      <c r="AX37" s="108" t="str" cm="1">
        <f t="array" ref="AX37">INDEX(_xlfn.TOROW(PixelPatternTable),AV37+1)</f>
        <v>80</v>
      </c>
      <c r="AY37" t="str">
        <f t="shared" si="42"/>
        <v>10000000</v>
      </c>
      <c r="AZ37" t="str">
        <f t="shared" si="52"/>
        <v>0000000</v>
      </c>
      <c r="BA37" t="str" cm="1">
        <f t="array" ref="BA37">ReverseString(AZ37)</f>
        <v>0000000</v>
      </c>
    </row>
    <row r="38" spans="1:53" outlineLevel="1" x14ac:dyDescent="0.3">
      <c r="B38" s="100">
        <f t="shared" si="44"/>
        <v>5</v>
      </c>
      <c r="L38" s="89">
        <f t="shared" ref="L38:S38" si="54">L8</f>
        <v>0</v>
      </c>
      <c r="M38" s="78">
        <f t="shared" si="54"/>
        <v>0</v>
      </c>
      <c r="N38" s="78">
        <f t="shared" si="54"/>
        <v>0</v>
      </c>
      <c r="O38" s="78">
        <f t="shared" si="54"/>
        <v>0</v>
      </c>
      <c r="P38" s="78">
        <f t="shared" si="54"/>
        <v>0</v>
      </c>
      <c r="Q38" s="78">
        <f t="shared" si="54"/>
        <v>0</v>
      </c>
      <c r="R38" s="78">
        <f t="shared" si="54"/>
        <v>0</v>
      </c>
      <c r="S38" s="91">
        <f t="shared" si="54"/>
        <v>1</v>
      </c>
      <c r="T38" s="120"/>
      <c r="AE38" s="83" t="str">
        <f t="shared" si="33"/>
        <v>00</v>
      </c>
      <c r="AF38" s="128"/>
      <c r="AG38" s="36" t="str" cm="1">
        <f t="array" ref="AG38">INDEX(PixelShiftPages,$B38+1)</f>
        <v>A7</v>
      </c>
      <c r="AH38" t="str">
        <f t="shared" si="34"/>
        <v>A700</v>
      </c>
      <c r="AI38" s="37" t="str">
        <f>pixel_shift_table.asm!$B$3</f>
        <v>A200</v>
      </c>
      <c r="AJ38">
        <f t="shared" si="46"/>
        <v>1280</v>
      </c>
      <c r="AK38" s="36" t="str" cm="1">
        <f t="array" ref="AK38">INDEX(_xlfn.TOROW(PixelShiftTable),AJ38+1)</f>
        <v>00</v>
      </c>
      <c r="AL38">
        <f t="shared" si="47"/>
        <v>1408</v>
      </c>
      <c r="AM38" s="36" t="str" cm="1">
        <f t="array" ref="AM38">INDEX(_xlfn.TOROW(PixelShiftTable),AL38+1)</f>
        <v>A9</v>
      </c>
      <c r="AN38" t="str">
        <f t="shared" si="48"/>
        <v>A900</v>
      </c>
      <c r="AO38" t="str">
        <f>pixel_pattern_table.asm!$B$2</f>
        <v>A900</v>
      </c>
      <c r="AP38">
        <f t="shared" si="49"/>
        <v>0</v>
      </c>
      <c r="AQ38" s="6"/>
      <c r="AR38" s="108" t="str" cm="1">
        <f t="array" ref="AR38">INDEX(_xlfn.TOROW(PixelPatternTable),AP38+1)</f>
        <v>80</v>
      </c>
      <c r="AS38" t="str">
        <f t="shared" si="39"/>
        <v>10000000</v>
      </c>
      <c r="AT38" t="str">
        <f t="shared" si="50"/>
        <v>0000000</v>
      </c>
      <c r="AU38" t="str" cm="1">
        <f t="array" ref="AU38">ReverseString(AT38)</f>
        <v>0000000</v>
      </c>
      <c r="AV38">
        <f t="shared" si="51"/>
        <v>1</v>
      </c>
      <c r="AW38" s="6"/>
      <c r="AX38" s="108" t="str" cm="1">
        <f t="array" ref="AX38">INDEX(_xlfn.TOROW(PixelPatternTable),AV38+1)</f>
        <v>80</v>
      </c>
      <c r="AY38" t="str">
        <f t="shared" si="42"/>
        <v>10000000</v>
      </c>
      <c r="AZ38" t="str">
        <f t="shared" si="52"/>
        <v>0000000</v>
      </c>
      <c r="BA38" t="str" cm="1">
        <f t="array" ref="BA38">ReverseString(AZ38)</f>
        <v>0000000</v>
      </c>
    </row>
    <row r="39" spans="1:53" outlineLevel="1" x14ac:dyDescent="0.3">
      <c r="B39" s="100">
        <f t="shared" si="44"/>
        <v>5</v>
      </c>
      <c r="L39" s="89">
        <f t="shared" ref="L39:S39" si="55">L9</f>
        <v>1</v>
      </c>
      <c r="M39" s="78">
        <f t="shared" si="55"/>
        <v>0</v>
      </c>
      <c r="N39" s="78">
        <f t="shared" si="55"/>
        <v>0</v>
      </c>
      <c r="O39" s="78">
        <f t="shared" si="55"/>
        <v>0</v>
      </c>
      <c r="P39" s="78">
        <f t="shared" si="55"/>
        <v>0</v>
      </c>
      <c r="Q39" s="78">
        <f t="shared" si="55"/>
        <v>0</v>
      </c>
      <c r="R39" s="78">
        <f t="shared" si="55"/>
        <v>0</v>
      </c>
      <c r="S39" s="91">
        <f t="shared" si="55"/>
        <v>1</v>
      </c>
      <c r="T39" s="120"/>
      <c r="AE39" s="83" t="str">
        <f t="shared" si="33"/>
        <v>01</v>
      </c>
      <c r="AF39" s="128"/>
      <c r="AG39" s="36" t="str" cm="1">
        <f t="array" ref="AG39">INDEX(PixelShiftPages,$B39+1)</f>
        <v>A7</v>
      </c>
      <c r="AH39" t="str">
        <f t="shared" si="34"/>
        <v>A701</v>
      </c>
      <c r="AI39" s="37" t="str">
        <f>pixel_shift_table.asm!$B$3</f>
        <v>A200</v>
      </c>
      <c r="AJ39">
        <f t="shared" si="46"/>
        <v>1281</v>
      </c>
      <c r="AK39" s="36" t="str" cm="1">
        <f t="array" ref="AK39">INDEX(_xlfn.TOROW(PixelShiftTable),AJ39+1)</f>
        <v>0C</v>
      </c>
      <c r="AL39">
        <f t="shared" si="47"/>
        <v>1409</v>
      </c>
      <c r="AM39" s="36" t="str" cm="1">
        <f t="array" ref="AM39">INDEX(_xlfn.TOROW(PixelShiftTable),AL39+1)</f>
        <v>A9</v>
      </c>
      <c r="AN39" t="str">
        <f t="shared" si="48"/>
        <v>A90C</v>
      </c>
      <c r="AO39" t="str">
        <f>pixel_pattern_table.asm!$B$2</f>
        <v>A900</v>
      </c>
      <c r="AP39">
        <f t="shared" si="49"/>
        <v>12</v>
      </c>
      <c r="AQ39" s="6"/>
      <c r="AR39" s="108" t="str" cm="1">
        <f t="array" ref="AR39">INDEX(_xlfn.TOROW(PixelPatternTable),AP39+1)</f>
        <v>A0</v>
      </c>
      <c r="AS39" t="str">
        <f t="shared" si="39"/>
        <v>10100000</v>
      </c>
      <c r="AT39" t="str">
        <f t="shared" si="50"/>
        <v>0100000</v>
      </c>
      <c r="AU39" t="str" cm="1">
        <f t="array" ref="AU39">ReverseString(AT39)</f>
        <v>0000010</v>
      </c>
      <c r="AV39">
        <f t="shared" si="51"/>
        <v>13</v>
      </c>
      <c r="AW39" s="6"/>
      <c r="AX39" s="108" t="str" cm="1">
        <f t="array" ref="AX39">INDEX(_xlfn.TOROW(PixelPatternTable),AV39+1)</f>
        <v>80</v>
      </c>
      <c r="AY39" t="str">
        <f t="shared" si="42"/>
        <v>10000000</v>
      </c>
      <c r="AZ39" t="str">
        <f t="shared" si="52"/>
        <v>0000000</v>
      </c>
      <c r="BA39" t="str" cm="1">
        <f t="array" ref="BA39">ReverseString(AZ39)</f>
        <v>0000000</v>
      </c>
    </row>
    <row r="40" spans="1:53" outlineLevel="1" x14ac:dyDescent="0.3">
      <c r="B40" s="100">
        <f t="shared" si="44"/>
        <v>5</v>
      </c>
      <c r="L40" s="89">
        <f t="shared" ref="L40:S40" si="56">L10</f>
        <v>0</v>
      </c>
      <c r="M40" s="78">
        <f t="shared" si="56"/>
        <v>0</v>
      </c>
      <c r="N40" s="78">
        <f t="shared" si="56"/>
        <v>1</v>
      </c>
      <c r="O40" s="78">
        <f t="shared" si="56"/>
        <v>0</v>
      </c>
      <c r="P40" s="78">
        <f t="shared" si="56"/>
        <v>0</v>
      </c>
      <c r="Q40" s="78">
        <f t="shared" si="56"/>
        <v>0</v>
      </c>
      <c r="R40" s="78">
        <f t="shared" si="56"/>
        <v>0</v>
      </c>
      <c r="S40" s="91">
        <f t="shared" si="56"/>
        <v>1</v>
      </c>
      <c r="T40" s="120"/>
      <c r="AE40" s="83" t="str">
        <f t="shared" si="33"/>
        <v>04</v>
      </c>
      <c r="AF40" s="128"/>
      <c r="AG40" s="36" t="str" cm="1">
        <f t="array" ref="AG40">INDEX(PixelShiftPages,$B40+1)</f>
        <v>A7</v>
      </c>
      <c r="AH40" t="str">
        <f t="shared" si="34"/>
        <v>A704</v>
      </c>
      <c r="AI40" s="37" t="str">
        <f>pixel_shift_table.asm!$B$3</f>
        <v>A200</v>
      </c>
      <c r="AJ40">
        <f t="shared" si="46"/>
        <v>1284</v>
      </c>
      <c r="AK40" s="36" t="str" cm="1">
        <f t="array" ref="AK40">INDEX(_xlfn.TOROW(PixelShiftTable),AJ40+1)</f>
        <v>10</v>
      </c>
      <c r="AL40">
        <f t="shared" si="47"/>
        <v>1412</v>
      </c>
      <c r="AM40" s="36" t="str" cm="1">
        <f t="array" ref="AM40">INDEX(_xlfn.TOROW(PixelShiftTable),AL40+1)</f>
        <v>A9</v>
      </c>
      <c r="AN40" t="str">
        <f t="shared" si="48"/>
        <v>A910</v>
      </c>
      <c r="AO40" t="str">
        <f>pixel_pattern_table.asm!$B$2</f>
        <v>A900</v>
      </c>
      <c r="AP40">
        <f t="shared" si="49"/>
        <v>16</v>
      </c>
      <c r="AQ40" s="6"/>
      <c r="AR40" s="108" t="str" cm="1">
        <f t="array" ref="AR40">INDEX(_xlfn.TOROW(PixelPatternTable),AP40+1)</f>
        <v>80</v>
      </c>
      <c r="AS40" t="str">
        <f t="shared" si="39"/>
        <v>10000000</v>
      </c>
      <c r="AT40" t="str">
        <f t="shared" si="50"/>
        <v>0000000</v>
      </c>
      <c r="AU40" t="str" cm="1">
        <f t="array" ref="AU40">ReverseString(AT40)</f>
        <v>0000000</v>
      </c>
      <c r="AV40">
        <f t="shared" si="51"/>
        <v>17</v>
      </c>
      <c r="AW40" s="6"/>
      <c r="AX40" s="108" t="str" cm="1">
        <f t="array" ref="AX40">INDEX(_xlfn.TOROW(PixelPatternTable),AV40+1)</f>
        <v>81</v>
      </c>
      <c r="AY40" t="str">
        <f t="shared" si="42"/>
        <v>10000001</v>
      </c>
      <c r="AZ40" t="str">
        <f t="shared" si="52"/>
        <v>0000001</v>
      </c>
      <c r="BA40" t="str" cm="1">
        <f t="array" ref="BA40">ReverseString(AZ40)</f>
        <v>1000000</v>
      </c>
    </row>
    <row r="41" spans="1:53" outlineLevel="1" x14ac:dyDescent="0.3">
      <c r="B41" s="100">
        <f t="shared" si="44"/>
        <v>5</v>
      </c>
      <c r="L41" s="89">
        <f t="shared" ref="L41:S41" si="57">L11</f>
        <v>0</v>
      </c>
      <c r="M41" s="78">
        <f t="shared" si="57"/>
        <v>0</v>
      </c>
      <c r="N41" s="78">
        <f t="shared" si="57"/>
        <v>0</v>
      </c>
      <c r="O41" s="78">
        <f t="shared" si="57"/>
        <v>0</v>
      </c>
      <c r="P41" s="78">
        <f t="shared" si="57"/>
        <v>0</v>
      </c>
      <c r="Q41" s="78">
        <f t="shared" si="57"/>
        <v>0</v>
      </c>
      <c r="R41" s="78">
        <f t="shared" si="57"/>
        <v>0</v>
      </c>
      <c r="S41" s="91">
        <f t="shared" si="57"/>
        <v>1</v>
      </c>
      <c r="T41" s="120"/>
      <c r="AE41" s="83" t="str">
        <f t="shared" si="33"/>
        <v>00</v>
      </c>
      <c r="AF41" s="128"/>
      <c r="AG41" s="36" t="str" cm="1">
        <f t="array" ref="AG41">INDEX(PixelShiftPages,$B41+1)</f>
        <v>A7</v>
      </c>
      <c r="AH41" t="str">
        <f t="shared" si="34"/>
        <v>A700</v>
      </c>
      <c r="AI41" s="37" t="str">
        <f>pixel_shift_table.asm!$B$3</f>
        <v>A200</v>
      </c>
      <c r="AJ41">
        <f t="shared" si="46"/>
        <v>1280</v>
      </c>
      <c r="AK41" s="36" t="str" cm="1">
        <f t="array" ref="AK41">INDEX(_xlfn.TOROW(PixelShiftTable),AJ41+1)</f>
        <v>00</v>
      </c>
      <c r="AL41">
        <f t="shared" si="47"/>
        <v>1408</v>
      </c>
      <c r="AM41" s="36" t="str" cm="1">
        <f t="array" ref="AM41">INDEX(_xlfn.TOROW(PixelShiftTable),AL41+1)</f>
        <v>A9</v>
      </c>
      <c r="AN41" t="str">
        <f t="shared" si="48"/>
        <v>A900</v>
      </c>
      <c r="AO41" t="str">
        <f>pixel_pattern_table.asm!$B$2</f>
        <v>A900</v>
      </c>
      <c r="AP41">
        <f t="shared" si="49"/>
        <v>0</v>
      </c>
      <c r="AQ41" s="6"/>
      <c r="AR41" s="108" t="str" cm="1">
        <f t="array" ref="AR41">INDEX(_xlfn.TOROW(PixelPatternTable),AP41+1)</f>
        <v>80</v>
      </c>
      <c r="AS41" t="str">
        <f t="shared" si="39"/>
        <v>10000000</v>
      </c>
      <c r="AT41" t="str">
        <f t="shared" si="50"/>
        <v>0000000</v>
      </c>
      <c r="AU41" t="str" cm="1">
        <f t="array" ref="AU41">ReverseString(AT41)</f>
        <v>0000000</v>
      </c>
      <c r="AV41">
        <f t="shared" si="51"/>
        <v>1</v>
      </c>
      <c r="AW41" s="6"/>
      <c r="AX41" s="108" t="str" cm="1">
        <f t="array" ref="AX41">INDEX(_xlfn.TOROW(PixelPatternTable),AV41+1)</f>
        <v>80</v>
      </c>
      <c r="AY41" t="str">
        <f t="shared" si="42"/>
        <v>10000000</v>
      </c>
      <c r="AZ41" t="str">
        <f t="shared" si="52"/>
        <v>0000000</v>
      </c>
      <c r="BA41" t="str" cm="1">
        <f t="array" ref="BA41">ReverseString(AZ41)</f>
        <v>0000000</v>
      </c>
    </row>
    <row r="42" spans="1:53" outlineLevel="1" x14ac:dyDescent="0.3">
      <c r="B42" s="100">
        <f t="shared" si="44"/>
        <v>5</v>
      </c>
      <c r="L42" s="89">
        <f t="shared" ref="L42:S42" si="58">L12</f>
        <v>0</v>
      </c>
      <c r="M42" s="78">
        <f t="shared" si="58"/>
        <v>0</v>
      </c>
      <c r="N42" s="78">
        <f t="shared" si="58"/>
        <v>0</v>
      </c>
      <c r="O42" s="78">
        <f t="shared" si="58"/>
        <v>0</v>
      </c>
      <c r="P42" s="78">
        <f t="shared" si="58"/>
        <v>0</v>
      </c>
      <c r="Q42" s="78">
        <f t="shared" si="58"/>
        <v>0</v>
      </c>
      <c r="R42" s="78">
        <f t="shared" si="58"/>
        <v>0</v>
      </c>
      <c r="S42" s="91">
        <f t="shared" si="58"/>
        <v>1</v>
      </c>
      <c r="T42" s="120"/>
      <c r="AE42" s="83" t="str">
        <f t="shared" si="33"/>
        <v>00</v>
      </c>
      <c r="AF42" s="128"/>
      <c r="AG42" s="36" t="str" cm="1">
        <f t="array" ref="AG42">INDEX(PixelShiftPages,$B42+1)</f>
        <v>A7</v>
      </c>
      <c r="AH42" t="str">
        <f t="shared" si="34"/>
        <v>A700</v>
      </c>
      <c r="AI42" s="37" t="str">
        <f>pixel_shift_table.asm!$B$3</f>
        <v>A200</v>
      </c>
      <c r="AJ42">
        <f t="shared" si="46"/>
        <v>1280</v>
      </c>
      <c r="AK42" s="36" t="str" cm="1">
        <f t="array" ref="AK42">INDEX(_xlfn.TOROW(PixelShiftTable),AJ42+1)</f>
        <v>00</v>
      </c>
      <c r="AL42">
        <f t="shared" si="47"/>
        <v>1408</v>
      </c>
      <c r="AM42" s="36" t="str" cm="1">
        <f t="array" ref="AM42">INDEX(_xlfn.TOROW(PixelShiftTable),AL42+1)</f>
        <v>A9</v>
      </c>
      <c r="AN42" t="str">
        <f t="shared" si="48"/>
        <v>A900</v>
      </c>
      <c r="AO42" t="str">
        <f>pixel_pattern_table.asm!$B$2</f>
        <v>A900</v>
      </c>
      <c r="AP42">
        <f t="shared" si="49"/>
        <v>0</v>
      </c>
      <c r="AQ42" s="6"/>
      <c r="AR42" s="108" t="str" cm="1">
        <f t="array" ref="AR42">INDEX(_xlfn.TOROW(PixelPatternTable),AP42+1)</f>
        <v>80</v>
      </c>
      <c r="AS42" t="str">
        <f t="shared" si="39"/>
        <v>10000000</v>
      </c>
      <c r="AT42" t="str">
        <f t="shared" si="50"/>
        <v>0000000</v>
      </c>
      <c r="AU42" t="str" cm="1">
        <f t="array" ref="AU42">ReverseString(AT42)</f>
        <v>0000000</v>
      </c>
      <c r="AV42">
        <f t="shared" si="51"/>
        <v>1</v>
      </c>
      <c r="AW42" s="6"/>
      <c r="AX42" s="108" t="str" cm="1">
        <f t="array" ref="AX42">INDEX(_xlfn.TOROW(PixelPatternTable),AV42+1)</f>
        <v>80</v>
      </c>
      <c r="AY42" t="str">
        <f t="shared" si="42"/>
        <v>10000000</v>
      </c>
      <c r="AZ42" t="str">
        <f t="shared" si="52"/>
        <v>0000000</v>
      </c>
      <c r="BA42" t="str" cm="1">
        <f t="array" ref="BA42">ReverseString(AZ42)</f>
        <v>0000000</v>
      </c>
    </row>
    <row r="43" spans="1:53" outlineLevel="1" x14ac:dyDescent="0.3">
      <c r="B43" s="100">
        <f t="shared" si="44"/>
        <v>5</v>
      </c>
      <c r="L43" s="89">
        <f t="shared" ref="L43:S43" si="59">L13</f>
        <v>1</v>
      </c>
      <c r="M43" s="78">
        <f t="shared" si="59"/>
        <v>1</v>
      </c>
      <c r="N43" s="78">
        <f t="shared" si="59"/>
        <v>1</v>
      </c>
      <c r="O43" s="78">
        <f t="shared" si="59"/>
        <v>0</v>
      </c>
      <c r="P43" s="78">
        <f t="shared" si="59"/>
        <v>0</v>
      </c>
      <c r="Q43" s="78">
        <f t="shared" si="59"/>
        <v>0</v>
      </c>
      <c r="R43" s="78">
        <f t="shared" si="59"/>
        <v>0</v>
      </c>
      <c r="S43" s="91">
        <f t="shared" si="59"/>
        <v>1</v>
      </c>
      <c r="T43" s="120"/>
      <c r="AE43" s="83" t="str">
        <f t="shared" si="33"/>
        <v>07</v>
      </c>
      <c r="AF43" s="128"/>
      <c r="AG43" s="36" t="str" cm="1">
        <f t="array" ref="AG43">INDEX(PixelShiftPages,$B43+1)</f>
        <v>A7</v>
      </c>
      <c r="AH43" t="str">
        <f t="shared" si="34"/>
        <v>A707</v>
      </c>
      <c r="AI43" s="37" t="str">
        <f>pixel_shift_table.asm!$B$3</f>
        <v>A200</v>
      </c>
      <c r="AJ43">
        <f t="shared" si="46"/>
        <v>1287</v>
      </c>
      <c r="AK43" s="36" t="str" cm="1">
        <f t="array" ref="AK43">INDEX(_xlfn.TOROW(PixelShiftTable),AJ43+1)</f>
        <v>3C</v>
      </c>
      <c r="AL43">
        <f t="shared" si="47"/>
        <v>1415</v>
      </c>
      <c r="AM43" s="36" t="str" cm="1">
        <f t="array" ref="AM43">INDEX(_xlfn.TOROW(PixelShiftTable),AL43+1)</f>
        <v>A9</v>
      </c>
      <c r="AN43" t="str">
        <f t="shared" si="48"/>
        <v>A93C</v>
      </c>
      <c r="AO43" t="str">
        <f>pixel_pattern_table.asm!$B$2</f>
        <v>A900</v>
      </c>
      <c r="AP43">
        <f t="shared" si="49"/>
        <v>60</v>
      </c>
      <c r="AQ43" s="6"/>
      <c r="AR43" s="108" t="str" cm="1">
        <f t="array" ref="AR43">INDEX(_xlfn.TOROW(PixelPatternTable),AP43+1)</f>
        <v>E0</v>
      </c>
      <c r="AS43" t="str">
        <f t="shared" si="39"/>
        <v>11100000</v>
      </c>
      <c r="AT43" t="str">
        <f t="shared" si="50"/>
        <v>1100000</v>
      </c>
      <c r="AU43" t="str" cm="1">
        <f t="array" ref="AU43">ReverseString(AT43)</f>
        <v>0000011</v>
      </c>
      <c r="AV43">
        <f t="shared" si="51"/>
        <v>61</v>
      </c>
      <c r="AW43" s="6"/>
      <c r="AX43" s="108" t="str" cm="1">
        <f t="array" ref="AX43">INDEX(_xlfn.TOROW(PixelPatternTable),AV43+1)</f>
        <v>81</v>
      </c>
      <c r="AY43" t="str">
        <f t="shared" si="42"/>
        <v>10000001</v>
      </c>
      <c r="AZ43" t="str">
        <f t="shared" si="52"/>
        <v>0000001</v>
      </c>
      <c r="BA43" t="str" cm="1">
        <f t="array" ref="BA43">ReverseString(AZ43)</f>
        <v>1000000</v>
      </c>
    </row>
    <row r="44" spans="1:53" outlineLevel="1" x14ac:dyDescent="0.3">
      <c r="B44" s="100">
        <f t="shared" si="44"/>
        <v>5</v>
      </c>
      <c r="L44" s="89">
        <f t="shared" ref="L44:S44" si="60">L14</f>
        <v>0</v>
      </c>
      <c r="M44" s="78">
        <f t="shared" si="60"/>
        <v>0</v>
      </c>
      <c r="N44" s="78">
        <f t="shared" si="60"/>
        <v>0</v>
      </c>
      <c r="O44" s="78">
        <f t="shared" si="60"/>
        <v>0</v>
      </c>
      <c r="P44" s="78">
        <f t="shared" si="60"/>
        <v>0</v>
      </c>
      <c r="Q44" s="78">
        <f t="shared" si="60"/>
        <v>0</v>
      </c>
      <c r="R44" s="78">
        <f t="shared" si="60"/>
        <v>0</v>
      </c>
      <c r="S44" s="91">
        <f t="shared" si="60"/>
        <v>1</v>
      </c>
      <c r="T44" s="120"/>
      <c r="AE44" s="83" t="str">
        <f t="shared" si="33"/>
        <v>00</v>
      </c>
      <c r="AF44" s="128"/>
      <c r="AG44" s="36" t="str" cm="1">
        <f t="array" ref="AG44">INDEX(PixelShiftPages,$B44+1)</f>
        <v>A7</v>
      </c>
      <c r="AH44" t="str">
        <f t="shared" si="34"/>
        <v>A700</v>
      </c>
      <c r="AI44" s="37" t="str">
        <f>pixel_shift_table.asm!$B$3</f>
        <v>A200</v>
      </c>
      <c r="AJ44">
        <f t="shared" si="46"/>
        <v>1280</v>
      </c>
      <c r="AK44" s="36" t="str" cm="1">
        <f t="array" ref="AK44">INDEX(_xlfn.TOROW(PixelShiftTable),AJ44+1)</f>
        <v>00</v>
      </c>
      <c r="AL44">
        <f t="shared" si="47"/>
        <v>1408</v>
      </c>
      <c r="AM44" s="36" t="str" cm="1">
        <f t="array" ref="AM44">INDEX(_xlfn.TOROW(PixelShiftTable),AL44+1)</f>
        <v>A9</v>
      </c>
      <c r="AN44" t="str">
        <f t="shared" si="48"/>
        <v>A900</v>
      </c>
      <c r="AO44" t="str">
        <f>pixel_pattern_table.asm!$B$2</f>
        <v>A900</v>
      </c>
      <c r="AP44">
        <f t="shared" si="49"/>
        <v>0</v>
      </c>
      <c r="AQ44" s="6"/>
      <c r="AR44" s="108" t="str" cm="1">
        <f t="array" ref="AR44">INDEX(_xlfn.TOROW(PixelPatternTable),AP44+1)</f>
        <v>80</v>
      </c>
      <c r="AS44" t="str">
        <f t="shared" si="39"/>
        <v>10000000</v>
      </c>
      <c r="AT44" t="str">
        <f t="shared" si="50"/>
        <v>0000000</v>
      </c>
      <c r="AU44" t="str" cm="1">
        <f t="array" ref="AU44">ReverseString(AT44)</f>
        <v>0000000</v>
      </c>
      <c r="AV44">
        <f t="shared" si="51"/>
        <v>1</v>
      </c>
      <c r="AW44" s="6"/>
      <c r="AX44" s="108" t="str" cm="1">
        <f t="array" ref="AX44">INDEX(_xlfn.TOROW(PixelPatternTable),AV44+1)</f>
        <v>80</v>
      </c>
      <c r="AY44" t="str">
        <f t="shared" si="42"/>
        <v>10000000</v>
      </c>
      <c r="AZ44" t="str">
        <f t="shared" si="52"/>
        <v>0000000</v>
      </c>
      <c r="BA44" t="str" cm="1">
        <f t="array" ref="BA44">ReverseString(AZ44)</f>
        <v>0000000</v>
      </c>
    </row>
    <row r="45" spans="1:53" outlineLevel="1" x14ac:dyDescent="0.3">
      <c r="B45" s="100">
        <f t="shared" si="44"/>
        <v>5</v>
      </c>
      <c r="L45" s="89">
        <f t="shared" ref="L45:S45" si="61">L15</f>
        <v>0</v>
      </c>
      <c r="M45" s="78">
        <f t="shared" si="61"/>
        <v>0</v>
      </c>
      <c r="N45" s="78">
        <f t="shared" si="61"/>
        <v>0</v>
      </c>
      <c r="O45" s="78">
        <f t="shared" si="61"/>
        <v>0</v>
      </c>
      <c r="P45" s="78">
        <f t="shared" si="61"/>
        <v>0</v>
      </c>
      <c r="Q45" s="78">
        <f t="shared" si="61"/>
        <v>0</v>
      </c>
      <c r="R45" s="78">
        <f t="shared" si="61"/>
        <v>0</v>
      </c>
      <c r="S45" s="91">
        <f t="shared" si="61"/>
        <v>1</v>
      </c>
      <c r="T45" s="120"/>
      <c r="AE45" s="83" t="str">
        <f t="shared" si="33"/>
        <v>00</v>
      </c>
      <c r="AF45" s="128"/>
      <c r="AG45" s="36" t="str" cm="1">
        <f t="array" ref="AG45">INDEX(PixelShiftPages,$B45+1)</f>
        <v>A7</v>
      </c>
      <c r="AH45" t="str">
        <f t="shared" si="34"/>
        <v>A700</v>
      </c>
      <c r="AI45" s="37" t="str">
        <f>pixel_shift_table.asm!$B$3</f>
        <v>A200</v>
      </c>
      <c r="AJ45">
        <f t="shared" si="46"/>
        <v>1280</v>
      </c>
      <c r="AK45" s="36" t="str" cm="1">
        <f t="array" ref="AK45">INDEX(_xlfn.TOROW(PixelShiftTable),AJ45+1)</f>
        <v>00</v>
      </c>
      <c r="AL45">
        <f t="shared" si="47"/>
        <v>1408</v>
      </c>
      <c r="AM45" s="36" t="str" cm="1">
        <f t="array" ref="AM45">INDEX(_xlfn.TOROW(PixelShiftTable),AL45+1)</f>
        <v>A9</v>
      </c>
      <c r="AN45" t="str">
        <f t="shared" si="48"/>
        <v>A900</v>
      </c>
      <c r="AO45" t="str">
        <f>pixel_pattern_table.asm!$B$2</f>
        <v>A900</v>
      </c>
      <c r="AP45">
        <f t="shared" si="49"/>
        <v>0</v>
      </c>
      <c r="AQ45" s="6"/>
      <c r="AR45" s="108" t="str" cm="1">
        <f t="array" ref="AR45">INDEX(_xlfn.TOROW(PixelPatternTable),AP45+1)</f>
        <v>80</v>
      </c>
      <c r="AS45" t="str">
        <f t="shared" si="39"/>
        <v>10000000</v>
      </c>
      <c r="AT45" t="str">
        <f t="shared" si="50"/>
        <v>0000000</v>
      </c>
      <c r="AU45" t="str" cm="1">
        <f t="array" ref="AU45">ReverseString(AT45)</f>
        <v>0000000</v>
      </c>
      <c r="AV45">
        <f t="shared" si="51"/>
        <v>1</v>
      </c>
      <c r="AW45" s="6"/>
      <c r="AX45" s="108" t="str" cm="1">
        <f t="array" ref="AX45">INDEX(_xlfn.TOROW(PixelPatternTable),AV45+1)</f>
        <v>80</v>
      </c>
      <c r="AY45" t="str">
        <f t="shared" si="42"/>
        <v>10000000</v>
      </c>
      <c r="AZ45" t="str">
        <f t="shared" si="52"/>
        <v>0000000</v>
      </c>
      <c r="BA45" t="str" cm="1">
        <f t="array" ref="BA45">ReverseString(AZ45)</f>
        <v>0000000</v>
      </c>
    </row>
    <row r="46" spans="1:53" outlineLevel="1" x14ac:dyDescent="0.3">
      <c r="AQ46" s="6"/>
      <c r="AR46" s="7"/>
      <c r="AW46" s="6"/>
      <c r="AX46" s="7"/>
    </row>
    <row r="47" spans="1:53" outlineLevel="1" x14ac:dyDescent="0.3">
      <c r="AQ47" s="6"/>
      <c r="AR47" s="7"/>
      <c r="AW47" s="6"/>
      <c r="AX47" s="7"/>
    </row>
    <row r="48" spans="1:53" s="111" customFormat="1" x14ac:dyDescent="0.3">
      <c r="A48" s="119" t="s">
        <v>952</v>
      </c>
      <c r="AQ48" s="113"/>
      <c r="AR48" s="114"/>
      <c r="AW48" s="113"/>
      <c r="AX48" s="114"/>
    </row>
    <row r="49" spans="1:66" outlineLevel="1" x14ac:dyDescent="0.3">
      <c r="A49" t="s">
        <v>947</v>
      </c>
      <c r="AQ49" s="6"/>
      <c r="AR49" s="7"/>
      <c r="AW49" s="6"/>
      <c r="AX49" s="7"/>
    </row>
    <row r="50" spans="1:66" outlineLevel="1" x14ac:dyDescent="0.3">
      <c r="D50">
        <v>0</v>
      </c>
      <c r="E50">
        <v>1</v>
      </c>
      <c r="F50">
        <v>2</v>
      </c>
      <c r="G50">
        <v>3</v>
      </c>
      <c r="H50">
        <v>4</v>
      </c>
      <c r="I50">
        <v>5</v>
      </c>
      <c r="J50">
        <v>6</v>
      </c>
      <c r="L50">
        <v>0</v>
      </c>
      <c r="M50">
        <v>1</v>
      </c>
      <c r="N50">
        <v>2</v>
      </c>
      <c r="O50">
        <v>3</v>
      </c>
      <c r="P50">
        <v>4</v>
      </c>
      <c r="Q50">
        <v>5</v>
      </c>
      <c r="R50">
        <v>6</v>
      </c>
      <c r="T50">
        <v>0</v>
      </c>
      <c r="U50">
        <v>1</v>
      </c>
      <c r="V50">
        <v>2</v>
      </c>
      <c r="W50">
        <v>3</v>
      </c>
      <c r="X50">
        <v>4</v>
      </c>
      <c r="Y50">
        <v>5</v>
      </c>
      <c r="Z50">
        <v>6</v>
      </c>
      <c r="AQ50" s="6"/>
      <c r="AR50" s="7"/>
      <c r="AW50" s="6"/>
      <c r="AX50" s="7"/>
      <c r="BF50" s="115" t="s">
        <v>890</v>
      </c>
      <c r="BG50" s="43"/>
      <c r="BH50" s="116"/>
      <c r="BI50" s="115" t="s">
        <v>948</v>
      </c>
      <c r="BJ50" s="43"/>
      <c r="BK50" s="116"/>
      <c r="BL50" s="115" t="s">
        <v>892</v>
      </c>
      <c r="BM50" s="43"/>
      <c r="BN50" s="116"/>
    </row>
    <row r="51" spans="1:66" ht="18.75" outlineLevel="1" x14ac:dyDescent="0.3">
      <c r="C51" s="48" t="s">
        <v>0</v>
      </c>
      <c r="D51" s="32" t="s">
        <v>908</v>
      </c>
      <c r="E51" s="33"/>
      <c r="F51" s="33"/>
      <c r="G51" s="33"/>
      <c r="H51" s="33"/>
      <c r="I51" s="33"/>
      <c r="J51" s="33"/>
      <c r="K51" s="81" t="s">
        <v>1</v>
      </c>
      <c r="L51" s="85" t="s">
        <v>909</v>
      </c>
      <c r="M51" s="33"/>
      <c r="N51" s="33"/>
      <c r="O51" s="33"/>
      <c r="P51" s="33"/>
      <c r="Q51" s="33"/>
      <c r="R51" s="33"/>
      <c r="S51" s="90" t="s">
        <v>2</v>
      </c>
      <c r="T51" s="85" t="s">
        <v>954</v>
      </c>
      <c r="U51" s="33"/>
      <c r="V51" s="33"/>
      <c r="W51" s="33"/>
      <c r="X51" s="33"/>
      <c r="Y51" s="33"/>
      <c r="Z51" s="33"/>
      <c r="AA51" s="90" t="s">
        <v>942</v>
      </c>
      <c r="AB51" s="120"/>
      <c r="AC51" s="93"/>
      <c r="AQ51" s="6"/>
      <c r="AR51" s="7"/>
      <c r="AW51" s="6"/>
      <c r="AX51" s="7"/>
      <c r="BF51" s="127" t="s">
        <v>944</v>
      </c>
      <c r="BG51" s="125" t="s">
        <v>943</v>
      </c>
      <c r="BH51" s="126" t="s">
        <v>949</v>
      </c>
      <c r="BI51" s="127" t="s">
        <v>944</v>
      </c>
      <c r="BJ51" s="125" t="s">
        <v>943</v>
      </c>
      <c r="BK51" s="126" t="s">
        <v>949</v>
      </c>
      <c r="BL51" s="127" t="s">
        <v>944</v>
      </c>
      <c r="BM51" s="125" t="s">
        <v>943</v>
      </c>
      <c r="BN51" s="126" t="s">
        <v>949</v>
      </c>
    </row>
    <row r="52" spans="1:66" outlineLevel="1" x14ac:dyDescent="0.3">
      <c r="C52" s="48">
        <v>0</v>
      </c>
      <c r="D52" s="105" t="str">
        <f t="shared" ref="D52:J62" si="62">MID($BL52,D$50+1,1)</f>
        <v>0</v>
      </c>
      <c r="E52" s="106" t="str">
        <f t="shared" si="62"/>
        <v>0</v>
      </c>
      <c r="F52" s="106" t="str">
        <f t="shared" si="62"/>
        <v>0</v>
      </c>
      <c r="G52" s="106" t="str">
        <f t="shared" si="62"/>
        <v>0</v>
      </c>
      <c r="H52" s="106" t="str">
        <f t="shared" si="62"/>
        <v>0</v>
      </c>
      <c r="I52" s="106" t="str">
        <f t="shared" si="62"/>
        <v>0</v>
      </c>
      <c r="J52" s="106" t="str">
        <f t="shared" si="62"/>
        <v>0</v>
      </c>
      <c r="K52" s="103">
        <v>1</v>
      </c>
      <c r="L52" s="105" t="str">
        <f t="shared" ref="L52:R62" si="63">MID($BM52,L$50+1,1)</f>
        <v>0</v>
      </c>
      <c r="M52" s="106" t="str">
        <f t="shared" si="63"/>
        <v>0</v>
      </c>
      <c r="N52" s="106" t="str">
        <f t="shared" si="63"/>
        <v>1</v>
      </c>
      <c r="O52" s="106" t="str">
        <f t="shared" si="63"/>
        <v>0</v>
      </c>
      <c r="P52" s="106" t="str">
        <f t="shared" si="63"/>
        <v>0</v>
      </c>
      <c r="Q52" s="106" t="str">
        <f t="shared" si="63"/>
        <v>0</v>
      </c>
      <c r="R52" s="106" t="str">
        <f t="shared" si="63"/>
        <v>0</v>
      </c>
      <c r="S52" s="103">
        <v>1</v>
      </c>
      <c r="T52" s="105" t="str">
        <f t="shared" ref="T52:Z62" si="64">MID($BN52,T$50+1,1)</f>
        <v>0</v>
      </c>
      <c r="U52" s="106" t="str">
        <f t="shared" si="64"/>
        <v>0</v>
      </c>
      <c r="V52" s="106" t="str">
        <f t="shared" si="64"/>
        <v>0</v>
      </c>
      <c r="W52" s="106" t="str">
        <f t="shared" si="64"/>
        <v>0</v>
      </c>
      <c r="X52" s="106" t="str">
        <f t="shared" si="64"/>
        <v>0</v>
      </c>
      <c r="Y52" s="106" t="str">
        <f t="shared" si="64"/>
        <v>0</v>
      </c>
      <c r="Z52" s="106" t="str">
        <f t="shared" si="64"/>
        <v>0</v>
      </c>
      <c r="AA52" s="104">
        <v>1</v>
      </c>
      <c r="AB52" s="120"/>
      <c r="AQ52" s="109" t="str">
        <f t="shared" ref="AQ52:AQ62" si="65">AQ22</f>
        <v>80</v>
      </c>
      <c r="AR52" s="110" t="str">
        <f t="shared" ref="AR52:AR62" si="66">AR35</f>
        <v>80</v>
      </c>
      <c r="AW52" s="109" t="str">
        <f t="shared" ref="AW52:AW62" si="67">AW22</f>
        <v>84</v>
      </c>
      <c r="AX52" s="110" t="str">
        <f t="shared" ref="AX52:AX62" si="68">AX35</f>
        <v>80</v>
      </c>
      <c r="BC52" s="96" t="str">
        <f t="shared" ref="BC52:BC62" si="69">AQ52</f>
        <v>80</v>
      </c>
      <c r="BD52" t="str">
        <f t="shared" ref="BD52:BD62" si="70">DEC2HEX(_xlfn.BITOR(HEX2DEC(AW52),HEX2DEC(AR52)),2)</f>
        <v>84</v>
      </c>
      <c r="BE52" s="96" t="str">
        <f t="shared" ref="BE52:BE62" si="71">AX52</f>
        <v>80</v>
      </c>
      <c r="BF52" s="101" t="str">
        <f t="shared" ref="BF52:BF62" si="72">HEX2BIN(BC52,8)</f>
        <v>10000000</v>
      </c>
      <c r="BG52" t="str">
        <f t="shared" ref="BG52:BG62" si="73">HEX2BIN(BD52,8)</f>
        <v>10000100</v>
      </c>
      <c r="BH52" s="102" t="str">
        <f t="shared" ref="BH52:BH62" si="74">HEX2BIN(BE52,8)</f>
        <v>10000000</v>
      </c>
      <c r="BI52" s="101" t="str">
        <f t="shared" ref="BI52:BI62" si="75">RIGHT(BF52,7)</f>
        <v>0000000</v>
      </c>
      <c r="BJ52" t="str">
        <f t="shared" ref="BJ52:BJ62" si="76">RIGHT(BG52,7)</f>
        <v>0000100</v>
      </c>
      <c r="BK52" s="102" t="str">
        <f t="shared" ref="BK52:BK62" si="77">RIGHT(BH52,7)</f>
        <v>0000000</v>
      </c>
      <c r="BL52" s="101" t="str" cm="1">
        <f t="array" ref="BL52">ReverseString(BI52)</f>
        <v>0000000</v>
      </c>
      <c r="BM52" t="str" cm="1">
        <f t="array" ref="BM52">ReverseString(BJ52)</f>
        <v>0010000</v>
      </c>
      <c r="BN52" s="102" t="str" cm="1">
        <f t="array" ref="BN52">ReverseString(BK52)</f>
        <v>0000000</v>
      </c>
    </row>
    <row r="53" spans="1:66" outlineLevel="1" x14ac:dyDescent="0.3">
      <c r="C53" s="48">
        <v>1</v>
      </c>
      <c r="D53" s="105" t="str">
        <f t="shared" si="62"/>
        <v>0</v>
      </c>
      <c r="E53" s="106" t="str">
        <f t="shared" si="62"/>
        <v>0</v>
      </c>
      <c r="F53" s="106" t="str">
        <f t="shared" si="62"/>
        <v>0</v>
      </c>
      <c r="G53" s="106" t="str">
        <f t="shared" si="62"/>
        <v>0</v>
      </c>
      <c r="H53" s="106" t="str">
        <f t="shared" si="62"/>
        <v>0</v>
      </c>
      <c r="I53" s="106" t="str">
        <f t="shared" si="62"/>
        <v>0</v>
      </c>
      <c r="J53" s="106" t="str">
        <f t="shared" si="62"/>
        <v>0</v>
      </c>
      <c r="K53" s="103">
        <v>1</v>
      </c>
      <c r="L53" s="105" t="str">
        <f t="shared" si="63"/>
        <v>0</v>
      </c>
      <c r="M53" s="106" t="str">
        <f t="shared" si="63"/>
        <v>1</v>
      </c>
      <c r="N53" s="106" t="str">
        <f t="shared" si="63"/>
        <v>0</v>
      </c>
      <c r="O53" s="106" t="str">
        <f t="shared" si="63"/>
        <v>1</v>
      </c>
      <c r="P53" s="106" t="str">
        <f t="shared" si="63"/>
        <v>0</v>
      </c>
      <c r="Q53" s="106" t="str">
        <f t="shared" si="63"/>
        <v>0</v>
      </c>
      <c r="R53" s="106" t="str">
        <f t="shared" si="63"/>
        <v>0</v>
      </c>
      <c r="S53" s="103">
        <v>1</v>
      </c>
      <c r="T53" s="105" t="str">
        <f t="shared" si="64"/>
        <v>0</v>
      </c>
      <c r="U53" s="106" t="str">
        <f t="shared" si="64"/>
        <v>0</v>
      </c>
      <c r="V53" s="106" t="str">
        <f t="shared" si="64"/>
        <v>0</v>
      </c>
      <c r="W53" s="106" t="str">
        <f t="shared" si="64"/>
        <v>0</v>
      </c>
      <c r="X53" s="106" t="str">
        <f t="shared" si="64"/>
        <v>0</v>
      </c>
      <c r="Y53" s="106" t="str">
        <f t="shared" si="64"/>
        <v>0</v>
      </c>
      <c r="Z53" s="106" t="str">
        <f t="shared" si="64"/>
        <v>0</v>
      </c>
      <c r="AA53" s="104">
        <v>1</v>
      </c>
      <c r="AB53" s="120"/>
      <c r="AG53" s="30"/>
      <c r="AH53" s="30"/>
      <c r="AI53" s="30"/>
      <c r="AJ53" s="76"/>
      <c r="AK53" s="30"/>
      <c r="AL53" s="76"/>
      <c r="AM53" s="30"/>
      <c r="AN53" s="30"/>
      <c r="AO53" s="30"/>
      <c r="AP53" s="30"/>
      <c r="AQ53" s="109" t="str">
        <f t="shared" si="65"/>
        <v>80</v>
      </c>
      <c r="AR53" s="110" t="str">
        <f t="shared" si="66"/>
        <v>80</v>
      </c>
      <c r="AW53" s="109" t="str">
        <f t="shared" si="67"/>
        <v>8A</v>
      </c>
      <c r="AX53" s="110" t="str">
        <f t="shared" si="68"/>
        <v>80</v>
      </c>
      <c r="BC53" s="96" t="str">
        <f t="shared" si="69"/>
        <v>80</v>
      </c>
      <c r="BD53" t="str">
        <f t="shared" si="70"/>
        <v>8A</v>
      </c>
      <c r="BE53" s="96" t="str">
        <f t="shared" si="71"/>
        <v>80</v>
      </c>
      <c r="BF53" s="101" t="str">
        <f t="shared" si="72"/>
        <v>10000000</v>
      </c>
      <c r="BG53" t="str">
        <f t="shared" si="73"/>
        <v>10001010</v>
      </c>
      <c r="BH53" s="102" t="str">
        <f t="shared" si="74"/>
        <v>10000000</v>
      </c>
      <c r="BI53" s="101" t="str">
        <f t="shared" si="75"/>
        <v>0000000</v>
      </c>
      <c r="BJ53" t="str">
        <f t="shared" si="76"/>
        <v>0001010</v>
      </c>
      <c r="BK53" s="102" t="str">
        <f t="shared" si="77"/>
        <v>0000000</v>
      </c>
      <c r="BL53" s="101" t="str" cm="1">
        <f t="array" ref="BL53">ReverseString(BI53)</f>
        <v>0000000</v>
      </c>
      <c r="BM53" t="str" cm="1">
        <f t="array" ref="BM53">ReverseString(BJ53)</f>
        <v>0101000</v>
      </c>
      <c r="BN53" s="102" t="str" cm="1">
        <f t="array" ref="BN53">ReverseString(BK53)</f>
        <v>0000000</v>
      </c>
    </row>
    <row r="54" spans="1:66" outlineLevel="1" x14ac:dyDescent="0.3">
      <c r="C54" s="48">
        <v>2</v>
      </c>
      <c r="D54" s="105" t="str">
        <f t="shared" si="62"/>
        <v>0</v>
      </c>
      <c r="E54" s="106" t="str">
        <f t="shared" si="62"/>
        <v>0</v>
      </c>
      <c r="F54" s="106" t="str">
        <f t="shared" si="62"/>
        <v>0</v>
      </c>
      <c r="G54" s="106" t="str">
        <f t="shared" si="62"/>
        <v>0</v>
      </c>
      <c r="H54" s="106" t="str">
        <f t="shared" si="62"/>
        <v>0</v>
      </c>
      <c r="I54" s="106" t="str">
        <f t="shared" si="62"/>
        <v>0</v>
      </c>
      <c r="J54" s="106" t="str">
        <f t="shared" si="62"/>
        <v>0</v>
      </c>
      <c r="K54" s="103">
        <v>1</v>
      </c>
      <c r="L54" s="105" t="str">
        <f t="shared" si="63"/>
        <v>0</v>
      </c>
      <c r="M54" s="106" t="str">
        <f t="shared" si="63"/>
        <v>1</v>
      </c>
      <c r="N54" s="106" t="str">
        <f t="shared" si="63"/>
        <v>0</v>
      </c>
      <c r="O54" s="106" t="str">
        <f t="shared" si="63"/>
        <v>1</v>
      </c>
      <c r="P54" s="106" t="str">
        <f t="shared" si="63"/>
        <v>0</v>
      </c>
      <c r="Q54" s="106" t="str">
        <f t="shared" si="63"/>
        <v>0</v>
      </c>
      <c r="R54" s="106" t="str">
        <f t="shared" si="63"/>
        <v>0</v>
      </c>
      <c r="S54" s="103">
        <v>1</v>
      </c>
      <c r="T54" s="105" t="str">
        <f t="shared" si="64"/>
        <v>0</v>
      </c>
      <c r="U54" s="106" t="str">
        <f t="shared" si="64"/>
        <v>0</v>
      </c>
      <c r="V54" s="106" t="str">
        <f t="shared" si="64"/>
        <v>0</v>
      </c>
      <c r="W54" s="106" t="str">
        <f t="shared" si="64"/>
        <v>0</v>
      </c>
      <c r="X54" s="106" t="str">
        <f t="shared" si="64"/>
        <v>0</v>
      </c>
      <c r="Y54" s="106" t="str">
        <f t="shared" si="64"/>
        <v>0</v>
      </c>
      <c r="Z54" s="106" t="str">
        <f t="shared" si="64"/>
        <v>0</v>
      </c>
      <c r="AA54" s="104">
        <v>1</v>
      </c>
      <c r="AB54" s="120"/>
      <c r="AQ54" s="109" t="str">
        <f t="shared" si="65"/>
        <v>80</v>
      </c>
      <c r="AR54" s="110" t="str">
        <f t="shared" si="66"/>
        <v>80</v>
      </c>
      <c r="AW54" s="109" t="str">
        <f t="shared" si="67"/>
        <v>8A</v>
      </c>
      <c r="AX54" s="110" t="str">
        <f t="shared" si="68"/>
        <v>80</v>
      </c>
      <c r="BC54" s="96" t="str">
        <f t="shared" si="69"/>
        <v>80</v>
      </c>
      <c r="BD54" t="str">
        <f t="shared" si="70"/>
        <v>8A</v>
      </c>
      <c r="BE54" s="96" t="str">
        <f t="shared" si="71"/>
        <v>80</v>
      </c>
      <c r="BF54" s="101" t="str">
        <f t="shared" si="72"/>
        <v>10000000</v>
      </c>
      <c r="BG54" t="str">
        <f t="shared" si="73"/>
        <v>10001010</v>
      </c>
      <c r="BH54" s="102" t="str">
        <f t="shared" si="74"/>
        <v>10000000</v>
      </c>
      <c r="BI54" s="101" t="str">
        <f t="shared" si="75"/>
        <v>0000000</v>
      </c>
      <c r="BJ54" t="str">
        <f t="shared" si="76"/>
        <v>0001010</v>
      </c>
      <c r="BK54" s="102" t="str">
        <f t="shared" si="77"/>
        <v>0000000</v>
      </c>
      <c r="BL54" s="101" t="str" cm="1">
        <f t="array" ref="BL54">ReverseString(BI54)</f>
        <v>0000000</v>
      </c>
      <c r="BM54" t="str" cm="1">
        <f t="array" ref="BM54">ReverseString(BJ54)</f>
        <v>0101000</v>
      </c>
      <c r="BN54" s="102" t="str" cm="1">
        <f t="array" ref="BN54">ReverseString(BK54)</f>
        <v>0000000</v>
      </c>
    </row>
    <row r="55" spans="1:66" outlineLevel="1" x14ac:dyDescent="0.3">
      <c r="C55" s="48">
        <v>3</v>
      </c>
      <c r="D55" s="105" t="str">
        <f t="shared" si="62"/>
        <v>0</v>
      </c>
      <c r="E55" s="106" t="str">
        <f t="shared" si="62"/>
        <v>0</v>
      </c>
      <c r="F55" s="106" t="str">
        <f t="shared" si="62"/>
        <v>0</v>
      </c>
      <c r="G55" s="106" t="str">
        <f t="shared" si="62"/>
        <v>0</v>
      </c>
      <c r="H55" s="106" t="str">
        <f t="shared" si="62"/>
        <v>0</v>
      </c>
      <c r="I55" s="106" t="str">
        <f t="shared" si="62"/>
        <v>0</v>
      </c>
      <c r="J55" s="106" t="str">
        <f t="shared" si="62"/>
        <v>0</v>
      </c>
      <c r="K55" s="103">
        <v>1</v>
      </c>
      <c r="L55" s="105" t="str">
        <f t="shared" si="63"/>
        <v>0</v>
      </c>
      <c r="M55" s="106" t="str">
        <f t="shared" si="63"/>
        <v>0</v>
      </c>
      <c r="N55" s="106" t="str">
        <f t="shared" si="63"/>
        <v>0</v>
      </c>
      <c r="O55" s="106" t="str">
        <f t="shared" si="63"/>
        <v>1</v>
      </c>
      <c r="P55" s="106" t="str">
        <f t="shared" si="63"/>
        <v>0</v>
      </c>
      <c r="Q55" s="106" t="str">
        <f t="shared" si="63"/>
        <v>0</v>
      </c>
      <c r="R55" s="106" t="str">
        <f t="shared" si="63"/>
        <v>0</v>
      </c>
      <c r="S55" s="103">
        <v>1</v>
      </c>
      <c r="T55" s="105" t="str">
        <f t="shared" si="64"/>
        <v>0</v>
      </c>
      <c r="U55" s="106" t="str">
        <f t="shared" si="64"/>
        <v>0</v>
      </c>
      <c r="V55" s="106" t="str">
        <f t="shared" si="64"/>
        <v>0</v>
      </c>
      <c r="W55" s="106" t="str">
        <f t="shared" si="64"/>
        <v>0</v>
      </c>
      <c r="X55" s="106" t="str">
        <f t="shared" si="64"/>
        <v>0</v>
      </c>
      <c r="Y55" s="106" t="str">
        <f t="shared" si="64"/>
        <v>0</v>
      </c>
      <c r="Z55" s="106" t="str">
        <f t="shared" si="64"/>
        <v>0</v>
      </c>
      <c r="AA55" s="104">
        <v>1</v>
      </c>
      <c r="AB55" s="120"/>
      <c r="AQ55" s="109" t="str">
        <f t="shared" si="65"/>
        <v>80</v>
      </c>
      <c r="AR55" s="110" t="str">
        <f t="shared" si="66"/>
        <v>80</v>
      </c>
      <c r="AW55" s="109" t="str">
        <f t="shared" si="67"/>
        <v>88</v>
      </c>
      <c r="AX55" s="110" t="str">
        <f t="shared" si="68"/>
        <v>80</v>
      </c>
      <c r="BC55" s="96" t="str">
        <f t="shared" si="69"/>
        <v>80</v>
      </c>
      <c r="BD55" t="str">
        <f t="shared" si="70"/>
        <v>88</v>
      </c>
      <c r="BE55" s="96" t="str">
        <f t="shared" si="71"/>
        <v>80</v>
      </c>
      <c r="BF55" s="101" t="str">
        <f t="shared" si="72"/>
        <v>10000000</v>
      </c>
      <c r="BG55" t="str">
        <f t="shared" si="73"/>
        <v>10001000</v>
      </c>
      <c r="BH55" s="102" t="str">
        <f t="shared" si="74"/>
        <v>10000000</v>
      </c>
      <c r="BI55" s="101" t="str">
        <f t="shared" si="75"/>
        <v>0000000</v>
      </c>
      <c r="BJ55" t="str">
        <f t="shared" si="76"/>
        <v>0001000</v>
      </c>
      <c r="BK55" s="102" t="str">
        <f t="shared" si="77"/>
        <v>0000000</v>
      </c>
      <c r="BL55" s="101" t="str" cm="1">
        <f t="array" ref="BL55">ReverseString(BI55)</f>
        <v>0000000</v>
      </c>
      <c r="BM55" t="str" cm="1">
        <f t="array" ref="BM55">ReverseString(BJ55)</f>
        <v>0001000</v>
      </c>
      <c r="BN55" s="102" t="str" cm="1">
        <f t="array" ref="BN55">ReverseString(BK55)</f>
        <v>0000000</v>
      </c>
    </row>
    <row r="56" spans="1:66" outlineLevel="1" x14ac:dyDescent="0.3">
      <c r="C56" s="48">
        <v>4</v>
      </c>
      <c r="D56" s="105" t="str">
        <f t="shared" si="62"/>
        <v>0</v>
      </c>
      <c r="E56" s="106" t="str">
        <f t="shared" si="62"/>
        <v>0</v>
      </c>
      <c r="F56" s="106" t="str">
        <f t="shared" si="62"/>
        <v>0</v>
      </c>
      <c r="G56" s="106" t="str">
        <f t="shared" si="62"/>
        <v>0</v>
      </c>
      <c r="H56" s="106" t="str">
        <f t="shared" si="62"/>
        <v>0</v>
      </c>
      <c r="I56" s="106" t="str">
        <f t="shared" si="62"/>
        <v>0</v>
      </c>
      <c r="J56" s="106" t="str">
        <f t="shared" si="62"/>
        <v>0</v>
      </c>
      <c r="K56" s="103">
        <v>1</v>
      </c>
      <c r="L56" s="105" t="str">
        <f t="shared" si="63"/>
        <v>0</v>
      </c>
      <c r="M56" s="106" t="str">
        <f t="shared" si="63"/>
        <v>1</v>
      </c>
      <c r="N56" s="106" t="str">
        <f t="shared" si="63"/>
        <v>0</v>
      </c>
      <c r="O56" s="106" t="str">
        <f t="shared" si="63"/>
        <v>1</v>
      </c>
      <c r="P56" s="106" t="str">
        <f t="shared" si="63"/>
        <v>0</v>
      </c>
      <c r="Q56" s="106" t="str">
        <f t="shared" si="63"/>
        <v>1</v>
      </c>
      <c r="R56" s="106" t="str">
        <f t="shared" si="63"/>
        <v>0</v>
      </c>
      <c r="S56" s="103">
        <v>1</v>
      </c>
      <c r="T56" s="105" t="str">
        <f t="shared" si="64"/>
        <v>0</v>
      </c>
      <c r="U56" s="106" t="str">
        <f t="shared" si="64"/>
        <v>0</v>
      </c>
      <c r="V56" s="106" t="str">
        <f t="shared" si="64"/>
        <v>0</v>
      </c>
      <c r="W56" s="106" t="str">
        <f t="shared" si="64"/>
        <v>0</v>
      </c>
      <c r="X56" s="106" t="str">
        <f t="shared" si="64"/>
        <v>0</v>
      </c>
      <c r="Y56" s="106" t="str">
        <f t="shared" si="64"/>
        <v>0</v>
      </c>
      <c r="Z56" s="106" t="str">
        <f t="shared" si="64"/>
        <v>0</v>
      </c>
      <c r="AA56" s="104">
        <v>1</v>
      </c>
      <c r="AB56" s="120"/>
      <c r="AQ56" s="109" t="str">
        <f t="shared" si="65"/>
        <v>80</v>
      </c>
      <c r="AR56" s="110" t="str">
        <f t="shared" si="66"/>
        <v>A0</v>
      </c>
      <c r="AW56" s="109" t="str">
        <f t="shared" si="67"/>
        <v>8A</v>
      </c>
      <c r="AX56" s="110" t="str">
        <f t="shared" si="68"/>
        <v>80</v>
      </c>
      <c r="BC56" s="96" t="str">
        <f t="shared" si="69"/>
        <v>80</v>
      </c>
      <c r="BD56" t="str">
        <f t="shared" si="70"/>
        <v>AA</v>
      </c>
      <c r="BE56" s="96" t="str">
        <f t="shared" si="71"/>
        <v>80</v>
      </c>
      <c r="BF56" s="101" t="str">
        <f t="shared" si="72"/>
        <v>10000000</v>
      </c>
      <c r="BG56" t="str">
        <f t="shared" si="73"/>
        <v>10101010</v>
      </c>
      <c r="BH56" s="102" t="str">
        <f t="shared" si="74"/>
        <v>10000000</v>
      </c>
      <c r="BI56" s="101" t="str">
        <f t="shared" si="75"/>
        <v>0000000</v>
      </c>
      <c r="BJ56" t="str">
        <f t="shared" si="76"/>
        <v>0101010</v>
      </c>
      <c r="BK56" s="102" t="str">
        <f t="shared" si="77"/>
        <v>0000000</v>
      </c>
      <c r="BL56" s="101" t="str" cm="1">
        <f t="array" ref="BL56">ReverseString(BI56)</f>
        <v>0000000</v>
      </c>
      <c r="BM56" t="str" cm="1">
        <f t="array" ref="BM56">ReverseString(BJ56)</f>
        <v>0101010</v>
      </c>
      <c r="BN56" s="102" t="str" cm="1">
        <f t="array" ref="BN56">ReverseString(BK56)</f>
        <v>0000000</v>
      </c>
    </row>
    <row r="57" spans="1:66" outlineLevel="1" x14ac:dyDescent="0.3">
      <c r="C57" s="48">
        <v>5</v>
      </c>
      <c r="D57" s="105" t="str">
        <f t="shared" si="62"/>
        <v>0</v>
      </c>
      <c r="E57" s="106" t="str">
        <f t="shared" si="62"/>
        <v>0</v>
      </c>
      <c r="F57" s="106" t="str">
        <f t="shared" si="62"/>
        <v>0</v>
      </c>
      <c r="G57" s="106" t="str">
        <f t="shared" si="62"/>
        <v>0</v>
      </c>
      <c r="H57" s="106" t="str">
        <f t="shared" si="62"/>
        <v>0</v>
      </c>
      <c r="I57" s="106" t="str">
        <f t="shared" si="62"/>
        <v>0</v>
      </c>
      <c r="J57" s="106" t="str">
        <f t="shared" si="62"/>
        <v>1</v>
      </c>
      <c r="K57" s="103">
        <v>1</v>
      </c>
      <c r="L57" s="105" t="str">
        <f t="shared" si="63"/>
        <v>0</v>
      </c>
      <c r="M57" s="106" t="str">
        <f t="shared" si="63"/>
        <v>0</v>
      </c>
      <c r="N57" s="106" t="str">
        <f t="shared" si="63"/>
        <v>0</v>
      </c>
      <c r="O57" s="106" t="str">
        <f t="shared" si="63"/>
        <v>1</v>
      </c>
      <c r="P57" s="106" t="str">
        <f t="shared" si="63"/>
        <v>0</v>
      </c>
      <c r="Q57" s="106" t="str">
        <f t="shared" si="63"/>
        <v>0</v>
      </c>
      <c r="R57" s="106" t="str">
        <f t="shared" si="63"/>
        <v>0</v>
      </c>
      <c r="S57" s="103">
        <v>1</v>
      </c>
      <c r="T57" s="105" t="str">
        <f t="shared" si="64"/>
        <v>1</v>
      </c>
      <c r="U57" s="106" t="str">
        <f t="shared" si="64"/>
        <v>0</v>
      </c>
      <c r="V57" s="106" t="str">
        <f t="shared" si="64"/>
        <v>0</v>
      </c>
      <c r="W57" s="106" t="str">
        <f t="shared" si="64"/>
        <v>0</v>
      </c>
      <c r="X57" s="106" t="str">
        <f t="shared" si="64"/>
        <v>0</v>
      </c>
      <c r="Y57" s="106" t="str">
        <f t="shared" si="64"/>
        <v>0</v>
      </c>
      <c r="Z57" s="106" t="str">
        <f t="shared" si="64"/>
        <v>0</v>
      </c>
      <c r="AA57" s="104">
        <v>1</v>
      </c>
      <c r="AB57" s="120"/>
      <c r="AQ57" s="109" t="str">
        <f t="shared" si="65"/>
        <v>C0</v>
      </c>
      <c r="AR57" s="110" t="str">
        <f t="shared" si="66"/>
        <v>80</v>
      </c>
      <c r="AW57" s="109" t="str">
        <f t="shared" si="67"/>
        <v>88</v>
      </c>
      <c r="AX57" s="110" t="str">
        <f t="shared" si="68"/>
        <v>81</v>
      </c>
      <c r="BC57" s="96" t="str">
        <f t="shared" si="69"/>
        <v>C0</v>
      </c>
      <c r="BD57" t="str">
        <f t="shared" si="70"/>
        <v>88</v>
      </c>
      <c r="BE57" s="96" t="str">
        <f t="shared" si="71"/>
        <v>81</v>
      </c>
      <c r="BF57" s="101" t="str">
        <f t="shared" si="72"/>
        <v>11000000</v>
      </c>
      <c r="BG57" t="str">
        <f t="shared" si="73"/>
        <v>10001000</v>
      </c>
      <c r="BH57" s="102" t="str">
        <f t="shared" si="74"/>
        <v>10000001</v>
      </c>
      <c r="BI57" s="101" t="str">
        <f t="shared" si="75"/>
        <v>1000000</v>
      </c>
      <c r="BJ57" t="str">
        <f t="shared" si="76"/>
        <v>0001000</v>
      </c>
      <c r="BK57" s="102" t="str">
        <f t="shared" si="77"/>
        <v>0000001</v>
      </c>
      <c r="BL57" s="101" t="str" cm="1">
        <f t="array" ref="BL57">ReverseString(BI57)</f>
        <v>0000001</v>
      </c>
      <c r="BM57" t="str" cm="1">
        <f t="array" ref="BM57">ReverseString(BJ57)</f>
        <v>0001000</v>
      </c>
      <c r="BN57" s="102" t="str" cm="1">
        <f t="array" ref="BN57">ReverseString(BK57)</f>
        <v>1000000</v>
      </c>
    </row>
    <row r="58" spans="1:66" outlineLevel="1" x14ac:dyDescent="0.3">
      <c r="C58" s="48">
        <v>6</v>
      </c>
      <c r="D58" s="105" t="str">
        <f t="shared" si="62"/>
        <v>0</v>
      </c>
      <c r="E58" s="106" t="str">
        <f t="shared" si="62"/>
        <v>0</v>
      </c>
      <c r="F58" s="106" t="str">
        <f t="shared" si="62"/>
        <v>0</v>
      </c>
      <c r="G58" s="106" t="str">
        <f t="shared" si="62"/>
        <v>0</v>
      </c>
      <c r="H58" s="106" t="str">
        <f t="shared" si="62"/>
        <v>0</v>
      </c>
      <c r="I58" s="106" t="str">
        <f t="shared" si="62"/>
        <v>0</v>
      </c>
      <c r="J58" s="106" t="str">
        <f t="shared" si="62"/>
        <v>0</v>
      </c>
      <c r="K58" s="103">
        <v>1</v>
      </c>
      <c r="L58" s="105" t="str">
        <f t="shared" si="63"/>
        <v>0</v>
      </c>
      <c r="M58" s="106" t="str">
        <f t="shared" si="63"/>
        <v>0</v>
      </c>
      <c r="N58" s="106" t="str">
        <f t="shared" si="63"/>
        <v>0</v>
      </c>
      <c r="O58" s="106" t="str">
        <f t="shared" si="63"/>
        <v>1</v>
      </c>
      <c r="P58" s="106" t="str">
        <f t="shared" si="63"/>
        <v>1</v>
      </c>
      <c r="Q58" s="106" t="str">
        <f t="shared" si="63"/>
        <v>0</v>
      </c>
      <c r="R58" s="106" t="str">
        <f t="shared" si="63"/>
        <v>0</v>
      </c>
      <c r="S58" s="103">
        <v>1</v>
      </c>
      <c r="T58" s="105" t="str">
        <f t="shared" si="64"/>
        <v>0</v>
      </c>
      <c r="U58" s="106" t="str">
        <f t="shared" si="64"/>
        <v>0</v>
      </c>
      <c r="V58" s="106" t="str">
        <f t="shared" si="64"/>
        <v>0</v>
      </c>
      <c r="W58" s="106" t="str">
        <f t="shared" si="64"/>
        <v>0</v>
      </c>
      <c r="X58" s="106" t="str">
        <f t="shared" si="64"/>
        <v>0</v>
      </c>
      <c r="Y58" s="106" t="str">
        <f t="shared" si="64"/>
        <v>0</v>
      </c>
      <c r="Z58" s="106" t="str">
        <f t="shared" si="64"/>
        <v>0</v>
      </c>
      <c r="AA58" s="104">
        <v>1</v>
      </c>
      <c r="AB58" s="120"/>
      <c r="AQ58" s="109" t="str">
        <f t="shared" si="65"/>
        <v>80</v>
      </c>
      <c r="AR58" s="110" t="str">
        <f t="shared" si="66"/>
        <v>80</v>
      </c>
      <c r="AW58" s="109" t="str">
        <f t="shared" si="67"/>
        <v>98</v>
      </c>
      <c r="AX58" s="110" t="str">
        <f t="shared" si="68"/>
        <v>80</v>
      </c>
      <c r="BC58" s="96" t="str">
        <f t="shared" si="69"/>
        <v>80</v>
      </c>
      <c r="BD58" t="str">
        <f t="shared" si="70"/>
        <v>98</v>
      </c>
      <c r="BE58" s="96" t="str">
        <f t="shared" si="71"/>
        <v>80</v>
      </c>
      <c r="BF58" s="101" t="str">
        <f t="shared" si="72"/>
        <v>10000000</v>
      </c>
      <c r="BG58" t="str">
        <f t="shared" si="73"/>
        <v>10011000</v>
      </c>
      <c r="BH58" s="102" t="str">
        <f t="shared" si="74"/>
        <v>10000000</v>
      </c>
      <c r="BI58" s="101" t="str">
        <f t="shared" si="75"/>
        <v>0000000</v>
      </c>
      <c r="BJ58" t="str">
        <f t="shared" si="76"/>
        <v>0011000</v>
      </c>
      <c r="BK58" s="102" t="str">
        <f t="shared" si="77"/>
        <v>0000000</v>
      </c>
      <c r="BL58" s="101" t="str" cm="1">
        <f t="array" ref="BL58">ReverseString(BI58)</f>
        <v>0000000</v>
      </c>
      <c r="BM58" t="str" cm="1">
        <f t="array" ref="BM58">ReverseString(BJ58)</f>
        <v>0001100</v>
      </c>
      <c r="BN58" s="102" t="str" cm="1">
        <f t="array" ref="BN58">ReverseString(BK58)</f>
        <v>0000000</v>
      </c>
    </row>
    <row r="59" spans="1:66" outlineLevel="1" x14ac:dyDescent="0.3">
      <c r="C59" s="48">
        <v>7</v>
      </c>
      <c r="D59" s="105" t="str">
        <f t="shared" si="62"/>
        <v>0</v>
      </c>
      <c r="E59" s="106" t="str">
        <f t="shared" si="62"/>
        <v>0</v>
      </c>
      <c r="F59" s="106" t="str">
        <f t="shared" si="62"/>
        <v>0</v>
      </c>
      <c r="G59" s="106" t="str">
        <f t="shared" si="62"/>
        <v>0</v>
      </c>
      <c r="H59" s="106" t="str">
        <f t="shared" si="62"/>
        <v>0</v>
      </c>
      <c r="I59" s="106" t="str">
        <f t="shared" si="62"/>
        <v>0</v>
      </c>
      <c r="J59" s="106" t="str">
        <f t="shared" si="62"/>
        <v>0</v>
      </c>
      <c r="K59" s="103">
        <v>1</v>
      </c>
      <c r="L59" s="105" t="str">
        <f t="shared" si="63"/>
        <v>0</v>
      </c>
      <c r="M59" s="106" t="str">
        <f t="shared" si="63"/>
        <v>0</v>
      </c>
      <c r="N59" s="106" t="str">
        <f t="shared" si="63"/>
        <v>1</v>
      </c>
      <c r="O59" s="106" t="str">
        <f t="shared" si="63"/>
        <v>1</v>
      </c>
      <c r="P59" s="106" t="str">
        <f t="shared" si="63"/>
        <v>1</v>
      </c>
      <c r="Q59" s="106" t="str">
        <f t="shared" si="63"/>
        <v>0</v>
      </c>
      <c r="R59" s="106" t="str">
        <f t="shared" si="63"/>
        <v>0</v>
      </c>
      <c r="S59" s="103">
        <v>1</v>
      </c>
      <c r="T59" s="105" t="str">
        <f t="shared" si="64"/>
        <v>0</v>
      </c>
      <c r="U59" s="106" t="str">
        <f t="shared" si="64"/>
        <v>0</v>
      </c>
      <c r="V59" s="106" t="str">
        <f t="shared" si="64"/>
        <v>0</v>
      </c>
      <c r="W59" s="106" t="str">
        <f t="shared" si="64"/>
        <v>0</v>
      </c>
      <c r="X59" s="106" t="str">
        <f t="shared" si="64"/>
        <v>0</v>
      </c>
      <c r="Y59" s="106" t="str">
        <f t="shared" si="64"/>
        <v>0</v>
      </c>
      <c r="Z59" s="106" t="str">
        <f t="shared" si="64"/>
        <v>0</v>
      </c>
      <c r="AA59" s="104">
        <v>1</v>
      </c>
      <c r="AB59" s="120"/>
      <c r="AQ59" s="109" t="str">
        <f t="shared" si="65"/>
        <v>80</v>
      </c>
      <c r="AR59" s="110" t="str">
        <f t="shared" si="66"/>
        <v>80</v>
      </c>
      <c r="AW59" s="109" t="str">
        <f t="shared" si="67"/>
        <v>9C</v>
      </c>
      <c r="AX59" s="110" t="str">
        <f t="shared" si="68"/>
        <v>80</v>
      </c>
      <c r="BC59" s="96" t="str">
        <f t="shared" si="69"/>
        <v>80</v>
      </c>
      <c r="BD59" t="str">
        <f t="shared" si="70"/>
        <v>9C</v>
      </c>
      <c r="BE59" s="96" t="str">
        <f t="shared" si="71"/>
        <v>80</v>
      </c>
      <c r="BF59" s="101" t="str">
        <f t="shared" si="72"/>
        <v>10000000</v>
      </c>
      <c r="BG59" t="str">
        <f t="shared" si="73"/>
        <v>10011100</v>
      </c>
      <c r="BH59" s="102" t="str">
        <f t="shared" si="74"/>
        <v>10000000</v>
      </c>
      <c r="BI59" s="101" t="str">
        <f t="shared" si="75"/>
        <v>0000000</v>
      </c>
      <c r="BJ59" t="str">
        <f t="shared" si="76"/>
        <v>0011100</v>
      </c>
      <c r="BK59" s="102" t="str">
        <f t="shared" si="77"/>
        <v>0000000</v>
      </c>
      <c r="BL59" s="101" t="str" cm="1">
        <f t="array" ref="BL59">ReverseString(BI59)</f>
        <v>0000000</v>
      </c>
      <c r="BM59" t="str" cm="1">
        <f t="array" ref="BM59">ReverseString(BJ59)</f>
        <v>0011100</v>
      </c>
      <c r="BN59" s="102" t="str" cm="1">
        <f t="array" ref="BN59">ReverseString(BK59)</f>
        <v>0000000</v>
      </c>
    </row>
    <row r="60" spans="1:66" outlineLevel="1" x14ac:dyDescent="0.3">
      <c r="C60" s="48">
        <v>8</v>
      </c>
      <c r="D60" s="105" t="str">
        <f t="shared" si="62"/>
        <v>0</v>
      </c>
      <c r="E60" s="106" t="str">
        <f t="shared" si="62"/>
        <v>0</v>
      </c>
      <c r="F60" s="106" t="str">
        <f t="shared" si="62"/>
        <v>0</v>
      </c>
      <c r="G60" s="106" t="str">
        <f t="shared" si="62"/>
        <v>0</v>
      </c>
      <c r="H60" s="106" t="str">
        <f t="shared" si="62"/>
        <v>0</v>
      </c>
      <c r="I60" s="106" t="str">
        <f t="shared" si="62"/>
        <v>0</v>
      </c>
      <c r="J60" s="106" t="str">
        <f t="shared" si="62"/>
        <v>0</v>
      </c>
      <c r="K60" s="103">
        <v>1</v>
      </c>
      <c r="L60" s="105" t="str">
        <f t="shared" si="63"/>
        <v>0</v>
      </c>
      <c r="M60" s="106" t="str">
        <f t="shared" si="63"/>
        <v>1</v>
      </c>
      <c r="N60" s="106" t="str">
        <f t="shared" si="63"/>
        <v>1</v>
      </c>
      <c r="O60" s="106" t="str">
        <f t="shared" si="63"/>
        <v>0</v>
      </c>
      <c r="P60" s="106" t="str">
        <f t="shared" si="63"/>
        <v>1</v>
      </c>
      <c r="Q60" s="106" t="str">
        <f t="shared" si="63"/>
        <v>1</v>
      </c>
      <c r="R60" s="106" t="str">
        <f t="shared" si="63"/>
        <v>1</v>
      </c>
      <c r="S60" s="103">
        <v>1</v>
      </c>
      <c r="T60" s="105" t="str">
        <f t="shared" si="64"/>
        <v>1</v>
      </c>
      <c r="U60" s="106" t="str">
        <f t="shared" si="64"/>
        <v>0</v>
      </c>
      <c r="V60" s="106" t="str">
        <f t="shared" si="64"/>
        <v>0</v>
      </c>
      <c r="W60" s="106" t="str">
        <f t="shared" si="64"/>
        <v>0</v>
      </c>
      <c r="X60" s="106" t="str">
        <f t="shared" si="64"/>
        <v>0</v>
      </c>
      <c r="Y60" s="106" t="str">
        <f t="shared" si="64"/>
        <v>0</v>
      </c>
      <c r="Z60" s="106" t="str">
        <f t="shared" si="64"/>
        <v>0</v>
      </c>
      <c r="AA60" s="104">
        <v>1</v>
      </c>
      <c r="AB60" s="120"/>
      <c r="AQ60" s="109" t="str">
        <f t="shared" si="65"/>
        <v>80</v>
      </c>
      <c r="AR60" s="110" t="str">
        <f t="shared" si="66"/>
        <v>E0</v>
      </c>
      <c r="AW60" s="109" t="str">
        <f t="shared" si="67"/>
        <v>96</v>
      </c>
      <c r="AX60" s="110" t="str">
        <f t="shared" si="68"/>
        <v>81</v>
      </c>
      <c r="BC60" s="96" t="str">
        <f t="shared" si="69"/>
        <v>80</v>
      </c>
      <c r="BD60" t="str">
        <f t="shared" si="70"/>
        <v>F6</v>
      </c>
      <c r="BE60" s="96" t="str">
        <f t="shared" si="71"/>
        <v>81</v>
      </c>
      <c r="BF60" s="101" t="str">
        <f t="shared" si="72"/>
        <v>10000000</v>
      </c>
      <c r="BG60" t="str">
        <f t="shared" si="73"/>
        <v>11110110</v>
      </c>
      <c r="BH60" s="102" t="str">
        <f t="shared" si="74"/>
        <v>10000001</v>
      </c>
      <c r="BI60" s="101" t="str">
        <f t="shared" si="75"/>
        <v>0000000</v>
      </c>
      <c r="BJ60" t="str">
        <f t="shared" si="76"/>
        <v>1110110</v>
      </c>
      <c r="BK60" s="102" t="str">
        <f t="shared" si="77"/>
        <v>0000001</v>
      </c>
      <c r="BL60" s="101" t="str" cm="1">
        <f t="array" ref="BL60">ReverseString(BI60)</f>
        <v>0000000</v>
      </c>
      <c r="BM60" t="str" cm="1">
        <f t="array" ref="BM60">ReverseString(BJ60)</f>
        <v>0110111</v>
      </c>
      <c r="BN60" s="102" t="str" cm="1">
        <f t="array" ref="BN60">ReverseString(BK60)</f>
        <v>1000000</v>
      </c>
    </row>
    <row r="61" spans="1:66" outlineLevel="1" x14ac:dyDescent="0.3">
      <c r="C61" s="48">
        <v>9</v>
      </c>
      <c r="D61" s="105" t="str">
        <f t="shared" si="62"/>
        <v>0</v>
      </c>
      <c r="E61" s="106" t="str">
        <f t="shared" si="62"/>
        <v>0</v>
      </c>
      <c r="F61" s="106" t="str">
        <f t="shared" si="62"/>
        <v>0</v>
      </c>
      <c r="G61" s="106" t="str">
        <f t="shared" si="62"/>
        <v>0</v>
      </c>
      <c r="H61" s="106" t="str">
        <f t="shared" si="62"/>
        <v>0</v>
      </c>
      <c r="I61" s="106" t="str">
        <f t="shared" si="62"/>
        <v>0</v>
      </c>
      <c r="J61" s="106" t="str">
        <f t="shared" si="62"/>
        <v>0</v>
      </c>
      <c r="K61" s="103">
        <v>1</v>
      </c>
      <c r="L61" s="105" t="str">
        <f t="shared" si="63"/>
        <v>0</v>
      </c>
      <c r="M61" s="106" t="str">
        <f t="shared" si="63"/>
        <v>1</v>
      </c>
      <c r="N61" s="106" t="str">
        <f t="shared" si="63"/>
        <v>1</v>
      </c>
      <c r="O61" s="106" t="str">
        <f t="shared" si="63"/>
        <v>0</v>
      </c>
      <c r="P61" s="106" t="str">
        <f t="shared" si="63"/>
        <v>0</v>
      </c>
      <c r="Q61" s="106" t="str">
        <f t="shared" si="63"/>
        <v>0</v>
      </c>
      <c r="R61" s="106" t="str">
        <f t="shared" si="63"/>
        <v>0</v>
      </c>
      <c r="S61" s="103">
        <v>1</v>
      </c>
      <c r="T61" s="105" t="str">
        <f t="shared" si="64"/>
        <v>0</v>
      </c>
      <c r="U61" s="106" t="str">
        <f t="shared" si="64"/>
        <v>0</v>
      </c>
      <c r="V61" s="106" t="str">
        <f t="shared" si="64"/>
        <v>0</v>
      </c>
      <c r="W61" s="106" t="str">
        <f t="shared" si="64"/>
        <v>0</v>
      </c>
      <c r="X61" s="106" t="str">
        <f t="shared" si="64"/>
        <v>0</v>
      </c>
      <c r="Y61" s="106" t="str">
        <f t="shared" si="64"/>
        <v>0</v>
      </c>
      <c r="Z61" s="106" t="str">
        <f t="shared" si="64"/>
        <v>0</v>
      </c>
      <c r="AA61" s="104">
        <v>1</v>
      </c>
      <c r="AB61" s="120"/>
      <c r="AQ61" s="109" t="str">
        <f t="shared" si="65"/>
        <v>80</v>
      </c>
      <c r="AR61" s="110" t="str">
        <f t="shared" si="66"/>
        <v>80</v>
      </c>
      <c r="AW61" s="109" t="str">
        <f t="shared" si="67"/>
        <v>86</v>
      </c>
      <c r="AX61" s="110" t="str">
        <f t="shared" si="68"/>
        <v>80</v>
      </c>
      <c r="BC61" s="96" t="str">
        <f t="shared" si="69"/>
        <v>80</v>
      </c>
      <c r="BD61" t="str">
        <f t="shared" si="70"/>
        <v>86</v>
      </c>
      <c r="BE61" s="96" t="str">
        <f t="shared" si="71"/>
        <v>80</v>
      </c>
      <c r="BF61" s="101" t="str">
        <f t="shared" si="72"/>
        <v>10000000</v>
      </c>
      <c r="BG61" t="str">
        <f t="shared" si="73"/>
        <v>10000110</v>
      </c>
      <c r="BH61" s="102" t="str">
        <f t="shared" si="74"/>
        <v>10000000</v>
      </c>
      <c r="BI61" s="101" t="str">
        <f t="shared" si="75"/>
        <v>0000000</v>
      </c>
      <c r="BJ61" t="str">
        <f t="shared" si="76"/>
        <v>0000110</v>
      </c>
      <c r="BK61" s="102" t="str">
        <f t="shared" si="77"/>
        <v>0000000</v>
      </c>
      <c r="BL61" s="101" t="str" cm="1">
        <f t="array" ref="BL61">ReverseString(BI61)</f>
        <v>0000000</v>
      </c>
      <c r="BM61" t="str" cm="1">
        <f t="array" ref="BM61">ReverseString(BJ61)</f>
        <v>0110000</v>
      </c>
      <c r="BN61" s="102" t="str" cm="1">
        <f t="array" ref="BN61">ReverseString(BK61)</f>
        <v>0000000</v>
      </c>
    </row>
    <row r="62" spans="1:66" outlineLevel="1" x14ac:dyDescent="0.3">
      <c r="C62" s="48">
        <v>10</v>
      </c>
      <c r="D62" s="105" t="str">
        <f t="shared" si="62"/>
        <v>0</v>
      </c>
      <c r="E62" s="106" t="str">
        <f t="shared" si="62"/>
        <v>0</v>
      </c>
      <c r="F62" s="106" t="str">
        <f t="shared" si="62"/>
        <v>0</v>
      </c>
      <c r="G62" s="106" t="str">
        <f t="shared" si="62"/>
        <v>0</v>
      </c>
      <c r="H62" s="106" t="str">
        <f t="shared" si="62"/>
        <v>0</v>
      </c>
      <c r="I62" s="106" t="str">
        <f t="shared" si="62"/>
        <v>0</v>
      </c>
      <c r="J62" s="106" t="str">
        <f t="shared" si="62"/>
        <v>0</v>
      </c>
      <c r="K62" s="103">
        <v>1</v>
      </c>
      <c r="L62" s="105" t="str">
        <f t="shared" si="63"/>
        <v>0</v>
      </c>
      <c r="M62" s="106" t="str">
        <f t="shared" si="63"/>
        <v>1</v>
      </c>
      <c r="N62" s="106" t="str">
        <f t="shared" si="63"/>
        <v>1</v>
      </c>
      <c r="O62" s="106" t="str">
        <f t="shared" si="63"/>
        <v>0</v>
      </c>
      <c r="P62" s="106" t="str">
        <f t="shared" si="63"/>
        <v>0</v>
      </c>
      <c r="Q62" s="106" t="str">
        <f t="shared" si="63"/>
        <v>0</v>
      </c>
      <c r="R62" s="106" t="str">
        <f t="shared" si="63"/>
        <v>0</v>
      </c>
      <c r="S62" s="103">
        <v>1</v>
      </c>
      <c r="T62" s="105" t="str">
        <f t="shared" si="64"/>
        <v>0</v>
      </c>
      <c r="U62" s="106" t="str">
        <f t="shared" si="64"/>
        <v>0</v>
      </c>
      <c r="V62" s="106" t="str">
        <f t="shared" si="64"/>
        <v>0</v>
      </c>
      <c r="W62" s="106" t="str">
        <f t="shared" si="64"/>
        <v>0</v>
      </c>
      <c r="X62" s="106" t="str">
        <f t="shared" si="64"/>
        <v>0</v>
      </c>
      <c r="Y62" s="106" t="str">
        <f t="shared" si="64"/>
        <v>0</v>
      </c>
      <c r="Z62" s="106" t="str">
        <f t="shared" si="64"/>
        <v>0</v>
      </c>
      <c r="AA62" s="104">
        <v>1</v>
      </c>
      <c r="AB62" s="120"/>
      <c r="AQ62" s="109" t="str">
        <f t="shared" si="65"/>
        <v>80</v>
      </c>
      <c r="AR62" s="110" t="str">
        <f t="shared" si="66"/>
        <v>80</v>
      </c>
      <c r="AW62" s="109" t="str">
        <f t="shared" si="67"/>
        <v>86</v>
      </c>
      <c r="AX62" s="110" t="str">
        <f t="shared" si="68"/>
        <v>80</v>
      </c>
      <c r="BC62" s="96" t="str">
        <f t="shared" si="69"/>
        <v>80</v>
      </c>
      <c r="BD62" t="str">
        <f t="shared" si="70"/>
        <v>86</v>
      </c>
      <c r="BE62" s="96" t="str">
        <f t="shared" si="71"/>
        <v>80</v>
      </c>
      <c r="BF62" s="101" t="str">
        <f t="shared" si="72"/>
        <v>10000000</v>
      </c>
      <c r="BG62" t="str">
        <f t="shared" si="73"/>
        <v>10000110</v>
      </c>
      <c r="BH62" s="102" t="str">
        <f t="shared" si="74"/>
        <v>10000000</v>
      </c>
      <c r="BI62" s="101" t="str">
        <f t="shared" si="75"/>
        <v>0000000</v>
      </c>
      <c r="BJ62" t="str">
        <f t="shared" si="76"/>
        <v>0000110</v>
      </c>
      <c r="BK62" s="102" t="str">
        <f t="shared" si="77"/>
        <v>0000000</v>
      </c>
      <c r="BL62" s="101" t="str" cm="1">
        <f t="array" ref="BL62">ReverseString(BI62)</f>
        <v>0000000</v>
      </c>
      <c r="BM62" t="str" cm="1">
        <f t="array" ref="BM62">ReverseString(BJ62)</f>
        <v>0110000</v>
      </c>
      <c r="BN62" s="102" t="str" cm="1">
        <f t="array" ref="BN62">ReverseString(BK62)</f>
        <v>0000000</v>
      </c>
    </row>
    <row r="63" spans="1:66" outlineLevel="1" x14ac:dyDescent="0.3"/>
    <row r="64" spans="1:66" outlineLevel="1" x14ac:dyDescent="0.3"/>
    <row r="65" spans="1:1" s="111" customFormat="1" x14ac:dyDescent="0.3">
      <c r="A65" s="119"/>
    </row>
  </sheetData>
  <conditionalFormatting sqref="D52:J62 L52:R62 T52:Z62">
    <cfRule type="expression" dxfId="20" priority="4">
      <formula>D52="1"</formula>
    </cfRule>
  </conditionalFormatting>
  <conditionalFormatting sqref="D5:J15 L5:R15">
    <cfRule type="expression" dxfId="19" priority="3">
      <formula>D5=1</formula>
    </cfRule>
  </conditionalFormatting>
  <conditionalFormatting sqref="D22:J32">
    <cfRule type="expression" dxfId="18" priority="2">
      <formula>D22=1</formula>
    </cfRule>
  </conditionalFormatting>
  <conditionalFormatting sqref="L35:R45">
    <cfRule type="expression" dxfId="17" priority="1">
      <formula>L35=1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3BEC-3B3A-494E-B324-4B4F5AE1F298}">
  <sheetPr codeName="Tabelle8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B4" sqref="B4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W1" s="117" t="s">
        <v>168</v>
      </c>
      <c r="X1" s="118">
        <v>8</v>
      </c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1</v>
      </c>
      <c r="G4" s="35">
        <v>0</v>
      </c>
      <c r="H4" s="35">
        <v>0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956</v>
      </c>
      <c r="S4" s="79" t="s">
        <v>8</v>
      </c>
      <c r="T4" s="80" t="str">
        <f>hextobits(R4)</f>
        <v>0010000</v>
      </c>
      <c r="U4" s="80" t="str">
        <f t="shared" ref="U4:U14" si="0">hextobits(S4)</f>
        <v>0000000</v>
      </c>
      <c r="W4" s="79" t="str" cm="1">
        <f t="array" ref="W4">ByteToHex(_xlfn.BITAND(HexToByte(R4),127))</f>
        <v>10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1</v>
      </c>
      <c r="F5" s="35">
        <v>0</v>
      </c>
      <c r="G5" s="35">
        <v>1</v>
      </c>
      <c r="H5" s="35">
        <v>0</v>
      </c>
      <c r="I5" s="82">
        <v>1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881</v>
      </c>
      <c r="S5" s="79" t="s">
        <v>8</v>
      </c>
      <c r="T5" s="80" t="str">
        <f t="shared" ref="T5:T14" si="1">hextobits(R5)</f>
        <v>0101000</v>
      </c>
      <c r="U5" s="80" t="str">
        <f t="shared" si="0"/>
        <v>0000000</v>
      </c>
      <c r="W5" s="79" t="str" cm="1">
        <f t="array" ref="W5">ByteToHex(_xlfn.BITAND(HexToByte(R5),127))</f>
        <v>28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1</v>
      </c>
      <c r="F6" s="35">
        <v>0</v>
      </c>
      <c r="G6" s="35">
        <v>1</v>
      </c>
      <c r="H6" s="35">
        <v>0</v>
      </c>
      <c r="I6" s="82">
        <v>1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881</v>
      </c>
      <c r="S6" s="79" t="s">
        <v>8</v>
      </c>
      <c r="T6" s="80" t="str">
        <f t="shared" si="1"/>
        <v>0101000</v>
      </c>
      <c r="U6" s="80" t="str">
        <f t="shared" si="0"/>
        <v>0000000</v>
      </c>
      <c r="W6" s="79" t="str" cm="1">
        <f t="array" ref="W6">ByteToHex(_xlfn.BITAND(HexToByte(R6),127))</f>
        <v>28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0</v>
      </c>
      <c r="G7" s="35">
        <v>1</v>
      </c>
      <c r="H7" s="35">
        <v>0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957</v>
      </c>
      <c r="S7" s="79" t="s">
        <v>8</v>
      </c>
      <c r="T7" s="80" t="str">
        <f t="shared" si="1"/>
        <v>0100000</v>
      </c>
      <c r="U7" s="80" t="str">
        <f t="shared" si="0"/>
        <v>0000000</v>
      </c>
      <c r="W7" s="79" t="str" cm="1">
        <f t="array" ref="W7">ByteToHex(_xlfn.BITAND(HexToByte(R7),127))</f>
        <v>20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0</v>
      </c>
      <c r="E8" s="35">
        <v>1</v>
      </c>
      <c r="F8" s="35">
        <v>0</v>
      </c>
      <c r="G8" s="35">
        <v>1</v>
      </c>
      <c r="H8" s="35">
        <v>0</v>
      </c>
      <c r="I8" s="82">
        <v>1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881</v>
      </c>
      <c r="S8" s="79" t="s">
        <v>11</v>
      </c>
      <c r="T8" s="80" t="str">
        <f t="shared" si="1"/>
        <v>0101000</v>
      </c>
      <c r="U8" s="80" t="str">
        <f t="shared" si="0"/>
        <v>0000001</v>
      </c>
      <c r="W8" s="79" t="str" cm="1">
        <f t="array" ref="W8">ByteToHex(_xlfn.BITAND(HexToByte(R8),127))</f>
        <v>28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0</v>
      </c>
      <c r="E9" s="35">
        <v>0</v>
      </c>
      <c r="F9" s="35">
        <v>0</v>
      </c>
      <c r="G9" s="35">
        <v>1</v>
      </c>
      <c r="H9" s="35">
        <v>0</v>
      </c>
      <c r="I9" s="82">
        <v>1</v>
      </c>
      <c r="J9" s="86">
        <v>0</v>
      </c>
      <c r="K9" s="35">
        <v>0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879</v>
      </c>
      <c r="S9" s="79" t="s">
        <v>958</v>
      </c>
      <c r="T9" s="80" t="str">
        <f t="shared" si="1"/>
        <v>0100010</v>
      </c>
      <c r="U9" s="80" t="str">
        <f t="shared" si="0"/>
        <v>0000100</v>
      </c>
      <c r="W9" s="79" t="str" cm="1">
        <f t="array" ref="W9">ByteToHex(_xlfn.BITAND(HexToByte(R9),127))</f>
        <v>22</v>
      </c>
      <c r="X9" s="79" t="str" cm="1">
        <f t="array" ref="X9">ByteToHex(_xlfn.BITAND(HexToByte(S9),127))</f>
        <v>04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0</v>
      </c>
      <c r="G10" s="35">
        <v>1</v>
      </c>
      <c r="H10" s="35">
        <v>1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21</v>
      </c>
      <c r="S10" s="79" t="s">
        <v>8</v>
      </c>
      <c r="T10" s="80" t="str">
        <f t="shared" si="1"/>
        <v>1100000</v>
      </c>
      <c r="U10" s="80" t="str">
        <f t="shared" si="0"/>
        <v>0000000</v>
      </c>
      <c r="W10" s="79" t="str" cm="1">
        <f t="array" ref="W10">ByteToHex(_xlfn.BITAND(HexToByte(R10),127))</f>
        <v>60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20</v>
      </c>
      <c r="S11" s="79" t="s">
        <v>8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1</v>
      </c>
      <c r="F12" s="35">
        <v>1</v>
      </c>
      <c r="G12" s="35">
        <v>0</v>
      </c>
      <c r="H12" s="35">
        <v>1</v>
      </c>
      <c r="I12" s="82">
        <v>1</v>
      </c>
      <c r="J12" s="86">
        <v>1</v>
      </c>
      <c r="K12" s="35">
        <v>1</v>
      </c>
      <c r="L12" s="35">
        <v>1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961</v>
      </c>
      <c r="S12" s="79" t="s">
        <v>960</v>
      </c>
      <c r="T12" s="80" t="str">
        <f t="shared" si="1"/>
        <v>1011000</v>
      </c>
      <c r="U12" s="80" t="str">
        <f t="shared" si="0"/>
        <v>0000111</v>
      </c>
      <c r="W12" s="79" t="str" cm="1">
        <f t="array" ref="W12">ByteToHex(_xlfn.BITAND(HexToByte(R12),127))</f>
        <v>58</v>
      </c>
      <c r="X12" s="79" t="str" cm="1">
        <f t="array" ref="X12">ByteToHex(_xlfn.BITAND(HexToByte(S12),127))</f>
        <v>07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1</v>
      </c>
      <c r="F13" s="35">
        <v>1</v>
      </c>
      <c r="G13" s="35">
        <v>0</v>
      </c>
      <c r="H13" s="35">
        <v>0</v>
      </c>
      <c r="I13" s="82">
        <v>1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959</v>
      </c>
      <c r="S13" s="79" t="s">
        <v>8</v>
      </c>
      <c r="T13" s="80" t="str">
        <f t="shared" si="1"/>
        <v>0011000</v>
      </c>
      <c r="U13" s="80" t="str">
        <f t="shared" si="0"/>
        <v>0000000</v>
      </c>
      <c r="W13" s="79" t="str" cm="1">
        <f t="array" ref="W13">ByteToHex(_xlfn.BITAND(HexToByte(R13),127))</f>
        <v>18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1</v>
      </c>
      <c r="F14" s="35">
        <v>1</v>
      </c>
      <c r="G14" s="35">
        <v>0</v>
      </c>
      <c r="H14" s="35">
        <v>0</v>
      </c>
      <c r="I14" s="82">
        <v>1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959</v>
      </c>
      <c r="S14" s="79" t="s">
        <v>8</v>
      </c>
      <c r="T14" s="80" t="str">
        <f t="shared" si="1"/>
        <v>0011000</v>
      </c>
      <c r="U14" s="80" t="str">
        <f t="shared" si="0"/>
        <v>0000000</v>
      </c>
      <c r="W14" s="79" t="str" cm="1">
        <f t="array" ref="W14">ByteToHex(_xlfn.BITAND(HexToByte(R14),127))</f>
        <v>18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1"/>
      <c r="G17" s="50"/>
      <c r="H17" s="50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4"/>
      <c r="F18" s="54"/>
      <c r="G18" s="54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4"/>
      <c r="F19" s="54"/>
      <c r="G19" s="54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0"/>
      <c r="G20" s="54"/>
      <c r="H20" s="50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0"/>
      <c r="E21" s="54"/>
      <c r="F21" s="54"/>
      <c r="G21" s="54"/>
      <c r="H21" s="54"/>
      <c r="J21" s="54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4"/>
      <c r="D22" s="50"/>
      <c r="E22" s="50"/>
      <c r="F22" s="50"/>
      <c r="G22" s="54"/>
      <c r="H22" s="50"/>
      <c r="J22" s="50"/>
      <c r="K22" s="50"/>
      <c r="L22" s="54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0"/>
      <c r="G23" s="53"/>
      <c r="H23" s="53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3"/>
      <c r="F25" s="53"/>
      <c r="G25" s="51"/>
      <c r="H25" s="53"/>
      <c r="J25" s="53"/>
      <c r="K25" s="53"/>
      <c r="L25" s="53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3"/>
      <c r="F26" s="53"/>
      <c r="G26" s="50"/>
      <c r="H26" s="50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3"/>
      <c r="F27" s="53"/>
      <c r="G27" s="50"/>
      <c r="H27" s="50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87043-F505-4AAC-AD9E-05578171C641}">
  <sheetPr codeName="Tabelle31">
    <tabColor rgb="FF2B164B"/>
  </sheetPr>
  <dimension ref="A1:L39"/>
  <sheetViews>
    <sheetView showRowColHeaders="0" zoomScaleNormal="100" workbookViewId="0">
      <selection activeCell="G29" sqref="G29"/>
    </sheetView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K27" s="62"/>
      <c r="L27" s="62"/>
    </row>
    <row r="28" spans="7:12" x14ac:dyDescent="0.3">
      <c r="G28" s="61" t="s">
        <v>962</v>
      </c>
      <c r="I28" s="63"/>
      <c r="K28" s="62"/>
      <c r="L28" s="62"/>
    </row>
    <row r="29" spans="7:12" x14ac:dyDescent="0.3">
      <c r="G29" s="61" t="s">
        <v>941</v>
      </c>
      <c r="I29" s="64" t="b">
        <f>MasterCheck</f>
        <v>1</v>
      </c>
    </row>
    <row r="30" spans="7:12" ht="15" x14ac:dyDescent="0.4">
      <c r="G30" s="65" t="s">
        <v>955</v>
      </c>
      <c r="I30" s="64" t="b">
        <v>1</v>
      </c>
    </row>
    <row r="31" spans="7:12" x14ac:dyDescent="0.3">
      <c r="G31" s="61" t="s">
        <v>912</v>
      </c>
    </row>
    <row r="32" spans="7:12" x14ac:dyDescent="0.3">
      <c r="G32" s="61" t="s">
        <v>911</v>
      </c>
      <c r="I32" s="66"/>
    </row>
    <row r="33" spans="9:12" x14ac:dyDescent="0.3">
      <c r="I33" s="66"/>
    </row>
    <row r="34" spans="9:12" x14ac:dyDescent="0.3">
      <c r="I34" s="66"/>
    </row>
    <row r="35" spans="9:12" x14ac:dyDescent="0.3">
      <c r="I35" s="66"/>
    </row>
    <row r="36" spans="9:12" x14ac:dyDescent="0.3">
      <c r="I36" s="66"/>
      <c r="J36" s="67"/>
    </row>
    <row r="37" spans="9:12" x14ac:dyDescent="0.3">
      <c r="I37" s="66"/>
    </row>
    <row r="38" spans="9:12" x14ac:dyDescent="0.3">
      <c r="I38" s="66"/>
      <c r="J38" s="63"/>
    </row>
    <row r="39" spans="9:12" x14ac:dyDescent="0.3">
      <c r="I39" s="66"/>
      <c r="J39" s="63"/>
      <c r="L39" s="68"/>
    </row>
  </sheetData>
  <conditionalFormatting sqref="I30">
    <cfRule type="expression" dxfId="16" priority="3">
      <formula>IFERROR(NOT(I30),TRUE)</formula>
    </cfRule>
  </conditionalFormatting>
  <conditionalFormatting sqref="I29">
    <cfRule type="expression" dxfId="15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597E-B1D9-4B5D-B17E-BB14E51FB5C4}">
  <sheetPr codeName="Tabelle11">
    <outlinePr summaryBelow="0"/>
  </sheetPr>
  <dimension ref="A2:AN48"/>
  <sheetViews>
    <sheetView workbookViewId="0">
      <selection activeCell="AB29" sqref="AB29"/>
    </sheetView>
  </sheetViews>
  <sheetFormatPr baseColWidth="10" defaultRowHeight="10.15" outlineLevelRow="1" x14ac:dyDescent="0.3"/>
  <cols>
    <col min="1" max="1" width="1.58203125" customWidth="1"/>
    <col min="2" max="2" width="6.58203125" customWidth="1"/>
    <col min="3" max="16" width="3.08203125" customWidth="1"/>
    <col min="17" max="17" width="3.58203125" customWidth="1"/>
    <col min="18" max="19" width="7.75" customWidth="1"/>
    <col min="20" max="22" width="3.25" customWidth="1"/>
    <col min="23" max="24" width="4.83203125" customWidth="1"/>
    <col min="25" max="25" width="4.75" customWidth="1"/>
    <col min="26" max="26" width="3.25" customWidth="1"/>
    <col min="27" max="27" width="4.75" customWidth="1"/>
    <col min="28" max="28" width="3.25" customWidth="1"/>
    <col min="29" max="29" width="5" customWidth="1"/>
    <col min="30" max="30" width="4.83203125" customWidth="1"/>
    <col min="31" max="31" width="3.75" customWidth="1"/>
    <col min="32" max="32" width="3.25" customWidth="1"/>
    <col min="33" max="33" width="8.75" customWidth="1"/>
    <col min="34" max="35" width="7.75" customWidth="1"/>
    <col min="36" max="36" width="3.75" customWidth="1"/>
    <col min="37" max="37" width="3.25" customWidth="1"/>
    <col min="38" max="38" width="8.75" customWidth="1"/>
    <col min="39" max="40" width="7.75" customWidth="1"/>
    <col min="42" max="49" width="13.33203125"/>
  </cols>
  <sheetData>
    <row r="2" spans="1:40" s="111" customFormat="1" x14ac:dyDescent="0.3">
      <c r="A2" s="119" t="s">
        <v>953</v>
      </c>
    </row>
    <row r="3" spans="1:40" outlineLevel="1" x14ac:dyDescent="0.3"/>
    <row r="4" spans="1:40" ht="23.25" outlineLevel="1" x14ac:dyDescent="0.3">
      <c r="R4" s="30" t="s">
        <v>892</v>
      </c>
      <c r="S4" s="30" t="s">
        <v>890</v>
      </c>
      <c r="T4" s="30" t="s">
        <v>891</v>
      </c>
      <c r="U4" s="30"/>
    </row>
    <row r="5" spans="1:40" outlineLevel="1" x14ac:dyDescent="0.3">
      <c r="C5" s="32" t="s">
        <v>910</v>
      </c>
      <c r="D5" s="33"/>
      <c r="E5" s="33"/>
      <c r="F5" s="33"/>
      <c r="G5" s="33"/>
      <c r="H5" s="33"/>
      <c r="I5" s="33"/>
    </row>
    <row r="6" spans="1:40" outlineLevel="1" x14ac:dyDescent="0.3">
      <c r="C6" s="34">
        <v>0</v>
      </c>
      <c r="D6" s="35">
        <v>1</v>
      </c>
      <c r="E6" s="35">
        <v>1</v>
      </c>
      <c r="F6" s="35">
        <v>0</v>
      </c>
      <c r="G6" s="35">
        <v>1</v>
      </c>
      <c r="H6" s="35">
        <v>0</v>
      </c>
      <c r="I6" s="35">
        <v>0</v>
      </c>
      <c r="R6" t="str">
        <f>_xlfn.CONCAT(InputPixels)</f>
        <v>0110100</v>
      </c>
      <c r="S6" t="str" cm="1">
        <f t="array" ref="S6">ReverseString(R6)</f>
        <v>0010110</v>
      </c>
      <c r="T6" t="str">
        <f>BIN2HEX(S6,2)</f>
        <v>16</v>
      </c>
    </row>
    <row r="7" spans="1:40" outlineLevel="1" x14ac:dyDescent="0.3"/>
    <row r="8" spans="1:40" outlineLevel="1" x14ac:dyDescent="0.3"/>
    <row r="9" spans="1:40" s="111" customFormat="1" x14ac:dyDescent="0.3">
      <c r="A9" s="119" t="s">
        <v>938</v>
      </c>
    </row>
    <row r="10" spans="1:40" outlineLevel="1" x14ac:dyDescent="0.3"/>
    <row r="11" spans="1:40" ht="39.75" outlineLevel="1" x14ac:dyDescent="0.3">
      <c r="C11">
        <v>0</v>
      </c>
      <c r="D11">
        <v>1</v>
      </c>
      <c r="E11">
        <v>2</v>
      </c>
      <c r="F11">
        <v>3</v>
      </c>
      <c r="G11">
        <v>4</v>
      </c>
      <c r="H11">
        <v>5</v>
      </c>
      <c r="I11">
        <v>6</v>
      </c>
      <c r="J11">
        <v>0</v>
      </c>
      <c r="K11">
        <v>1</v>
      </c>
      <c r="L11">
        <v>2</v>
      </c>
      <c r="M11">
        <v>3</v>
      </c>
      <c r="N11">
        <v>4</v>
      </c>
      <c r="O11">
        <v>5</v>
      </c>
      <c r="P11">
        <v>6</v>
      </c>
      <c r="V11" s="30" t="s">
        <v>893</v>
      </c>
      <c r="W11" s="30" t="s">
        <v>894</v>
      </c>
      <c r="X11" s="30" t="s">
        <v>895</v>
      </c>
      <c r="Y11" s="76" t="s">
        <v>933</v>
      </c>
      <c r="Z11" s="30" t="s">
        <v>896</v>
      </c>
      <c r="AA11" s="76" t="s">
        <v>934</v>
      </c>
      <c r="AB11" s="30" t="s">
        <v>898</v>
      </c>
      <c r="AC11" s="30" t="s">
        <v>897</v>
      </c>
      <c r="AD11" s="30" t="s">
        <v>900</v>
      </c>
      <c r="AE11" s="30" t="s">
        <v>899</v>
      </c>
      <c r="AF11" s="30" t="s">
        <v>904</v>
      </c>
      <c r="AG11" s="30" t="s">
        <v>906</v>
      </c>
      <c r="AH11" s="76" t="s">
        <v>935</v>
      </c>
      <c r="AI11" s="30" t="s">
        <v>903</v>
      </c>
      <c r="AJ11" s="30" t="s">
        <v>902</v>
      </c>
      <c r="AK11" s="30" t="s">
        <v>905</v>
      </c>
      <c r="AL11" s="30" t="s">
        <v>907</v>
      </c>
      <c r="AM11" s="76" t="s">
        <v>936</v>
      </c>
      <c r="AN11" s="30" t="s">
        <v>901</v>
      </c>
    </row>
    <row r="12" spans="1:40" outlineLevel="1" x14ac:dyDescent="0.3">
      <c r="B12" s="5" t="s">
        <v>889</v>
      </c>
      <c r="C12" s="32" t="s">
        <v>888</v>
      </c>
      <c r="D12" s="33"/>
      <c r="E12" s="33"/>
      <c r="F12" s="33"/>
      <c r="G12" s="33"/>
      <c r="H12" s="33"/>
      <c r="I12" s="33"/>
      <c r="J12" s="32" t="s">
        <v>887</v>
      </c>
      <c r="K12" s="33"/>
      <c r="L12" s="33"/>
      <c r="M12" s="33"/>
      <c r="N12" s="33"/>
      <c r="O12" s="33"/>
      <c r="P12" s="33"/>
    </row>
    <row r="13" spans="1:40" outlineLevel="1" x14ac:dyDescent="0.3">
      <c r="B13" s="31">
        <v>0</v>
      </c>
      <c r="C13" s="34" t="str">
        <f t="shared" ref="C13:I19" si="0">MID($AI13,C$11+1,1)</f>
        <v>0</v>
      </c>
      <c r="D13" s="35" t="str">
        <f t="shared" si="0"/>
        <v>1</v>
      </c>
      <c r="E13" s="35" t="str">
        <f t="shared" si="0"/>
        <v>1</v>
      </c>
      <c r="F13" s="35" t="str">
        <f t="shared" si="0"/>
        <v>0</v>
      </c>
      <c r="G13" s="35" t="str">
        <f t="shared" si="0"/>
        <v>1</v>
      </c>
      <c r="H13" s="35" t="str">
        <f t="shared" si="0"/>
        <v>0</v>
      </c>
      <c r="I13" s="35" t="str">
        <f t="shared" si="0"/>
        <v>0</v>
      </c>
      <c r="J13" s="34" t="str">
        <f t="shared" ref="J13:P19" si="1">MID($AN13,J$11+1,1)</f>
        <v>0</v>
      </c>
      <c r="K13" s="35" t="str">
        <f t="shared" si="1"/>
        <v>0</v>
      </c>
      <c r="L13" s="35" t="str">
        <f t="shared" si="1"/>
        <v>0</v>
      </c>
      <c r="M13" s="35" t="str">
        <f t="shared" si="1"/>
        <v>0</v>
      </c>
      <c r="N13" s="35" t="str">
        <f t="shared" si="1"/>
        <v>0</v>
      </c>
      <c r="O13" s="35" t="str">
        <f t="shared" si="1"/>
        <v>0</v>
      </c>
      <c r="P13" s="35" t="str">
        <f t="shared" si="1"/>
        <v>0</v>
      </c>
      <c r="T13" s="96" t="str">
        <f>T$6</f>
        <v>16</v>
      </c>
      <c r="U13" s="96"/>
      <c r="V13" s="98" t="str" cm="1">
        <f t="array" ref="V13">INDEX(PixelShiftPages,$B13+1)</f>
        <v>A2</v>
      </c>
      <c r="W13" t="str">
        <f>V13&amp;T13</f>
        <v>A216</v>
      </c>
      <c r="X13" s="97" t="str">
        <f>pixel_shift_table.asm!$B$3</f>
        <v>A200</v>
      </c>
      <c r="Y13">
        <f t="shared" ref="Y13:Y19" si="2">HEX2DEC(W13)-HEX2DEC(X13)</f>
        <v>22</v>
      </c>
      <c r="Z13" s="98" t="str" cm="1">
        <f t="array" ref="Z13">INDEX(_xlfn.TOROW(PixelShiftTable),Y13+1)</f>
        <v>54</v>
      </c>
      <c r="AA13">
        <f t="shared" ref="AA13:AA19" si="3">Y13+128</f>
        <v>150</v>
      </c>
      <c r="AB13" s="98" t="str" cm="1">
        <f t="array" ref="AB13">INDEX(_xlfn.TOROW(PixelShiftTable),AA13+1)</f>
        <v>A9</v>
      </c>
      <c r="AC13" t="str">
        <f t="shared" ref="AC13:AC19" si="4">AB13&amp;Z13</f>
        <v>A954</v>
      </c>
      <c r="AD13" s="97" t="str">
        <f>pixel_pattern_table.asm!$B$2</f>
        <v>A900</v>
      </c>
      <c r="AE13">
        <f t="shared" ref="AE13:AE19" si="5">HEX2DEC(AC13)-HEX2DEC(AD13)</f>
        <v>84</v>
      </c>
      <c r="AF13" s="99" t="str" cm="1">
        <f t="array" ref="AF13">INDEX(_xlfn.TOROW(PixelPatternTable),AE13+1)</f>
        <v>96</v>
      </c>
      <c r="AG13" t="str">
        <f t="shared" ref="AG13:AG19" si="6">HEX2BIN(AF13,8)</f>
        <v>10010110</v>
      </c>
      <c r="AH13" t="str">
        <f t="shared" ref="AH13:AH19" si="7">RIGHT(AG13,7)</f>
        <v>0010110</v>
      </c>
      <c r="AI13" t="str" cm="1">
        <f t="array" ref="AI13">ReverseString(AH13)</f>
        <v>0110100</v>
      </c>
      <c r="AJ13">
        <f t="shared" ref="AJ13:AJ19" si="8">AE13+1</f>
        <v>85</v>
      </c>
      <c r="AK13" s="99" t="str" cm="1">
        <f t="array" ref="AK13">INDEX(_xlfn.TOROW(PixelPatternTable),AJ13+1)</f>
        <v>80</v>
      </c>
      <c r="AL13" t="str">
        <f t="shared" ref="AL13:AL19" si="9">HEX2BIN(AK13,8)</f>
        <v>10000000</v>
      </c>
      <c r="AM13" t="str">
        <f t="shared" ref="AM13:AM19" si="10">RIGHT(AL13,7)</f>
        <v>0000000</v>
      </c>
      <c r="AN13" t="str" cm="1">
        <f t="array" ref="AN13">ReverseString(AM13)</f>
        <v>0000000</v>
      </c>
    </row>
    <row r="14" spans="1:40" outlineLevel="1" x14ac:dyDescent="0.3">
      <c r="B14" s="31">
        <v>1</v>
      </c>
      <c r="C14" s="34" t="str">
        <f t="shared" si="0"/>
        <v>0</v>
      </c>
      <c r="D14" s="35" t="str">
        <f t="shared" si="0"/>
        <v>0</v>
      </c>
      <c r="E14" s="35" t="str">
        <f t="shared" si="0"/>
        <v>1</v>
      </c>
      <c r="F14" s="35" t="str">
        <f t="shared" si="0"/>
        <v>1</v>
      </c>
      <c r="G14" s="35" t="str">
        <f t="shared" si="0"/>
        <v>0</v>
      </c>
      <c r="H14" s="35" t="str">
        <f t="shared" si="0"/>
        <v>1</v>
      </c>
      <c r="I14" s="35" t="str">
        <f t="shared" si="0"/>
        <v>0</v>
      </c>
      <c r="J14" s="34" t="str">
        <f t="shared" si="1"/>
        <v>0</v>
      </c>
      <c r="K14" s="35" t="str">
        <f t="shared" si="1"/>
        <v>0</v>
      </c>
      <c r="L14" s="35" t="str">
        <f t="shared" si="1"/>
        <v>0</v>
      </c>
      <c r="M14" s="35" t="str">
        <f t="shared" si="1"/>
        <v>0</v>
      </c>
      <c r="N14" s="35" t="str">
        <f t="shared" si="1"/>
        <v>0</v>
      </c>
      <c r="O14" s="35" t="str">
        <f t="shared" si="1"/>
        <v>0</v>
      </c>
      <c r="P14" s="35" t="str">
        <f t="shared" si="1"/>
        <v>0</v>
      </c>
      <c r="T14" s="96" t="str">
        <f t="shared" ref="T14:T19" si="11">T$6</f>
        <v>16</v>
      </c>
      <c r="U14" s="96"/>
      <c r="V14" s="98" t="str" cm="1">
        <f t="array" ref="V14">INDEX(PixelShiftPages,$B14+1)</f>
        <v>A3</v>
      </c>
      <c r="W14" t="str">
        <f t="shared" ref="W14:W19" si="12">V14&amp;T14</f>
        <v>A316</v>
      </c>
      <c r="X14" s="97" t="str">
        <f>pixel_shift_table.asm!$B$3</f>
        <v>A200</v>
      </c>
      <c r="Y14">
        <f t="shared" si="2"/>
        <v>278</v>
      </c>
      <c r="Z14" s="98" t="str" cm="1">
        <f t="array" ref="Z14">INDEX(_xlfn.TOROW(PixelShiftTable),Y14+1)</f>
        <v>56</v>
      </c>
      <c r="AA14">
        <f t="shared" si="3"/>
        <v>406</v>
      </c>
      <c r="AB14" s="98" t="str" cm="1">
        <f t="array" ref="AB14">INDEX(_xlfn.TOROW(PixelShiftTable),AA14+1)</f>
        <v>A9</v>
      </c>
      <c r="AC14" t="str">
        <f t="shared" si="4"/>
        <v>A956</v>
      </c>
      <c r="AD14" s="97" t="str">
        <f>pixel_pattern_table.asm!$B$2</f>
        <v>A900</v>
      </c>
      <c r="AE14">
        <f t="shared" si="5"/>
        <v>86</v>
      </c>
      <c r="AF14" s="99" t="str" cm="1">
        <f t="array" ref="AF14">INDEX(_xlfn.TOROW(PixelPatternTable),AE14+1)</f>
        <v>AC</v>
      </c>
      <c r="AG14" t="str">
        <f t="shared" si="6"/>
        <v>10101100</v>
      </c>
      <c r="AH14" t="str">
        <f t="shared" si="7"/>
        <v>0101100</v>
      </c>
      <c r="AI14" t="str" cm="1">
        <f t="array" ref="AI14">ReverseString(AH14)</f>
        <v>0011010</v>
      </c>
      <c r="AJ14">
        <f t="shared" si="8"/>
        <v>87</v>
      </c>
      <c r="AK14" s="99" t="str" cm="1">
        <f t="array" ref="AK14">INDEX(_xlfn.TOROW(PixelPatternTable),AJ14+1)</f>
        <v>80</v>
      </c>
      <c r="AL14" t="str">
        <f t="shared" si="9"/>
        <v>10000000</v>
      </c>
      <c r="AM14" t="str">
        <f t="shared" si="10"/>
        <v>0000000</v>
      </c>
      <c r="AN14" t="str" cm="1">
        <f t="array" ref="AN14">ReverseString(AM14)</f>
        <v>0000000</v>
      </c>
    </row>
    <row r="15" spans="1:40" outlineLevel="1" x14ac:dyDescent="0.3">
      <c r="B15" s="31">
        <v>2</v>
      </c>
      <c r="C15" s="34" t="str">
        <f t="shared" si="0"/>
        <v>0</v>
      </c>
      <c r="D15" s="35" t="str">
        <f t="shared" si="0"/>
        <v>0</v>
      </c>
      <c r="E15" s="35" t="str">
        <f t="shared" si="0"/>
        <v>0</v>
      </c>
      <c r="F15" s="35" t="str">
        <f t="shared" si="0"/>
        <v>1</v>
      </c>
      <c r="G15" s="35" t="str">
        <f t="shared" si="0"/>
        <v>1</v>
      </c>
      <c r="H15" s="35" t="str">
        <f t="shared" si="0"/>
        <v>0</v>
      </c>
      <c r="I15" s="35" t="str">
        <f t="shared" si="0"/>
        <v>1</v>
      </c>
      <c r="J15" s="34" t="str">
        <f t="shared" si="1"/>
        <v>0</v>
      </c>
      <c r="K15" s="35" t="str">
        <f t="shared" si="1"/>
        <v>0</v>
      </c>
      <c r="L15" s="35" t="str">
        <f t="shared" si="1"/>
        <v>0</v>
      </c>
      <c r="M15" s="35" t="str">
        <f t="shared" si="1"/>
        <v>0</v>
      </c>
      <c r="N15" s="35" t="str">
        <f t="shared" si="1"/>
        <v>0</v>
      </c>
      <c r="O15" s="35" t="str">
        <f t="shared" si="1"/>
        <v>0</v>
      </c>
      <c r="P15" s="35" t="str">
        <f t="shared" si="1"/>
        <v>0</v>
      </c>
      <c r="T15" s="96" t="str">
        <f t="shared" si="11"/>
        <v>16</v>
      </c>
      <c r="U15" s="96"/>
      <c r="V15" s="98" t="str" cm="1">
        <f t="array" ref="V15">INDEX(PixelShiftPages,$B15+1)</f>
        <v>A4</v>
      </c>
      <c r="W15" t="str">
        <f t="shared" si="12"/>
        <v>A416</v>
      </c>
      <c r="X15" s="97" t="str">
        <f>pixel_shift_table.asm!$B$3</f>
        <v>A200</v>
      </c>
      <c r="Y15">
        <f t="shared" si="2"/>
        <v>534</v>
      </c>
      <c r="Z15" s="98" t="str" cm="1">
        <f t="array" ref="Z15">INDEX(_xlfn.TOROW(PixelShiftTable),Y15+1)</f>
        <v>58</v>
      </c>
      <c r="AA15">
        <f t="shared" si="3"/>
        <v>662</v>
      </c>
      <c r="AB15" s="98" t="str" cm="1">
        <f t="array" ref="AB15">INDEX(_xlfn.TOROW(PixelShiftTable),AA15+1)</f>
        <v>A9</v>
      </c>
      <c r="AC15" t="str">
        <f t="shared" si="4"/>
        <v>A958</v>
      </c>
      <c r="AD15" s="97" t="str">
        <f>pixel_pattern_table.asm!$B$2</f>
        <v>A900</v>
      </c>
      <c r="AE15">
        <f t="shared" si="5"/>
        <v>88</v>
      </c>
      <c r="AF15" s="99" t="str" cm="1">
        <f t="array" ref="AF15">INDEX(_xlfn.TOROW(PixelPatternTable),AE15+1)</f>
        <v>D8</v>
      </c>
      <c r="AG15" t="str">
        <f t="shared" si="6"/>
        <v>11011000</v>
      </c>
      <c r="AH15" t="str">
        <f t="shared" si="7"/>
        <v>1011000</v>
      </c>
      <c r="AI15" t="str" cm="1">
        <f t="array" ref="AI15">ReverseString(AH15)</f>
        <v>0001101</v>
      </c>
      <c r="AJ15">
        <f t="shared" si="8"/>
        <v>89</v>
      </c>
      <c r="AK15" s="99" t="str" cm="1">
        <f t="array" ref="AK15">INDEX(_xlfn.TOROW(PixelPatternTable),AJ15+1)</f>
        <v>80</v>
      </c>
      <c r="AL15" t="str">
        <f t="shared" si="9"/>
        <v>10000000</v>
      </c>
      <c r="AM15" t="str">
        <f t="shared" si="10"/>
        <v>0000000</v>
      </c>
      <c r="AN15" t="str" cm="1">
        <f t="array" ref="AN15">ReverseString(AM15)</f>
        <v>0000000</v>
      </c>
    </row>
    <row r="16" spans="1:40" outlineLevel="1" x14ac:dyDescent="0.3">
      <c r="B16" s="31">
        <v>3</v>
      </c>
      <c r="C16" s="34" t="str">
        <f t="shared" si="0"/>
        <v>0</v>
      </c>
      <c r="D16" s="35" t="str">
        <f t="shared" si="0"/>
        <v>0</v>
      </c>
      <c r="E16" s="35" t="str">
        <f t="shared" si="0"/>
        <v>0</v>
      </c>
      <c r="F16" s="35" t="str">
        <f t="shared" si="0"/>
        <v>0</v>
      </c>
      <c r="G16" s="35" t="str">
        <f t="shared" si="0"/>
        <v>1</v>
      </c>
      <c r="H16" s="35" t="str">
        <f t="shared" si="0"/>
        <v>1</v>
      </c>
      <c r="I16" s="35" t="str">
        <f t="shared" si="0"/>
        <v>0</v>
      </c>
      <c r="J16" s="34" t="str">
        <f t="shared" si="1"/>
        <v>1</v>
      </c>
      <c r="K16" s="35" t="str">
        <f t="shared" si="1"/>
        <v>0</v>
      </c>
      <c r="L16" s="35" t="str">
        <f t="shared" si="1"/>
        <v>0</v>
      </c>
      <c r="M16" s="35" t="str">
        <f t="shared" si="1"/>
        <v>0</v>
      </c>
      <c r="N16" s="35" t="str">
        <f t="shared" si="1"/>
        <v>0</v>
      </c>
      <c r="O16" s="35" t="str">
        <f t="shared" si="1"/>
        <v>0</v>
      </c>
      <c r="P16" s="35" t="str">
        <f t="shared" si="1"/>
        <v>0</v>
      </c>
      <c r="T16" s="96" t="str">
        <f t="shared" si="11"/>
        <v>16</v>
      </c>
      <c r="U16" s="96"/>
      <c r="V16" s="98" t="str" cm="1">
        <f t="array" ref="V16">INDEX(PixelShiftPages,$B16+1)</f>
        <v>A5</v>
      </c>
      <c r="W16" t="str">
        <f t="shared" si="12"/>
        <v>A516</v>
      </c>
      <c r="X16" s="97" t="str">
        <f>pixel_shift_table.asm!$B$3</f>
        <v>A200</v>
      </c>
      <c r="Y16">
        <f t="shared" si="2"/>
        <v>790</v>
      </c>
      <c r="Z16" s="98" t="str" cm="1">
        <f t="array" ref="Z16">INDEX(_xlfn.TOROW(PixelShiftTable),Y16+1)</f>
        <v>5A</v>
      </c>
      <c r="AA16">
        <f t="shared" si="3"/>
        <v>918</v>
      </c>
      <c r="AB16" s="98" t="str" cm="1">
        <f t="array" ref="AB16">INDEX(_xlfn.TOROW(PixelShiftTable),AA16+1)</f>
        <v>A9</v>
      </c>
      <c r="AC16" t="str">
        <f t="shared" si="4"/>
        <v>A95A</v>
      </c>
      <c r="AD16" s="97" t="str">
        <f>pixel_pattern_table.asm!$B$2</f>
        <v>A900</v>
      </c>
      <c r="AE16">
        <f t="shared" si="5"/>
        <v>90</v>
      </c>
      <c r="AF16" s="99" t="str" cm="1">
        <f t="array" ref="AF16">INDEX(_xlfn.TOROW(PixelPatternTable),AE16+1)</f>
        <v>B0</v>
      </c>
      <c r="AG16" t="str">
        <f t="shared" si="6"/>
        <v>10110000</v>
      </c>
      <c r="AH16" t="str">
        <f t="shared" si="7"/>
        <v>0110000</v>
      </c>
      <c r="AI16" t="str" cm="1">
        <f t="array" ref="AI16">ReverseString(AH16)</f>
        <v>0000110</v>
      </c>
      <c r="AJ16">
        <f t="shared" si="8"/>
        <v>91</v>
      </c>
      <c r="AK16" s="99" t="str" cm="1">
        <f t="array" ref="AK16">INDEX(_xlfn.TOROW(PixelPatternTable),AJ16+1)</f>
        <v>81</v>
      </c>
      <c r="AL16" t="str">
        <f t="shared" si="9"/>
        <v>10000001</v>
      </c>
      <c r="AM16" t="str">
        <f t="shared" si="10"/>
        <v>0000001</v>
      </c>
      <c r="AN16" t="str" cm="1">
        <f t="array" ref="AN16">ReverseString(AM16)</f>
        <v>1000000</v>
      </c>
    </row>
    <row r="17" spans="1:40" outlineLevel="1" x14ac:dyDescent="0.3">
      <c r="B17" s="31">
        <v>4</v>
      </c>
      <c r="C17" s="34" t="str">
        <f t="shared" si="0"/>
        <v>0</v>
      </c>
      <c r="D17" s="35" t="str">
        <f t="shared" si="0"/>
        <v>0</v>
      </c>
      <c r="E17" s="35" t="str">
        <f t="shared" si="0"/>
        <v>0</v>
      </c>
      <c r="F17" s="35" t="str">
        <f t="shared" si="0"/>
        <v>0</v>
      </c>
      <c r="G17" s="35" t="str">
        <f t="shared" si="0"/>
        <v>0</v>
      </c>
      <c r="H17" s="35" t="str">
        <f t="shared" si="0"/>
        <v>1</v>
      </c>
      <c r="I17" s="35" t="str">
        <f t="shared" si="0"/>
        <v>1</v>
      </c>
      <c r="J17" s="34" t="str">
        <f t="shared" si="1"/>
        <v>0</v>
      </c>
      <c r="K17" s="35" t="str">
        <f t="shared" si="1"/>
        <v>1</v>
      </c>
      <c r="L17" s="35" t="str">
        <f t="shared" si="1"/>
        <v>0</v>
      </c>
      <c r="M17" s="35" t="str">
        <f t="shared" si="1"/>
        <v>0</v>
      </c>
      <c r="N17" s="35" t="str">
        <f t="shared" si="1"/>
        <v>0</v>
      </c>
      <c r="O17" s="35" t="str">
        <f t="shared" si="1"/>
        <v>0</v>
      </c>
      <c r="P17" s="35" t="str">
        <f t="shared" si="1"/>
        <v>0</v>
      </c>
      <c r="T17" s="96" t="str">
        <f t="shared" si="11"/>
        <v>16</v>
      </c>
      <c r="U17" s="96"/>
      <c r="V17" s="98" t="str" cm="1">
        <f t="array" ref="V17">INDEX(PixelShiftPages,$B17+1)</f>
        <v>A6</v>
      </c>
      <c r="W17" t="str">
        <f t="shared" si="12"/>
        <v>A616</v>
      </c>
      <c r="X17" s="97" t="str">
        <f>pixel_shift_table.asm!$B$3</f>
        <v>A200</v>
      </c>
      <c r="Y17">
        <f t="shared" si="2"/>
        <v>1046</v>
      </c>
      <c r="Z17" s="98" t="str" cm="1">
        <f t="array" ref="Z17">INDEX(_xlfn.TOROW(PixelShiftTable),Y17+1)</f>
        <v>5C</v>
      </c>
      <c r="AA17">
        <f t="shared" si="3"/>
        <v>1174</v>
      </c>
      <c r="AB17" s="98" t="str" cm="1">
        <f t="array" ref="AB17">INDEX(_xlfn.TOROW(PixelShiftTable),AA17+1)</f>
        <v>A9</v>
      </c>
      <c r="AC17" t="str">
        <f t="shared" si="4"/>
        <v>A95C</v>
      </c>
      <c r="AD17" s="97" t="str">
        <f>pixel_pattern_table.asm!$B$2</f>
        <v>A900</v>
      </c>
      <c r="AE17">
        <f t="shared" si="5"/>
        <v>92</v>
      </c>
      <c r="AF17" s="99" t="str" cm="1">
        <f t="array" ref="AF17">INDEX(_xlfn.TOROW(PixelPatternTable),AE17+1)</f>
        <v>E0</v>
      </c>
      <c r="AG17" t="str">
        <f t="shared" si="6"/>
        <v>11100000</v>
      </c>
      <c r="AH17" t="str">
        <f t="shared" si="7"/>
        <v>1100000</v>
      </c>
      <c r="AI17" t="str" cm="1">
        <f t="array" ref="AI17">ReverseString(AH17)</f>
        <v>0000011</v>
      </c>
      <c r="AJ17">
        <f t="shared" si="8"/>
        <v>93</v>
      </c>
      <c r="AK17" s="99" t="str" cm="1">
        <f t="array" ref="AK17">INDEX(_xlfn.TOROW(PixelPatternTable),AJ17+1)</f>
        <v>82</v>
      </c>
      <c r="AL17" t="str">
        <f t="shared" si="9"/>
        <v>10000010</v>
      </c>
      <c r="AM17" t="str">
        <f t="shared" si="10"/>
        <v>0000010</v>
      </c>
      <c r="AN17" t="str" cm="1">
        <f t="array" ref="AN17">ReverseString(AM17)</f>
        <v>0100000</v>
      </c>
    </row>
    <row r="18" spans="1:40" outlineLevel="1" x14ac:dyDescent="0.3">
      <c r="B18" s="31">
        <v>5</v>
      </c>
      <c r="C18" s="34" t="str">
        <f t="shared" si="0"/>
        <v>0</v>
      </c>
      <c r="D18" s="35" t="str">
        <f t="shared" si="0"/>
        <v>0</v>
      </c>
      <c r="E18" s="35" t="str">
        <f t="shared" si="0"/>
        <v>0</v>
      </c>
      <c r="F18" s="35" t="str">
        <f t="shared" si="0"/>
        <v>0</v>
      </c>
      <c r="G18" s="35" t="str">
        <f t="shared" si="0"/>
        <v>0</v>
      </c>
      <c r="H18" s="35" t="str">
        <f t="shared" si="0"/>
        <v>0</v>
      </c>
      <c r="I18" s="35" t="str">
        <f t="shared" si="0"/>
        <v>1</v>
      </c>
      <c r="J18" s="34" t="str">
        <f t="shared" si="1"/>
        <v>1</v>
      </c>
      <c r="K18" s="35" t="str">
        <f t="shared" si="1"/>
        <v>0</v>
      </c>
      <c r="L18" s="35" t="str">
        <f t="shared" si="1"/>
        <v>1</v>
      </c>
      <c r="M18" s="35" t="str">
        <f t="shared" si="1"/>
        <v>0</v>
      </c>
      <c r="N18" s="35" t="str">
        <f t="shared" si="1"/>
        <v>0</v>
      </c>
      <c r="O18" s="35" t="str">
        <f t="shared" si="1"/>
        <v>0</v>
      </c>
      <c r="P18" s="35" t="str">
        <f t="shared" si="1"/>
        <v>0</v>
      </c>
      <c r="T18" s="96" t="str">
        <f t="shared" si="11"/>
        <v>16</v>
      </c>
      <c r="U18" s="96"/>
      <c r="V18" s="98" t="str" cm="1">
        <f t="array" ref="V18">INDEX(PixelShiftPages,$B18+1)</f>
        <v>A7</v>
      </c>
      <c r="W18" t="str">
        <f t="shared" si="12"/>
        <v>A716</v>
      </c>
      <c r="X18" s="97" t="str">
        <f>pixel_shift_table.asm!$B$3</f>
        <v>A200</v>
      </c>
      <c r="Y18">
        <f t="shared" si="2"/>
        <v>1302</v>
      </c>
      <c r="Z18" s="98" t="str" cm="1">
        <f t="array" ref="Z18">INDEX(_xlfn.TOROW(PixelShiftTable),Y18+1)</f>
        <v>5E</v>
      </c>
      <c r="AA18">
        <f t="shared" si="3"/>
        <v>1430</v>
      </c>
      <c r="AB18" s="98" t="str" cm="1">
        <f t="array" ref="AB18">INDEX(_xlfn.TOROW(PixelShiftTable),AA18+1)</f>
        <v>A9</v>
      </c>
      <c r="AC18" t="str">
        <f t="shared" si="4"/>
        <v>A95E</v>
      </c>
      <c r="AD18" s="97" t="str">
        <f>pixel_pattern_table.asm!$B$2</f>
        <v>A900</v>
      </c>
      <c r="AE18">
        <f t="shared" si="5"/>
        <v>94</v>
      </c>
      <c r="AF18" s="99" t="str" cm="1">
        <f t="array" ref="AF18">INDEX(_xlfn.TOROW(PixelPatternTable),AE18+1)</f>
        <v>C0</v>
      </c>
      <c r="AG18" t="str">
        <f t="shared" si="6"/>
        <v>11000000</v>
      </c>
      <c r="AH18" t="str">
        <f t="shared" si="7"/>
        <v>1000000</v>
      </c>
      <c r="AI18" t="str" cm="1">
        <f t="array" ref="AI18">ReverseString(AH18)</f>
        <v>0000001</v>
      </c>
      <c r="AJ18">
        <f t="shared" si="8"/>
        <v>95</v>
      </c>
      <c r="AK18" s="99" t="str" cm="1">
        <f t="array" ref="AK18">INDEX(_xlfn.TOROW(PixelPatternTable),AJ18+1)</f>
        <v>85</v>
      </c>
      <c r="AL18" t="str">
        <f t="shared" si="9"/>
        <v>10000101</v>
      </c>
      <c r="AM18" t="str">
        <f t="shared" si="10"/>
        <v>0000101</v>
      </c>
      <c r="AN18" t="str" cm="1">
        <f t="array" ref="AN18">ReverseString(AM18)</f>
        <v>1010000</v>
      </c>
    </row>
    <row r="19" spans="1:40" outlineLevel="1" x14ac:dyDescent="0.3">
      <c r="B19" s="31">
        <v>6</v>
      </c>
      <c r="C19" s="34" t="str">
        <f t="shared" si="0"/>
        <v>0</v>
      </c>
      <c r="D19" s="35" t="str">
        <f t="shared" si="0"/>
        <v>0</v>
      </c>
      <c r="E19" s="35" t="str">
        <f t="shared" si="0"/>
        <v>0</v>
      </c>
      <c r="F19" s="35" t="str">
        <f t="shared" si="0"/>
        <v>0</v>
      </c>
      <c r="G19" s="35" t="str">
        <f t="shared" si="0"/>
        <v>0</v>
      </c>
      <c r="H19" s="35" t="str">
        <f t="shared" si="0"/>
        <v>0</v>
      </c>
      <c r="I19" s="35" t="str">
        <f t="shared" si="0"/>
        <v>0</v>
      </c>
      <c r="J19" s="34" t="str">
        <f t="shared" si="1"/>
        <v>1</v>
      </c>
      <c r="K19" s="35" t="str">
        <f t="shared" si="1"/>
        <v>1</v>
      </c>
      <c r="L19" s="35" t="str">
        <f t="shared" si="1"/>
        <v>0</v>
      </c>
      <c r="M19" s="35" t="str">
        <f t="shared" si="1"/>
        <v>1</v>
      </c>
      <c r="N19" s="35" t="str">
        <f t="shared" si="1"/>
        <v>0</v>
      </c>
      <c r="O19" s="35" t="str">
        <f t="shared" si="1"/>
        <v>0</v>
      </c>
      <c r="P19" s="35" t="str">
        <f t="shared" si="1"/>
        <v>0</v>
      </c>
      <c r="T19" s="96" t="str">
        <f t="shared" si="11"/>
        <v>16</v>
      </c>
      <c r="U19" s="96"/>
      <c r="V19" s="98" t="str" cm="1">
        <f t="array" ref="V19">INDEX(PixelShiftPages,$B19+1)</f>
        <v>A8</v>
      </c>
      <c r="W19" t="str">
        <f t="shared" si="12"/>
        <v>A816</v>
      </c>
      <c r="X19" s="97" t="str">
        <f>pixel_shift_table.asm!$B$3</f>
        <v>A200</v>
      </c>
      <c r="Y19">
        <f t="shared" si="2"/>
        <v>1558</v>
      </c>
      <c r="Z19" s="98" t="str" cm="1">
        <f t="array" ref="Z19">INDEX(_xlfn.TOROW(PixelShiftTable),Y19+1)</f>
        <v>B0</v>
      </c>
      <c r="AA19">
        <f t="shared" si="3"/>
        <v>1686</v>
      </c>
      <c r="AB19" s="98" t="str" cm="1">
        <f t="array" ref="AB19">INDEX(_xlfn.TOROW(PixelShiftTable),AA19+1)</f>
        <v>A9</v>
      </c>
      <c r="AC19" t="str">
        <f t="shared" si="4"/>
        <v>A9B0</v>
      </c>
      <c r="AD19" s="97" t="str">
        <f>pixel_pattern_table.asm!$B$2</f>
        <v>A900</v>
      </c>
      <c r="AE19">
        <f t="shared" si="5"/>
        <v>176</v>
      </c>
      <c r="AF19" s="99" t="str" cm="1">
        <f t="array" ref="AF19">INDEX(_xlfn.TOROW(PixelPatternTable),AE19+1)</f>
        <v>80</v>
      </c>
      <c r="AG19" t="str">
        <f t="shared" si="6"/>
        <v>10000000</v>
      </c>
      <c r="AH19" t="str">
        <f t="shared" si="7"/>
        <v>0000000</v>
      </c>
      <c r="AI19" t="str" cm="1">
        <f t="array" ref="AI19">ReverseString(AH19)</f>
        <v>0000000</v>
      </c>
      <c r="AJ19">
        <f t="shared" si="8"/>
        <v>177</v>
      </c>
      <c r="AK19" s="99" t="str" cm="1">
        <f t="array" ref="AK19">INDEX(_xlfn.TOROW(PixelPatternTable),AJ19+1)</f>
        <v>8B</v>
      </c>
      <c r="AL19" t="str">
        <f t="shared" si="9"/>
        <v>10001011</v>
      </c>
      <c r="AM19" t="str">
        <f t="shared" si="10"/>
        <v>0001011</v>
      </c>
      <c r="AN19" t="str" cm="1">
        <f t="array" ref="AN19">ReverseString(AM19)</f>
        <v>1101000</v>
      </c>
    </row>
    <row r="20" spans="1:40" outlineLevel="1" x14ac:dyDescent="0.3"/>
    <row r="21" spans="1:40" outlineLevel="1" x14ac:dyDescent="0.3"/>
    <row r="22" spans="1:40" s="111" customFormat="1" x14ac:dyDescent="0.3">
      <c r="A22" s="119" t="s">
        <v>939</v>
      </c>
    </row>
    <row r="23" spans="1:40" outlineLevel="1" x14ac:dyDescent="0.3"/>
    <row r="24" spans="1:40" ht="39.75" outlineLevel="1" x14ac:dyDescent="0.3">
      <c r="C24">
        <v>0</v>
      </c>
      <c r="D24">
        <v>1</v>
      </c>
      <c r="E24">
        <v>2</v>
      </c>
      <c r="F24">
        <v>3</v>
      </c>
      <c r="G24">
        <v>4</v>
      </c>
      <c r="H24">
        <v>5</v>
      </c>
      <c r="I24">
        <v>6</v>
      </c>
      <c r="J24">
        <v>0</v>
      </c>
      <c r="K24">
        <v>1</v>
      </c>
      <c r="L24">
        <v>2</v>
      </c>
      <c r="M24">
        <v>3</v>
      </c>
      <c r="N24">
        <v>4</v>
      </c>
      <c r="O24">
        <v>5</v>
      </c>
      <c r="P24">
        <v>6</v>
      </c>
      <c r="V24" s="30" t="s">
        <v>893</v>
      </c>
      <c r="W24" s="30" t="s">
        <v>894</v>
      </c>
      <c r="X24" s="30" t="s">
        <v>895</v>
      </c>
      <c r="Y24" s="76" t="s">
        <v>933</v>
      </c>
      <c r="Z24" s="30" t="s">
        <v>896</v>
      </c>
      <c r="AA24" s="76" t="s">
        <v>934</v>
      </c>
      <c r="AB24" s="30" t="s">
        <v>898</v>
      </c>
      <c r="AC24" s="30" t="s">
        <v>897</v>
      </c>
      <c r="AD24" s="30" t="s">
        <v>900</v>
      </c>
      <c r="AE24" s="30" t="s">
        <v>899</v>
      </c>
      <c r="AF24" s="30" t="s">
        <v>904</v>
      </c>
      <c r="AG24" s="30" t="s">
        <v>906</v>
      </c>
      <c r="AH24" s="76" t="s">
        <v>935</v>
      </c>
      <c r="AI24" s="30" t="s">
        <v>903</v>
      </c>
      <c r="AJ24" s="30" t="s">
        <v>902</v>
      </c>
      <c r="AK24" s="30" t="s">
        <v>905</v>
      </c>
      <c r="AL24" s="30" t="s">
        <v>907</v>
      </c>
      <c r="AM24" s="76" t="s">
        <v>936</v>
      </c>
      <c r="AN24" s="30" t="s">
        <v>901</v>
      </c>
    </row>
    <row r="25" spans="1:40" outlineLevel="1" x14ac:dyDescent="0.3">
      <c r="B25" s="5" t="s">
        <v>889</v>
      </c>
      <c r="C25" s="32" t="s">
        <v>888</v>
      </c>
      <c r="D25" s="33"/>
      <c r="E25" s="33"/>
      <c r="F25" s="33"/>
      <c r="G25" s="33"/>
      <c r="H25" s="33"/>
      <c r="I25" s="33"/>
      <c r="J25" s="32" t="s">
        <v>887</v>
      </c>
      <c r="K25" s="33"/>
      <c r="L25" s="33"/>
      <c r="M25" s="33"/>
      <c r="N25" s="33"/>
      <c r="O25" s="33"/>
      <c r="P25" s="33"/>
    </row>
    <row r="26" spans="1:40" outlineLevel="1" x14ac:dyDescent="0.3">
      <c r="B26" s="31">
        <v>0</v>
      </c>
      <c r="C26" s="34" t="str">
        <f t="shared" ref="C26:I32" si="13">MID($AI26,C$11+1,1)</f>
        <v>0</v>
      </c>
      <c r="D26" s="35" t="str">
        <f t="shared" si="13"/>
        <v>1</v>
      </c>
      <c r="E26" s="35" t="str">
        <f t="shared" si="13"/>
        <v>1</v>
      </c>
      <c r="F26" s="35" t="str">
        <f t="shared" si="13"/>
        <v>0</v>
      </c>
      <c r="G26" s="35" t="str">
        <f t="shared" si="13"/>
        <v>1</v>
      </c>
      <c r="H26" s="35" t="str">
        <f t="shared" si="13"/>
        <v>0</v>
      </c>
      <c r="I26" s="35" t="str">
        <f t="shared" si="13"/>
        <v>0</v>
      </c>
      <c r="J26" s="34" t="str">
        <f t="shared" ref="J26:P32" si="14">MID($AN26,J$11+1,1)</f>
        <v>0</v>
      </c>
      <c r="K26" s="35" t="str">
        <f t="shared" si="14"/>
        <v>0</v>
      </c>
      <c r="L26" s="35" t="str">
        <f t="shared" si="14"/>
        <v>0</v>
      </c>
      <c r="M26" s="35" t="str">
        <f t="shared" si="14"/>
        <v>0</v>
      </c>
      <c r="N26" s="35" t="str">
        <f t="shared" si="14"/>
        <v>0</v>
      </c>
      <c r="O26" s="35" t="str">
        <f t="shared" si="14"/>
        <v>0</v>
      </c>
      <c r="P26" s="35" t="str">
        <f t="shared" si="14"/>
        <v>0</v>
      </c>
      <c r="T26" s="96" t="str">
        <f>T$6</f>
        <v>16</v>
      </c>
      <c r="U26" s="96"/>
      <c r="V26" s="96" t="str">
        <f t="shared" ref="V26:Y32" si="15">V13</f>
        <v>A2</v>
      </c>
      <c r="W26" s="96" t="str">
        <f t="shared" si="15"/>
        <v>A216</v>
      </c>
      <c r="X26" s="96" t="str">
        <f t="shared" si="15"/>
        <v>A200</v>
      </c>
      <c r="Y26" s="96">
        <f t="shared" si="15"/>
        <v>22</v>
      </c>
      <c r="Z26" s="98" t="str" cm="1">
        <f t="array" ref="Z26">INDEX(PixelShiftTable,INT(Y26/COLUMNS(PixelShiftTable))+1,MOD(Y26,COLUMNS(PixelShiftTable))+1)</f>
        <v>54</v>
      </c>
      <c r="AA26" s="96">
        <f t="shared" ref="AA26:AA32" si="16">AA13</f>
        <v>150</v>
      </c>
      <c r="AB26" s="98" t="str" cm="1">
        <f t="array" ref="AB26">INDEX(PixelShiftTable,INT(AA26/COLUMNS(PixelShiftTable))+1,MOD(AA26,COLUMNS(PixelShiftTable))+1)</f>
        <v>A9</v>
      </c>
      <c r="AC26" s="96" t="str">
        <f t="shared" ref="AC26:AE32" si="17">AC13</f>
        <v>A954</v>
      </c>
      <c r="AD26" s="96" t="str">
        <f t="shared" si="17"/>
        <v>A900</v>
      </c>
      <c r="AE26" s="96">
        <f t="shared" si="17"/>
        <v>84</v>
      </c>
      <c r="AF26" s="99" t="str" cm="1">
        <f t="array" ref="AF26">INDEX(PixelPatternTable,INT(AE26/COLUMNS(PixelPatternTable))+1,MOD(AE26,COLUMNS(PixelPatternTable))+1)</f>
        <v>96</v>
      </c>
      <c r="AG26" s="96" t="str">
        <f t="shared" ref="AG26:AJ32" si="18">AG13</f>
        <v>10010110</v>
      </c>
      <c r="AH26" s="96" t="str">
        <f t="shared" si="18"/>
        <v>0010110</v>
      </c>
      <c r="AI26" s="96" t="str">
        <f t="shared" si="18"/>
        <v>0110100</v>
      </c>
      <c r="AJ26" s="96">
        <f t="shared" si="18"/>
        <v>85</v>
      </c>
      <c r="AK26" s="99" t="str" cm="1">
        <f t="array" ref="AK26">INDEX(PixelPatternTable,INT(AJ26/COLUMNS(PixelPatternTable))+1,MOD(AJ26,COLUMNS(PixelPatternTable))+1)</f>
        <v>80</v>
      </c>
      <c r="AL26" s="96" t="str">
        <f t="shared" ref="AL26:AN32" si="19">AL13</f>
        <v>10000000</v>
      </c>
      <c r="AM26" s="96" t="str">
        <f t="shared" si="19"/>
        <v>0000000</v>
      </c>
      <c r="AN26" s="96" t="str">
        <f t="shared" si="19"/>
        <v>0000000</v>
      </c>
    </row>
    <row r="27" spans="1:40" outlineLevel="1" x14ac:dyDescent="0.3">
      <c r="B27" s="31">
        <v>1</v>
      </c>
      <c r="C27" s="34" t="str">
        <f t="shared" si="13"/>
        <v>0</v>
      </c>
      <c r="D27" s="35" t="str">
        <f t="shared" si="13"/>
        <v>0</v>
      </c>
      <c r="E27" s="35" t="str">
        <f t="shared" si="13"/>
        <v>1</v>
      </c>
      <c r="F27" s="35" t="str">
        <f t="shared" si="13"/>
        <v>1</v>
      </c>
      <c r="G27" s="35" t="str">
        <f t="shared" si="13"/>
        <v>0</v>
      </c>
      <c r="H27" s="35" t="str">
        <f t="shared" si="13"/>
        <v>1</v>
      </c>
      <c r="I27" s="35" t="str">
        <f t="shared" si="13"/>
        <v>0</v>
      </c>
      <c r="J27" s="34" t="str">
        <f t="shared" si="14"/>
        <v>0</v>
      </c>
      <c r="K27" s="35" t="str">
        <f t="shared" si="14"/>
        <v>0</v>
      </c>
      <c r="L27" s="35" t="str">
        <f t="shared" si="14"/>
        <v>0</v>
      </c>
      <c r="M27" s="35" t="str">
        <f t="shared" si="14"/>
        <v>0</v>
      </c>
      <c r="N27" s="35" t="str">
        <f t="shared" si="14"/>
        <v>0</v>
      </c>
      <c r="O27" s="35" t="str">
        <f t="shared" si="14"/>
        <v>0</v>
      </c>
      <c r="P27" s="35" t="str">
        <f t="shared" si="14"/>
        <v>0</v>
      </c>
      <c r="T27" s="96" t="str">
        <f t="shared" ref="T27:T32" si="20">T$6</f>
        <v>16</v>
      </c>
      <c r="U27" s="96"/>
      <c r="V27" s="96" t="str">
        <f t="shared" si="15"/>
        <v>A3</v>
      </c>
      <c r="W27" s="96" t="str">
        <f t="shared" si="15"/>
        <v>A316</v>
      </c>
      <c r="X27" s="96" t="str">
        <f t="shared" si="15"/>
        <v>A200</v>
      </c>
      <c r="Y27" s="96">
        <f t="shared" si="15"/>
        <v>278</v>
      </c>
      <c r="Z27" s="98" t="str" cm="1">
        <f t="array" ref="Z27">INDEX(PixelShiftTable,INT(Y27/COLUMNS(PixelShiftTable))+1,MOD(Y27,COLUMNS(PixelShiftTable))+1)</f>
        <v>56</v>
      </c>
      <c r="AA27" s="96">
        <f t="shared" si="16"/>
        <v>406</v>
      </c>
      <c r="AB27" s="98" t="str" cm="1">
        <f t="array" ref="AB27">INDEX(PixelShiftTable,INT(AA27/COLUMNS(PixelShiftTable))+1,MOD(AA27,COLUMNS(PixelShiftTable))+1)</f>
        <v>A9</v>
      </c>
      <c r="AC27" s="96" t="str">
        <f t="shared" si="17"/>
        <v>A956</v>
      </c>
      <c r="AD27" s="96" t="str">
        <f t="shared" si="17"/>
        <v>A900</v>
      </c>
      <c r="AE27" s="96">
        <f t="shared" si="17"/>
        <v>86</v>
      </c>
      <c r="AF27" s="99" t="str" cm="1">
        <f t="array" ref="AF27">INDEX(PixelPatternTable,INT(AE27/COLUMNS(PixelPatternTable))+1,MOD(AE27,COLUMNS(PixelPatternTable))+1)</f>
        <v>AC</v>
      </c>
      <c r="AG27" s="96" t="str">
        <f t="shared" si="18"/>
        <v>10101100</v>
      </c>
      <c r="AH27" s="96" t="str">
        <f t="shared" si="18"/>
        <v>0101100</v>
      </c>
      <c r="AI27" s="96" t="str">
        <f t="shared" si="18"/>
        <v>0011010</v>
      </c>
      <c r="AJ27" s="96">
        <f t="shared" si="18"/>
        <v>87</v>
      </c>
      <c r="AK27" s="99" t="str" cm="1">
        <f t="array" ref="AK27">INDEX(PixelPatternTable,INT(AJ27/COLUMNS(PixelPatternTable))+1,MOD(AJ27,COLUMNS(PixelPatternTable))+1)</f>
        <v>80</v>
      </c>
      <c r="AL27" s="96" t="str">
        <f t="shared" si="19"/>
        <v>10000000</v>
      </c>
      <c r="AM27" s="96" t="str">
        <f t="shared" si="19"/>
        <v>0000000</v>
      </c>
      <c r="AN27" s="96" t="str">
        <f t="shared" si="19"/>
        <v>0000000</v>
      </c>
    </row>
    <row r="28" spans="1:40" outlineLevel="1" x14ac:dyDescent="0.3">
      <c r="B28" s="31">
        <v>2</v>
      </c>
      <c r="C28" s="34" t="str">
        <f t="shared" si="13"/>
        <v>0</v>
      </c>
      <c r="D28" s="35" t="str">
        <f t="shared" si="13"/>
        <v>0</v>
      </c>
      <c r="E28" s="35" t="str">
        <f t="shared" si="13"/>
        <v>0</v>
      </c>
      <c r="F28" s="35" t="str">
        <f t="shared" si="13"/>
        <v>1</v>
      </c>
      <c r="G28" s="35" t="str">
        <f t="shared" si="13"/>
        <v>1</v>
      </c>
      <c r="H28" s="35" t="str">
        <f t="shared" si="13"/>
        <v>0</v>
      </c>
      <c r="I28" s="35" t="str">
        <f t="shared" si="13"/>
        <v>1</v>
      </c>
      <c r="J28" s="34" t="str">
        <f t="shared" si="14"/>
        <v>0</v>
      </c>
      <c r="K28" s="35" t="str">
        <f t="shared" si="14"/>
        <v>0</v>
      </c>
      <c r="L28" s="35" t="str">
        <f t="shared" si="14"/>
        <v>0</v>
      </c>
      <c r="M28" s="35" t="str">
        <f t="shared" si="14"/>
        <v>0</v>
      </c>
      <c r="N28" s="35" t="str">
        <f t="shared" si="14"/>
        <v>0</v>
      </c>
      <c r="O28" s="35" t="str">
        <f t="shared" si="14"/>
        <v>0</v>
      </c>
      <c r="P28" s="35" t="str">
        <f t="shared" si="14"/>
        <v>0</v>
      </c>
      <c r="T28" s="96" t="str">
        <f t="shared" si="20"/>
        <v>16</v>
      </c>
      <c r="U28" s="96"/>
      <c r="V28" s="96" t="str">
        <f t="shared" si="15"/>
        <v>A4</v>
      </c>
      <c r="W28" s="96" t="str">
        <f t="shared" si="15"/>
        <v>A416</v>
      </c>
      <c r="X28" s="96" t="str">
        <f t="shared" si="15"/>
        <v>A200</v>
      </c>
      <c r="Y28" s="96">
        <f t="shared" si="15"/>
        <v>534</v>
      </c>
      <c r="Z28" s="98" t="str" cm="1">
        <f t="array" ref="Z28">INDEX(PixelShiftTable,INT(Y28/COLUMNS(PixelShiftTable))+1,MOD(Y28,COLUMNS(PixelShiftTable))+1)</f>
        <v>58</v>
      </c>
      <c r="AA28" s="96">
        <f t="shared" si="16"/>
        <v>662</v>
      </c>
      <c r="AB28" s="98" t="str" cm="1">
        <f t="array" ref="AB28">INDEX(PixelShiftTable,INT(AA28/COLUMNS(PixelShiftTable))+1,MOD(AA28,COLUMNS(PixelShiftTable))+1)</f>
        <v>A9</v>
      </c>
      <c r="AC28" s="96" t="str">
        <f t="shared" si="17"/>
        <v>A958</v>
      </c>
      <c r="AD28" s="96" t="str">
        <f t="shared" si="17"/>
        <v>A900</v>
      </c>
      <c r="AE28" s="96">
        <f t="shared" si="17"/>
        <v>88</v>
      </c>
      <c r="AF28" s="99" t="str" cm="1">
        <f t="array" ref="AF28">INDEX(PixelPatternTable,INT(AE28/COLUMNS(PixelPatternTable))+1,MOD(AE28,COLUMNS(PixelPatternTable))+1)</f>
        <v>D8</v>
      </c>
      <c r="AG28" s="96" t="str">
        <f t="shared" si="18"/>
        <v>11011000</v>
      </c>
      <c r="AH28" s="96" t="str">
        <f t="shared" si="18"/>
        <v>1011000</v>
      </c>
      <c r="AI28" s="96" t="str">
        <f t="shared" si="18"/>
        <v>0001101</v>
      </c>
      <c r="AJ28" s="96">
        <f t="shared" si="18"/>
        <v>89</v>
      </c>
      <c r="AK28" s="99" t="str" cm="1">
        <f t="array" ref="AK28">INDEX(PixelPatternTable,INT(AJ28/COLUMNS(PixelPatternTable))+1,MOD(AJ28,COLUMNS(PixelPatternTable))+1)</f>
        <v>80</v>
      </c>
      <c r="AL28" s="96" t="str">
        <f t="shared" si="19"/>
        <v>10000000</v>
      </c>
      <c r="AM28" s="96" t="str">
        <f t="shared" si="19"/>
        <v>0000000</v>
      </c>
      <c r="AN28" s="96" t="str">
        <f t="shared" si="19"/>
        <v>0000000</v>
      </c>
    </row>
    <row r="29" spans="1:40" outlineLevel="1" x14ac:dyDescent="0.3">
      <c r="B29" s="31">
        <v>3</v>
      </c>
      <c r="C29" s="34" t="str">
        <f t="shared" si="13"/>
        <v>0</v>
      </c>
      <c r="D29" s="35" t="str">
        <f t="shared" si="13"/>
        <v>0</v>
      </c>
      <c r="E29" s="35" t="str">
        <f t="shared" si="13"/>
        <v>0</v>
      </c>
      <c r="F29" s="35" t="str">
        <f t="shared" si="13"/>
        <v>0</v>
      </c>
      <c r="G29" s="35" t="str">
        <f t="shared" si="13"/>
        <v>1</v>
      </c>
      <c r="H29" s="35" t="str">
        <f t="shared" si="13"/>
        <v>1</v>
      </c>
      <c r="I29" s="35" t="str">
        <f t="shared" si="13"/>
        <v>0</v>
      </c>
      <c r="J29" s="34" t="str">
        <f t="shared" si="14"/>
        <v>1</v>
      </c>
      <c r="K29" s="35" t="str">
        <f t="shared" si="14"/>
        <v>0</v>
      </c>
      <c r="L29" s="35" t="str">
        <f t="shared" si="14"/>
        <v>0</v>
      </c>
      <c r="M29" s="35" t="str">
        <f t="shared" si="14"/>
        <v>0</v>
      </c>
      <c r="N29" s="35" t="str">
        <f t="shared" si="14"/>
        <v>0</v>
      </c>
      <c r="O29" s="35" t="str">
        <f t="shared" si="14"/>
        <v>0</v>
      </c>
      <c r="P29" s="35" t="str">
        <f t="shared" si="14"/>
        <v>0</v>
      </c>
      <c r="T29" s="96" t="str">
        <f t="shared" si="20"/>
        <v>16</v>
      </c>
      <c r="U29" s="96"/>
      <c r="V29" s="96" t="str">
        <f t="shared" si="15"/>
        <v>A5</v>
      </c>
      <c r="W29" s="96" t="str">
        <f t="shared" si="15"/>
        <v>A516</v>
      </c>
      <c r="X29" s="96" t="str">
        <f t="shared" si="15"/>
        <v>A200</v>
      </c>
      <c r="Y29" s="96">
        <f t="shared" si="15"/>
        <v>790</v>
      </c>
      <c r="Z29" s="98" t="str" cm="1">
        <f t="array" ref="Z29">INDEX(PixelShiftTable,INT(Y29/COLUMNS(PixelShiftTable))+1,MOD(Y29,COLUMNS(PixelShiftTable))+1)</f>
        <v>5A</v>
      </c>
      <c r="AA29" s="96">
        <f t="shared" si="16"/>
        <v>918</v>
      </c>
      <c r="AB29" s="98" t="str" cm="1">
        <f t="array" ref="AB29">INDEX(PixelShiftTable,INT(AA29/COLUMNS(PixelShiftTable))+1,MOD(AA29,COLUMNS(PixelShiftTable))+1)</f>
        <v>A9</v>
      </c>
      <c r="AC29" s="96" t="str">
        <f t="shared" si="17"/>
        <v>A95A</v>
      </c>
      <c r="AD29" s="96" t="str">
        <f t="shared" si="17"/>
        <v>A900</v>
      </c>
      <c r="AE29" s="96">
        <f t="shared" si="17"/>
        <v>90</v>
      </c>
      <c r="AF29" s="99" t="str" cm="1">
        <f t="array" ref="AF29">INDEX(PixelPatternTable,INT(AE29/COLUMNS(PixelPatternTable))+1,MOD(AE29,COLUMNS(PixelPatternTable))+1)</f>
        <v>B0</v>
      </c>
      <c r="AG29" s="96" t="str">
        <f t="shared" si="18"/>
        <v>10110000</v>
      </c>
      <c r="AH29" s="96" t="str">
        <f t="shared" si="18"/>
        <v>0110000</v>
      </c>
      <c r="AI29" s="96" t="str">
        <f t="shared" si="18"/>
        <v>0000110</v>
      </c>
      <c r="AJ29" s="96">
        <f t="shared" si="18"/>
        <v>91</v>
      </c>
      <c r="AK29" s="99" t="str" cm="1">
        <f t="array" ref="AK29">INDEX(PixelPatternTable,INT(AJ29/COLUMNS(PixelPatternTable))+1,MOD(AJ29,COLUMNS(PixelPatternTable))+1)</f>
        <v>81</v>
      </c>
      <c r="AL29" s="96" t="str">
        <f t="shared" si="19"/>
        <v>10000001</v>
      </c>
      <c r="AM29" s="96" t="str">
        <f t="shared" si="19"/>
        <v>0000001</v>
      </c>
      <c r="AN29" s="96" t="str">
        <f t="shared" si="19"/>
        <v>1000000</v>
      </c>
    </row>
    <row r="30" spans="1:40" outlineLevel="1" x14ac:dyDescent="0.3">
      <c r="B30" s="31">
        <v>4</v>
      </c>
      <c r="C30" s="34" t="str">
        <f t="shared" si="13"/>
        <v>0</v>
      </c>
      <c r="D30" s="35" t="str">
        <f t="shared" si="13"/>
        <v>0</v>
      </c>
      <c r="E30" s="35" t="str">
        <f t="shared" si="13"/>
        <v>0</v>
      </c>
      <c r="F30" s="35" t="str">
        <f t="shared" si="13"/>
        <v>0</v>
      </c>
      <c r="G30" s="35" t="str">
        <f t="shared" si="13"/>
        <v>0</v>
      </c>
      <c r="H30" s="35" t="str">
        <f t="shared" si="13"/>
        <v>1</v>
      </c>
      <c r="I30" s="35" t="str">
        <f t="shared" si="13"/>
        <v>1</v>
      </c>
      <c r="J30" s="34" t="str">
        <f t="shared" si="14"/>
        <v>0</v>
      </c>
      <c r="K30" s="35" t="str">
        <f t="shared" si="14"/>
        <v>1</v>
      </c>
      <c r="L30" s="35" t="str">
        <f t="shared" si="14"/>
        <v>0</v>
      </c>
      <c r="M30" s="35" t="str">
        <f t="shared" si="14"/>
        <v>0</v>
      </c>
      <c r="N30" s="35" t="str">
        <f t="shared" si="14"/>
        <v>0</v>
      </c>
      <c r="O30" s="35" t="str">
        <f t="shared" si="14"/>
        <v>0</v>
      </c>
      <c r="P30" s="35" t="str">
        <f t="shared" si="14"/>
        <v>0</v>
      </c>
      <c r="T30" s="96" t="str">
        <f t="shared" si="20"/>
        <v>16</v>
      </c>
      <c r="U30" s="96"/>
      <c r="V30" s="96" t="str">
        <f t="shared" si="15"/>
        <v>A6</v>
      </c>
      <c r="W30" s="96" t="str">
        <f t="shared" si="15"/>
        <v>A616</v>
      </c>
      <c r="X30" s="96" t="str">
        <f t="shared" si="15"/>
        <v>A200</v>
      </c>
      <c r="Y30" s="96">
        <f t="shared" si="15"/>
        <v>1046</v>
      </c>
      <c r="Z30" s="98" t="str" cm="1">
        <f t="array" ref="Z30">INDEX(PixelShiftTable,INT(Y30/COLUMNS(PixelShiftTable))+1,MOD(Y30,COLUMNS(PixelShiftTable))+1)</f>
        <v>5C</v>
      </c>
      <c r="AA30" s="96">
        <f t="shared" si="16"/>
        <v>1174</v>
      </c>
      <c r="AB30" s="98" t="str" cm="1">
        <f t="array" ref="AB30">INDEX(PixelShiftTable,INT(AA30/COLUMNS(PixelShiftTable))+1,MOD(AA30,COLUMNS(PixelShiftTable))+1)</f>
        <v>A9</v>
      </c>
      <c r="AC30" s="96" t="str">
        <f t="shared" si="17"/>
        <v>A95C</v>
      </c>
      <c r="AD30" s="96" t="str">
        <f t="shared" si="17"/>
        <v>A900</v>
      </c>
      <c r="AE30" s="96">
        <f t="shared" si="17"/>
        <v>92</v>
      </c>
      <c r="AF30" s="99" t="str" cm="1">
        <f t="array" ref="AF30">INDEX(PixelPatternTable,INT(AE30/COLUMNS(PixelPatternTable))+1,MOD(AE30,COLUMNS(PixelPatternTable))+1)</f>
        <v>E0</v>
      </c>
      <c r="AG30" s="96" t="str">
        <f t="shared" si="18"/>
        <v>11100000</v>
      </c>
      <c r="AH30" s="96" t="str">
        <f t="shared" si="18"/>
        <v>1100000</v>
      </c>
      <c r="AI30" s="96" t="str">
        <f t="shared" si="18"/>
        <v>0000011</v>
      </c>
      <c r="AJ30" s="96">
        <f t="shared" si="18"/>
        <v>93</v>
      </c>
      <c r="AK30" s="99" t="str" cm="1">
        <f t="array" ref="AK30">INDEX(PixelPatternTable,INT(AJ30/COLUMNS(PixelPatternTable))+1,MOD(AJ30,COLUMNS(PixelPatternTable))+1)</f>
        <v>82</v>
      </c>
      <c r="AL30" s="96" t="str">
        <f t="shared" si="19"/>
        <v>10000010</v>
      </c>
      <c r="AM30" s="96" t="str">
        <f t="shared" si="19"/>
        <v>0000010</v>
      </c>
      <c r="AN30" s="96" t="str">
        <f t="shared" si="19"/>
        <v>0100000</v>
      </c>
    </row>
    <row r="31" spans="1:40" outlineLevel="1" x14ac:dyDescent="0.3">
      <c r="B31" s="31">
        <v>5</v>
      </c>
      <c r="C31" s="34" t="str">
        <f t="shared" si="13"/>
        <v>0</v>
      </c>
      <c r="D31" s="35" t="str">
        <f t="shared" si="13"/>
        <v>0</v>
      </c>
      <c r="E31" s="35" t="str">
        <f t="shared" si="13"/>
        <v>0</v>
      </c>
      <c r="F31" s="35" t="str">
        <f t="shared" si="13"/>
        <v>0</v>
      </c>
      <c r="G31" s="35" t="str">
        <f t="shared" si="13"/>
        <v>0</v>
      </c>
      <c r="H31" s="35" t="str">
        <f t="shared" si="13"/>
        <v>0</v>
      </c>
      <c r="I31" s="35" t="str">
        <f t="shared" si="13"/>
        <v>1</v>
      </c>
      <c r="J31" s="34" t="str">
        <f t="shared" si="14"/>
        <v>1</v>
      </c>
      <c r="K31" s="35" t="str">
        <f t="shared" si="14"/>
        <v>0</v>
      </c>
      <c r="L31" s="35" t="str">
        <f t="shared" si="14"/>
        <v>1</v>
      </c>
      <c r="M31" s="35" t="str">
        <f t="shared" si="14"/>
        <v>0</v>
      </c>
      <c r="N31" s="35" t="str">
        <f t="shared" si="14"/>
        <v>0</v>
      </c>
      <c r="O31" s="35" t="str">
        <f t="shared" si="14"/>
        <v>0</v>
      </c>
      <c r="P31" s="35" t="str">
        <f t="shared" si="14"/>
        <v>0</v>
      </c>
      <c r="T31" s="96" t="str">
        <f t="shared" si="20"/>
        <v>16</v>
      </c>
      <c r="U31" s="96"/>
      <c r="V31" s="96" t="str">
        <f t="shared" si="15"/>
        <v>A7</v>
      </c>
      <c r="W31" s="96" t="str">
        <f t="shared" si="15"/>
        <v>A716</v>
      </c>
      <c r="X31" s="96" t="str">
        <f t="shared" si="15"/>
        <v>A200</v>
      </c>
      <c r="Y31" s="96">
        <f t="shared" si="15"/>
        <v>1302</v>
      </c>
      <c r="Z31" s="98" t="str" cm="1">
        <f t="array" ref="Z31">INDEX(PixelShiftTable,INT(Y31/COLUMNS(PixelShiftTable))+1,MOD(Y31,COLUMNS(PixelShiftTable))+1)</f>
        <v>5E</v>
      </c>
      <c r="AA31" s="96">
        <f t="shared" si="16"/>
        <v>1430</v>
      </c>
      <c r="AB31" s="98" t="str" cm="1">
        <f t="array" ref="AB31">INDEX(PixelShiftTable,INT(AA31/COLUMNS(PixelShiftTable))+1,MOD(AA31,COLUMNS(PixelShiftTable))+1)</f>
        <v>A9</v>
      </c>
      <c r="AC31" s="96" t="str">
        <f t="shared" si="17"/>
        <v>A95E</v>
      </c>
      <c r="AD31" s="96" t="str">
        <f t="shared" si="17"/>
        <v>A900</v>
      </c>
      <c r="AE31" s="96">
        <f t="shared" si="17"/>
        <v>94</v>
      </c>
      <c r="AF31" s="99" t="str" cm="1">
        <f t="array" ref="AF31">INDEX(PixelPatternTable,INT(AE31/COLUMNS(PixelPatternTable))+1,MOD(AE31,COLUMNS(PixelPatternTable))+1)</f>
        <v>C0</v>
      </c>
      <c r="AG31" s="96" t="str">
        <f t="shared" si="18"/>
        <v>11000000</v>
      </c>
      <c r="AH31" s="96" t="str">
        <f t="shared" si="18"/>
        <v>1000000</v>
      </c>
      <c r="AI31" s="96" t="str">
        <f t="shared" si="18"/>
        <v>0000001</v>
      </c>
      <c r="AJ31" s="96">
        <f t="shared" si="18"/>
        <v>95</v>
      </c>
      <c r="AK31" s="99" t="str" cm="1">
        <f t="array" ref="AK31">INDEX(PixelPatternTable,INT(AJ31/COLUMNS(PixelPatternTable))+1,MOD(AJ31,COLUMNS(PixelPatternTable))+1)</f>
        <v>85</v>
      </c>
      <c r="AL31" s="96" t="str">
        <f t="shared" si="19"/>
        <v>10000101</v>
      </c>
      <c r="AM31" s="96" t="str">
        <f t="shared" si="19"/>
        <v>0000101</v>
      </c>
      <c r="AN31" s="96" t="str">
        <f t="shared" si="19"/>
        <v>1010000</v>
      </c>
    </row>
    <row r="32" spans="1:40" outlineLevel="1" x14ac:dyDescent="0.3">
      <c r="B32" s="31">
        <v>6</v>
      </c>
      <c r="C32" s="34" t="str">
        <f t="shared" si="13"/>
        <v>0</v>
      </c>
      <c r="D32" s="35" t="str">
        <f t="shared" si="13"/>
        <v>0</v>
      </c>
      <c r="E32" s="35" t="str">
        <f t="shared" si="13"/>
        <v>0</v>
      </c>
      <c r="F32" s="35" t="str">
        <f t="shared" si="13"/>
        <v>0</v>
      </c>
      <c r="G32" s="35" t="str">
        <f t="shared" si="13"/>
        <v>0</v>
      </c>
      <c r="H32" s="35" t="str">
        <f t="shared" si="13"/>
        <v>0</v>
      </c>
      <c r="I32" s="35" t="str">
        <f t="shared" si="13"/>
        <v>0</v>
      </c>
      <c r="J32" s="34" t="str">
        <f t="shared" si="14"/>
        <v>1</v>
      </c>
      <c r="K32" s="35" t="str">
        <f t="shared" si="14"/>
        <v>1</v>
      </c>
      <c r="L32" s="35" t="str">
        <f t="shared" si="14"/>
        <v>0</v>
      </c>
      <c r="M32" s="35" t="str">
        <f t="shared" si="14"/>
        <v>1</v>
      </c>
      <c r="N32" s="35" t="str">
        <f t="shared" si="14"/>
        <v>0</v>
      </c>
      <c r="O32" s="35" t="str">
        <f t="shared" si="14"/>
        <v>0</v>
      </c>
      <c r="P32" s="35" t="str">
        <f t="shared" si="14"/>
        <v>0</v>
      </c>
      <c r="T32" s="96" t="str">
        <f t="shared" si="20"/>
        <v>16</v>
      </c>
      <c r="U32" s="96"/>
      <c r="V32" s="96" t="str">
        <f t="shared" si="15"/>
        <v>A8</v>
      </c>
      <c r="W32" s="96" t="str">
        <f t="shared" si="15"/>
        <v>A816</v>
      </c>
      <c r="X32" s="96" t="str">
        <f t="shared" si="15"/>
        <v>A200</v>
      </c>
      <c r="Y32" s="96">
        <f t="shared" si="15"/>
        <v>1558</v>
      </c>
      <c r="Z32" s="98" t="str" cm="1">
        <f t="array" ref="Z32">INDEX(PixelShiftTable,INT(Y32/COLUMNS(PixelShiftTable))+1,MOD(Y32,COLUMNS(PixelShiftTable))+1)</f>
        <v>B0</v>
      </c>
      <c r="AA32" s="96">
        <f t="shared" si="16"/>
        <v>1686</v>
      </c>
      <c r="AB32" s="98" t="str" cm="1">
        <f t="array" ref="AB32">INDEX(PixelShiftTable,INT(AA32/COLUMNS(PixelShiftTable))+1,MOD(AA32,COLUMNS(PixelShiftTable))+1)</f>
        <v>A9</v>
      </c>
      <c r="AC32" s="96" t="str">
        <f t="shared" si="17"/>
        <v>A9B0</v>
      </c>
      <c r="AD32" s="96" t="str">
        <f t="shared" si="17"/>
        <v>A900</v>
      </c>
      <c r="AE32" s="96">
        <f t="shared" si="17"/>
        <v>176</v>
      </c>
      <c r="AF32" s="99" t="str" cm="1">
        <f t="array" ref="AF32">INDEX(PixelPatternTable,INT(AE32/COLUMNS(PixelPatternTable))+1,MOD(AE32,COLUMNS(PixelPatternTable))+1)</f>
        <v>80</v>
      </c>
      <c r="AG32" s="96" t="str">
        <f t="shared" si="18"/>
        <v>10000000</v>
      </c>
      <c r="AH32" s="96" t="str">
        <f t="shared" si="18"/>
        <v>0000000</v>
      </c>
      <c r="AI32" s="96" t="str">
        <f t="shared" si="18"/>
        <v>0000000</v>
      </c>
      <c r="AJ32" s="96">
        <f t="shared" si="18"/>
        <v>177</v>
      </c>
      <c r="AK32" s="99" t="str" cm="1">
        <f t="array" ref="AK32">INDEX(PixelPatternTable,INT(AJ32/COLUMNS(PixelPatternTable))+1,MOD(AJ32,COLUMNS(PixelPatternTable))+1)</f>
        <v>8B</v>
      </c>
      <c r="AL32" s="96" t="str">
        <f t="shared" si="19"/>
        <v>10001011</v>
      </c>
      <c r="AM32" s="96" t="str">
        <f t="shared" si="19"/>
        <v>0001011</v>
      </c>
      <c r="AN32" s="96" t="str">
        <f t="shared" si="19"/>
        <v>1101000</v>
      </c>
    </row>
    <row r="33" spans="1:40" outlineLevel="1" x14ac:dyDescent="0.3"/>
    <row r="34" spans="1:40" outlineLevel="1" x14ac:dyDescent="0.3"/>
    <row r="35" spans="1:40" s="111" customFormat="1" x14ac:dyDescent="0.3">
      <c r="A35" s="119" t="s">
        <v>940</v>
      </c>
    </row>
    <row r="36" spans="1:40" outlineLevel="1" x14ac:dyDescent="0.3"/>
    <row r="37" spans="1:40" ht="45" outlineLevel="1" x14ac:dyDescent="0.3">
      <c r="C37">
        <v>0</v>
      </c>
      <c r="D37">
        <v>1</v>
      </c>
      <c r="E37">
        <v>2</v>
      </c>
      <c r="F37">
        <v>3</v>
      </c>
      <c r="G37">
        <v>4</v>
      </c>
      <c r="H37">
        <v>5</v>
      </c>
      <c r="I37">
        <v>6</v>
      </c>
      <c r="J37">
        <v>0</v>
      </c>
      <c r="K37">
        <v>1</v>
      </c>
      <c r="L37">
        <v>2</v>
      </c>
      <c r="M37">
        <v>3</v>
      </c>
      <c r="N37">
        <v>4</v>
      </c>
      <c r="O37">
        <v>5</v>
      </c>
      <c r="P37">
        <v>6</v>
      </c>
      <c r="V37" s="30" t="s">
        <v>893</v>
      </c>
      <c r="W37" s="30" t="s">
        <v>929</v>
      </c>
      <c r="X37" s="30" t="s">
        <v>930</v>
      </c>
      <c r="Y37" s="76" t="s">
        <v>933</v>
      </c>
      <c r="Z37" s="30"/>
      <c r="AA37" s="76" t="s">
        <v>934</v>
      </c>
      <c r="AB37" s="30"/>
      <c r="AC37" s="30"/>
      <c r="AD37" s="30"/>
      <c r="AE37" s="30"/>
      <c r="AF37" s="30" t="s">
        <v>931</v>
      </c>
      <c r="AG37" s="30" t="s">
        <v>932</v>
      </c>
      <c r="AH37" s="76" t="s">
        <v>937</v>
      </c>
      <c r="AI37" s="30" t="s">
        <v>903</v>
      </c>
      <c r="AJ37" s="30" t="s">
        <v>902</v>
      </c>
      <c r="AK37" s="30" t="s">
        <v>905</v>
      </c>
      <c r="AL37" s="30" t="s">
        <v>907</v>
      </c>
      <c r="AM37" s="76" t="s">
        <v>936</v>
      </c>
      <c r="AN37" s="30" t="s">
        <v>901</v>
      </c>
    </row>
    <row r="38" spans="1:40" outlineLevel="1" x14ac:dyDescent="0.3">
      <c r="B38" s="5" t="s">
        <v>889</v>
      </c>
      <c r="C38" s="32" t="s">
        <v>888</v>
      </c>
      <c r="D38" s="33"/>
      <c r="E38" s="33"/>
      <c r="F38" s="33"/>
      <c r="G38" s="33"/>
      <c r="H38" s="33"/>
      <c r="I38" s="33"/>
      <c r="J38" s="32" t="s">
        <v>887</v>
      </c>
      <c r="K38" s="33"/>
      <c r="L38" s="33"/>
      <c r="M38" s="33"/>
      <c r="N38" s="33"/>
      <c r="O38" s="33"/>
      <c r="P38" s="33"/>
    </row>
    <row r="39" spans="1:40" outlineLevel="1" x14ac:dyDescent="0.3">
      <c r="B39" s="31">
        <v>0</v>
      </c>
      <c r="C39" s="34" t="str">
        <f t="shared" ref="C39:I45" si="21">MID($AI39,C$11+1,1)</f>
        <v>0</v>
      </c>
      <c r="D39" s="35" t="str">
        <f t="shared" si="21"/>
        <v>1</v>
      </c>
      <c r="E39" s="35" t="str">
        <f t="shared" si="21"/>
        <v>1</v>
      </c>
      <c r="F39" s="35" t="str">
        <f t="shared" si="21"/>
        <v>0</v>
      </c>
      <c r="G39" s="35" t="str">
        <f t="shared" si="21"/>
        <v>1</v>
      </c>
      <c r="H39" s="35" t="str">
        <f t="shared" si="21"/>
        <v>0</v>
      </c>
      <c r="I39" s="35" t="str">
        <f t="shared" si="21"/>
        <v>0</v>
      </c>
      <c r="J39" s="34" t="str">
        <f t="shared" ref="J39:P45" si="22">MID($AN39,J$11+1,1)</f>
        <v>0</v>
      </c>
      <c r="K39" s="35" t="str">
        <f t="shared" si="22"/>
        <v>0</v>
      </c>
      <c r="L39" s="35" t="str">
        <f t="shared" si="22"/>
        <v>0</v>
      </c>
      <c r="M39" s="35" t="str">
        <f t="shared" si="22"/>
        <v>0</v>
      </c>
      <c r="N39" s="35" t="str">
        <f t="shared" si="22"/>
        <v>0</v>
      </c>
      <c r="O39" s="35" t="str">
        <f t="shared" si="22"/>
        <v>0</v>
      </c>
      <c r="P39" s="35" t="str">
        <f t="shared" si="22"/>
        <v>0</v>
      </c>
      <c r="T39" s="96" t="str">
        <f>T$6</f>
        <v>16</v>
      </c>
      <c r="U39" s="96"/>
      <c r="V39" s="98" t="str" cm="1">
        <f t="array" ref="V39">INDEX(PixelShiftPages,$B39+1)</f>
        <v>A2</v>
      </c>
      <c r="W39" t="str">
        <f t="shared" ref="W39:W45" si="23">V39&amp;T39</f>
        <v>A216</v>
      </c>
      <c r="X39" s="97" t="str">
        <f>pixel_shift_table.asm!$B$3</f>
        <v>A200</v>
      </c>
      <c r="Y39">
        <f t="shared" ref="Y39:Y45" si="24">HEX2DEC(W39)-HEX2DEC(X39)</f>
        <v>22</v>
      </c>
      <c r="Z39" s="75"/>
      <c r="AA39">
        <f t="shared" ref="AA39:AA45" si="25">Y39+128</f>
        <v>150</v>
      </c>
      <c r="AB39" s="36"/>
      <c r="AF39" s="99" t="str" cm="1">
        <f t="array" ref="AF39">INDEX(PixelShiftPatternTable,INT(Y39/COLUMNS(PixelShiftPatternTable))+1,MOD(Y39,COLUMNS(PixelShiftPatternTable))+1)</f>
        <v>96</v>
      </c>
      <c r="AG39" t="str">
        <f t="shared" ref="AG39:AG45" si="26">HEX2BIN(AF39,8)</f>
        <v>10010110</v>
      </c>
      <c r="AH39" t="str">
        <f t="shared" ref="AH39:AH45" si="27">RIGHT(AG39,7)</f>
        <v>0010110</v>
      </c>
      <c r="AI39" t="str" cm="1">
        <f t="array" ref="AI39">ReverseString(AH39)</f>
        <v>0110100</v>
      </c>
      <c r="AK39" s="99" t="str" cm="1">
        <f t="array" ref="AK39">INDEX(PixelShiftPatternTable,INT(AA39/COLUMNS(PixelShiftPatternTable))+1,MOD(AA39,COLUMNS(PixelShiftPatternTable))+1)</f>
        <v>80</v>
      </c>
      <c r="AL39" t="str">
        <f t="shared" ref="AL39:AL45" si="28">HEX2BIN(AK39,8)</f>
        <v>10000000</v>
      </c>
      <c r="AM39" t="str">
        <f t="shared" ref="AM39:AM45" si="29">RIGHT(AL39,7)</f>
        <v>0000000</v>
      </c>
      <c r="AN39" t="str" cm="1">
        <f t="array" ref="AN39">ReverseString(AM39)</f>
        <v>0000000</v>
      </c>
    </row>
    <row r="40" spans="1:40" outlineLevel="1" x14ac:dyDescent="0.3">
      <c r="B40" s="31">
        <v>1</v>
      </c>
      <c r="C40" s="34" t="str">
        <f t="shared" si="21"/>
        <v>0</v>
      </c>
      <c r="D40" s="35" t="str">
        <f t="shared" si="21"/>
        <v>0</v>
      </c>
      <c r="E40" s="35" t="str">
        <f t="shared" si="21"/>
        <v>1</v>
      </c>
      <c r="F40" s="35" t="str">
        <f t="shared" si="21"/>
        <v>1</v>
      </c>
      <c r="G40" s="35" t="str">
        <f t="shared" si="21"/>
        <v>0</v>
      </c>
      <c r="H40" s="35" t="str">
        <f t="shared" si="21"/>
        <v>1</v>
      </c>
      <c r="I40" s="35" t="str">
        <f t="shared" si="21"/>
        <v>0</v>
      </c>
      <c r="J40" s="34" t="str">
        <f t="shared" si="22"/>
        <v>0</v>
      </c>
      <c r="K40" s="35" t="str">
        <f t="shared" si="22"/>
        <v>0</v>
      </c>
      <c r="L40" s="35" t="str">
        <f t="shared" si="22"/>
        <v>0</v>
      </c>
      <c r="M40" s="35" t="str">
        <f t="shared" si="22"/>
        <v>0</v>
      </c>
      <c r="N40" s="35" t="str">
        <f t="shared" si="22"/>
        <v>0</v>
      </c>
      <c r="O40" s="35" t="str">
        <f t="shared" si="22"/>
        <v>0</v>
      </c>
      <c r="P40" s="35" t="str">
        <f t="shared" si="22"/>
        <v>0</v>
      </c>
      <c r="T40" s="96" t="str">
        <f t="shared" ref="T40:T45" si="30">T$6</f>
        <v>16</v>
      </c>
      <c r="U40" s="96"/>
      <c r="V40" s="98" t="str" cm="1">
        <f t="array" ref="V40">INDEX(PixelShiftPages,$B40+1)</f>
        <v>A3</v>
      </c>
      <c r="W40" t="str">
        <f t="shared" si="23"/>
        <v>A316</v>
      </c>
      <c r="X40" s="97" t="str">
        <f>pixel_shift_table.asm!$B$3</f>
        <v>A200</v>
      </c>
      <c r="Y40">
        <f t="shared" si="24"/>
        <v>278</v>
      </c>
      <c r="Z40" s="75"/>
      <c r="AA40">
        <f t="shared" si="25"/>
        <v>406</v>
      </c>
      <c r="AB40" s="36"/>
      <c r="AF40" s="99" t="str" cm="1">
        <f t="array" ref="AF40">INDEX(PixelShiftPatternTable,INT(Y40/COLUMNS(PixelShiftPatternTable))+1,MOD(Y40,COLUMNS(PixelShiftPatternTable))+1)</f>
        <v>AC</v>
      </c>
      <c r="AG40" t="str">
        <f t="shared" si="26"/>
        <v>10101100</v>
      </c>
      <c r="AH40" t="str">
        <f t="shared" si="27"/>
        <v>0101100</v>
      </c>
      <c r="AI40" t="str" cm="1">
        <f t="array" ref="AI40">ReverseString(AH40)</f>
        <v>0011010</v>
      </c>
      <c r="AK40" s="99" t="str" cm="1">
        <f t="array" ref="AK40">INDEX(PixelShiftPatternTable,INT(AA40/COLUMNS(PixelShiftPatternTable))+1,MOD(AA40,COLUMNS(PixelShiftPatternTable))+1)</f>
        <v>80</v>
      </c>
      <c r="AL40" t="str">
        <f t="shared" si="28"/>
        <v>10000000</v>
      </c>
      <c r="AM40" t="str">
        <f t="shared" si="29"/>
        <v>0000000</v>
      </c>
      <c r="AN40" t="str" cm="1">
        <f t="array" ref="AN40">ReverseString(AM40)</f>
        <v>0000000</v>
      </c>
    </row>
    <row r="41" spans="1:40" outlineLevel="1" x14ac:dyDescent="0.3">
      <c r="B41" s="31">
        <v>2</v>
      </c>
      <c r="C41" s="34" t="str">
        <f t="shared" si="21"/>
        <v>0</v>
      </c>
      <c r="D41" s="35" t="str">
        <f t="shared" si="21"/>
        <v>0</v>
      </c>
      <c r="E41" s="35" t="str">
        <f t="shared" si="21"/>
        <v>0</v>
      </c>
      <c r="F41" s="35" t="str">
        <f t="shared" si="21"/>
        <v>1</v>
      </c>
      <c r="G41" s="35" t="str">
        <f t="shared" si="21"/>
        <v>1</v>
      </c>
      <c r="H41" s="35" t="str">
        <f t="shared" si="21"/>
        <v>0</v>
      </c>
      <c r="I41" s="35" t="str">
        <f t="shared" si="21"/>
        <v>1</v>
      </c>
      <c r="J41" s="34" t="str">
        <f t="shared" si="22"/>
        <v>0</v>
      </c>
      <c r="K41" s="35" t="str">
        <f t="shared" si="22"/>
        <v>0</v>
      </c>
      <c r="L41" s="35" t="str">
        <f t="shared" si="22"/>
        <v>0</v>
      </c>
      <c r="M41" s="35" t="str">
        <f t="shared" si="22"/>
        <v>0</v>
      </c>
      <c r="N41" s="35" t="str">
        <f t="shared" si="22"/>
        <v>0</v>
      </c>
      <c r="O41" s="35" t="str">
        <f t="shared" si="22"/>
        <v>0</v>
      </c>
      <c r="P41" s="35" t="str">
        <f t="shared" si="22"/>
        <v>0</v>
      </c>
      <c r="T41" s="96" t="str">
        <f t="shared" si="30"/>
        <v>16</v>
      </c>
      <c r="U41" s="96"/>
      <c r="V41" s="98" t="str" cm="1">
        <f t="array" ref="V41">INDEX(PixelShiftPages,$B41+1)</f>
        <v>A4</v>
      </c>
      <c r="W41" t="str">
        <f t="shared" si="23"/>
        <v>A416</v>
      </c>
      <c r="X41" s="97" t="str">
        <f>pixel_shift_table.asm!$B$3</f>
        <v>A200</v>
      </c>
      <c r="Y41">
        <f t="shared" si="24"/>
        <v>534</v>
      </c>
      <c r="Z41" s="75"/>
      <c r="AA41">
        <f t="shared" si="25"/>
        <v>662</v>
      </c>
      <c r="AB41" s="36"/>
      <c r="AF41" s="99" t="str" cm="1">
        <f t="array" ref="AF41">INDEX(PixelShiftPatternTable,INT(Y41/COLUMNS(PixelShiftPatternTable))+1,MOD(Y41,COLUMNS(PixelShiftPatternTable))+1)</f>
        <v>D8</v>
      </c>
      <c r="AG41" t="str">
        <f t="shared" si="26"/>
        <v>11011000</v>
      </c>
      <c r="AH41" t="str">
        <f t="shared" si="27"/>
        <v>1011000</v>
      </c>
      <c r="AI41" t="str" cm="1">
        <f t="array" ref="AI41">ReverseString(AH41)</f>
        <v>0001101</v>
      </c>
      <c r="AK41" s="99" t="str" cm="1">
        <f t="array" ref="AK41">INDEX(PixelShiftPatternTable,INT(AA41/COLUMNS(PixelShiftPatternTable))+1,MOD(AA41,COLUMNS(PixelShiftPatternTable))+1)</f>
        <v>80</v>
      </c>
      <c r="AL41" t="str">
        <f t="shared" si="28"/>
        <v>10000000</v>
      </c>
      <c r="AM41" t="str">
        <f t="shared" si="29"/>
        <v>0000000</v>
      </c>
      <c r="AN41" t="str" cm="1">
        <f t="array" ref="AN41">ReverseString(AM41)</f>
        <v>0000000</v>
      </c>
    </row>
    <row r="42" spans="1:40" outlineLevel="1" x14ac:dyDescent="0.3">
      <c r="B42" s="31">
        <v>3</v>
      </c>
      <c r="C42" s="34" t="str">
        <f t="shared" si="21"/>
        <v>0</v>
      </c>
      <c r="D42" s="35" t="str">
        <f t="shared" si="21"/>
        <v>0</v>
      </c>
      <c r="E42" s="35" t="str">
        <f t="shared" si="21"/>
        <v>0</v>
      </c>
      <c r="F42" s="35" t="str">
        <f t="shared" si="21"/>
        <v>0</v>
      </c>
      <c r="G42" s="35" t="str">
        <f t="shared" si="21"/>
        <v>1</v>
      </c>
      <c r="H42" s="35" t="str">
        <f t="shared" si="21"/>
        <v>1</v>
      </c>
      <c r="I42" s="35" t="str">
        <f t="shared" si="21"/>
        <v>0</v>
      </c>
      <c r="J42" s="34" t="str">
        <f t="shared" si="22"/>
        <v>1</v>
      </c>
      <c r="K42" s="35" t="str">
        <f t="shared" si="22"/>
        <v>0</v>
      </c>
      <c r="L42" s="35" t="str">
        <f t="shared" si="22"/>
        <v>0</v>
      </c>
      <c r="M42" s="35" t="str">
        <f t="shared" si="22"/>
        <v>0</v>
      </c>
      <c r="N42" s="35" t="str">
        <f t="shared" si="22"/>
        <v>0</v>
      </c>
      <c r="O42" s="35" t="str">
        <f t="shared" si="22"/>
        <v>0</v>
      </c>
      <c r="P42" s="35" t="str">
        <f t="shared" si="22"/>
        <v>0</v>
      </c>
      <c r="T42" s="96" t="str">
        <f t="shared" si="30"/>
        <v>16</v>
      </c>
      <c r="U42" s="96"/>
      <c r="V42" s="98" t="str" cm="1">
        <f t="array" ref="V42">INDEX(PixelShiftPages,$B42+1)</f>
        <v>A5</v>
      </c>
      <c r="W42" t="str">
        <f t="shared" si="23"/>
        <v>A516</v>
      </c>
      <c r="X42" s="97" t="str">
        <f>pixel_shift_table.asm!$B$3</f>
        <v>A200</v>
      </c>
      <c r="Y42">
        <f t="shared" si="24"/>
        <v>790</v>
      </c>
      <c r="Z42" s="75"/>
      <c r="AA42">
        <f t="shared" si="25"/>
        <v>918</v>
      </c>
      <c r="AB42" s="36"/>
      <c r="AF42" s="99" t="str" cm="1">
        <f t="array" ref="AF42">INDEX(PixelShiftPatternTable,INT(Y42/COLUMNS(PixelShiftPatternTable))+1,MOD(Y42,COLUMNS(PixelShiftPatternTable))+1)</f>
        <v>B0</v>
      </c>
      <c r="AG42" t="str">
        <f t="shared" si="26"/>
        <v>10110000</v>
      </c>
      <c r="AH42" t="str">
        <f t="shared" si="27"/>
        <v>0110000</v>
      </c>
      <c r="AI42" t="str" cm="1">
        <f t="array" ref="AI42">ReverseString(AH42)</f>
        <v>0000110</v>
      </c>
      <c r="AK42" s="99" t="str" cm="1">
        <f t="array" ref="AK42">INDEX(PixelShiftPatternTable,INT(AA42/COLUMNS(PixelShiftPatternTable))+1,MOD(AA42,COLUMNS(PixelShiftPatternTable))+1)</f>
        <v>81</v>
      </c>
      <c r="AL42" t="str">
        <f t="shared" si="28"/>
        <v>10000001</v>
      </c>
      <c r="AM42" t="str">
        <f t="shared" si="29"/>
        <v>0000001</v>
      </c>
      <c r="AN42" t="str" cm="1">
        <f t="array" ref="AN42">ReverseString(AM42)</f>
        <v>1000000</v>
      </c>
    </row>
    <row r="43" spans="1:40" outlineLevel="1" x14ac:dyDescent="0.3">
      <c r="B43" s="31">
        <v>4</v>
      </c>
      <c r="C43" s="34" t="str">
        <f t="shared" si="21"/>
        <v>0</v>
      </c>
      <c r="D43" s="35" t="str">
        <f t="shared" si="21"/>
        <v>0</v>
      </c>
      <c r="E43" s="35" t="str">
        <f t="shared" si="21"/>
        <v>0</v>
      </c>
      <c r="F43" s="35" t="str">
        <f t="shared" si="21"/>
        <v>0</v>
      </c>
      <c r="G43" s="35" t="str">
        <f t="shared" si="21"/>
        <v>0</v>
      </c>
      <c r="H43" s="35" t="str">
        <f t="shared" si="21"/>
        <v>1</v>
      </c>
      <c r="I43" s="35" t="str">
        <f t="shared" si="21"/>
        <v>1</v>
      </c>
      <c r="J43" s="34" t="str">
        <f t="shared" si="22"/>
        <v>0</v>
      </c>
      <c r="K43" s="35" t="str">
        <f t="shared" si="22"/>
        <v>1</v>
      </c>
      <c r="L43" s="35" t="str">
        <f t="shared" si="22"/>
        <v>0</v>
      </c>
      <c r="M43" s="35" t="str">
        <f t="shared" si="22"/>
        <v>0</v>
      </c>
      <c r="N43" s="35" t="str">
        <f t="shared" si="22"/>
        <v>0</v>
      </c>
      <c r="O43" s="35" t="str">
        <f t="shared" si="22"/>
        <v>0</v>
      </c>
      <c r="P43" s="35" t="str">
        <f t="shared" si="22"/>
        <v>0</v>
      </c>
      <c r="T43" s="96" t="str">
        <f t="shared" si="30"/>
        <v>16</v>
      </c>
      <c r="U43" s="96"/>
      <c r="V43" s="98" t="str" cm="1">
        <f t="array" ref="V43">INDEX(PixelShiftPages,$B43+1)</f>
        <v>A6</v>
      </c>
      <c r="W43" t="str">
        <f t="shared" si="23"/>
        <v>A616</v>
      </c>
      <c r="X43" s="97" t="str">
        <f>pixel_shift_table.asm!$B$3</f>
        <v>A200</v>
      </c>
      <c r="Y43">
        <f t="shared" si="24"/>
        <v>1046</v>
      </c>
      <c r="Z43" s="75"/>
      <c r="AA43">
        <f t="shared" si="25"/>
        <v>1174</v>
      </c>
      <c r="AB43" s="36"/>
      <c r="AF43" s="99" t="str" cm="1">
        <f t="array" ref="AF43">INDEX(PixelShiftPatternTable,INT(Y43/COLUMNS(PixelShiftPatternTable))+1,MOD(Y43,COLUMNS(PixelShiftPatternTable))+1)</f>
        <v>E0</v>
      </c>
      <c r="AG43" t="str">
        <f t="shared" si="26"/>
        <v>11100000</v>
      </c>
      <c r="AH43" t="str">
        <f t="shared" si="27"/>
        <v>1100000</v>
      </c>
      <c r="AI43" t="str" cm="1">
        <f t="array" ref="AI43">ReverseString(AH43)</f>
        <v>0000011</v>
      </c>
      <c r="AK43" s="99" t="str" cm="1">
        <f t="array" ref="AK43">INDEX(PixelShiftPatternTable,INT(AA43/COLUMNS(PixelShiftPatternTable))+1,MOD(AA43,COLUMNS(PixelShiftPatternTable))+1)</f>
        <v>82</v>
      </c>
      <c r="AL43" t="str">
        <f t="shared" si="28"/>
        <v>10000010</v>
      </c>
      <c r="AM43" t="str">
        <f t="shared" si="29"/>
        <v>0000010</v>
      </c>
      <c r="AN43" t="str" cm="1">
        <f t="array" ref="AN43">ReverseString(AM43)</f>
        <v>0100000</v>
      </c>
    </row>
    <row r="44" spans="1:40" outlineLevel="1" x14ac:dyDescent="0.3">
      <c r="B44" s="31">
        <v>5</v>
      </c>
      <c r="C44" s="34" t="str">
        <f t="shared" si="21"/>
        <v>0</v>
      </c>
      <c r="D44" s="35" t="str">
        <f t="shared" si="21"/>
        <v>0</v>
      </c>
      <c r="E44" s="35" t="str">
        <f t="shared" si="21"/>
        <v>0</v>
      </c>
      <c r="F44" s="35" t="str">
        <f t="shared" si="21"/>
        <v>0</v>
      </c>
      <c r="G44" s="35" t="str">
        <f t="shared" si="21"/>
        <v>0</v>
      </c>
      <c r="H44" s="35" t="str">
        <f t="shared" si="21"/>
        <v>0</v>
      </c>
      <c r="I44" s="35" t="str">
        <f t="shared" si="21"/>
        <v>1</v>
      </c>
      <c r="J44" s="34" t="str">
        <f t="shared" si="22"/>
        <v>1</v>
      </c>
      <c r="K44" s="35" t="str">
        <f t="shared" si="22"/>
        <v>0</v>
      </c>
      <c r="L44" s="35" t="str">
        <f t="shared" si="22"/>
        <v>1</v>
      </c>
      <c r="M44" s="35" t="str">
        <f t="shared" si="22"/>
        <v>0</v>
      </c>
      <c r="N44" s="35" t="str">
        <f t="shared" si="22"/>
        <v>0</v>
      </c>
      <c r="O44" s="35" t="str">
        <f t="shared" si="22"/>
        <v>0</v>
      </c>
      <c r="P44" s="35" t="str">
        <f t="shared" si="22"/>
        <v>0</v>
      </c>
      <c r="T44" s="96" t="str">
        <f t="shared" si="30"/>
        <v>16</v>
      </c>
      <c r="U44" s="96"/>
      <c r="V44" s="98" t="str" cm="1">
        <f t="array" ref="V44">INDEX(PixelShiftPages,$B44+1)</f>
        <v>A7</v>
      </c>
      <c r="W44" t="str">
        <f t="shared" si="23"/>
        <v>A716</v>
      </c>
      <c r="X44" s="97" t="str">
        <f>pixel_shift_table.asm!$B$3</f>
        <v>A200</v>
      </c>
      <c r="Y44">
        <f t="shared" si="24"/>
        <v>1302</v>
      </c>
      <c r="Z44" s="75"/>
      <c r="AA44">
        <f t="shared" si="25"/>
        <v>1430</v>
      </c>
      <c r="AB44" s="36"/>
      <c r="AF44" s="99" t="str" cm="1">
        <f t="array" ref="AF44">INDEX(PixelShiftPatternTable,INT(Y44/COLUMNS(PixelShiftPatternTable))+1,MOD(Y44,COLUMNS(PixelShiftPatternTable))+1)</f>
        <v>C0</v>
      </c>
      <c r="AG44" t="str">
        <f t="shared" si="26"/>
        <v>11000000</v>
      </c>
      <c r="AH44" t="str">
        <f t="shared" si="27"/>
        <v>1000000</v>
      </c>
      <c r="AI44" t="str" cm="1">
        <f t="array" ref="AI44">ReverseString(AH44)</f>
        <v>0000001</v>
      </c>
      <c r="AK44" s="99" t="str" cm="1">
        <f t="array" ref="AK44">INDEX(PixelShiftPatternTable,INT(AA44/COLUMNS(PixelShiftPatternTable))+1,MOD(AA44,COLUMNS(PixelShiftPatternTable))+1)</f>
        <v>85</v>
      </c>
      <c r="AL44" t="str">
        <f t="shared" si="28"/>
        <v>10000101</v>
      </c>
      <c r="AM44" t="str">
        <f t="shared" si="29"/>
        <v>0000101</v>
      </c>
      <c r="AN44" t="str" cm="1">
        <f t="array" ref="AN44">ReverseString(AM44)</f>
        <v>1010000</v>
      </c>
    </row>
    <row r="45" spans="1:40" outlineLevel="1" x14ac:dyDescent="0.3">
      <c r="B45" s="31">
        <v>6</v>
      </c>
      <c r="C45" s="34" t="str">
        <f t="shared" si="21"/>
        <v>0</v>
      </c>
      <c r="D45" s="35" t="str">
        <f t="shared" si="21"/>
        <v>0</v>
      </c>
      <c r="E45" s="35" t="str">
        <f t="shared" si="21"/>
        <v>0</v>
      </c>
      <c r="F45" s="35" t="str">
        <f t="shared" si="21"/>
        <v>0</v>
      </c>
      <c r="G45" s="35" t="str">
        <f t="shared" si="21"/>
        <v>0</v>
      </c>
      <c r="H45" s="35" t="str">
        <f t="shared" si="21"/>
        <v>0</v>
      </c>
      <c r="I45" s="35" t="str">
        <f t="shared" si="21"/>
        <v>0</v>
      </c>
      <c r="J45" s="34" t="str">
        <f t="shared" si="22"/>
        <v>1</v>
      </c>
      <c r="K45" s="35" t="str">
        <f t="shared" si="22"/>
        <v>1</v>
      </c>
      <c r="L45" s="35" t="str">
        <f t="shared" si="22"/>
        <v>0</v>
      </c>
      <c r="M45" s="35" t="str">
        <f t="shared" si="22"/>
        <v>1</v>
      </c>
      <c r="N45" s="35" t="str">
        <f t="shared" si="22"/>
        <v>0</v>
      </c>
      <c r="O45" s="35" t="str">
        <f t="shared" si="22"/>
        <v>0</v>
      </c>
      <c r="P45" s="35" t="str">
        <f t="shared" si="22"/>
        <v>0</v>
      </c>
      <c r="T45" s="96" t="str">
        <f t="shared" si="30"/>
        <v>16</v>
      </c>
      <c r="U45" s="96"/>
      <c r="V45" s="98" t="str" cm="1">
        <f t="array" ref="V45">INDEX(PixelShiftPages,$B45+1)</f>
        <v>A8</v>
      </c>
      <c r="W45" t="str">
        <f t="shared" si="23"/>
        <v>A816</v>
      </c>
      <c r="X45" s="97" t="str">
        <f>pixel_shift_table.asm!$B$3</f>
        <v>A200</v>
      </c>
      <c r="Y45">
        <f t="shared" si="24"/>
        <v>1558</v>
      </c>
      <c r="Z45" s="75"/>
      <c r="AA45">
        <f t="shared" si="25"/>
        <v>1686</v>
      </c>
      <c r="AB45" s="36"/>
      <c r="AF45" s="99" t="str" cm="1">
        <f t="array" ref="AF45">INDEX(PixelShiftPatternTable,INT(Y45/COLUMNS(PixelShiftPatternTable))+1,MOD(Y45,COLUMNS(PixelShiftPatternTable))+1)</f>
        <v>80</v>
      </c>
      <c r="AG45" t="str">
        <f t="shared" si="26"/>
        <v>10000000</v>
      </c>
      <c r="AH45" t="str">
        <f t="shared" si="27"/>
        <v>0000000</v>
      </c>
      <c r="AI45" t="str" cm="1">
        <f t="array" ref="AI45">ReverseString(AH45)</f>
        <v>0000000</v>
      </c>
      <c r="AK45" s="99" t="str" cm="1">
        <f t="array" ref="AK45">INDEX(PixelShiftPatternTable,INT(AA45/COLUMNS(PixelShiftPatternTable))+1,MOD(AA45,COLUMNS(PixelShiftPatternTable))+1)</f>
        <v>8B</v>
      </c>
      <c r="AL45" t="str">
        <f t="shared" si="28"/>
        <v>10001011</v>
      </c>
      <c r="AM45" t="str">
        <f t="shared" si="29"/>
        <v>0001011</v>
      </c>
      <c r="AN45" t="str" cm="1">
        <f t="array" ref="AN45">ReverseString(AM45)</f>
        <v>1101000</v>
      </c>
    </row>
    <row r="46" spans="1:40" outlineLevel="1" x14ac:dyDescent="0.3"/>
    <row r="47" spans="1:40" outlineLevel="1" x14ac:dyDescent="0.3"/>
    <row r="48" spans="1:40" s="111" customFormat="1" x14ac:dyDescent="0.3">
      <c r="A48" s="119"/>
    </row>
  </sheetData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09DF-C063-426B-A3E2-BBB436B1EBCB}">
  <sheetPr codeName="Tabelle14"/>
  <dimension ref="A1:AZ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6.58203125" style="5" customWidth="1"/>
    <col min="2" max="17" width="2.83203125" customWidth="1"/>
    <col min="18" max="19" width="3.58203125" customWidth="1"/>
    <col min="20" max="35" width="5.58203125" style="5" customWidth="1"/>
    <col min="36" max="36" width="3.58203125" customWidth="1"/>
    <col min="37" max="52" width="2.83203125" customWidth="1"/>
  </cols>
  <sheetData>
    <row r="1" spans="1:52" x14ac:dyDescent="0.3">
      <c r="B1" s="40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  <c r="T1">
        <f>HEX2DEC(pixel_pattern_table.asm!$B$2)</f>
        <v>43264</v>
      </c>
    </row>
    <row r="2" spans="1:52" x14ac:dyDescent="0.3">
      <c r="A2" s="29"/>
      <c r="B2" s="41" t="str">
        <f>DEC2HEX(B1)</f>
        <v>0</v>
      </c>
      <c r="C2" s="29" t="str">
        <f t="shared" ref="C2:Q2" si="1">DEC2HEX(C1)</f>
        <v>1</v>
      </c>
      <c r="D2" s="29" t="str">
        <f t="shared" si="1"/>
        <v>2</v>
      </c>
      <c r="E2" s="29" t="str">
        <f t="shared" si="1"/>
        <v>3</v>
      </c>
      <c r="F2" s="29" t="str">
        <f t="shared" si="1"/>
        <v>4</v>
      </c>
      <c r="G2" s="29" t="str">
        <f t="shared" si="1"/>
        <v>5</v>
      </c>
      <c r="H2" s="29" t="str">
        <f t="shared" si="1"/>
        <v>6</v>
      </c>
      <c r="I2" s="29" t="str">
        <f t="shared" si="1"/>
        <v>7</v>
      </c>
      <c r="J2" s="29" t="str">
        <f t="shared" si="1"/>
        <v>8</v>
      </c>
      <c r="K2" s="29" t="str">
        <f t="shared" si="1"/>
        <v>9</v>
      </c>
      <c r="L2" s="29" t="str">
        <f t="shared" si="1"/>
        <v>A</v>
      </c>
      <c r="M2" s="29" t="str">
        <f t="shared" si="1"/>
        <v>B</v>
      </c>
      <c r="N2" s="29" t="str">
        <f t="shared" si="1"/>
        <v>C</v>
      </c>
      <c r="O2" s="29" t="str">
        <f t="shared" si="1"/>
        <v>D</v>
      </c>
      <c r="P2" s="29" t="str">
        <f t="shared" si="1"/>
        <v>E</v>
      </c>
      <c r="Q2" s="29" t="str">
        <f t="shared" si="1"/>
        <v>F</v>
      </c>
      <c r="AK2" s="41" t="s">
        <v>913</v>
      </c>
      <c r="AL2" s="29" t="s">
        <v>914</v>
      </c>
      <c r="AM2" s="29" t="s">
        <v>915</v>
      </c>
      <c r="AN2" s="29" t="s">
        <v>916</v>
      </c>
      <c r="AO2" s="29" t="s">
        <v>917</v>
      </c>
      <c r="AP2" s="29" t="s">
        <v>918</v>
      </c>
      <c r="AQ2" s="29" t="s">
        <v>919</v>
      </c>
      <c r="AR2" s="29" t="s">
        <v>920</v>
      </c>
      <c r="AS2" s="29" t="s">
        <v>921</v>
      </c>
      <c r="AT2" s="29" t="s">
        <v>922</v>
      </c>
      <c r="AU2" s="29" t="s">
        <v>923</v>
      </c>
      <c r="AV2" s="29" t="s">
        <v>924</v>
      </c>
      <c r="AW2" s="29" t="s">
        <v>925</v>
      </c>
      <c r="AX2" s="29" t="s">
        <v>926</v>
      </c>
      <c r="AY2" s="29" t="s">
        <v>927</v>
      </c>
      <c r="AZ2" s="29" t="s">
        <v>928</v>
      </c>
    </row>
    <row r="3" spans="1:52" x14ac:dyDescent="0.3">
      <c r="A3" s="57" t="s">
        <v>878</v>
      </c>
      <c r="B3" s="69" t="str">
        <f>pixel_shift_table.asm!C3</f>
        <v>00</v>
      </c>
      <c r="C3" s="70" t="str">
        <f>pixel_shift_table.asm!D3</f>
        <v>02</v>
      </c>
      <c r="D3" s="70" t="str">
        <f>pixel_shift_table.asm!E3</f>
        <v>04</v>
      </c>
      <c r="E3" s="70" t="str">
        <f>pixel_shift_table.asm!F3</f>
        <v>12</v>
      </c>
      <c r="F3" s="70" t="str">
        <f>pixel_shift_table.asm!G3</f>
        <v>06</v>
      </c>
      <c r="G3" s="70" t="str">
        <f>pixel_shift_table.asm!H3</f>
        <v>22</v>
      </c>
      <c r="H3" s="70" t="str">
        <f>pixel_shift_table.asm!I3</f>
        <v>14</v>
      </c>
      <c r="I3" s="70" t="str">
        <f>pixel_shift_table.asm!J3</f>
        <v>32</v>
      </c>
      <c r="J3" s="70" t="str">
        <f>pixel_shift_table.asm!K3</f>
        <v>08</v>
      </c>
      <c r="K3" s="70" t="str">
        <f>pixel_shift_table.asm!L3</f>
        <v>42</v>
      </c>
      <c r="L3" s="70" t="str">
        <f>pixel_shift_table.asm!M3</f>
        <v>24</v>
      </c>
      <c r="M3" s="70" t="str">
        <f>pixel_shift_table.asm!N3</f>
        <v>52</v>
      </c>
      <c r="N3" s="70" t="str">
        <f>pixel_shift_table.asm!O3</f>
        <v>16</v>
      </c>
      <c r="O3" s="70" t="str">
        <f>pixel_shift_table.asm!P3</f>
        <v>62</v>
      </c>
      <c r="P3" s="70" t="str">
        <f>pixel_shift_table.asm!Q3</f>
        <v>34</v>
      </c>
      <c r="Q3" s="70" t="str">
        <f>pixel_shift_table.asm!R3</f>
        <v>72</v>
      </c>
      <c r="S3">
        <f t="shared" ref="S3:S16" si="2">IF(RIGHT(A3,2)="00",0,S2+16)</f>
        <v>0</v>
      </c>
      <c r="T3" s="5" t="str">
        <f>B11&amp;B3</f>
        <v>A900</v>
      </c>
      <c r="U3" s="5" t="str">
        <f t="shared" ref="U3:AI3" si="3">C11&amp;C3</f>
        <v>A902</v>
      </c>
      <c r="V3" s="5" t="str">
        <f t="shared" si="3"/>
        <v>A904</v>
      </c>
      <c r="W3" s="5" t="str">
        <f t="shared" si="3"/>
        <v>A912</v>
      </c>
      <c r="X3" s="5" t="str">
        <f t="shared" si="3"/>
        <v>A906</v>
      </c>
      <c r="Y3" s="5" t="str">
        <f t="shared" si="3"/>
        <v>A922</v>
      </c>
      <c r="Z3" s="5" t="str">
        <f t="shared" si="3"/>
        <v>A914</v>
      </c>
      <c r="AA3" s="5" t="str">
        <f t="shared" si="3"/>
        <v>A932</v>
      </c>
      <c r="AB3" s="5" t="str">
        <f t="shared" si="3"/>
        <v>A908</v>
      </c>
      <c r="AC3" s="5" t="str">
        <f t="shared" si="3"/>
        <v>A942</v>
      </c>
      <c r="AD3" s="5" t="str">
        <f t="shared" si="3"/>
        <v>A924</v>
      </c>
      <c r="AE3" s="5" t="str">
        <f t="shared" si="3"/>
        <v>A952</v>
      </c>
      <c r="AF3" s="5" t="str">
        <f t="shared" si="3"/>
        <v>A916</v>
      </c>
      <c r="AG3" s="5" t="str">
        <f t="shared" si="3"/>
        <v>A962</v>
      </c>
      <c r="AH3" s="5" t="str">
        <f t="shared" si="3"/>
        <v>A934</v>
      </c>
      <c r="AI3" s="5" t="str">
        <f t="shared" si="3"/>
        <v>A972</v>
      </c>
      <c r="AK3" s="5" t="str" cm="1">
        <f t="array" ref="AK3">INDEX(_xlfn.TOROW(PixelPatternTable),HEX2DEC(T3)-$T$1+1)</f>
        <v>80</v>
      </c>
      <c r="AL3" s="5" t="str" cm="1">
        <f t="array" ref="AL3">INDEX(_xlfn.TOROW(PixelPatternTable),HEX2DEC(U3)-$T$1+1)</f>
        <v>81</v>
      </c>
      <c r="AM3" s="5" t="str" cm="1">
        <f t="array" ref="AM3">INDEX(_xlfn.TOROW(PixelPatternTable),HEX2DEC(V3)-$T$1+1)</f>
        <v>82</v>
      </c>
      <c r="AN3" s="5" t="str" cm="1">
        <f t="array" ref="AN3">INDEX(_xlfn.TOROW(PixelPatternTable),HEX2DEC(W3)-$T$1+1)</f>
        <v>83</v>
      </c>
      <c r="AO3" s="5" t="str" cm="1">
        <f t="array" ref="AO3">INDEX(_xlfn.TOROW(PixelPatternTable),HEX2DEC(X3)-$T$1+1)</f>
        <v>84</v>
      </c>
      <c r="AP3" s="5" t="str" cm="1">
        <f t="array" ref="AP3">INDEX(_xlfn.TOROW(PixelPatternTable),HEX2DEC(Y3)-$T$1+1)</f>
        <v>85</v>
      </c>
      <c r="AQ3" s="5" t="str" cm="1">
        <f t="array" ref="AQ3">INDEX(_xlfn.TOROW(PixelPatternTable),HEX2DEC(Z3)-$T$1+1)</f>
        <v>86</v>
      </c>
      <c r="AR3" s="5" t="str" cm="1">
        <f t="array" ref="AR3">INDEX(_xlfn.TOROW(PixelPatternTable),HEX2DEC(AA3)-$T$1+1)</f>
        <v>87</v>
      </c>
      <c r="AS3" s="5" t="str" cm="1">
        <f t="array" ref="AS3">INDEX(_xlfn.TOROW(PixelPatternTable),HEX2DEC(AB3)-$T$1+1)</f>
        <v>88</v>
      </c>
      <c r="AT3" s="5" t="str" cm="1">
        <f t="array" ref="AT3">INDEX(_xlfn.TOROW(PixelPatternTable),HEX2DEC(AC3)-$T$1+1)</f>
        <v>89</v>
      </c>
      <c r="AU3" s="5" t="str" cm="1">
        <f t="array" ref="AU3">INDEX(_xlfn.TOROW(PixelPatternTable),HEX2DEC(AD3)-$T$1+1)</f>
        <v>8A</v>
      </c>
      <c r="AV3" s="5" t="str" cm="1">
        <f t="array" ref="AV3">INDEX(_xlfn.TOROW(PixelPatternTable),HEX2DEC(AE3)-$T$1+1)</f>
        <v>8B</v>
      </c>
      <c r="AW3" s="5" t="str" cm="1">
        <f t="array" ref="AW3">INDEX(_xlfn.TOROW(PixelPatternTable),HEX2DEC(AF3)-$T$1+1)</f>
        <v>8C</v>
      </c>
      <c r="AX3" s="5" t="str" cm="1">
        <f t="array" ref="AX3">INDEX(_xlfn.TOROW(PixelPatternTable),HEX2DEC(AG3)-$T$1+1)</f>
        <v>8D</v>
      </c>
      <c r="AY3" s="5" t="str" cm="1">
        <f t="array" ref="AY3">INDEX(_xlfn.TOROW(PixelPatternTable),HEX2DEC(AH3)-$T$1+1)</f>
        <v>8E</v>
      </c>
      <c r="AZ3" s="5" t="str" cm="1">
        <f t="array" ref="AZ3">INDEX(_xlfn.TOROW(PixelPatternTable),HEX2DEC(AI3)-$T$1+1)</f>
        <v>8F</v>
      </c>
    </row>
    <row r="4" spans="1:52" x14ac:dyDescent="0.3">
      <c r="A4" s="5" t="str">
        <f>DEC2HEX(HEX2DEC(A3)+16)</f>
        <v>A210</v>
      </c>
      <c r="B4" s="71" t="str">
        <f>pixel_shift_table.asm!C4</f>
        <v>0A</v>
      </c>
      <c r="C4" s="72" t="str">
        <f>pixel_shift_table.asm!D4</f>
        <v>82</v>
      </c>
      <c r="D4" s="72" t="str">
        <f>pixel_shift_table.asm!E4</f>
        <v>44</v>
      </c>
      <c r="E4" s="72" t="str">
        <f>pixel_shift_table.asm!F4</f>
        <v>92</v>
      </c>
      <c r="F4" s="72" t="str">
        <f>pixel_shift_table.asm!G4</f>
        <v>26</v>
      </c>
      <c r="G4" s="72" t="str">
        <f>pixel_shift_table.asm!H4</f>
        <v>A2</v>
      </c>
      <c r="H4" s="72" t="str">
        <f>pixel_shift_table.asm!I4</f>
        <v>54</v>
      </c>
      <c r="I4" s="72" t="str">
        <f>pixel_shift_table.asm!J4</f>
        <v>B2</v>
      </c>
      <c r="J4" s="72" t="str">
        <f>pixel_shift_table.asm!K4</f>
        <v>18</v>
      </c>
      <c r="K4" s="72" t="str">
        <f>pixel_shift_table.asm!L4</f>
        <v>C2</v>
      </c>
      <c r="L4" s="72" t="str">
        <f>pixel_shift_table.asm!M4</f>
        <v>64</v>
      </c>
      <c r="M4" s="72" t="str">
        <f>pixel_shift_table.asm!N4</f>
        <v>D2</v>
      </c>
      <c r="N4" s="72" t="str">
        <f>pixel_shift_table.asm!O4</f>
        <v>36</v>
      </c>
      <c r="O4" s="72" t="str">
        <f>pixel_shift_table.asm!P4</f>
        <v>E2</v>
      </c>
      <c r="P4" s="72" t="str">
        <f>pixel_shift_table.asm!Q4</f>
        <v>74</v>
      </c>
      <c r="Q4" s="72" t="str">
        <f>pixel_shift_table.asm!R4</f>
        <v>F2</v>
      </c>
      <c r="S4">
        <f t="shared" si="2"/>
        <v>16</v>
      </c>
      <c r="T4" s="5" t="str">
        <f t="shared" ref="T4:T10" si="4">B12&amp;B4</f>
        <v>A90A</v>
      </c>
      <c r="U4" s="5" t="str">
        <f t="shared" ref="U4:U10" si="5">C12&amp;C4</f>
        <v>A982</v>
      </c>
      <c r="V4" s="5" t="str">
        <f t="shared" ref="V4:V10" si="6">D12&amp;D4</f>
        <v>A944</v>
      </c>
      <c r="W4" s="5" t="str">
        <f t="shared" ref="W4:W10" si="7">E12&amp;E4</f>
        <v>A992</v>
      </c>
      <c r="X4" s="5" t="str">
        <f t="shared" ref="X4:X10" si="8">F12&amp;F4</f>
        <v>A926</v>
      </c>
      <c r="Y4" s="5" t="str">
        <f t="shared" ref="Y4:Y10" si="9">G12&amp;G4</f>
        <v>A9A2</v>
      </c>
      <c r="Z4" s="5" t="str">
        <f t="shared" ref="Z4:Z10" si="10">H12&amp;H4</f>
        <v>A954</v>
      </c>
      <c r="AA4" s="5" t="str">
        <f t="shared" ref="AA4:AA10" si="11">I12&amp;I4</f>
        <v>A9B2</v>
      </c>
      <c r="AB4" s="5" t="str">
        <f t="shared" ref="AB4:AB10" si="12">J12&amp;J4</f>
        <v>A918</v>
      </c>
      <c r="AC4" s="5" t="str">
        <f t="shared" ref="AC4:AC10" si="13">K12&amp;K4</f>
        <v>A9C2</v>
      </c>
      <c r="AD4" s="5" t="str">
        <f t="shared" ref="AD4:AD10" si="14">L12&amp;L4</f>
        <v>A964</v>
      </c>
      <c r="AE4" s="5" t="str">
        <f t="shared" ref="AE4:AE10" si="15">M12&amp;M4</f>
        <v>A9D2</v>
      </c>
      <c r="AF4" s="5" t="str">
        <f t="shared" ref="AF4:AF10" si="16">N12&amp;N4</f>
        <v>A936</v>
      </c>
      <c r="AG4" s="5" t="str">
        <f t="shared" ref="AG4:AG10" si="17">O12&amp;O4</f>
        <v>A9E2</v>
      </c>
      <c r="AH4" s="5" t="str">
        <f t="shared" ref="AH4:AH10" si="18">P12&amp;P4</f>
        <v>A974</v>
      </c>
      <c r="AI4" s="5" t="str">
        <f t="shared" ref="AI4:AI10" si="19">Q12&amp;Q4</f>
        <v>A9F2</v>
      </c>
      <c r="AK4" s="5" t="str" cm="1">
        <f t="array" ref="AK4">INDEX(_xlfn.TOROW(PixelPatternTable),HEX2DEC(T4)-$T$1+1)</f>
        <v>90</v>
      </c>
      <c r="AL4" s="5" t="str" cm="1">
        <f t="array" ref="AL4">INDEX(_xlfn.TOROW(PixelPatternTable),HEX2DEC(U4)-$T$1+1)</f>
        <v>91</v>
      </c>
      <c r="AM4" s="5" t="str" cm="1">
        <f t="array" ref="AM4">INDEX(_xlfn.TOROW(PixelPatternTable),HEX2DEC(V4)-$T$1+1)</f>
        <v>92</v>
      </c>
      <c r="AN4" s="5" t="str" cm="1">
        <f t="array" ref="AN4">INDEX(_xlfn.TOROW(PixelPatternTable),HEX2DEC(W4)-$T$1+1)</f>
        <v>93</v>
      </c>
      <c r="AO4" s="5" t="str" cm="1">
        <f t="array" ref="AO4">INDEX(_xlfn.TOROW(PixelPatternTable),HEX2DEC(X4)-$T$1+1)</f>
        <v>94</v>
      </c>
      <c r="AP4" s="5" t="str" cm="1">
        <f t="array" ref="AP4">INDEX(_xlfn.TOROW(PixelPatternTable),HEX2DEC(Y4)-$T$1+1)</f>
        <v>95</v>
      </c>
      <c r="AQ4" s="5" t="str" cm="1">
        <f t="array" ref="AQ4">INDEX(_xlfn.TOROW(PixelPatternTable),HEX2DEC(Z4)-$T$1+1)</f>
        <v>96</v>
      </c>
      <c r="AR4" s="5" t="str" cm="1">
        <f t="array" ref="AR4">INDEX(_xlfn.TOROW(PixelPatternTable),HEX2DEC(AA4)-$T$1+1)</f>
        <v>97</v>
      </c>
      <c r="AS4" s="5" t="str" cm="1">
        <f t="array" ref="AS4">INDEX(_xlfn.TOROW(PixelPatternTable),HEX2DEC(AB4)-$T$1+1)</f>
        <v>98</v>
      </c>
      <c r="AT4" s="5" t="str" cm="1">
        <f t="array" ref="AT4">INDEX(_xlfn.TOROW(PixelPatternTable),HEX2DEC(AC4)-$T$1+1)</f>
        <v>99</v>
      </c>
      <c r="AU4" s="5" t="str" cm="1">
        <f t="array" ref="AU4">INDEX(_xlfn.TOROW(PixelPatternTable),HEX2DEC(AD4)-$T$1+1)</f>
        <v>9A</v>
      </c>
      <c r="AV4" s="5" t="str" cm="1">
        <f t="array" ref="AV4">INDEX(_xlfn.TOROW(PixelPatternTable),HEX2DEC(AE4)-$T$1+1)</f>
        <v>9B</v>
      </c>
      <c r="AW4" s="5" t="str" cm="1">
        <f t="array" ref="AW4">INDEX(_xlfn.TOROW(PixelPatternTable),HEX2DEC(AF4)-$T$1+1)</f>
        <v>9C</v>
      </c>
      <c r="AX4" s="5" t="str" cm="1">
        <f t="array" ref="AX4">INDEX(_xlfn.TOROW(PixelPatternTable),HEX2DEC(AG4)-$T$1+1)</f>
        <v>9D</v>
      </c>
      <c r="AY4" s="5" t="str" cm="1">
        <f t="array" ref="AY4">INDEX(_xlfn.TOROW(PixelPatternTable),HEX2DEC(AH4)-$T$1+1)</f>
        <v>9E</v>
      </c>
      <c r="AZ4" s="5" t="str" cm="1">
        <f t="array" ref="AZ4">INDEX(_xlfn.TOROW(PixelPatternTable),HEX2DEC(AI4)-$T$1+1)</f>
        <v>9F</v>
      </c>
    </row>
    <row r="5" spans="1:52" x14ac:dyDescent="0.3">
      <c r="A5" s="5" t="str">
        <f t="shared" ref="A5:A68" si="20">DEC2HEX(HEX2DEC(A4)+16)</f>
        <v>A220</v>
      </c>
      <c r="B5" s="71" t="str">
        <f>pixel_shift_table.asm!C5</f>
        <v>0C</v>
      </c>
      <c r="C5" s="72" t="str">
        <f>pixel_shift_table.asm!D5</f>
        <v>02</v>
      </c>
      <c r="D5" s="72" t="str">
        <f>pixel_shift_table.asm!E5</f>
        <v>84</v>
      </c>
      <c r="E5" s="72" t="str">
        <f>pixel_shift_table.asm!F5</f>
        <v>12</v>
      </c>
      <c r="F5" s="72" t="str">
        <f>pixel_shift_table.asm!G5</f>
        <v>46</v>
      </c>
      <c r="G5" s="72" t="str">
        <f>pixel_shift_table.asm!H5</f>
        <v>22</v>
      </c>
      <c r="H5" s="72" t="str">
        <f>pixel_shift_table.asm!I5</f>
        <v>94</v>
      </c>
      <c r="I5" s="72" t="str">
        <f>pixel_shift_table.asm!J5</f>
        <v>32</v>
      </c>
      <c r="J5" s="72" t="str">
        <f>pixel_shift_table.asm!K5</f>
        <v>28</v>
      </c>
      <c r="K5" s="72" t="str">
        <f>pixel_shift_table.asm!L5</f>
        <v>42</v>
      </c>
      <c r="L5" s="72" t="str">
        <f>pixel_shift_table.asm!M5</f>
        <v>A4</v>
      </c>
      <c r="M5" s="72" t="str">
        <f>pixel_shift_table.asm!N5</f>
        <v>52</v>
      </c>
      <c r="N5" s="72" t="str">
        <f>pixel_shift_table.asm!O5</f>
        <v>56</v>
      </c>
      <c r="O5" s="72" t="str">
        <f>pixel_shift_table.asm!P5</f>
        <v>62</v>
      </c>
      <c r="P5" s="72" t="str">
        <f>pixel_shift_table.asm!Q5</f>
        <v>B4</v>
      </c>
      <c r="Q5" s="72" t="str">
        <f>pixel_shift_table.asm!R5</f>
        <v>72</v>
      </c>
      <c r="S5">
        <f t="shared" si="2"/>
        <v>32</v>
      </c>
      <c r="T5" s="5" t="str">
        <f t="shared" si="4"/>
        <v>A90C</v>
      </c>
      <c r="U5" s="5" t="str">
        <f t="shared" si="5"/>
        <v>AA02</v>
      </c>
      <c r="V5" s="5" t="str">
        <f t="shared" si="6"/>
        <v>A984</v>
      </c>
      <c r="W5" s="5" t="str">
        <f t="shared" si="7"/>
        <v>AA12</v>
      </c>
      <c r="X5" s="5" t="str">
        <f t="shared" si="8"/>
        <v>A946</v>
      </c>
      <c r="Y5" s="5" t="str">
        <f t="shared" si="9"/>
        <v>AA22</v>
      </c>
      <c r="Z5" s="5" t="str">
        <f t="shared" si="10"/>
        <v>A994</v>
      </c>
      <c r="AA5" s="5" t="str">
        <f t="shared" si="11"/>
        <v>AA32</v>
      </c>
      <c r="AB5" s="5" t="str">
        <f t="shared" si="12"/>
        <v>A928</v>
      </c>
      <c r="AC5" s="5" t="str">
        <f t="shared" si="13"/>
        <v>AA42</v>
      </c>
      <c r="AD5" s="5" t="str">
        <f t="shared" si="14"/>
        <v>A9A4</v>
      </c>
      <c r="AE5" s="5" t="str">
        <f t="shared" si="15"/>
        <v>AA52</v>
      </c>
      <c r="AF5" s="5" t="str">
        <f t="shared" si="16"/>
        <v>A956</v>
      </c>
      <c r="AG5" s="5" t="str">
        <f t="shared" si="17"/>
        <v>AA62</v>
      </c>
      <c r="AH5" s="5" t="str">
        <f t="shared" si="18"/>
        <v>A9B4</v>
      </c>
      <c r="AI5" s="5" t="str">
        <f t="shared" si="19"/>
        <v>AA72</v>
      </c>
      <c r="AK5" s="5" t="str" cm="1">
        <f t="array" ref="AK5">INDEX(_xlfn.TOROW(PixelPatternTable),HEX2DEC(T5)-$T$1+1)</f>
        <v>A0</v>
      </c>
      <c r="AL5" s="5" t="str" cm="1">
        <f t="array" ref="AL5">INDEX(_xlfn.TOROW(PixelPatternTable),HEX2DEC(U5)-$T$1+1)</f>
        <v>A1</v>
      </c>
      <c r="AM5" s="5" t="str" cm="1">
        <f t="array" ref="AM5">INDEX(_xlfn.TOROW(PixelPatternTable),HEX2DEC(V5)-$T$1+1)</f>
        <v>A2</v>
      </c>
      <c r="AN5" s="5" t="str" cm="1">
        <f t="array" ref="AN5">INDEX(_xlfn.TOROW(PixelPatternTable),HEX2DEC(W5)-$T$1+1)</f>
        <v>A3</v>
      </c>
      <c r="AO5" s="5" t="str" cm="1">
        <f t="array" ref="AO5">INDEX(_xlfn.TOROW(PixelPatternTable),HEX2DEC(X5)-$T$1+1)</f>
        <v>A4</v>
      </c>
      <c r="AP5" s="5" t="str" cm="1">
        <f t="array" ref="AP5">INDEX(_xlfn.TOROW(PixelPatternTable),HEX2DEC(Y5)-$T$1+1)</f>
        <v>A5</v>
      </c>
      <c r="AQ5" s="5" t="str" cm="1">
        <f t="array" ref="AQ5">INDEX(_xlfn.TOROW(PixelPatternTable),HEX2DEC(Z5)-$T$1+1)</f>
        <v>A6</v>
      </c>
      <c r="AR5" s="5" t="str" cm="1">
        <f t="array" ref="AR5">INDEX(_xlfn.TOROW(PixelPatternTable),HEX2DEC(AA5)-$T$1+1)</f>
        <v>A7</v>
      </c>
      <c r="AS5" s="5" t="str" cm="1">
        <f t="array" ref="AS5">INDEX(_xlfn.TOROW(PixelPatternTable),HEX2DEC(AB5)-$T$1+1)</f>
        <v>A8</v>
      </c>
      <c r="AT5" s="5" t="str" cm="1">
        <f t="array" ref="AT5">INDEX(_xlfn.TOROW(PixelPatternTable),HEX2DEC(AC5)-$T$1+1)</f>
        <v>A9</v>
      </c>
      <c r="AU5" s="5" t="str" cm="1">
        <f t="array" ref="AU5">INDEX(_xlfn.TOROW(PixelPatternTable),HEX2DEC(AD5)-$T$1+1)</f>
        <v>AA</v>
      </c>
      <c r="AV5" s="5" t="str" cm="1">
        <f t="array" ref="AV5">INDEX(_xlfn.TOROW(PixelPatternTable),HEX2DEC(AE5)-$T$1+1)</f>
        <v>AB</v>
      </c>
      <c r="AW5" s="5" t="str" cm="1">
        <f t="array" ref="AW5">INDEX(_xlfn.TOROW(PixelPatternTable),HEX2DEC(AF5)-$T$1+1)</f>
        <v>AC</v>
      </c>
      <c r="AX5" s="5" t="str" cm="1">
        <f t="array" ref="AX5">INDEX(_xlfn.TOROW(PixelPatternTable),HEX2DEC(AG5)-$T$1+1)</f>
        <v>AD</v>
      </c>
      <c r="AY5" s="5" t="str" cm="1">
        <f t="array" ref="AY5">INDEX(_xlfn.TOROW(PixelPatternTable),HEX2DEC(AH5)-$T$1+1)</f>
        <v>AE</v>
      </c>
      <c r="AZ5" s="5" t="str" cm="1">
        <f t="array" ref="AZ5">INDEX(_xlfn.TOROW(PixelPatternTable),HEX2DEC(AI5)-$T$1+1)</f>
        <v>AF</v>
      </c>
    </row>
    <row r="6" spans="1:52" x14ac:dyDescent="0.3">
      <c r="A6" s="5" t="str">
        <f t="shared" si="20"/>
        <v>A230</v>
      </c>
      <c r="B6" s="71" t="str">
        <f>pixel_shift_table.asm!C6</f>
        <v>1A</v>
      </c>
      <c r="C6" s="72" t="str">
        <f>pixel_shift_table.asm!D6</f>
        <v>82</v>
      </c>
      <c r="D6" s="72" t="str">
        <f>pixel_shift_table.asm!E6</f>
        <v>C4</v>
      </c>
      <c r="E6" s="72" t="str">
        <f>pixel_shift_table.asm!F6</f>
        <v>92</v>
      </c>
      <c r="F6" s="72" t="str">
        <f>pixel_shift_table.asm!G6</f>
        <v>66</v>
      </c>
      <c r="G6" s="72" t="str">
        <f>pixel_shift_table.asm!H6</f>
        <v>A2</v>
      </c>
      <c r="H6" s="72" t="str">
        <f>pixel_shift_table.asm!I6</f>
        <v>D4</v>
      </c>
      <c r="I6" s="72" t="str">
        <f>pixel_shift_table.asm!J6</f>
        <v>B2</v>
      </c>
      <c r="J6" s="72" t="str">
        <f>pixel_shift_table.asm!K6</f>
        <v>38</v>
      </c>
      <c r="K6" s="72" t="str">
        <f>pixel_shift_table.asm!L6</f>
        <v>C2</v>
      </c>
      <c r="L6" s="72" t="str">
        <f>pixel_shift_table.asm!M6</f>
        <v>E4</v>
      </c>
      <c r="M6" s="72" t="str">
        <f>pixel_shift_table.asm!N6</f>
        <v>D2</v>
      </c>
      <c r="N6" s="72" t="str">
        <f>pixel_shift_table.asm!O6</f>
        <v>76</v>
      </c>
      <c r="O6" s="72" t="str">
        <f>pixel_shift_table.asm!P6</f>
        <v>E2</v>
      </c>
      <c r="P6" s="72" t="str">
        <f>pixel_shift_table.asm!Q6</f>
        <v>F4</v>
      </c>
      <c r="Q6" s="72" t="str">
        <f>pixel_shift_table.asm!R6</f>
        <v>F2</v>
      </c>
      <c r="S6">
        <f t="shared" si="2"/>
        <v>48</v>
      </c>
      <c r="T6" s="5" t="str">
        <f t="shared" si="4"/>
        <v>A91A</v>
      </c>
      <c r="U6" s="5" t="str">
        <f t="shared" si="5"/>
        <v>AA82</v>
      </c>
      <c r="V6" s="5" t="str">
        <f t="shared" si="6"/>
        <v>A9C4</v>
      </c>
      <c r="W6" s="5" t="str">
        <f t="shared" si="7"/>
        <v>AA92</v>
      </c>
      <c r="X6" s="5" t="str">
        <f t="shared" si="8"/>
        <v>A966</v>
      </c>
      <c r="Y6" s="5" t="str">
        <f t="shared" si="9"/>
        <v>AAA2</v>
      </c>
      <c r="Z6" s="5" t="str">
        <f t="shared" si="10"/>
        <v>A9D4</v>
      </c>
      <c r="AA6" s="5" t="str">
        <f t="shared" si="11"/>
        <v>AAB2</v>
      </c>
      <c r="AB6" s="5" t="str">
        <f t="shared" si="12"/>
        <v>A938</v>
      </c>
      <c r="AC6" s="5" t="str">
        <f t="shared" si="13"/>
        <v>AAC2</v>
      </c>
      <c r="AD6" s="5" t="str">
        <f t="shared" si="14"/>
        <v>A9E4</v>
      </c>
      <c r="AE6" s="5" t="str">
        <f t="shared" si="15"/>
        <v>AAD2</v>
      </c>
      <c r="AF6" s="5" t="str">
        <f t="shared" si="16"/>
        <v>A976</v>
      </c>
      <c r="AG6" s="5" t="str">
        <f t="shared" si="17"/>
        <v>AAE2</v>
      </c>
      <c r="AH6" s="5" t="str">
        <f t="shared" si="18"/>
        <v>A9F4</v>
      </c>
      <c r="AI6" s="5" t="str">
        <f t="shared" si="19"/>
        <v>AAF2</v>
      </c>
      <c r="AK6" s="5" t="str" cm="1">
        <f t="array" ref="AK6">INDEX(_xlfn.TOROW(PixelPatternTable),HEX2DEC(T6)-$T$1+1)</f>
        <v>B0</v>
      </c>
      <c r="AL6" s="5" t="str" cm="1">
        <f t="array" ref="AL6">INDEX(_xlfn.TOROW(PixelPatternTable),HEX2DEC(U6)-$T$1+1)</f>
        <v>B1</v>
      </c>
      <c r="AM6" s="5" t="str" cm="1">
        <f t="array" ref="AM6">INDEX(_xlfn.TOROW(PixelPatternTable),HEX2DEC(V6)-$T$1+1)</f>
        <v>B2</v>
      </c>
      <c r="AN6" s="5" t="str" cm="1">
        <f t="array" ref="AN6">INDEX(_xlfn.TOROW(PixelPatternTable),HEX2DEC(W6)-$T$1+1)</f>
        <v>B3</v>
      </c>
      <c r="AO6" s="5" t="str" cm="1">
        <f t="array" ref="AO6">INDEX(_xlfn.TOROW(PixelPatternTable),HEX2DEC(X6)-$T$1+1)</f>
        <v>B4</v>
      </c>
      <c r="AP6" s="5" t="str" cm="1">
        <f t="array" ref="AP6">INDEX(_xlfn.TOROW(PixelPatternTable),HEX2DEC(Y6)-$T$1+1)</f>
        <v>B5</v>
      </c>
      <c r="AQ6" s="5" t="str" cm="1">
        <f t="array" ref="AQ6">INDEX(_xlfn.TOROW(PixelPatternTable),HEX2DEC(Z6)-$T$1+1)</f>
        <v>B6</v>
      </c>
      <c r="AR6" s="5" t="str" cm="1">
        <f t="array" ref="AR6">INDEX(_xlfn.TOROW(PixelPatternTable),HEX2DEC(AA6)-$T$1+1)</f>
        <v>B7</v>
      </c>
      <c r="AS6" s="5" t="str" cm="1">
        <f t="array" ref="AS6">INDEX(_xlfn.TOROW(PixelPatternTable),HEX2DEC(AB6)-$T$1+1)</f>
        <v>B8</v>
      </c>
      <c r="AT6" s="5" t="str" cm="1">
        <f t="array" ref="AT6">INDEX(_xlfn.TOROW(PixelPatternTable),HEX2DEC(AC6)-$T$1+1)</f>
        <v>B9</v>
      </c>
      <c r="AU6" s="5" t="str" cm="1">
        <f t="array" ref="AU6">INDEX(_xlfn.TOROW(PixelPatternTable),HEX2DEC(AD6)-$T$1+1)</f>
        <v>BA</v>
      </c>
      <c r="AV6" s="5" t="str" cm="1">
        <f t="array" ref="AV6">INDEX(_xlfn.TOROW(PixelPatternTable),HEX2DEC(AE6)-$T$1+1)</f>
        <v>BB</v>
      </c>
      <c r="AW6" s="5" t="str" cm="1">
        <f t="array" ref="AW6">INDEX(_xlfn.TOROW(PixelPatternTable),HEX2DEC(AF6)-$T$1+1)</f>
        <v>BC</v>
      </c>
      <c r="AX6" s="5" t="str" cm="1">
        <f t="array" ref="AX6">INDEX(_xlfn.TOROW(PixelPatternTable),HEX2DEC(AG6)-$T$1+1)</f>
        <v>BD</v>
      </c>
      <c r="AY6" s="5" t="str" cm="1">
        <f t="array" ref="AY6">INDEX(_xlfn.TOROW(PixelPatternTable),HEX2DEC(AH6)-$T$1+1)</f>
        <v>BE</v>
      </c>
      <c r="AZ6" s="5" t="str" cm="1">
        <f t="array" ref="AZ6">INDEX(_xlfn.TOROW(PixelPatternTable),HEX2DEC(AI6)-$T$1+1)</f>
        <v>BF</v>
      </c>
    </row>
    <row r="7" spans="1:52" x14ac:dyDescent="0.3">
      <c r="A7" s="5" t="str">
        <f t="shared" si="20"/>
        <v>A240</v>
      </c>
      <c r="B7" s="71" t="str">
        <f>pixel_shift_table.asm!C7</f>
        <v>0E</v>
      </c>
      <c r="C7" s="72" t="str">
        <f>pixel_shift_table.asm!D7</f>
        <v>02</v>
      </c>
      <c r="D7" s="72" t="str">
        <f>pixel_shift_table.asm!E7</f>
        <v>04</v>
      </c>
      <c r="E7" s="72" t="str">
        <f>pixel_shift_table.asm!F7</f>
        <v>12</v>
      </c>
      <c r="F7" s="72" t="str">
        <f>pixel_shift_table.asm!G7</f>
        <v>86</v>
      </c>
      <c r="G7" s="72" t="str">
        <f>pixel_shift_table.asm!H7</f>
        <v>22</v>
      </c>
      <c r="H7" s="72" t="str">
        <f>pixel_shift_table.asm!I7</f>
        <v>14</v>
      </c>
      <c r="I7" s="72" t="str">
        <f>pixel_shift_table.asm!J7</f>
        <v>32</v>
      </c>
      <c r="J7" s="72" t="str">
        <f>pixel_shift_table.asm!K7</f>
        <v>48</v>
      </c>
      <c r="K7" s="72" t="str">
        <f>pixel_shift_table.asm!L7</f>
        <v>42</v>
      </c>
      <c r="L7" s="72" t="str">
        <f>pixel_shift_table.asm!M7</f>
        <v>24</v>
      </c>
      <c r="M7" s="72" t="str">
        <f>pixel_shift_table.asm!N7</f>
        <v>52</v>
      </c>
      <c r="N7" s="72" t="str">
        <f>pixel_shift_table.asm!O7</f>
        <v>96</v>
      </c>
      <c r="O7" s="72" t="str">
        <f>pixel_shift_table.asm!P7</f>
        <v>62</v>
      </c>
      <c r="P7" s="72" t="str">
        <f>pixel_shift_table.asm!Q7</f>
        <v>34</v>
      </c>
      <c r="Q7" s="72" t="str">
        <f>pixel_shift_table.asm!R7</f>
        <v>72</v>
      </c>
      <c r="S7">
        <f t="shared" si="2"/>
        <v>64</v>
      </c>
      <c r="T7" s="5" t="str">
        <f t="shared" si="4"/>
        <v>A90E</v>
      </c>
      <c r="U7" s="5" t="str">
        <f t="shared" si="5"/>
        <v>AB02</v>
      </c>
      <c r="V7" s="5" t="str">
        <f t="shared" si="6"/>
        <v>AA04</v>
      </c>
      <c r="W7" s="5" t="str">
        <f t="shared" si="7"/>
        <v>AB12</v>
      </c>
      <c r="X7" s="5" t="str">
        <f t="shared" si="8"/>
        <v>A986</v>
      </c>
      <c r="Y7" s="5" t="str">
        <f t="shared" si="9"/>
        <v>AB22</v>
      </c>
      <c r="Z7" s="5" t="str">
        <f t="shared" si="10"/>
        <v>AA14</v>
      </c>
      <c r="AA7" s="5" t="str">
        <f t="shared" si="11"/>
        <v>AB32</v>
      </c>
      <c r="AB7" s="5" t="str">
        <f t="shared" si="12"/>
        <v>A948</v>
      </c>
      <c r="AC7" s="5" t="str">
        <f t="shared" si="13"/>
        <v>AB42</v>
      </c>
      <c r="AD7" s="5" t="str">
        <f t="shared" si="14"/>
        <v>AA24</v>
      </c>
      <c r="AE7" s="5" t="str">
        <f t="shared" si="15"/>
        <v>AB52</v>
      </c>
      <c r="AF7" s="5" t="str">
        <f t="shared" si="16"/>
        <v>A996</v>
      </c>
      <c r="AG7" s="5" t="str">
        <f t="shared" si="17"/>
        <v>AB62</v>
      </c>
      <c r="AH7" s="5" t="str">
        <f t="shared" si="18"/>
        <v>AA34</v>
      </c>
      <c r="AI7" s="5" t="str">
        <f t="shared" si="19"/>
        <v>AB72</v>
      </c>
      <c r="AK7" s="5" t="str" cm="1">
        <f t="array" ref="AK7">INDEX(_xlfn.TOROW(PixelPatternTable),HEX2DEC(T7)-$T$1+1)</f>
        <v>C0</v>
      </c>
      <c r="AL7" s="5" t="str" cm="1">
        <f t="array" ref="AL7">INDEX(_xlfn.TOROW(PixelPatternTable),HEX2DEC(U7)-$T$1+1)</f>
        <v>C1</v>
      </c>
      <c r="AM7" s="5" t="str" cm="1">
        <f t="array" ref="AM7">INDEX(_xlfn.TOROW(PixelPatternTable),HEX2DEC(V7)-$T$1+1)</f>
        <v>C2</v>
      </c>
      <c r="AN7" s="5" t="str" cm="1">
        <f t="array" ref="AN7">INDEX(_xlfn.TOROW(PixelPatternTable),HEX2DEC(W7)-$T$1+1)</f>
        <v>C3</v>
      </c>
      <c r="AO7" s="5" t="str" cm="1">
        <f t="array" ref="AO7">INDEX(_xlfn.TOROW(PixelPatternTable),HEX2DEC(X7)-$T$1+1)</f>
        <v>C4</v>
      </c>
      <c r="AP7" s="5" t="str" cm="1">
        <f t="array" ref="AP7">INDEX(_xlfn.TOROW(PixelPatternTable),HEX2DEC(Y7)-$T$1+1)</f>
        <v>C5</v>
      </c>
      <c r="AQ7" s="5" t="str" cm="1">
        <f t="array" ref="AQ7">INDEX(_xlfn.TOROW(PixelPatternTable),HEX2DEC(Z7)-$T$1+1)</f>
        <v>C6</v>
      </c>
      <c r="AR7" s="5" t="str" cm="1">
        <f t="array" ref="AR7">INDEX(_xlfn.TOROW(PixelPatternTable),HEX2DEC(AA7)-$T$1+1)</f>
        <v>C7</v>
      </c>
      <c r="AS7" s="5" t="str" cm="1">
        <f t="array" ref="AS7">INDEX(_xlfn.TOROW(PixelPatternTable),HEX2DEC(AB7)-$T$1+1)</f>
        <v>C8</v>
      </c>
      <c r="AT7" s="5" t="str" cm="1">
        <f t="array" ref="AT7">INDEX(_xlfn.TOROW(PixelPatternTable),HEX2DEC(AC7)-$T$1+1)</f>
        <v>C9</v>
      </c>
      <c r="AU7" s="5" t="str" cm="1">
        <f t="array" ref="AU7">INDEX(_xlfn.TOROW(PixelPatternTable),HEX2DEC(AD7)-$T$1+1)</f>
        <v>CA</v>
      </c>
      <c r="AV7" s="5" t="str" cm="1">
        <f t="array" ref="AV7">INDEX(_xlfn.TOROW(PixelPatternTable),HEX2DEC(AE7)-$T$1+1)</f>
        <v>CB</v>
      </c>
      <c r="AW7" s="5" t="str" cm="1">
        <f t="array" ref="AW7">INDEX(_xlfn.TOROW(PixelPatternTable),HEX2DEC(AF7)-$T$1+1)</f>
        <v>CC</v>
      </c>
      <c r="AX7" s="5" t="str" cm="1">
        <f t="array" ref="AX7">INDEX(_xlfn.TOROW(PixelPatternTable),HEX2DEC(AG7)-$T$1+1)</f>
        <v>CD</v>
      </c>
      <c r="AY7" s="5" t="str" cm="1">
        <f t="array" ref="AY7">INDEX(_xlfn.TOROW(PixelPatternTable),HEX2DEC(AH7)-$T$1+1)</f>
        <v>CE</v>
      </c>
      <c r="AZ7" s="5" t="str" cm="1">
        <f t="array" ref="AZ7">INDEX(_xlfn.TOROW(PixelPatternTable),HEX2DEC(AI7)-$T$1+1)</f>
        <v>CF</v>
      </c>
    </row>
    <row r="8" spans="1:52" x14ac:dyDescent="0.3">
      <c r="A8" s="5" t="str">
        <f t="shared" si="20"/>
        <v>A250</v>
      </c>
      <c r="B8" s="71" t="str">
        <f>pixel_shift_table.asm!C8</f>
        <v>2A</v>
      </c>
      <c r="C8" s="72" t="str">
        <f>pixel_shift_table.asm!D8</f>
        <v>82</v>
      </c>
      <c r="D8" s="72" t="str">
        <f>pixel_shift_table.asm!E8</f>
        <v>44</v>
      </c>
      <c r="E8" s="72" t="str">
        <f>pixel_shift_table.asm!F8</f>
        <v>92</v>
      </c>
      <c r="F8" s="72" t="str">
        <f>pixel_shift_table.asm!G8</f>
        <v>A6</v>
      </c>
      <c r="G8" s="72" t="str">
        <f>pixel_shift_table.asm!H8</f>
        <v>A2</v>
      </c>
      <c r="H8" s="72" t="str">
        <f>pixel_shift_table.asm!I8</f>
        <v>54</v>
      </c>
      <c r="I8" s="72" t="str">
        <f>pixel_shift_table.asm!J8</f>
        <v>B2</v>
      </c>
      <c r="J8" s="72" t="str">
        <f>pixel_shift_table.asm!K8</f>
        <v>58</v>
      </c>
      <c r="K8" s="72" t="str">
        <f>pixel_shift_table.asm!L8</f>
        <v>C2</v>
      </c>
      <c r="L8" s="72" t="str">
        <f>pixel_shift_table.asm!M8</f>
        <v>64</v>
      </c>
      <c r="M8" s="72" t="str">
        <f>pixel_shift_table.asm!N8</f>
        <v>D2</v>
      </c>
      <c r="N8" s="72" t="str">
        <f>pixel_shift_table.asm!O8</f>
        <v>B6</v>
      </c>
      <c r="O8" s="72" t="str">
        <f>pixel_shift_table.asm!P8</f>
        <v>E2</v>
      </c>
      <c r="P8" s="72" t="str">
        <f>pixel_shift_table.asm!Q8</f>
        <v>74</v>
      </c>
      <c r="Q8" s="72" t="str">
        <f>pixel_shift_table.asm!R8</f>
        <v>F2</v>
      </c>
      <c r="S8">
        <f t="shared" si="2"/>
        <v>80</v>
      </c>
      <c r="T8" s="5" t="str">
        <f t="shared" si="4"/>
        <v>A92A</v>
      </c>
      <c r="U8" s="5" t="str">
        <f t="shared" si="5"/>
        <v>AB82</v>
      </c>
      <c r="V8" s="5" t="str">
        <f t="shared" si="6"/>
        <v>AA44</v>
      </c>
      <c r="W8" s="5" t="str">
        <f t="shared" si="7"/>
        <v>AB92</v>
      </c>
      <c r="X8" s="5" t="str">
        <f t="shared" si="8"/>
        <v>A9A6</v>
      </c>
      <c r="Y8" s="5" t="str">
        <f t="shared" si="9"/>
        <v>ABA2</v>
      </c>
      <c r="Z8" s="5" t="str">
        <f t="shared" si="10"/>
        <v>AA54</v>
      </c>
      <c r="AA8" s="5" t="str">
        <f t="shared" si="11"/>
        <v>ABB2</v>
      </c>
      <c r="AB8" s="5" t="str">
        <f t="shared" si="12"/>
        <v>A958</v>
      </c>
      <c r="AC8" s="5" t="str">
        <f t="shared" si="13"/>
        <v>ABC2</v>
      </c>
      <c r="AD8" s="5" t="str">
        <f t="shared" si="14"/>
        <v>AA64</v>
      </c>
      <c r="AE8" s="5" t="str">
        <f t="shared" si="15"/>
        <v>ABD2</v>
      </c>
      <c r="AF8" s="5" t="str">
        <f t="shared" si="16"/>
        <v>A9B6</v>
      </c>
      <c r="AG8" s="5" t="str">
        <f t="shared" si="17"/>
        <v>ABE2</v>
      </c>
      <c r="AH8" s="5" t="str">
        <f t="shared" si="18"/>
        <v>AA74</v>
      </c>
      <c r="AI8" s="5" t="str">
        <f t="shared" si="19"/>
        <v>ABF2</v>
      </c>
      <c r="AK8" s="5" t="str" cm="1">
        <f t="array" ref="AK8">INDEX(_xlfn.TOROW(PixelPatternTable),HEX2DEC(T8)-$T$1+1)</f>
        <v>D0</v>
      </c>
      <c r="AL8" s="5" t="str" cm="1">
        <f t="array" ref="AL8">INDEX(_xlfn.TOROW(PixelPatternTable),HEX2DEC(U8)-$T$1+1)</f>
        <v>D1</v>
      </c>
      <c r="AM8" s="5" t="str" cm="1">
        <f t="array" ref="AM8">INDEX(_xlfn.TOROW(PixelPatternTable),HEX2DEC(V8)-$T$1+1)</f>
        <v>D2</v>
      </c>
      <c r="AN8" s="5" t="str" cm="1">
        <f t="array" ref="AN8">INDEX(_xlfn.TOROW(PixelPatternTable),HEX2DEC(W8)-$T$1+1)</f>
        <v>D3</v>
      </c>
      <c r="AO8" s="5" t="str" cm="1">
        <f t="array" ref="AO8">INDEX(_xlfn.TOROW(PixelPatternTable),HEX2DEC(X8)-$T$1+1)</f>
        <v>D4</v>
      </c>
      <c r="AP8" s="5" t="str" cm="1">
        <f t="array" ref="AP8">INDEX(_xlfn.TOROW(PixelPatternTable),HEX2DEC(Y8)-$T$1+1)</f>
        <v>D5</v>
      </c>
      <c r="AQ8" s="5" t="str" cm="1">
        <f t="array" ref="AQ8">INDEX(_xlfn.TOROW(PixelPatternTable),HEX2DEC(Z8)-$T$1+1)</f>
        <v>D6</v>
      </c>
      <c r="AR8" s="5" t="str" cm="1">
        <f t="array" ref="AR8">INDEX(_xlfn.TOROW(PixelPatternTable),HEX2DEC(AA8)-$T$1+1)</f>
        <v>D7</v>
      </c>
      <c r="AS8" s="5" t="str" cm="1">
        <f t="array" ref="AS8">INDEX(_xlfn.TOROW(PixelPatternTable),HEX2DEC(AB8)-$T$1+1)</f>
        <v>D8</v>
      </c>
      <c r="AT8" s="5" t="str" cm="1">
        <f t="array" ref="AT8">INDEX(_xlfn.TOROW(PixelPatternTable),HEX2DEC(AC8)-$T$1+1)</f>
        <v>D9</v>
      </c>
      <c r="AU8" s="5" t="str" cm="1">
        <f t="array" ref="AU8">INDEX(_xlfn.TOROW(PixelPatternTable),HEX2DEC(AD8)-$T$1+1)</f>
        <v>DA</v>
      </c>
      <c r="AV8" s="5" t="str" cm="1">
        <f t="array" ref="AV8">INDEX(_xlfn.TOROW(PixelPatternTable),HEX2DEC(AE8)-$T$1+1)</f>
        <v>DB</v>
      </c>
      <c r="AW8" s="5" t="str" cm="1">
        <f t="array" ref="AW8">INDEX(_xlfn.TOROW(PixelPatternTable),HEX2DEC(AF8)-$T$1+1)</f>
        <v>DC</v>
      </c>
      <c r="AX8" s="5" t="str" cm="1">
        <f t="array" ref="AX8">INDEX(_xlfn.TOROW(PixelPatternTable),HEX2DEC(AG8)-$T$1+1)</f>
        <v>DD</v>
      </c>
      <c r="AY8" s="5" t="str" cm="1">
        <f t="array" ref="AY8">INDEX(_xlfn.TOROW(PixelPatternTable),HEX2DEC(AH8)-$T$1+1)</f>
        <v>DE</v>
      </c>
      <c r="AZ8" s="5" t="str" cm="1">
        <f t="array" ref="AZ8">INDEX(_xlfn.TOROW(PixelPatternTable),HEX2DEC(AI8)-$T$1+1)</f>
        <v>DF</v>
      </c>
    </row>
    <row r="9" spans="1:52" x14ac:dyDescent="0.3">
      <c r="A9" s="5" t="str">
        <f t="shared" si="20"/>
        <v>A260</v>
      </c>
      <c r="B9" s="71" t="str">
        <f>pixel_shift_table.asm!C9</f>
        <v>1C</v>
      </c>
      <c r="C9" s="72" t="str">
        <f>pixel_shift_table.asm!D9</f>
        <v>02</v>
      </c>
      <c r="D9" s="72" t="str">
        <f>pixel_shift_table.asm!E9</f>
        <v>84</v>
      </c>
      <c r="E9" s="72" t="str">
        <f>pixel_shift_table.asm!F9</f>
        <v>12</v>
      </c>
      <c r="F9" s="72" t="str">
        <f>pixel_shift_table.asm!G9</f>
        <v>C6</v>
      </c>
      <c r="G9" s="72" t="str">
        <f>pixel_shift_table.asm!H9</f>
        <v>22</v>
      </c>
      <c r="H9" s="72" t="str">
        <f>pixel_shift_table.asm!I9</f>
        <v>94</v>
      </c>
      <c r="I9" s="72" t="str">
        <f>pixel_shift_table.asm!J9</f>
        <v>32</v>
      </c>
      <c r="J9" s="72" t="str">
        <f>pixel_shift_table.asm!K9</f>
        <v>68</v>
      </c>
      <c r="K9" s="72" t="str">
        <f>pixel_shift_table.asm!L9</f>
        <v>42</v>
      </c>
      <c r="L9" s="72" t="str">
        <f>pixel_shift_table.asm!M9</f>
        <v>A4</v>
      </c>
      <c r="M9" s="72" t="str">
        <f>pixel_shift_table.asm!N9</f>
        <v>52</v>
      </c>
      <c r="N9" s="72" t="str">
        <f>pixel_shift_table.asm!O9</f>
        <v>D6</v>
      </c>
      <c r="O9" s="72" t="str">
        <f>pixel_shift_table.asm!P9</f>
        <v>62</v>
      </c>
      <c r="P9" s="72" t="str">
        <f>pixel_shift_table.asm!Q9</f>
        <v>B4</v>
      </c>
      <c r="Q9" s="72" t="str">
        <f>pixel_shift_table.asm!R9</f>
        <v>72</v>
      </c>
      <c r="S9">
        <f t="shared" si="2"/>
        <v>96</v>
      </c>
      <c r="T9" s="5" t="str">
        <f t="shared" si="4"/>
        <v>A91C</v>
      </c>
      <c r="U9" s="5" t="str">
        <f t="shared" si="5"/>
        <v>AC02</v>
      </c>
      <c r="V9" s="5" t="str">
        <f t="shared" si="6"/>
        <v>AA84</v>
      </c>
      <c r="W9" s="5" t="str">
        <f t="shared" si="7"/>
        <v>AC12</v>
      </c>
      <c r="X9" s="5" t="str">
        <f t="shared" si="8"/>
        <v>A9C6</v>
      </c>
      <c r="Y9" s="5" t="str">
        <f t="shared" si="9"/>
        <v>AC22</v>
      </c>
      <c r="Z9" s="5" t="str">
        <f t="shared" si="10"/>
        <v>AA94</v>
      </c>
      <c r="AA9" s="5" t="str">
        <f t="shared" si="11"/>
        <v>AC32</v>
      </c>
      <c r="AB9" s="5" t="str">
        <f t="shared" si="12"/>
        <v>A968</v>
      </c>
      <c r="AC9" s="5" t="str">
        <f t="shared" si="13"/>
        <v>AC42</v>
      </c>
      <c r="AD9" s="5" t="str">
        <f t="shared" si="14"/>
        <v>AAA4</v>
      </c>
      <c r="AE9" s="5" t="str">
        <f t="shared" si="15"/>
        <v>AC52</v>
      </c>
      <c r="AF9" s="5" t="str">
        <f t="shared" si="16"/>
        <v>A9D6</v>
      </c>
      <c r="AG9" s="5" t="str">
        <f t="shared" si="17"/>
        <v>AC62</v>
      </c>
      <c r="AH9" s="5" t="str">
        <f t="shared" si="18"/>
        <v>AAB4</v>
      </c>
      <c r="AI9" s="5" t="str">
        <f t="shared" si="19"/>
        <v>AC72</v>
      </c>
      <c r="AK9" s="5" t="str" cm="1">
        <f t="array" ref="AK9">INDEX(_xlfn.TOROW(PixelPatternTable),HEX2DEC(T9)-$T$1+1)</f>
        <v>E0</v>
      </c>
      <c r="AL9" s="5" t="str" cm="1">
        <f t="array" ref="AL9">INDEX(_xlfn.TOROW(PixelPatternTable),HEX2DEC(U9)-$T$1+1)</f>
        <v>E1</v>
      </c>
      <c r="AM9" s="5" t="str" cm="1">
        <f t="array" ref="AM9">INDEX(_xlfn.TOROW(PixelPatternTable),HEX2DEC(V9)-$T$1+1)</f>
        <v>E2</v>
      </c>
      <c r="AN9" s="5" t="str" cm="1">
        <f t="array" ref="AN9">INDEX(_xlfn.TOROW(PixelPatternTable),HEX2DEC(W9)-$T$1+1)</f>
        <v>E3</v>
      </c>
      <c r="AO9" s="5" t="str" cm="1">
        <f t="array" ref="AO9">INDEX(_xlfn.TOROW(PixelPatternTable),HEX2DEC(X9)-$T$1+1)</f>
        <v>E4</v>
      </c>
      <c r="AP9" s="5" t="str" cm="1">
        <f t="array" ref="AP9">INDEX(_xlfn.TOROW(PixelPatternTable),HEX2DEC(Y9)-$T$1+1)</f>
        <v>E5</v>
      </c>
      <c r="AQ9" s="5" t="str" cm="1">
        <f t="array" ref="AQ9">INDEX(_xlfn.TOROW(PixelPatternTable),HEX2DEC(Z9)-$T$1+1)</f>
        <v>E6</v>
      </c>
      <c r="AR9" s="5" t="str" cm="1">
        <f t="array" ref="AR9">INDEX(_xlfn.TOROW(PixelPatternTable),HEX2DEC(AA9)-$T$1+1)</f>
        <v>E7</v>
      </c>
      <c r="AS9" s="5" t="str" cm="1">
        <f t="array" ref="AS9">INDEX(_xlfn.TOROW(PixelPatternTable),HEX2DEC(AB9)-$T$1+1)</f>
        <v>E8</v>
      </c>
      <c r="AT9" s="5" t="str" cm="1">
        <f t="array" ref="AT9">INDEX(_xlfn.TOROW(PixelPatternTable),HEX2DEC(AC9)-$T$1+1)</f>
        <v>E9</v>
      </c>
      <c r="AU9" s="5" t="str" cm="1">
        <f t="array" ref="AU9">INDEX(_xlfn.TOROW(PixelPatternTable),HEX2DEC(AD9)-$T$1+1)</f>
        <v>EA</v>
      </c>
      <c r="AV9" s="5" t="str" cm="1">
        <f t="array" ref="AV9">INDEX(_xlfn.TOROW(PixelPatternTable),HEX2DEC(AE9)-$T$1+1)</f>
        <v>EB</v>
      </c>
      <c r="AW9" s="5" t="str" cm="1">
        <f t="array" ref="AW9">INDEX(_xlfn.TOROW(PixelPatternTable),HEX2DEC(AF9)-$T$1+1)</f>
        <v>EC</v>
      </c>
      <c r="AX9" s="5" t="str" cm="1">
        <f t="array" ref="AX9">INDEX(_xlfn.TOROW(PixelPatternTable),HEX2DEC(AG9)-$T$1+1)</f>
        <v>ED</v>
      </c>
      <c r="AY9" s="5" t="str" cm="1">
        <f t="array" ref="AY9">INDEX(_xlfn.TOROW(PixelPatternTable),HEX2DEC(AH9)-$T$1+1)</f>
        <v>EE</v>
      </c>
      <c r="AZ9" s="5" t="str" cm="1">
        <f t="array" ref="AZ9">INDEX(_xlfn.TOROW(PixelPatternTable),HEX2DEC(AI9)-$T$1+1)</f>
        <v>EF</v>
      </c>
    </row>
    <row r="10" spans="1:52" x14ac:dyDescent="0.3">
      <c r="A10" s="58" t="str">
        <f t="shared" si="20"/>
        <v>A270</v>
      </c>
      <c r="B10" s="73" t="str">
        <f>pixel_shift_table.asm!C10</f>
        <v>3A</v>
      </c>
      <c r="C10" s="74" t="str">
        <f>pixel_shift_table.asm!D10</f>
        <v>82</v>
      </c>
      <c r="D10" s="74" t="str">
        <f>pixel_shift_table.asm!E10</f>
        <v>C4</v>
      </c>
      <c r="E10" s="74" t="str">
        <f>pixel_shift_table.asm!F10</f>
        <v>92</v>
      </c>
      <c r="F10" s="74" t="str">
        <f>pixel_shift_table.asm!G10</f>
        <v>E6</v>
      </c>
      <c r="G10" s="74" t="str">
        <f>pixel_shift_table.asm!H10</f>
        <v>A2</v>
      </c>
      <c r="H10" s="74" t="str">
        <f>pixel_shift_table.asm!I10</f>
        <v>D4</v>
      </c>
      <c r="I10" s="74" t="str">
        <f>pixel_shift_table.asm!J10</f>
        <v>B2</v>
      </c>
      <c r="J10" s="74" t="str">
        <f>pixel_shift_table.asm!K10</f>
        <v>78</v>
      </c>
      <c r="K10" s="74" t="str">
        <f>pixel_shift_table.asm!L10</f>
        <v>C2</v>
      </c>
      <c r="L10" s="74" t="str">
        <f>pixel_shift_table.asm!M10</f>
        <v>E4</v>
      </c>
      <c r="M10" s="74" t="str">
        <f>pixel_shift_table.asm!N10</f>
        <v>D2</v>
      </c>
      <c r="N10" s="74" t="str">
        <f>pixel_shift_table.asm!O10</f>
        <v>F6</v>
      </c>
      <c r="O10" s="74" t="str">
        <f>pixel_shift_table.asm!P10</f>
        <v>E2</v>
      </c>
      <c r="P10" s="74" t="str">
        <f>pixel_shift_table.asm!Q10</f>
        <v>F4</v>
      </c>
      <c r="Q10" s="74" t="str">
        <f>pixel_shift_table.asm!R10</f>
        <v>F2</v>
      </c>
      <c r="S10">
        <f t="shared" si="2"/>
        <v>112</v>
      </c>
      <c r="T10" s="5" t="str">
        <f t="shared" si="4"/>
        <v>A93A</v>
      </c>
      <c r="U10" s="5" t="str">
        <f t="shared" si="5"/>
        <v>AC82</v>
      </c>
      <c r="V10" s="5" t="str">
        <f t="shared" si="6"/>
        <v>AAC4</v>
      </c>
      <c r="W10" s="5" t="str">
        <f t="shared" si="7"/>
        <v>AC92</v>
      </c>
      <c r="X10" s="5" t="str">
        <f t="shared" si="8"/>
        <v>A9E6</v>
      </c>
      <c r="Y10" s="5" t="str">
        <f t="shared" si="9"/>
        <v>ACA2</v>
      </c>
      <c r="Z10" s="5" t="str">
        <f t="shared" si="10"/>
        <v>AAD4</v>
      </c>
      <c r="AA10" s="5" t="str">
        <f t="shared" si="11"/>
        <v>ACB2</v>
      </c>
      <c r="AB10" s="5" t="str">
        <f t="shared" si="12"/>
        <v>A978</v>
      </c>
      <c r="AC10" s="5" t="str">
        <f t="shared" si="13"/>
        <v>ACC2</v>
      </c>
      <c r="AD10" s="5" t="str">
        <f t="shared" si="14"/>
        <v>AAE4</v>
      </c>
      <c r="AE10" s="5" t="str">
        <f t="shared" si="15"/>
        <v>ACD2</v>
      </c>
      <c r="AF10" s="5" t="str">
        <f t="shared" si="16"/>
        <v>A9F6</v>
      </c>
      <c r="AG10" s="5" t="str">
        <f t="shared" si="17"/>
        <v>ACE2</v>
      </c>
      <c r="AH10" s="5" t="str">
        <f t="shared" si="18"/>
        <v>AAF4</v>
      </c>
      <c r="AI10" s="5" t="str">
        <f t="shared" si="19"/>
        <v>ACF2</v>
      </c>
      <c r="AK10" s="5" t="str" cm="1">
        <f t="array" ref="AK10">INDEX(_xlfn.TOROW(PixelPatternTable),HEX2DEC(T10)-$T$1+1)</f>
        <v>F0</v>
      </c>
      <c r="AL10" s="5" t="str" cm="1">
        <f t="array" ref="AL10">INDEX(_xlfn.TOROW(PixelPatternTable),HEX2DEC(U10)-$T$1+1)</f>
        <v>F1</v>
      </c>
      <c r="AM10" s="5" t="str" cm="1">
        <f t="array" ref="AM10">INDEX(_xlfn.TOROW(PixelPatternTable),HEX2DEC(V10)-$T$1+1)</f>
        <v>F2</v>
      </c>
      <c r="AN10" s="5" t="str" cm="1">
        <f t="array" ref="AN10">INDEX(_xlfn.TOROW(PixelPatternTable),HEX2DEC(W10)-$T$1+1)</f>
        <v>F3</v>
      </c>
      <c r="AO10" s="5" t="str" cm="1">
        <f t="array" ref="AO10">INDEX(_xlfn.TOROW(PixelPatternTable),HEX2DEC(X10)-$T$1+1)</f>
        <v>F4</v>
      </c>
      <c r="AP10" s="5" t="str" cm="1">
        <f t="array" ref="AP10">INDEX(_xlfn.TOROW(PixelPatternTable),HEX2DEC(Y10)-$T$1+1)</f>
        <v>F5</v>
      </c>
      <c r="AQ10" s="5" t="str" cm="1">
        <f t="array" ref="AQ10">INDEX(_xlfn.TOROW(PixelPatternTable),HEX2DEC(Z10)-$T$1+1)</f>
        <v>F6</v>
      </c>
      <c r="AR10" s="5" t="str" cm="1">
        <f t="array" ref="AR10">INDEX(_xlfn.TOROW(PixelPatternTable),HEX2DEC(AA10)-$T$1+1)</f>
        <v>F7</v>
      </c>
      <c r="AS10" s="5" t="str" cm="1">
        <f t="array" ref="AS10">INDEX(_xlfn.TOROW(PixelPatternTable),HEX2DEC(AB10)-$T$1+1)</f>
        <v>F8</v>
      </c>
      <c r="AT10" s="5" t="str" cm="1">
        <f t="array" ref="AT10">INDEX(_xlfn.TOROW(PixelPatternTable),HEX2DEC(AC10)-$T$1+1)</f>
        <v>F9</v>
      </c>
      <c r="AU10" s="5" t="str" cm="1">
        <f t="array" ref="AU10">INDEX(_xlfn.TOROW(PixelPatternTable),HEX2DEC(AD10)-$T$1+1)</f>
        <v>FA</v>
      </c>
      <c r="AV10" s="5" t="str" cm="1">
        <f t="array" ref="AV10">INDEX(_xlfn.TOROW(PixelPatternTable),HEX2DEC(AE10)-$T$1+1)</f>
        <v>FB</v>
      </c>
      <c r="AW10" s="5" t="str" cm="1">
        <f t="array" ref="AW10">INDEX(_xlfn.TOROW(PixelPatternTable),HEX2DEC(AF10)-$T$1+1)</f>
        <v>FC</v>
      </c>
      <c r="AX10" s="5" t="str" cm="1">
        <f t="array" ref="AX10">INDEX(_xlfn.TOROW(PixelPatternTable),HEX2DEC(AG10)-$T$1+1)</f>
        <v>FD</v>
      </c>
      <c r="AY10" s="5" t="str" cm="1">
        <f t="array" ref="AY10">INDEX(_xlfn.TOROW(PixelPatternTable),HEX2DEC(AH10)-$T$1+1)</f>
        <v>FE</v>
      </c>
      <c r="AZ10" s="5" t="str" cm="1">
        <f t="array" ref="AZ10">INDEX(_xlfn.TOROW(PixelPatternTable),HEX2DEC(AI10)-$T$1+1)</f>
        <v>FF</v>
      </c>
    </row>
    <row r="11" spans="1:52" x14ac:dyDescent="0.3">
      <c r="A11" s="5" t="str">
        <f t="shared" si="20"/>
        <v>A280</v>
      </c>
      <c r="B11" s="71" t="str">
        <f>pixel_shift_table.asm!C11</f>
        <v>A9</v>
      </c>
      <c r="C11" s="72" t="str">
        <f>pixel_shift_table.asm!D11</f>
        <v>A9</v>
      </c>
      <c r="D11" s="72" t="str">
        <f>pixel_shift_table.asm!E11</f>
        <v>A9</v>
      </c>
      <c r="E11" s="72" t="str">
        <f>pixel_shift_table.asm!F11</f>
        <v>A9</v>
      </c>
      <c r="F11" s="72" t="str">
        <f>pixel_shift_table.asm!G11</f>
        <v>A9</v>
      </c>
      <c r="G11" s="72" t="str">
        <f>pixel_shift_table.asm!H11</f>
        <v>A9</v>
      </c>
      <c r="H11" s="72" t="str">
        <f>pixel_shift_table.asm!I11</f>
        <v>A9</v>
      </c>
      <c r="I11" s="72" t="str">
        <f>pixel_shift_table.asm!J11</f>
        <v>A9</v>
      </c>
      <c r="J11" s="72" t="str">
        <f>pixel_shift_table.asm!K11</f>
        <v>A9</v>
      </c>
      <c r="K11" s="72" t="str">
        <f>pixel_shift_table.asm!L11</f>
        <v>A9</v>
      </c>
      <c r="L11" s="72" t="str">
        <f>pixel_shift_table.asm!M11</f>
        <v>A9</v>
      </c>
      <c r="M11" s="72" t="str">
        <f>pixel_shift_table.asm!N11</f>
        <v>A9</v>
      </c>
      <c r="N11" s="72" t="str">
        <f>pixel_shift_table.asm!O11</f>
        <v>A9</v>
      </c>
      <c r="O11" s="72" t="str">
        <f>pixel_shift_table.asm!P11</f>
        <v>A9</v>
      </c>
      <c r="P11" s="72" t="str">
        <f>pixel_shift_table.asm!Q11</f>
        <v>A9</v>
      </c>
      <c r="Q11" s="72" t="str">
        <f>pixel_shift_table.asm!R11</f>
        <v>A9</v>
      </c>
      <c r="S11">
        <f t="shared" si="2"/>
        <v>128</v>
      </c>
      <c r="T11" s="5" t="str">
        <f>IF($S11&lt;128,B19&amp;B11,DEC2HEX(HEX2DEC(T3)+1,4))</f>
        <v>A901</v>
      </c>
      <c r="U11" s="5" t="str">
        <f t="shared" ref="U11:AI11" si="21">IF($S11&lt;128,C19&amp;C11,DEC2HEX(HEX2DEC(U3)+1,4))</f>
        <v>A903</v>
      </c>
      <c r="V11" s="5" t="str">
        <f t="shared" si="21"/>
        <v>A905</v>
      </c>
      <c r="W11" s="5" t="str">
        <f t="shared" si="21"/>
        <v>A913</v>
      </c>
      <c r="X11" s="5" t="str">
        <f t="shared" si="21"/>
        <v>A907</v>
      </c>
      <c r="Y11" s="5" t="str">
        <f t="shared" si="21"/>
        <v>A923</v>
      </c>
      <c r="Z11" s="5" t="str">
        <f t="shared" si="21"/>
        <v>A915</v>
      </c>
      <c r="AA11" s="5" t="str">
        <f t="shared" si="21"/>
        <v>A933</v>
      </c>
      <c r="AB11" s="5" t="str">
        <f t="shared" si="21"/>
        <v>A909</v>
      </c>
      <c r="AC11" s="5" t="str">
        <f t="shared" si="21"/>
        <v>A943</v>
      </c>
      <c r="AD11" s="5" t="str">
        <f t="shared" si="21"/>
        <v>A925</v>
      </c>
      <c r="AE11" s="5" t="str">
        <f t="shared" si="21"/>
        <v>A953</v>
      </c>
      <c r="AF11" s="5" t="str">
        <f t="shared" si="21"/>
        <v>A917</v>
      </c>
      <c r="AG11" s="5" t="str">
        <f t="shared" si="21"/>
        <v>A963</v>
      </c>
      <c r="AH11" s="5" t="str">
        <f t="shared" si="21"/>
        <v>A935</v>
      </c>
      <c r="AI11" s="5" t="str">
        <f t="shared" si="21"/>
        <v>A973</v>
      </c>
      <c r="AK11" s="5" t="str" cm="1">
        <f t="array" ref="AK11">INDEX(_xlfn.TOROW(PixelPatternTable),HEX2DEC(T11)-$T$1+1)</f>
        <v>80</v>
      </c>
      <c r="AL11" s="5" t="str" cm="1">
        <f t="array" ref="AL11">INDEX(_xlfn.TOROW(PixelPatternTable),HEX2DEC(U11)-$T$1+1)</f>
        <v>80</v>
      </c>
      <c r="AM11" s="5" t="str" cm="1">
        <f t="array" ref="AM11">INDEX(_xlfn.TOROW(PixelPatternTable),HEX2DEC(V11)-$T$1+1)</f>
        <v>80</v>
      </c>
      <c r="AN11" s="5" t="str" cm="1">
        <f t="array" ref="AN11">INDEX(_xlfn.TOROW(PixelPatternTable),HEX2DEC(W11)-$T$1+1)</f>
        <v>80</v>
      </c>
      <c r="AO11" s="5" t="str" cm="1">
        <f t="array" ref="AO11">INDEX(_xlfn.TOROW(PixelPatternTable),HEX2DEC(X11)-$T$1+1)</f>
        <v>80</v>
      </c>
      <c r="AP11" s="5" t="str" cm="1">
        <f t="array" ref="AP11">INDEX(_xlfn.TOROW(PixelPatternTable),HEX2DEC(Y11)-$T$1+1)</f>
        <v>80</v>
      </c>
      <c r="AQ11" s="5" t="str" cm="1">
        <f t="array" ref="AQ11">INDEX(_xlfn.TOROW(PixelPatternTable),HEX2DEC(Z11)-$T$1+1)</f>
        <v>80</v>
      </c>
      <c r="AR11" s="5" t="str" cm="1">
        <f t="array" ref="AR11">INDEX(_xlfn.TOROW(PixelPatternTable),HEX2DEC(AA11)-$T$1+1)</f>
        <v>80</v>
      </c>
      <c r="AS11" s="5" t="str" cm="1">
        <f t="array" ref="AS11">INDEX(_xlfn.TOROW(PixelPatternTable),HEX2DEC(AB11)-$T$1+1)</f>
        <v>80</v>
      </c>
      <c r="AT11" s="5" t="str" cm="1">
        <f t="array" ref="AT11">INDEX(_xlfn.TOROW(PixelPatternTable),HEX2DEC(AC11)-$T$1+1)</f>
        <v>80</v>
      </c>
      <c r="AU11" s="5" t="str" cm="1">
        <f t="array" ref="AU11">INDEX(_xlfn.TOROW(PixelPatternTable),HEX2DEC(AD11)-$T$1+1)</f>
        <v>80</v>
      </c>
      <c r="AV11" s="5" t="str" cm="1">
        <f t="array" ref="AV11">INDEX(_xlfn.TOROW(PixelPatternTable),HEX2DEC(AE11)-$T$1+1)</f>
        <v>80</v>
      </c>
      <c r="AW11" s="5" t="str" cm="1">
        <f t="array" ref="AW11">INDEX(_xlfn.TOROW(PixelPatternTable),HEX2DEC(AF11)-$T$1+1)</f>
        <v>80</v>
      </c>
      <c r="AX11" s="5" t="str" cm="1">
        <f t="array" ref="AX11">INDEX(_xlfn.TOROW(PixelPatternTable),HEX2DEC(AG11)-$T$1+1)</f>
        <v>80</v>
      </c>
      <c r="AY11" s="5" t="str" cm="1">
        <f t="array" ref="AY11">INDEX(_xlfn.TOROW(PixelPatternTable),HEX2DEC(AH11)-$T$1+1)</f>
        <v>80</v>
      </c>
      <c r="AZ11" s="5" t="str" cm="1">
        <f t="array" ref="AZ11">INDEX(_xlfn.TOROW(PixelPatternTable),HEX2DEC(AI11)-$T$1+1)</f>
        <v>80</v>
      </c>
    </row>
    <row r="12" spans="1:52" x14ac:dyDescent="0.3">
      <c r="A12" s="5" t="str">
        <f t="shared" si="20"/>
        <v>A290</v>
      </c>
      <c r="B12" s="71" t="str">
        <f>pixel_shift_table.asm!C12</f>
        <v>A9</v>
      </c>
      <c r="C12" s="72" t="str">
        <f>pixel_shift_table.asm!D12</f>
        <v>A9</v>
      </c>
      <c r="D12" s="72" t="str">
        <f>pixel_shift_table.asm!E12</f>
        <v>A9</v>
      </c>
      <c r="E12" s="72" t="str">
        <f>pixel_shift_table.asm!F12</f>
        <v>A9</v>
      </c>
      <c r="F12" s="72" t="str">
        <f>pixel_shift_table.asm!G12</f>
        <v>A9</v>
      </c>
      <c r="G12" s="72" t="str">
        <f>pixel_shift_table.asm!H12</f>
        <v>A9</v>
      </c>
      <c r="H12" s="72" t="str">
        <f>pixel_shift_table.asm!I12</f>
        <v>A9</v>
      </c>
      <c r="I12" s="72" t="str">
        <f>pixel_shift_table.asm!J12</f>
        <v>A9</v>
      </c>
      <c r="J12" s="72" t="str">
        <f>pixel_shift_table.asm!K12</f>
        <v>A9</v>
      </c>
      <c r="K12" s="72" t="str">
        <f>pixel_shift_table.asm!L12</f>
        <v>A9</v>
      </c>
      <c r="L12" s="72" t="str">
        <f>pixel_shift_table.asm!M12</f>
        <v>A9</v>
      </c>
      <c r="M12" s="72" t="str">
        <f>pixel_shift_table.asm!N12</f>
        <v>A9</v>
      </c>
      <c r="N12" s="72" t="str">
        <f>pixel_shift_table.asm!O12</f>
        <v>A9</v>
      </c>
      <c r="O12" s="72" t="str">
        <f>pixel_shift_table.asm!P12</f>
        <v>A9</v>
      </c>
      <c r="P12" s="72" t="str">
        <f>pixel_shift_table.asm!Q12</f>
        <v>A9</v>
      </c>
      <c r="Q12" s="72" t="str">
        <f>pixel_shift_table.asm!R12</f>
        <v>A9</v>
      </c>
      <c r="S12">
        <f t="shared" si="2"/>
        <v>144</v>
      </c>
      <c r="T12" s="5" t="str">
        <f t="shared" ref="T12:AI12" si="22">IF($S12&lt;128,B20&amp;B12,DEC2HEX(HEX2DEC(T4)+1,4))</f>
        <v>A90B</v>
      </c>
      <c r="U12" s="5" t="str">
        <f t="shared" si="22"/>
        <v>A983</v>
      </c>
      <c r="V12" s="5" t="str">
        <f t="shared" si="22"/>
        <v>A945</v>
      </c>
      <c r="W12" s="5" t="str">
        <f t="shared" si="22"/>
        <v>A993</v>
      </c>
      <c r="X12" s="5" t="str">
        <f t="shared" si="22"/>
        <v>A927</v>
      </c>
      <c r="Y12" s="5" t="str">
        <f t="shared" si="22"/>
        <v>A9A3</v>
      </c>
      <c r="Z12" s="5" t="str">
        <f t="shared" si="22"/>
        <v>A955</v>
      </c>
      <c r="AA12" s="5" t="str">
        <f t="shared" si="22"/>
        <v>A9B3</v>
      </c>
      <c r="AB12" s="5" t="str">
        <f t="shared" si="22"/>
        <v>A919</v>
      </c>
      <c r="AC12" s="5" t="str">
        <f t="shared" si="22"/>
        <v>A9C3</v>
      </c>
      <c r="AD12" s="5" t="str">
        <f t="shared" si="22"/>
        <v>A965</v>
      </c>
      <c r="AE12" s="5" t="str">
        <f t="shared" si="22"/>
        <v>A9D3</v>
      </c>
      <c r="AF12" s="5" t="str">
        <f t="shared" si="22"/>
        <v>A937</v>
      </c>
      <c r="AG12" s="5" t="str">
        <f t="shared" si="22"/>
        <v>A9E3</v>
      </c>
      <c r="AH12" s="5" t="str">
        <f t="shared" si="22"/>
        <v>A975</v>
      </c>
      <c r="AI12" s="5" t="str">
        <f t="shared" si="22"/>
        <v>A9F3</v>
      </c>
      <c r="AK12" s="5" t="str" cm="1">
        <f t="array" ref="AK12">INDEX(_xlfn.TOROW(PixelPatternTable),HEX2DEC(T12)-$T$1+1)</f>
        <v>80</v>
      </c>
      <c r="AL12" s="5" t="str" cm="1">
        <f t="array" ref="AL12">INDEX(_xlfn.TOROW(PixelPatternTable),HEX2DEC(U12)-$T$1+1)</f>
        <v>80</v>
      </c>
      <c r="AM12" s="5" t="str" cm="1">
        <f t="array" ref="AM12">INDEX(_xlfn.TOROW(PixelPatternTable),HEX2DEC(V12)-$T$1+1)</f>
        <v>80</v>
      </c>
      <c r="AN12" s="5" t="str" cm="1">
        <f t="array" ref="AN12">INDEX(_xlfn.TOROW(PixelPatternTable),HEX2DEC(W12)-$T$1+1)</f>
        <v>80</v>
      </c>
      <c r="AO12" s="5" t="str" cm="1">
        <f t="array" ref="AO12">INDEX(_xlfn.TOROW(PixelPatternTable),HEX2DEC(X12)-$T$1+1)</f>
        <v>80</v>
      </c>
      <c r="AP12" s="5" t="str" cm="1">
        <f t="array" ref="AP12">INDEX(_xlfn.TOROW(PixelPatternTable),HEX2DEC(Y12)-$T$1+1)</f>
        <v>80</v>
      </c>
      <c r="AQ12" s="5" t="str" cm="1">
        <f t="array" ref="AQ12">INDEX(_xlfn.TOROW(PixelPatternTable),HEX2DEC(Z12)-$T$1+1)</f>
        <v>80</v>
      </c>
      <c r="AR12" s="5" t="str" cm="1">
        <f t="array" ref="AR12">INDEX(_xlfn.TOROW(PixelPatternTable),HEX2DEC(AA12)-$T$1+1)</f>
        <v>80</v>
      </c>
      <c r="AS12" s="5" t="str" cm="1">
        <f t="array" ref="AS12">INDEX(_xlfn.TOROW(PixelPatternTable),HEX2DEC(AB12)-$T$1+1)</f>
        <v>80</v>
      </c>
      <c r="AT12" s="5" t="str" cm="1">
        <f t="array" ref="AT12">INDEX(_xlfn.TOROW(PixelPatternTable),HEX2DEC(AC12)-$T$1+1)</f>
        <v>80</v>
      </c>
      <c r="AU12" s="5" t="str" cm="1">
        <f t="array" ref="AU12">INDEX(_xlfn.TOROW(PixelPatternTable),HEX2DEC(AD12)-$T$1+1)</f>
        <v>80</v>
      </c>
      <c r="AV12" s="5" t="str" cm="1">
        <f t="array" ref="AV12">INDEX(_xlfn.TOROW(PixelPatternTable),HEX2DEC(AE12)-$T$1+1)</f>
        <v>80</v>
      </c>
      <c r="AW12" s="5" t="str" cm="1">
        <f t="array" ref="AW12">INDEX(_xlfn.TOROW(PixelPatternTable),HEX2DEC(AF12)-$T$1+1)</f>
        <v>80</v>
      </c>
      <c r="AX12" s="5" t="str" cm="1">
        <f t="array" ref="AX12">INDEX(_xlfn.TOROW(PixelPatternTable),HEX2DEC(AG12)-$T$1+1)</f>
        <v>80</v>
      </c>
      <c r="AY12" s="5" t="str" cm="1">
        <f t="array" ref="AY12">INDEX(_xlfn.TOROW(PixelPatternTable),HEX2DEC(AH12)-$T$1+1)</f>
        <v>80</v>
      </c>
      <c r="AZ12" s="5" t="str" cm="1">
        <f t="array" ref="AZ12">INDEX(_xlfn.TOROW(PixelPatternTable),HEX2DEC(AI12)-$T$1+1)</f>
        <v>80</v>
      </c>
    </row>
    <row r="13" spans="1:52" x14ac:dyDescent="0.3">
      <c r="A13" s="5" t="str">
        <f t="shared" si="20"/>
        <v>A2A0</v>
      </c>
      <c r="B13" s="71" t="str">
        <f>pixel_shift_table.asm!C13</f>
        <v>A9</v>
      </c>
      <c r="C13" s="72" t="str">
        <f>pixel_shift_table.asm!D13</f>
        <v>AA</v>
      </c>
      <c r="D13" s="72" t="str">
        <f>pixel_shift_table.asm!E13</f>
        <v>A9</v>
      </c>
      <c r="E13" s="72" t="str">
        <f>pixel_shift_table.asm!F13</f>
        <v>AA</v>
      </c>
      <c r="F13" s="72" t="str">
        <f>pixel_shift_table.asm!G13</f>
        <v>A9</v>
      </c>
      <c r="G13" s="72" t="str">
        <f>pixel_shift_table.asm!H13</f>
        <v>AA</v>
      </c>
      <c r="H13" s="72" t="str">
        <f>pixel_shift_table.asm!I13</f>
        <v>A9</v>
      </c>
      <c r="I13" s="72" t="str">
        <f>pixel_shift_table.asm!J13</f>
        <v>AA</v>
      </c>
      <c r="J13" s="72" t="str">
        <f>pixel_shift_table.asm!K13</f>
        <v>A9</v>
      </c>
      <c r="K13" s="72" t="str">
        <f>pixel_shift_table.asm!L13</f>
        <v>AA</v>
      </c>
      <c r="L13" s="72" t="str">
        <f>pixel_shift_table.asm!M13</f>
        <v>A9</v>
      </c>
      <c r="M13" s="72" t="str">
        <f>pixel_shift_table.asm!N13</f>
        <v>AA</v>
      </c>
      <c r="N13" s="72" t="str">
        <f>pixel_shift_table.asm!O13</f>
        <v>A9</v>
      </c>
      <c r="O13" s="72" t="str">
        <f>pixel_shift_table.asm!P13</f>
        <v>AA</v>
      </c>
      <c r="P13" s="72" t="str">
        <f>pixel_shift_table.asm!Q13</f>
        <v>A9</v>
      </c>
      <c r="Q13" s="72" t="str">
        <f>pixel_shift_table.asm!R13</f>
        <v>AA</v>
      </c>
      <c r="S13">
        <f t="shared" si="2"/>
        <v>160</v>
      </c>
      <c r="T13" s="5" t="str">
        <f t="shared" ref="T13:AI13" si="23">IF($S13&lt;128,B21&amp;B13,DEC2HEX(HEX2DEC(T5)+1,4))</f>
        <v>A90D</v>
      </c>
      <c r="U13" s="5" t="str">
        <f t="shared" si="23"/>
        <v>AA03</v>
      </c>
      <c r="V13" s="5" t="str">
        <f t="shared" si="23"/>
        <v>A985</v>
      </c>
      <c r="W13" s="5" t="str">
        <f t="shared" si="23"/>
        <v>AA13</v>
      </c>
      <c r="X13" s="5" t="str">
        <f t="shared" si="23"/>
        <v>A947</v>
      </c>
      <c r="Y13" s="5" t="str">
        <f t="shared" si="23"/>
        <v>AA23</v>
      </c>
      <c r="Z13" s="5" t="str">
        <f t="shared" si="23"/>
        <v>A995</v>
      </c>
      <c r="AA13" s="5" t="str">
        <f t="shared" si="23"/>
        <v>AA33</v>
      </c>
      <c r="AB13" s="5" t="str">
        <f t="shared" si="23"/>
        <v>A929</v>
      </c>
      <c r="AC13" s="5" t="str">
        <f t="shared" si="23"/>
        <v>AA43</v>
      </c>
      <c r="AD13" s="5" t="str">
        <f t="shared" si="23"/>
        <v>A9A5</v>
      </c>
      <c r="AE13" s="5" t="str">
        <f t="shared" si="23"/>
        <v>AA53</v>
      </c>
      <c r="AF13" s="5" t="str">
        <f t="shared" si="23"/>
        <v>A957</v>
      </c>
      <c r="AG13" s="5" t="str">
        <f t="shared" si="23"/>
        <v>AA63</v>
      </c>
      <c r="AH13" s="5" t="str">
        <f t="shared" si="23"/>
        <v>A9B5</v>
      </c>
      <c r="AI13" s="5" t="str">
        <f t="shared" si="23"/>
        <v>AA73</v>
      </c>
      <c r="AK13" s="5" t="str" cm="1">
        <f t="array" ref="AK13">INDEX(_xlfn.TOROW(PixelPatternTable),HEX2DEC(T13)-$T$1+1)</f>
        <v>80</v>
      </c>
      <c r="AL13" s="5" t="str" cm="1">
        <f t="array" ref="AL13">INDEX(_xlfn.TOROW(PixelPatternTable),HEX2DEC(U13)-$T$1+1)</f>
        <v>80</v>
      </c>
      <c r="AM13" s="5" t="str" cm="1">
        <f t="array" ref="AM13">INDEX(_xlfn.TOROW(PixelPatternTable),HEX2DEC(V13)-$T$1+1)</f>
        <v>80</v>
      </c>
      <c r="AN13" s="5" t="str" cm="1">
        <f t="array" ref="AN13">INDEX(_xlfn.TOROW(PixelPatternTable),HEX2DEC(W13)-$T$1+1)</f>
        <v>80</v>
      </c>
      <c r="AO13" s="5" t="str" cm="1">
        <f t="array" ref="AO13">INDEX(_xlfn.TOROW(PixelPatternTable),HEX2DEC(X13)-$T$1+1)</f>
        <v>80</v>
      </c>
      <c r="AP13" s="5" t="str" cm="1">
        <f t="array" ref="AP13">INDEX(_xlfn.TOROW(PixelPatternTable),HEX2DEC(Y13)-$T$1+1)</f>
        <v>80</v>
      </c>
      <c r="AQ13" s="5" t="str" cm="1">
        <f t="array" ref="AQ13">INDEX(_xlfn.TOROW(PixelPatternTable),HEX2DEC(Z13)-$T$1+1)</f>
        <v>80</v>
      </c>
      <c r="AR13" s="5" t="str" cm="1">
        <f t="array" ref="AR13">INDEX(_xlfn.TOROW(PixelPatternTable),HEX2DEC(AA13)-$T$1+1)</f>
        <v>80</v>
      </c>
      <c r="AS13" s="5" t="str" cm="1">
        <f t="array" ref="AS13">INDEX(_xlfn.TOROW(PixelPatternTable),HEX2DEC(AB13)-$T$1+1)</f>
        <v>80</v>
      </c>
      <c r="AT13" s="5" t="str" cm="1">
        <f t="array" ref="AT13">INDEX(_xlfn.TOROW(PixelPatternTable),HEX2DEC(AC13)-$T$1+1)</f>
        <v>80</v>
      </c>
      <c r="AU13" s="5" t="str" cm="1">
        <f t="array" ref="AU13">INDEX(_xlfn.TOROW(PixelPatternTable),HEX2DEC(AD13)-$T$1+1)</f>
        <v>80</v>
      </c>
      <c r="AV13" s="5" t="str" cm="1">
        <f t="array" ref="AV13">INDEX(_xlfn.TOROW(PixelPatternTable),HEX2DEC(AE13)-$T$1+1)</f>
        <v>80</v>
      </c>
      <c r="AW13" s="5" t="str" cm="1">
        <f t="array" ref="AW13">INDEX(_xlfn.TOROW(PixelPatternTable),HEX2DEC(AF13)-$T$1+1)</f>
        <v>80</v>
      </c>
      <c r="AX13" s="5" t="str" cm="1">
        <f t="array" ref="AX13">INDEX(_xlfn.TOROW(PixelPatternTable),HEX2DEC(AG13)-$T$1+1)</f>
        <v>80</v>
      </c>
      <c r="AY13" s="5" t="str" cm="1">
        <f t="array" ref="AY13">INDEX(_xlfn.TOROW(PixelPatternTable),HEX2DEC(AH13)-$T$1+1)</f>
        <v>80</v>
      </c>
      <c r="AZ13" s="5" t="str" cm="1">
        <f t="array" ref="AZ13">INDEX(_xlfn.TOROW(PixelPatternTable),HEX2DEC(AI13)-$T$1+1)</f>
        <v>80</v>
      </c>
    </row>
    <row r="14" spans="1:52" x14ac:dyDescent="0.3">
      <c r="A14" s="5" t="str">
        <f t="shared" si="20"/>
        <v>A2B0</v>
      </c>
      <c r="B14" s="71" t="str">
        <f>pixel_shift_table.asm!C14</f>
        <v>A9</v>
      </c>
      <c r="C14" s="72" t="str">
        <f>pixel_shift_table.asm!D14</f>
        <v>AA</v>
      </c>
      <c r="D14" s="72" t="str">
        <f>pixel_shift_table.asm!E14</f>
        <v>A9</v>
      </c>
      <c r="E14" s="72" t="str">
        <f>pixel_shift_table.asm!F14</f>
        <v>AA</v>
      </c>
      <c r="F14" s="72" t="str">
        <f>pixel_shift_table.asm!G14</f>
        <v>A9</v>
      </c>
      <c r="G14" s="72" t="str">
        <f>pixel_shift_table.asm!H14</f>
        <v>AA</v>
      </c>
      <c r="H14" s="72" t="str">
        <f>pixel_shift_table.asm!I14</f>
        <v>A9</v>
      </c>
      <c r="I14" s="72" t="str">
        <f>pixel_shift_table.asm!J14</f>
        <v>AA</v>
      </c>
      <c r="J14" s="72" t="str">
        <f>pixel_shift_table.asm!K14</f>
        <v>A9</v>
      </c>
      <c r="K14" s="72" t="str">
        <f>pixel_shift_table.asm!L14</f>
        <v>AA</v>
      </c>
      <c r="L14" s="72" t="str">
        <f>pixel_shift_table.asm!M14</f>
        <v>A9</v>
      </c>
      <c r="M14" s="72" t="str">
        <f>pixel_shift_table.asm!N14</f>
        <v>AA</v>
      </c>
      <c r="N14" s="72" t="str">
        <f>pixel_shift_table.asm!O14</f>
        <v>A9</v>
      </c>
      <c r="O14" s="72" t="str">
        <f>pixel_shift_table.asm!P14</f>
        <v>AA</v>
      </c>
      <c r="P14" s="72" t="str">
        <f>pixel_shift_table.asm!Q14</f>
        <v>A9</v>
      </c>
      <c r="Q14" s="72" t="str">
        <f>pixel_shift_table.asm!R14</f>
        <v>AA</v>
      </c>
      <c r="S14">
        <f t="shared" si="2"/>
        <v>176</v>
      </c>
      <c r="T14" s="5" t="str">
        <f t="shared" ref="T14:AI14" si="24">IF($S14&lt;128,B22&amp;B14,DEC2HEX(HEX2DEC(T6)+1,4))</f>
        <v>A91B</v>
      </c>
      <c r="U14" s="5" t="str">
        <f t="shared" si="24"/>
        <v>AA83</v>
      </c>
      <c r="V14" s="5" t="str">
        <f t="shared" si="24"/>
        <v>A9C5</v>
      </c>
      <c r="W14" s="5" t="str">
        <f t="shared" si="24"/>
        <v>AA93</v>
      </c>
      <c r="X14" s="5" t="str">
        <f t="shared" si="24"/>
        <v>A967</v>
      </c>
      <c r="Y14" s="5" t="str">
        <f t="shared" si="24"/>
        <v>AAA3</v>
      </c>
      <c r="Z14" s="5" t="str">
        <f t="shared" si="24"/>
        <v>A9D5</v>
      </c>
      <c r="AA14" s="5" t="str">
        <f t="shared" si="24"/>
        <v>AAB3</v>
      </c>
      <c r="AB14" s="5" t="str">
        <f t="shared" si="24"/>
        <v>A939</v>
      </c>
      <c r="AC14" s="5" t="str">
        <f t="shared" si="24"/>
        <v>AAC3</v>
      </c>
      <c r="AD14" s="5" t="str">
        <f t="shared" si="24"/>
        <v>A9E5</v>
      </c>
      <c r="AE14" s="5" t="str">
        <f t="shared" si="24"/>
        <v>AAD3</v>
      </c>
      <c r="AF14" s="5" t="str">
        <f t="shared" si="24"/>
        <v>A977</v>
      </c>
      <c r="AG14" s="5" t="str">
        <f t="shared" si="24"/>
        <v>AAE3</v>
      </c>
      <c r="AH14" s="5" t="str">
        <f t="shared" si="24"/>
        <v>A9F5</v>
      </c>
      <c r="AI14" s="5" t="str">
        <f t="shared" si="24"/>
        <v>AAF3</v>
      </c>
      <c r="AK14" s="5" t="str" cm="1">
        <f t="array" ref="AK14">INDEX(_xlfn.TOROW(PixelPatternTable),HEX2DEC(T14)-$T$1+1)</f>
        <v>80</v>
      </c>
      <c r="AL14" s="5" t="str" cm="1">
        <f t="array" ref="AL14">INDEX(_xlfn.TOROW(PixelPatternTable),HEX2DEC(U14)-$T$1+1)</f>
        <v>80</v>
      </c>
      <c r="AM14" s="5" t="str" cm="1">
        <f t="array" ref="AM14">INDEX(_xlfn.TOROW(PixelPatternTable),HEX2DEC(V14)-$T$1+1)</f>
        <v>80</v>
      </c>
      <c r="AN14" s="5" t="str" cm="1">
        <f t="array" ref="AN14">INDEX(_xlfn.TOROW(PixelPatternTable),HEX2DEC(W14)-$T$1+1)</f>
        <v>80</v>
      </c>
      <c r="AO14" s="5" t="str" cm="1">
        <f t="array" ref="AO14">INDEX(_xlfn.TOROW(PixelPatternTable),HEX2DEC(X14)-$T$1+1)</f>
        <v>80</v>
      </c>
      <c r="AP14" s="5" t="str" cm="1">
        <f t="array" ref="AP14">INDEX(_xlfn.TOROW(PixelPatternTable),HEX2DEC(Y14)-$T$1+1)</f>
        <v>80</v>
      </c>
      <c r="AQ14" s="5" t="str" cm="1">
        <f t="array" ref="AQ14">INDEX(_xlfn.TOROW(PixelPatternTable),HEX2DEC(Z14)-$T$1+1)</f>
        <v>80</v>
      </c>
      <c r="AR14" s="5" t="str" cm="1">
        <f t="array" ref="AR14">INDEX(_xlfn.TOROW(PixelPatternTable),HEX2DEC(AA14)-$T$1+1)</f>
        <v>80</v>
      </c>
      <c r="AS14" s="5" t="str" cm="1">
        <f t="array" ref="AS14">INDEX(_xlfn.TOROW(PixelPatternTable),HEX2DEC(AB14)-$T$1+1)</f>
        <v>80</v>
      </c>
      <c r="AT14" s="5" t="str" cm="1">
        <f t="array" ref="AT14">INDEX(_xlfn.TOROW(PixelPatternTable),HEX2DEC(AC14)-$T$1+1)</f>
        <v>80</v>
      </c>
      <c r="AU14" s="5" t="str" cm="1">
        <f t="array" ref="AU14">INDEX(_xlfn.TOROW(PixelPatternTable),HEX2DEC(AD14)-$T$1+1)</f>
        <v>80</v>
      </c>
      <c r="AV14" s="5" t="str" cm="1">
        <f t="array" ref="AV14">INDEX(_xlfn.TOROW(PixelPatternTable),HEX2DEC(AE14)-$T$1+1)</f>
        <v>80</v>
      </c>
      <c r="AW14" s="5" t="str" cm="1">
        <f t="array" ref="AW14">INDEX(_xlfn.TOROW(PixelPatternTable),HEX2DEC(AF14)-$T$1+1)</f>
        <v>80</v>
      </c>
      <c r="AX14" s="5" t="str" cm="1">
        <f t="array" ref="AX14">INDEX(_xlfn.TOROW(PixelPatternTable),HEX2DEC(AG14)-$T$1+1)</f>
        <v>80</v>
      </c>
      <c r="AY14" s="5" t="str" cm="1">
        <f t="array" ref="AY14">INDEX(_xlfn.TOROW(PixelPatternTable),HEX2DEC(AH14)-$T$1+1)</f>
        <v>80</v>
      </c>
      <c r="AZ14" s="5" t="str" cm="1">
        <f t="array" ref="AZ14">INDEX(_xlfn.TOROW(PixelPatternTable),HEX2DEC(AI14)-$T$1+1)</f>
        <v>80</v>
      </c>
    </row>
    <row r="15" spans="1:52" x14ac:dyDescent="0.3">
      <c r="A15" s="5" t="str">
        <f t="shared" si="20"/>
        <v>A2C0</v>
      </c>
      <c r="B15" s="71" t="str">
        <f>pixel_shift_table.asm!C15</f>
        <v>A9</v>
      </c>
      <c r="C15" s="72" t="str">
        <f>pixel_shift_table.asm!D15</f>
        <v>AB</v>
      </c>
      <c r="D15" s="72" t="str">
        <f>pixel_shift_table.asm!E15</f>
        <v>AA</v>
      </c>
      <c r="E15" s="72" t="str">
        <f>pixel_shift_table.asm!F15</f>
        <v>AB</v>
      </c>
      <c r="F15" s="72" t="str">
        <f>pixel_shift_table.asm!G15</f>
        <v>A9</v>
      </c>
      <c r="G15" s="72" t="str">
        <f>pixel_shift_table.asm!H15</f>
        <v>AB</v>
      </c>
      <c r="H15" s="72" t="str">
        <f>pixel_shift_table.asm!I15</f>
        <v>AA</v>
      </c>
      <c r="I15" s="72" t="str">
        <f>pixel_shift_table.asm!J15</f>
        <v>AB</v>
      </c>
      <c r="J15" s="72" t="str">
        <f>pixel_shift_table.asm!K15</f>
        <v>A9</v>
      </c>
      <c r="K15" s="72" t="str">
        <f>pixel_shift_table.asm!L15</f>
        <v>AB</v>
      </c>
      <c r="L15" s="72" t="str">
        <f>pixel_shift_table.asm!M15</f>
        <v>AA</v>
      </c>
      <c r="M15" s="72" t="str">
        <f>pixel_shift_table.asm!N15</f>
        <v>AB</v>
      </c>
      <c r="N15" s="72" t="str">
        <f>pixel_shift_table.asm!O15</f>
        <v>A9</v>
      </c>
      <c r="O15" s="72" t="str">
        <f>pixel_shift_table.asm!P15</f>
        <v>AB</v>
      </c>
      <c r="P15" s="72" t="str">
        <f>pixel_shift_table.asm!Q15</f>
        <v>AA</v>
      </c>
      <c r="Q15" s="72" t="str">
        <f>pixel_shift_table.asm!R15</f>
        <v>AB</v>
      </c>
      <c r="S15">
        <f t="shared" si="2"/>
        <v>192</v>
      </c>
      <c r="T15" s="5" t="str">
        <f t="shared" ref="T15:AI15" si="25">IF($S15&lt;128,B23&amp;B15,DEC2HEX(HEX2DEC(T7)+1,4))</f>
        <v>A90F</v>
      </c>
      <c r="U15" s="5" t="str">
        <f t="shared" si="25"/>
        <v>AB03</v>
      </c>
      <c r="V15" s="5" t="str">
        <f t="shared" si="25"/>
        <v>AA05</v>
      </c>
      <c r="W15" s="5" t="str">
        <f t="shared" si="25"/>
        <v>AB13</v>
      </c>
      <c r="X15" s="5" t="str">
        <f t="shared" si="25"/>
        <v>A987</v>
      </c>
      <c r="Y15" s="5" t="str">
        <f t="shared" si="25"/>
        <v>AB23</v>
      </c>
      <c r="Z15" s="5" t="str">
        <f t="shared" si="25"/>
        <v>AA15</v>
      </c>
      <c r="AA15" s="5" t="str">
        <f t="shared" si="25"/>
        <v>AB33</v>
      </c>
      <c r="AB15" s="5" t="str">
        <f t="shared" si="25"/>
        <v>A949</v>
      </c>
      <c r="AC15" s="5" t="str">
        <f t="shared" si="25"/>
        <v>AB43</v>
      </c>
      <c r="AD15" s="5" t="str">
        <f t="shared" si="25"/>
        <v>AA25</v>
      </c>
      <c r="AE15" s="5" t="str">
        <f t="shared" si="25"/>
        <v>AB53</v>
      </c>
      <c r="AF15" s="5" t="str">
        <f t="shared" si="25"/>
        <v>A997</v>
      </c>
      <c r="AG15" s="5" t="str">
        <f t="shared" si="25"/>
        <v>AB63</v>
      </c>
      <c r="AH15" s="5" t="str">
        <f t="shared" si="25"/>
        <v>AA35</v>
      </c>
      <c r="AI15" s="5" t="str">
        <f t="shared" si="25"/>
        <v>AB73</v>
      </c>
      <c r="AK15" s="5" t="str" cm="1">
        <f t="array" ref="AK15">INDEX(_xlfn.TOROW(PixelPatternTable),HEX2DEC(T15)-$T$1+1)</f>
        <v>80</v>
      </c>
      <c r="AL15" s="5" t="str" cm="1">
        <f t="array" ref="AL15">INDEX(_xlfn.TOROW(PixelPatternTable),HEX2DEC(U15)-$T$1+1)</f>
        <v>80</v>
      </c>
      <c r="AM15" s="5" t="str" cm="1">
        <f t="array" ref="AM15">INDEX(_xlfn.TOROW(PixelPatternTable),HEX2DEC(V15)-$T$1+1)</f>
        <v>80</v>
      </c>
      <c r="AN15" s="5" t="str" cm="1">
        <f t="array" ref="AN15">INDEX(_xlfn.TOROW(PixelPatternTable),HEX2DEC(W15)-$T$1+1)</f>
        <v>80</v>
      </c>
      <c r="AO15" s="5" t="str" cm="1">
        <f t="array" ref="AO15">INDEX(_xlfn.TOROW(PixelPatternTable),HEX2DEC(X15)-$T$1+1)</f>
        <v>80</v>
      </c>
      <c r="AP15" s="5" t="str" cm="1">
        <f t="array" ref="AP15">INDEX(_xlfn.TOROW(PixelPatternTable),HEX2DEC(Y15)-$T$1+1)</f>
        <v>80</v>
      </c>
      <c r="AQ15" s="5" t="str" cm="1">
        <f t="array" ref="AQ15">INDEX(_xlfn.TOROW(PixelPatternTable),HEX2DEC(Z15)-$T$1+1)</f>
        <v>80</v>
      </c>
      <c r="AR15" s="5" t="str" cm="1">
        <f t="array" ref="AR15">INDEX(_xlfn.TOROW(PixelPatternTable),HEX2DEC(AA15)-$T$1+1)</f>
        <v>80</v>
      </c>
      <c r="AS15" s="5" t="str" cm="1">
        <f t="array" ref="AS15">INDEX(_xlfn.TOROW(PixelPatternTable),HEX2DEC(AB15)-$T$1+1)</f>
        <v>80</v>
      </c>
      <c r="AT15" s="5" t="str" cm="1">
        <f t="array" ref="AT15">INDEX(_xlfn.TOROW(PixelPatternTable),HEX2DEC(AC15)-$T$1+1)</f>
        <v>80</v>
      </c>
      <c r="AU15" s="5" t="str" cm="1">
        <f t="array" ref="AU15">INDEX(_xlfn.TOROW(PixelPatternTable),HEX2DEC(AD15)-$T$1+1)</f>
        <v>80</v>
      </c>
      <c r="AV15" s="5" t="str" cm="1">
        <f t="array" ref="AV15">INDEX(_xlfn.TOROW(PixelPatternTable),HEX2DEC(AE15)-$T$1+1)</f>
        <v>80</v>
      </c>
      <c r="AW15" s="5" t="str" cm="1">
        <f t="array" ref="AW15">INDEX(_xlfn.TOROW(PixelPatternTable),HEX2DEC(AF15)-$T$1+1)</f>
        <v>80</v>
      </c>
      <c r="AX15" s="5" t="str" cm="1">
        <f t="array" ref="AX15">INDEX(_xlfn.TOROW(PixelPatternTable),HEX2DEC(AG15)-$T$1+1)</f>
        <v>80</v>
      </c>
      <c r="AY15" s="5" t="str" cm="1">
        <f t="array" ref="AY15">INDEX(_xlfn.TOROW(PixelPatternTable),HEX2DEC(AH15)-$T$1+1)</f>
        <v>80</v>
      </c>
      <c r="AZ15" s="5" t="str" cm="1">
        <f t="array" ref="AZ15">INDEX(_xlfn.TOROW(PixelPatternTable),HEX2DEC(AI15)-$T$1+1)</f>
        <v>80</v>
      </c>
    </row>
    <row r="16" spans="1:52" x14ac:dyDescent="0.3">
      <c r="A16" s="5" t="str">
        <f t="shared" si="20"/>
        <v>A2D0</v>
      </c>
      <c r="B16" s="71" t="str">
        <f>pixel_shift_table.asm!C16</f>
        <v>A9</v>
      </c>
      <c r="C16" s="72" t="str">
        <f>pixel_shift_table.asm!D16</f>
        <v>AB</v>
      </c>
      <c r="D16" s="72" t="str">
        <f>pixel_shift_table.asm!E16</f>
        <v>AA</v>
      </c>
      <c r="E16" s="72" t="str">
        <f>pixel_shift_table.asm!F16</f>
        <v>AB</v>
      </c>
      <c r="F16" s="72" t="str">
        <f>pixel_shift_table.asm!G16</f>
        <v>A9</v>
      </c>
      <c r="G16" s="72" t="str">
        <f>pixel_shift_table.asm!H16</f>
        <v>AB</v>
      </c>
      <c r="H16" s="72" t="str">
        <f>pixel_shift_table.asm!I16</f>
        <v>AA</v>
      </c>
      <c r="I16" s="72" t="str">
        <f>pixel_shift_table.asm!J16</f>
        <v>AB</v>
      </c>
      <c r="J16" s="72" t="str">
        <f>pixel_shift_table.asm!K16</f>
        <v>A9</v>
      </c>
      <c r="K16" s="72" t="str">
        <f>pixel_shift_table.asm!L16</f>
        <v>AB</v>
      </c>
      <c r="L16" s="72" t="str">
        <f>pixel_shift_table.asm!M16</f>
        <v>AA</v>
      </c>
      <c r="M16" s="72" t="str">
        <f>pixel_shift_table.asm!N16</f>
        <v>AB</v>
      </c>
      <c r="N16" s="72" t="str">
        <f>pixel_shift_table.asm!O16</f>
        <v>A9</v>
      </c>
      <c r="O16" s="72" t="str">
        <f>pixel_shift_table.asm!P16</f>
        <v>AB</v>
      </c>
      <c r="P16" s="72" t="str">
        <f>pixel_shift_table.asm!Q16</f>
        <v>AA</v>
      </c>
      <c r="Q16" s="72" t="str">
        <f>pixel_shift_table.asm!R16</f>
        <v>AB</v>
      </c>
      <c r="S16">
        <f t="shared" si="2"/>
        <v>208</v>
      </c>
      <c r="T16" s="5" t="str">
        <f t="shared" ref="T16:AI16" si="26">IF($S16&lt;128,B24&amp;B16,DEC2HEX(HEX2DEC(T8)+1,4))</f>
        <v>A92B</v>
      </c>
      <c r="U16" s="5" t="str">
        <f t="shared" si="26"/>
        <v>AB83</v>
      </c>
      <c r="V16" s="5" t="str">
        <f t="shared" si="26"/>
        <v>AA45</v>
      </c>
      <c r="W16" s="5" t="str">
        <f t="shared" si="26"/>
        <v>AB93</v>
      </c>
      <c r="X16" s="5" t="str">
        <f t="shared" si="26"/>
        <v>A9A7</v>
      </c>
      <c r="Y16" s="5" t="str">
        <f t="shared" si="26"/>
        <v>ABA3</v>
      </c>
      <c r="Z16" s="5" t="str">
        <f t="shared" si="26"/>
        <v>AA55</v>
      </c>
      <c r="AA16" s="5" t="str">
        <f t="shared" si="26"/>
        <v>ABB3</v>
      </c>
      <c r="AB16" s="5" t="str">
        <f t="shared" si="26"/>
        <v>A959</v>
      </c>
      <c r="AC16" s="5" t="str">
        <f t="shared" si="26"/>
        <v>ABC3</v>
      </c>
      <c r="AD16" s="5" t="str">
        <f t="shared" si="26"/>
        <v>AA65</v>
      </c>
      <c r="AE16" s="5" t="str">
        <f t="shared" si="26"/>
        <v>ABD3</v>
      </c>
      <c r="AF16" s="5" t="str">
        <f t="shared" si="26"/>
        <v>A9B7</v>
      </c>
      <c r="AG16" s="5" t="str">
        <f t="shared" si="26"/>
        <v>ABE3</v>
      </c>
      <c r="AH16" s="5" t="str">
        <f t="shared" si="26"/>
        <v>AA75</v>
      </c>
      <c r="AI16" s="5" t="str">
        <f t="shared" si="26"/>
        <v>ABF3</v>
      </c>
      <c r="AK16" s="5" t="str" cm="1">
        <f t="array" ref="AK16">INDEX(_xlfn.TOROW(PixelPatternTable),HEX2DEC(T16)-$T$1+1)</f>
        <v>80</v>
      </c>
      <c r="AL16" s="5" t="str" cm="1">
        <f t="array" ref="AL16">INDEX(_xlfn.TOROW(PixelPatternTable),HEX2DEC(U16)-$T$1+1)</f>
        <v>80</v>
      </c>
      <c r="AM16" s="5" t="str" cm="1">
        <f t="array" ref="AM16">INDEX(_xlfn.TOROW(PixelPatternTable),HEX2DEC(V16)-$T$1+1)</f>
        <v>80</v>
      </c>
      <c r="AN16" s="5" t="str" cm="1">
        <f t="array" ref="AN16">INDEX(_xlfn.TOROW(PixelPatternTable),HEX2DEC(W16)-$T$1+1)</f>
        <v>80</v>
      </c>
      <c r="AO16" s="5" t="str" cm="1">
        <f t="array" ref="AO16">INDEX(_xlfn.TOROW(PixelPatternTable),HEX2DEC(X16)-$T$1+1)</f>
        <v>80</v>
      </c>
      <c r="AP16" s="5" t="str" cm="1">
        <f t="array" ref="AP16">INDEX(_xlfn.TOROW(PixelPatternTable),HEX2DEC(Y16)-$T$1+1)</f>
        <v>80</v>
      </c>
      <c r="AQ16" s="5" t="str" cm="1">
        <f t="array" ref="AQ16">INDEX(_xlfn.TOROW(PixelPatternTable),HEX2DEC(Z16)-$T$1+1)</f>
        <v>80</v>
      </c>
      <c r="AR16" s="5" t="str" cm="1">
        <f t="array" ref="AR16">INDEX(_xlfn.TOROW(PixelPatternTable),HEX2DEC(AA16)-$T$1+1)</f>
        <v>80</v>
      </c>
      <c r="AS16" s="5" t="str" cm="1">
        <f t="array" ref="AS16">INDEX(_xlfn.TOROW(PixelPatternTable),HEX2DEC(AB16)-$T$1+1)</f>
        <v>80</v>
      </c>
      <c r="AT16" s="5" t="str" cm="1">
        <f t="array" ref="AT16">INDEX(_xlfn.TOROW(PixelPatternTable),HEX2DEC(AC16)-$T$1+1)</f>
        <v>80</v>
      </c>
      <c r="AU16" s="5" t="str" cm="1">
        <f t="array" ref="AU16">INDEX(_xlfn.TOROW(PixelPatternTable),HEX2DEC(AD16)-$T$1+1)</f>
        <v>80</v>
      </c>
      <c r="AV16" s="5" t="str" cm="1">
        <f t="array" ref="AV16">INDEX(_xlfn.TOROW(PixelPatternTable),HEX2DEC(AE16)-$T$1+1)</f>
        <v>80</v>
      </c>
      <c r="AW16" s="5" t="str" cm="1">
        <f t="array" ref="AW16">INDEX(_xlfn.TOROW(PixelPatternTable),HEX2DEC(AF16)-$T$1+1)</f>
        <v>80</v>
      </c>
      <c r="AX16" s="5" t="str" cm="1">
        <f t="array" ref="AX16">INDEX(_xlfn.TOROW(PixelPatternTable),HEX2DEC(AG16)-$T$1+1)</f>
        <v>80</v>
      </c>
      <c r="AY16" s="5" t="str" cm="1">
        <f t="array" ref="AY16">INDEX(_xlfn.TOROW(PixelPatternTable),HEX2DEC(AH16)-$T$1+1)</f>
        <v>80</v>
      </c>
      <c r="AZ16" s="5" t="str" cm="1">
        <f t="array" ref="AZ16">INDEX(_xlfn.TOROW(PixelPatternTable),HEX2DEC(AI16)-$T$1+1)</f>
        <v>80</v>
      </c>
    </row>
    <row r="17" spans="1:52" x14ac:dyDescent="0.3">
      <c r="A17" s="5" t="str">
        <f t="shared" si="20"/>
        <v>A2E0</v>
      </c>
      <c r="B17" s="71" t="str">
        <f>pixel_shift_table.asm!C17</f>
        <v>A9</v>
      </c>
      <c r="C17" s="72" t="str">
        <f>pixel_shift_table.asm!D17</f>
        <v>AC</v>
      </c>
      <c r="D17" s="72" t="str">
        <f>pixel_shift_table.asm!E17</f>
        <v>AA</v>
      </c>
      <c r="E17" s="72" t="str">
        <f>pixel_shift_table.asm!F17</f>
        <v>AC</v>
      </c>
      <c r="F17" s="72" t="str">
        <f>pixel_shift_table.asm!G17</f>
        <v>A9</v>
      </c>
      <c r="G17" s="72" t="str">
        <f>pixel_shift_table.asm!H17</f>
        <v>AC</v>
      </c>
      <c r="H17" s="72" t="str">
        <f>pixel_shift_table.asm!I17</f>
        <v>AA</v>
      </c>
      <c r="I17" s="72" t="str">
        <f>pixel_shift_table.asm!J17</f>
        <v>AC</v>
      </c>
      <c r="J17" s="72" t="str">
        <f>pixel_shift_table.asm!K17</f>
        <v>A9</v>
      </c>
      <c r="K17" s="72" t="str">
        <f>pixel_shift_table.asm!L17</f>
        <v>AC</v>
      </c>
      <c r="L17" s="72" t="str">
        <f>pixel_shift_table.asm!M17</f>
        <v>AA</v>
      </c>
      <c r="M17" s="72" t="str">
        <f>pixel_shift_table.asm!N17</f>
        <v>AC</v>
      </c>
      <c r="N17" s="72" t="str">
        <f>pixel_shift_table.asm!O17</f>
        <v>A9</v>
      </c>
      <c r="O17" s="72" t="str">
        <f>pixel_shift_table.asm!P17</f>
        <v>AC</v>
      </c>
      <c r="P17" s="72" t="str">
        <f>pixel_shift_table.asm!Q17</f>
        <v>AA</v>
      </c>
      <c r="Q17" s="72" t="str">
        <f>pixel_shift_table.asm!R17</f>
        <v>AC</v>
      </c>
      <c r="S17">
        <f t="shared" ref="S17:S21" si="27">IF(RIGHT(A17,2)="00",0,S16+16)</f>
        <v>224</v>
      </c>
      <c r="T17" s="5" t="str">
        <f t="shared" ref="T17:AI17" si="28">IF($S17&lt;128,B25&amp;B17,DEC2HEX(HEX2DEC(T9)+1,4))</f>
        <v>A91D</v>
      </c>
      <c r="U17" s="5" t="str">
        <f t="shared" si="28"/>
        <v>AC03</v>
      </c>
      <c r="V17" s="5" t="str">
        <f t="shared" si="28"/>
        <v>AA85</v>
      </c>
      <c r="W17" s="5" t="str">
        <f t="shared" si="28"/>
        <v>AC13</v>
      </c>
      <c r="X17" s="5" t="str">
        <f t="shared" si="28"/>
        <v>A9C7</v>
      </c>
      <c r="Y17" s="5" t="str">
        <f t="shared" si="28"/>
        <v>AC23</v>
      </c>
      <c r="Z17" s="5" t="str">
        <f t="shared" si="28"/>
        <v>AA95</v>
      </c>
      <c r="AA17" s="5" t="str">
        <f t="shared" si="28"/>
        <v>AC33</v>
      </c>
      <c r="AB17" s="5" t="str">
        <f t="shared" si="28"/>
        <v>A969</v>
      </c>
      <c r="AC17" s="5" t="str">
        <f t="shared" si="28"/>
        <v>AC43</v>
      </c>
      <c r="AD17" s="5" t="str">
        <f t="shared" si="28"/>
        <v>AAA5</v>
      </c>
      <c r="AE17" s="5" t="str">
        <f t="shared" si="28"/>
        <v>AC53</v>
      </c>
      <c r="AF17" s="5" t="str">
        <f t="shared" si="28"/>
        <v>A9D7</v>
      </c>
      <c r="AG17" s="5" t="str">
        <f t="shared" si="28"/>
        <v>AC63</v>
      </c>
      <c r="AH17" s="5" t="str">
        <f t="shared" si="28"/>
        <v>AAB5</v>
      </c>
      <c r="AI17" s="5" t="str">
        <f t="shared" si="28"/>
        <v>AC73</v>
      </c>
      <c r="AK17" s="5" t="str" cm="1">
        <f t="array" ref="AK17">INDEX(_xlfn.TOROW(PixelPatternTable),HEX2DEC(T17)-$T$1+1)</f>
        <v>80</v>
      </c>
      <c r="AL17" s="5" t="str" cm="1">
        <f t="array" ref="AL17">INDEX(_xlfn.TOROW(PixelPatternTable),HEX2DEC(U17)-$T$1+1)</f>
        <v>80</v>
      </c>
      <c r="AM17" s="5" t="str" cm="1">
        <f t="array" ref="AM17">INDEX(_xlfn.TOROW(PixelPatternTable),HEX2DEC(V17)-$T$1+1)</f>
        <v>80</v>
      </c>
      <c r="AN17" s="5" t="str" cm="1">
        <f t="array" ref="AN17">INDEX(_xlfn.TOROW(PixelPatternTable),HEX2DEC(W17)-$T$1+1)</f>
        <v>80</v>
      </c>
      <c r="AO17" s="5" t="str" cm="1">
        <f t="array" ref="AO17">INDEX(_xlfn.TOROW(PixelPatternTable),HEX2DEC(X17)-$T$1+1)</f>
        <v>80</v>
      </c>
      <c r="AP17" s="5" t="str" cm="1">
        <f t="array" ref="AP17">INDEX(_xlfn.TOROW(PixelPatternTable),HEX2DEC(Y17)-$T$1+1)</f>
        <v>80</v>
      </c>
      <c r="AQ17" s="5" t="str" cm="1">
        <f t="array" ref="AQ17">INDEX(_xlfn.TOROW(PixelPatternTable),HEX2DEC(Z17)-$T$1+1)</f>
        <v>80</v>
      </c>
      <c r="AR17" s="5" t="str" cm="1">
        <f t="array" ref="AR17">INDEX(_xlfn.TOROW(PixelPatternTable),HEX2DEC(AA17)-$T$1+1)</f>
        <v>80</v>
      </c>
      <c r="AS17" s="5" t="str" cm="1">
        <f t="array" ref="AS17">INDEX(_xlfn.TOROW(PixelPatternTable),HEX2DEC(AB17)-$T$1+1)</f>
        <v>80</v>
      </c>
      <c r="AT17" s="5" t="str" cm="1">
        <f t="array" ref="AT17">INDEX(_xlfn.TOROW(PixelPatternTable),HEX2DEC(AC17)-$T$1+1)</f>
        <v>80</v>
      </c>
      <c r="AU17" s="5" t="str" cm="1">
        <f t="array" ref="AU17">INDEX(_xlfn.TOROW(PixelPatternTable),HEX2DEC(AD17)-$T$1+1)</f>
        <v>80</v>
      </c>
      <c r="AV17" s="5" t="str" cm="1">
        <f t="array" ref="AV17">INDEX(_xlfn.TOROW(PixelPatternTable),HEX2DEC(AE17)-$T$1+1)</f>
        <v>80</v>
      </c>
      <c r="AW17" s="5" t="str" cm="1">
        <f t="array" ref="AW17">INDEX(_xlfn.TOROW(PixelPatternTable),HEX2DEC(AF17)-$T$1+1)</f>
        <v>80</v>
      </c>
      <c r="AX17" s="5" t="str" cm="1">
        <f t="array" ref="AX17">INDEX(_xlfn.TOROW(PixelPatternTable),HEX2DEC(AG17)-$T$1+1)</f>
        <v>80</v>
      </c>
      <c r="AY17" s="5" t="str" cm="1">
        <f t="array" ref="AY17">INDEX(_xlfn.TOROW(PixelPatternTable),HEX2DEC(AH17)-$T$1+1)</f>
        <v>80</v>
      </c>
      <c r="AZ17" s="5" t="str" cm="1">
        <f t="array" ref="AZ17">INDEX(_xlfn.TOROW(PixelPatternTable),HEX2DEC(AI17)-$T$1+1)</f>
        <v>80</v>
      </c>
    </row>
    <row r="18" spans="1:52" x14ac:dyDescent="0.3">
      <c r="A18" s="58" t="str">
        <f t="shared" si="20"/>
        <v>A2F0</v>
      </c>
      <c r="B18" s="73" t="str">
        <f>pixel_shift_table.asm!C18</f>
        <v>A9</v>
      </c>
      <c r="C18" s="74" t="str">
        <f>pixel_shift_table.asm!D18</f>
        <v>AC</v>
      </c>
      <c r="D18" s="74" t="str">
        <f>pixel_shift_table.asm!E18</f>
        <v>AA</v>
      </c>
      <c r="E18" s="74" t="str">
        <f>pixel_shift_table.asm!F18</f>
        <v>AC</v>
      </c>
      <c r="F18" s="74" t="str">
        <f>pixel_shift_table.asm!G18</f>
        <v>A9</v>
      </c>
      <c r="G18" s="74" t="str">
        <f>pixel_shift_table.asm!H18</f>
        <v>AC</v>
      </c>
      <c r="H18" s="74" t="str">
        <f>pixel_shift_table.asm!I18</f>
        <v>AA</v>
      </c>
      <c r="I18" s="74" t="str">
        <f>pixel_shift_table.asm!J18</f>
        <v>AC</v>
      </c>
      <c r="J18" s="74" t="str">
        <f>pixel_shift_table.asm!K18</f>
        <v>A9</v>
      </c>
      <c r="K18" s="74" t="str">
        <f>pixel_shift_table.asm!L18</f>
        <v>AC</v>
      </c>
      <c r="L18" s="74" t="str">
        <f>pixel_shift_table.asm!M18</f>
        <v>AA</v>
      </c>
      <c r="M18" s="74" t="str">
        <f>pixel_shift_table.asm!N18</f>
        <v>AC</v>
      </c>
      <c r="N18" s="74" t="str">
        <f>pixel_shift_table.asm!O18</f>
        <v>A9</v>
      </c>
      <c r="O18" s="74" t="str">
        <f>pixel_shift_table.asm!P18</f>
        <v>AC</v>
      </c>
      <c r="P18" s="74" t="str">
        <f>pixel_shift_table.asm!Q18</f>
        <v>AA</v>
      </c>
      <c r="Q18" s="74" t="str">
        <f>pixel_shift_table.asm!R18</f>
        <v>AC</v>
      </c>
      <c r="S18">
        <f t="shared" si="27"/>
        <v>240</v>
      </c>
      <c r="T18" s="5" t="str">
        <f t="shared" ref="T18:AI18" si="29">IF($S18&lt;128,B26&amp;B18,DEC2HEX(HEX2DEC(T10)+1,4))</f>
        <v>A93B</v>
      </c>
      <c r="U18" s="5" t="str">
        <f t="shared" si="29"/>
        <v>AC83</v>
      </c>
      <c r="V18" s="5" t="str">
        <f t="shared" si="29"/>
        <v>AAC5</v>
      </c>
      <c r="W18" s="5" t="str">
        <f t="shared" si="29"/>
        <v>AC93</v>
      </c>
      <c r="X18" s="5" t="str">
        <f t="shared" si="29"/>
        <v>A9E7</v>
      </c>
      <c r="Y18" s="5" t="str">
        <f t="shared" si="29"/>
        <v>ACA3</v>
      </c>
      <c r="Z18" s="5" t="str">
        <f t="shared" si="29"/>
        <v>AAD5</v>
      </c>
      <c r="AA18" s="5" t="str">
        <f t="shared" si="29"/>
        <v>ACB3</v>
      </c>
      <c r="AB18" s="5" t="str">
        <f t="shared" si="29"/>
        <v>A979</v>
      </c>
      <c r="AC18" s="5" t="str">
        <f t="shared" si="29"/>
        <v>ACC3</v>
      </c>
      <c r="AD18" s="5" t="str">
        <f t="shared" si="29"/>
        <v>AAE5</v>
      </c>
      <c r="AE18" s="5" t="str">
        <f t="shared" si="29"/>
        <v>ACD3</v>
      </c>
      <c r="AF18" s="5" t="str">
        <f t="shared" si="29"/>
        <v>A9F7</v>
      </c>
      <c r="AG18" s="5" t="str">
        <f t="shared" si="29"/>
        <v>ACE3</v>
      </c>
      <c r="AH18" s="5" t="str">
        <f t="shared" si="29"/>
        <v>AAF5</v>
      </c>
      <c r="AI18" s="5" t="str">
        <f t="shared" si="29"/>
        <v>ACF3</v>
      </c>
      <c r="AK18" s="5" t="str" cm="1">
        <f t="array" ref="AK18">INDEX(_xlfn.TOROW(PixelPatternTable),HEX2DEC(T18)-$T$1+1)</f>
        <v>80</v>
      </c>
      <c r="AL18" s="5" t="str" cm="1">
        <f t="array" ref="AL18">INDEX(_xlfn.TOROW(PixelPatternTable),HEX2DEC(U18)-$T$1+1)</f>
        <v>80</v>
      </c>
      <c r="AM18" s="5" t="str" cm="1">
        <f t="array" ref="AM18">INDEX(_xlfn.TOROW(PixelPatternTable),HEX2DEC(V18)-$T$1+1)</f>
        <v>80</v>
      </c>
      <c r="AN18" s="5" t="str" cm="1">
        <f t="array" ref="AN18">INDEX(_xlfn.TOROW(PixelPatternTable),HEX2DEC(W18)-$T$1+1)</f>
        <v>80</v>
      </c>
      <c r="AO18" s="5" t="str" cm="1">
        <f t="array" ref="AO18">INDEX(_xlfn.TOROW(PixelPatternTable),HEX2DEC(X18)-$T$1+1)</f>
        <v>80</v>
      </c>
      <c r="AP18" s="5" t="str" cm="1">
        <f t="array" ref="AP18">INDEX(_xlfn.TOROW(PixelPatternTable),HEX2DEC(Y18)-$T$1+1)</f>
        <v>80</v>
      </c>
      <c r="AQ18" s="5" t="str" cm="1">
        <f t="array" ref="AQ18">INDEX(_xlfn.TOROW(PixelPatternTable),HEX2DEC(Z18)-$T$1+1)</f>
        <v>80</v>
      </c>
      <c r="AR18" s="5" t="str" cm="1">
        <f t="array" ref="AR18">INDEX(_xlfn.TOROW(PixelPatternTable),HEX2DEC(AA18)-$T$1+1)</f>
        <v>80</v>
      </c>
      <c r="AS18" s="5" t="str" cm="1">
        <f t="array" ref="AS18">INDEX(_xlfn.TOROW(PixelPatternTable),HEX2DEC(AB18)-$T$1+1)</f>
        <v>80</v>
      </c>
      <c r="AT18" s="5" t="str" cm="1">
        <f t="array" ref="AT18">INDEX(_xlfn.TOROW(PixelPatternTable),HEX2DEC(AC18)-$T$1+1)</f>
        <v>80</v>
      </c>
      <c r="AU18" s="5" t="str" cm="1">
        <f t="array" ref="AU18">INDEX(_xlfn.TOROW(PixelPatternTable),HEX2DEC(AD18)-$T$1+1)</f>
        <v>80</v>
      </c>
      <c r="AV18" s="5" t="str" cm="1">
        <f t="array" ref="AV18">INDEX(_xlfn.TOROW(PixelPatternTable),HEX2DEC(AE18)-$T$1+1)</f>
        <v>80</v>
      </c>
      <c r="AW18" s="5" t="str" cm="1">
        <f t="array" ref="AW18">INDEX(_xlfn.TOROW(PixelPatternTable),HEX2DEC(AF18)-$T$1+1)</f>
        <v>80</v>
      </c>
      <c r="AX18" s="5" t="str" cm="1">
        <f t="array" ref="AX18">INDEX(_xlfn.TOROW(PixelPatternTable),HEX2DEC(AG18)-$T$1+1)</f>
        <v>80</v>
      </c>
      <c r="AY18" s="5" t="str" cm="1">
        <f t="array" ref="AY18">INDEX(_xlfn.TOROW(PixelPatternTable),HEX2DEC(AH18)-$T$1+1)</f>
        <v>80</v>
      </c>
      <c r="AZ18" s="5" t="str" cm="1">
        <f t="array" ref="AZ18">INDEX(_xlfn.TOROW(PixelPatternTable),HEX2DEC(AI18)-$T$1+1)</f>
        <v>80</v>
      </c>
    </row>
    <row r="19" spans="1:52" x14ac:dyDescent="0.3">
      <c r="A19" s="29" t="str">
        <f t="shared" si="20"/>
        <v>A300</v>
      </c>
      <c r="B19" s="69" t="str">
        <f>pixel_shift_table.asm!C19</f>
        <v>00</v>
      </c>
      <c r="C19" s="70" t="str">
        <f>pixel_shift_table.asm!D19</f>
        <v>04</v>
      </c>
      <c r="D19" s="70" t="str">
        <f>pixel_shift_table.asm!E19</f>
        <v>06</v>
      </c>
      <c r="E19" s="70" t="str">
        <f>pixel_shift_table.asm!F19</f>
        <v>14</v>
      </c>
      <c r="F19" s="70" t="str">
        <f>pixel_shift_table.asm!G19</f>
        <v>08</v>
      </c>
      <c r="G19" s="70" t="str">
        <f>pixel_shift_table.asm!H19</f>
        <v>24</v>
      </c>
      <c r="H19" s="70" t="str">
        <f>pixel_shift_table.asm!I19</f>
        <v>16</v>
      </c>
      <c r="I19" s="70" t="str">
        <f>pixel_shift_table.asm!J19</f>
        <v>34</v>
      </c>
      <c r="J19" s="70" t="str">
        <f>pixel_shift_table.asm!K19</f>
        <v>0A</v>
      </c>
      <c r="K19" s="70" t="str">
        <f>pixel_shift_table.asm!L19</f>
        <v>44</v>
      </c>
      <c r="L19" s="70" t="str">
        <f>pixel_shift_table.asm!M19</f>
        <v>26</v>
      </c>
      <c r="M19" s="70" t="str">
        <f>pixel_shift_table.asm!N19</f>
        <v>54</v>
      </c>
      <c r="N19" s="70" t="str">
        <f>pixel_shift_table.asm!O19</f>
        <v>18</v>
      </c>
      <c r="O19" s="70" t="str">
        <f>pixel_shift_table.asm!P19</f>
        <v>64</v>
      </c>
      <c r="P19" s="70" t="str">
        <f>pixel_shift_table.asm!Q19</f>
        <v>36</v>
      </c>
      <c r="Q19" s="70" t="str">
        <f>pixel_shift_table.asm!R19</f>
        <v>74</v>
      </c>
      <c r="S19">
        <f t="shared" si="27"/>
        <v>0</v>
      </c>
      <c r="T19" s="5" t="str">
        <f t="shared" ref="T19" si="30">IF($S19&lt;128,B27&amp;B19,DEC2HEX(HEX2DEC(T11)+1,4))</f>
        <v>A900</v>
      </c>
      <c r="U19" s="5" t="str">
        <f t="shared" ref="U19" si="31">IF($S19&lt;128,C27&amp;C19,DEC2HEX(HEX2DEC(U11)+1,4))</f>
        <v>A904</v>
      </c>
      <c r="V19" s="5" t="str">
        <f t="shared" ref="V19" si="32">IF($S19&lt;128,D27&amp;D19,DEC2HEX(HEX2DEC(V11)+1,4))</f>
        <v>A906</v>
      </c>
      <c r="W19" s="5" t="str">
        <f t="shared" ref="W19" si="33">IF($S19&lt;128,E27&amp;E19,DEC2HEX(HEX2DEC(W11)+1,4))</f>
        <v>A914</v>
      </c>
      <c r="X19" s="5" t="str">
        <f t="shared" ref="X19" si="34">IF($S19&lt;128,F27&amp;F19,DEC2HEX(HEX2DEC(X11)+1,4))</f>
        <v>A908</v>
      </c>
      <c r="Y19" s="5" t="str">
        <f t="shared" ref="Y19" si="35">IF($S19&lt;128,G27&amp;G19,DEC2HEX(HEX2DEC(Y11)+1,4))</f>
        <v>A924</v>
      </c>
      <c r="Z19" s="5" t="str">
        <f t="shared" ref="Z19" si="36">IF($S19&lt;128,H27&amp;H19,DEC2HEX(HEX2DEC(Z11)+1,4))</f>
        <v>A916</v>
      </c>
      <c r="AA19" s="5" t="str">
        <f t="shared" ref="AA19" si="37">IF($S19&lt;128,I27&amp;I19,DEC2HEX(HEX2DEC(AA11)+1,4))</f>
        <v>A934</v>
      </c>
      <c r="AB19" s="5" t="str">
        <f t="shared" ref="AB19" si="38">IF($S19&lt;128,J27&amp;J19,DEC2HEX(HEX2DEC(AB11)+1,4))</f>
        <v>A90A</v>
      </c>
      <c r="AC19" s="5" t="str">
        <f t="shared" ref="AC19" si="39">IF($S19&lt;128,K27&amp;K19,DEC2HEX(HEX2DEC(AC11)+1,4))</f>
        <v>A944</v>
      </c>
      <c r="AD19" s="5" t="str">
        <f t="shared" ref="AD19" si="40">IF($S19&lt;128,L27&amp;L19,DEC2HEX(HEX2DEC(AD11)+1,4))</f>
        <v>A926</v>
      </c>
      <c r="AE19" s="5" t="str">
        <f t="shared" ref="AE19" si="41">IF($S19&lt;128,M27&amp;M19,DEC2HEX(HEX2DEC(AE11)+1,4))</f>
        <v>A954</v>
      </c>
      <c r="AF19" s="5" t="str">
        <f t="shared" ref="AF19" si="42">IF($S19&lt;128,N27&amp;N19,DEC2HEX(HEX2DEC(AF11)+1,4))</f>
        <v>A918</v>
      </c>
      <c r="AG19" s="5" t="str">
        <f t="shared" ref="AG19" si="43">IF($S19&lt;128,O27&amp;O19,DEC2HEX(HEX2DEC(AG11)+1,4))</f>
        <v>A964</v>
      </c>
      <c r="AH19" s="5" t="str">
        <f t="shared" ref="AH19" si="44">IF($S19&lt;128,P27&amp;P19,DEC2HEX(HEX2DEC(AH11)+1,4))</f>
        <v>A936</v>
      </c>
      <c r="AI19" s="5" t="str">
        <f t="shared" ref="AI19" si="45">IF($S19&lt;128,Q27&amp;Q19,DEC2HEX(HEX2DEC(AI11)+1,4))</f>
        <v>A974</v>
      </c>
      <c r="AK19" s="5" t="str" cm="1">
        <f t="array" ref="AK19">INDEX(_xlfn.TOROW(PixelPatternTable),HEX2DEC(T19)-$T$1+1)</f>
        <v>80</v>
      </c>
      <c r="AL19" s="5" t="str" cm="1">
        <f t="array" ref="AL19">INDEX(_xlfn.TOROW(PixelPatternTable),HEX2DEC(U19)-$T$1+1)</f>
        <v>82</v>
      </c>
      <c r="AM19" s="5" t="str" cm="1">
        <f t="array" ref="AM19">INDEX(_xlfn.TOROW(PixelPatternTable),HEX2DEC(V19)-$T$1+1)</f>
        <v>84</v>
      </c>
      <c r="AN19" s="5" t="str" cm="1">
        <f t="array" ref="AN19">INDEX(_xlfn.TOROW(PixelPatternTable),HEX2DEC(W19)-$T$1+1)</f>
        <v>86</v>
      </c>
      <c r="AO19" s="5" t="str" cm="1">
        <f t="array" ref="AO19">INDEX(_xlfn.TOROW(PixelPatternTable),HEX2DEC(X19)-$T$1+1)</f>
        <v>88</v>
      </c>
      <c r="AP19" s="5" t="str" cm="1">
        <f t="array" ref="AP19">INDEX(_xlfn.TOROW(PixelPatternTable),HEX2DEC(Y19)-$T$1+1)</f>
        <v>8A</v>
      </c>
      <c r="AQ19" s="5" t="str" cm="1">
        <f t="array" ref="AQ19">INDEX(_xlfn.TOROW(PixelPatternTable),HEX2DEC(Z19)-$T$1+1)</f>
        <v>8C</v>
      </c>
      <c r="AR19" s="5" t="str" cm="1">
        <f t="array" ref="AR19">INDEX(_xlfn.TOROW(PixelPatternTable),HEX2DEC(AA19)-$T$1+1)</f>
        <v>8E</v>
      </c>
      <c r="AS19" s="5" t="str" cm="1">
        <f t="array" ref="AS19">INDEX(_xlfn.TOROW(PixelPatternTable),HEX2DEC(AB19)-$T$1+1)</f>
        <v>90</v>
      </c>
      <c r="AT19" s="5" t="str" cm="1">
        <f t="array" ref="AT19">INDEX(_xlfn.TOROW(PixelPatternTable),HEX2DEC(AC19)-$T$1+1)</f>
        <v>92</v>
      </c>
      <c r="AU19" s="5" t="str" cm="1">
        <f t="array" ref="AU19">INDEX(_xlfn.TOROW(PixelPatternTable),HEX2DEC(AD19)-$T$1+1)</f>
        <v>94</v>
      </c>
      <c r="AV19" s="5" t="str" cm="1">
        <f t="array" ref="AV19">INDEX(_xlfn.TOROW(PixelPatternTable),HEX2DEC(AE19)-$T$1+1)</f>
        <v>96</v>
      </c>
      <c r="AW19" s="5" t="str" cm="1">
        <f t="array" ref="AW19">INDEX(_xlfn.TOROW(PixelPatternTable),HEX2DEC(AF19)-$T$1+1)</f>
        <v>98</v>
      </c>
      <c r="AX19" s="5" t="str" cm="1">
        <f t="array" ref="AX19">INDEX(_xlfn.TOROW(PixelPatternTable),HEX2DEC(AG19)-$T$1+1)</f>
        <v>9A</v>
      </c>
      <c r="AY19" s="5" t="str" cm="1">
        <f t="array" ref="AY19">INDEX(_xlfn.TOROW(PixelPatternTable),HEX2DEC(AH19)-$T$1+1)</f>
        <v>9C</v>
      </c>
      <c r="AZ19" s="5" t="str" cm="1">
        <f t="array" ref="AZ19">INDEX(_xlfn.TOROW(PixelPatternTable),HEX2DEC(AI19)-$T$1+1)</f>
        <v>9E</v>
      </c>
    </row>
    <row r="20" spans="1:52" x14ac:dyDescent="0.3">
      <c r="A20" s="5" t="str">
        <f t="shared" si="20"/>
        <v>A310</v>
      </c>
      <c r="B20" s="71" t="str">
        <f>pixel_shift_table.asm!C20</f>
        <v>0C</v>
      </c>
      <c r="C20" s="72" t="str">
        <f>pixel_shift_table.asm!D20</f>
        <v>84</v>
      </c>
      <c r="D20" s="72" t="str">
        <f>pixel_shift_table.asm!E20</f>
        <v>46</v>
      </c>
      <c r="E20" s="72" t="str">
        <f>pixel_shift_table.asm!F20</f>
        <v>94</v>
      </c>
      <c r="F20" s="72" t="str">
        <f>pixel_shift_table.asm!G20</f>
        <v>28</v>
      </c>
      <c r="G20" s="72" t="str">
        <f>pixel_shift_table.asm!H20</f>
        <v>A4</v>
      </c>
      <c r="H20" s="72" t="str">
        <f>pixel_shift_table.asm!I20</f>
        <v>56</v>
      </c>
      <c r="I20" s="72" t="str">
        <f>pixel_shift_table.asm!J20</f>
        <v>B4</v>
      </c>
      <c r="J20" s="72" t="str">
        <f>pixel_shift_table.asm!K20</f>
        <v>1A</v>
      </c>
      <c r="K20" s="72" t="str">
        <f>pixel_shift_table.asm!L20</f>
        <v>C4</v>
      </c>
      <c r="L20" s="72" t="str">
        <f>pixel_shift_table.asm!M20</f>
        <v>66</v>
      </c>
      <c r="M20" s="72" t="str">
        <f>pixel_shift_table.asm!N20</f>
        <v>D4</v>
      </c>
      <c r="N20" s="72" t="str">
        <f>pixel_shift_table.asm!O20</f>
        <v>38</v>
      </c>
      <c r="O20" s="72" t="str">
        <f>pixel_shift_table.asm!P20</f>
        <v>E4</v>
      </c>
      <c r="P20" s="72" t="str">
        <f>pixel_shift_table.asm!Q20</f>
        <v>76</v>
      </c>
      <c r="Q20" s="72" t="str">
        <f>pixel_shift_table.asm!R20</f>
        <v>F4</v>
      </c>
      <c r="S20">
        <f t="shared" si="27"/>
        <v>16</v>
      </c>
      <c r="T20" s="5" t="str">
        <f t="shared" ref="T20:T21" si="46">IF($S20&lt;128,B28&amp;B20,DEC2HEX(HEX2DEC(T12)+1,4))</f>
        <v>A90C</v>
      </c>
      <c r="U20" s="5" t="str">
        <f t="shared" ref="U20:U21" si="47">IF($S20&lt;128,C28&amp;C20,DEC2HEX(HEX2DEC(U12)+1,4))</f>
        <v>A984</v>
      </c>
      <c r="V20" s="5" t="str">
        <f t="shared" ref="V20:V21" si="48">IF($S20&lt;128,D28&amp;D20,DEC2HEX(HEX2DEC(V12)+1,4))</f>
        <v>A946</v>
      </c>
      <c r="W20" s="5" t="str">
        <f t="shared" ref="W20:W21" si="49">IF($S20&lt;128,E28&amp;E20,DEC2HEX(HEX2DEC(W12)+1,4))</f>
        <v>A994</v>
      </c>
      <c r="X20" s="5" t="str">
        <f t="shared" ref="X20:X21" si="50">IF($S20&lt;128,F28&amp;F20,DEC2HEX(HEX2DEC(X12)+1,4))</f>
        <v>A928</v>
      </c>
      <c r="Y20" s="5" t="str">
        <f t="shared" ref="Y20:Y21" si="51">IF($S20&lt;128,G28&amp;G20,DEC2HEX(HEX2DEC(Y12)+1,4))</f>
        <v>A9A4</v>
      </c>
      <c r="Z20" s="5" t="str">
        <f t="shared" ref="Z20:Z21" si="52">IF($S20&lt;128,H28&amp;H20,DEC2HEX(HEX2DEC(Z12)+1,4))</f>
        <v>A956</v>
      </c>
      <c r="AA20" s="5" t="str">
        <f t="shared" ref="AA20:AA21" si="53">IF($S20&lt;128,I28&amp;I20,DEC2HEX(HEX2DEC(AA12)+1,4))</f>
        <v>A9B4</v>
      </c>
      <c r="AB20" s="5" t="str">
        <f t="shared" ref="AB20:AB21" si="54">IF($S20&lt;128,J28&amp;J20,DEC2HEX(HEX2DEC(AB12)+1,4))</f>
        <v>A91A</v>
      </c>
      <c r="AC20" s="5" t="str">
        <f t="shared" ref="AC20:AC21" si="55">IF($S20&lt;128,K28&amp;K20,DEC2HEX(HEX2DEC(AC12)+1,4))</f>
        <v>A9C4</v>
      </c>
      <c r="AD20" s="5" t="str">
        <f t="shared" ref="AD20:AD21" si="56">IF($S20&lt;128,L28&amp;L20,DEC2HEX(HEX2DEC(AD12)+1,4))</f>
        <v>A966</v>
      </c>
      <c r="AE20" s="5" t="str">
        <f t="shared" ref="AE20:AE21" si="57">IF($S20&lt;128,M28&amp;M20,DEC2HEX(HEX2DEC(AE12)+1,4))</f>
        <v>A9D4</v>
      </c>
      <c r="AF20" s="5" t="str">
        <f t="shared" ref="AF20:AF21" si="58">IF($S20&lt;128,N28&amp;N20,DEC2HEX(HEX2DEC(AF12)+1,4))</f>
        <v>A938</v>
      </c>
      <c r="AG20" s="5" t="str">
        <f t="shared" ref="AG20:AG21" si="59">IF($S20&lt;128,O28&amp;O20,DEC2HEX(HEX2DEC(AG12)+1,4))</f>
        <v>A9E4</v>
      </c>
      <c r="AH20" s="5" t="str">
        <f t="shared" ref="AH20:AH21" si="60">IF($S20&lt;128,P28&amp;P20,DEC2HEX(HEX2DEC(AH12)+1,4))</f>
        <v>A976</v>
      </c>
      <c r="AI20" s="5" t="str">
        <f t="shared" ref="AI20:AI21" si="61">IF($S20&lt;128,Q28&amp;Q20,DEC2HEX(HEX2DEC(AI12)+1,4))</f>
        <v>A9F4</v>
      </c>
      <c r="AK20" s="5" t="str" cm="1">
        <f t="array" ref="AK20">INDEX(_xlfn.TOROW(PixelPatternTable),HEX2DEC(T20)-$T$1+1)</f>
        <v>A0</v>
      </c>
      <c r="AL20" s="5" t="str" cm="1">
        <f t="array" ref="AL20">INDEX(_xlfn.TOROW(PixelPatternTable),HEX2DEC(U20)-$T$1+1)</f>
        <v>A2</v>
      </c>
      <c r="AM20" s="5" t="str" cm="1">
        <f t="array" ref="AM20">INDEX(_xlfn.TOROW(PixelPatternTable),HEX2DEC(V20)-$T$1+1)</f>
        <v>A4</v>
      </c>
      <c r="AN20" s="5" t="str" cm="1">
        <f t="array" ref="AN20">INDEX(_xlfn.TOROW(PixelPatternTable),HEX2DEC(W20)-$T$1+1)</f>
        <v>A6</v>
      </c>
      <c r="AO20" s="5" t="str" cm="1">
        <f t="array" ref="AO20">INDEX(_xlfn.TOROW(PixelPatternTable),HEX2DEC(X20)-$T$1+1)</f>
        <v>A8</v>
      </c>
      <c r="AP20" s="5" t="str" cm="1">
        <f t="array" ref="AP20">INDEX(_xlfn.TOROW(PixelPatternTable),HEX2DEC(Y20)-$T$1+1)</f>
        <v>AA</v>
      </c>
      <c r="AQ20" s="5" t="str" cm="1">
        <f t="array" ref="AQ20">INDEX(_xlfn.TOROW(PixelPatternTable),HEX2DEC(Z20)-$T$1+1)</f>
        <v>AC</v>
      </c>
      <c r="AR20" s="5" t="str" cm="1">
        <f t="array" ref="AR20">INDEX(_xlfn.TOROW(PixelPatternTable),HEX2DEC(AA20)-$T$1+1)</f>
        <v>AE</v>
      </c>
      <c r="AS20" s="5" t="str" cm="1">
        <f t="array" ref="AS20">INDEX(_xlfn.TOROW(PixelPatternTable),HEX2DEC(AB20)-$T$1+1)</f>
        <v>B0</v>
      </c>
      <c r="AT20" s="5" t="str" cm="1">
        <f t="array" ref="AT20">INDEX(_xlfn.TOROW(PixelPatternTable),HEX2DEC(AC20)-$T$1+1)</f>
        <v>B2</v>
      </c>
      <c r="AU20" s="5" t="str" cm="1">
        <f t="array" ref="AU20">INDEX(_xlfn.TOROW(PixelPatternTable),HEX2DEC(AD20)-$T$1+1)</f>
        <v>B4</v>
      </c>
      <c r="AV20" s="5" t="str" cm="1">
        <f t="array" ref="AV20">INDEX(_xlfn.TOROW(PixelPatternTable),HEX2DEC(AE20)-$T$1+1)</f>
        <v>B6</v>
      </c>
      <c r="AW20" s="5" t="str" cm="1">
        <f t="array" ref="AW20">INDEX(_xlfn.TOROW(PixelPatternTable),HEX2DEC(AF20)-$T$1+1)</f>
        <v>B8</v>
      </c>
      <c r="AX20" s="5" t="str" cm="1">
        <f t="array" ref="AX20">INDEX(_xlfn.TOROW(PixelPatternTable),HEX2DEC(AG20)-$T$1+1)</f>
        <v>BA</v>
      </c>
      <c r="AY20" s="5" t="str" cm="1">
        <f t="array" ref="AY20">INDEX(_xlfn.TOROW(PixelPatternTable),HEX2DEC(AH20)-$T$1+1)</f>
        <v>BC</v>
      </c>
      <c r="AZ20" s="5" t="str" cm="1">
        <f t="array" ref="AZ20">INDEX(_xlfn.TOROW(PixelPatternTable),HEX2DEC(AI20)-$T$1+1)</f>
        <v>BE</v>
      </c>
    </row>
    <row r="21" spans="1:52" x14ac:dyDescent="0.3">
      <c r="A21" s="5" t="str">
        <f t="shared" si="20"/>
        <v>A320</v>
      </c>
      <c r="B21" s="71" t="str">
        <f>pixel_shift_table.asm!C21</f>
        <v>0E</v>
      </c>
      <c r="C21" s="72" t="str">
        <f>pixel_shift_table.asm!D21</f>
        <v>04</v>
      </c>
      <c r="D21" s="72" t="str">
        <f>pixel_shift_table.asm!E21</f>
        <v>86</v>
      </c>
      <c r="E21" s="72" t="str">
        <f>pixel_shift_table.asm!F21</f>
        <v>14</v>
      </c>
      <c r="F21" s="72" t="str">
        <f>pixel_shift_table.asm!G21</f>
        <v>48</v>
      </c>
      <c r="G21" s="72" t="str">
        <f>pixel_shift_table.asm!H21</f>
        <v>24</v>
      </c>
      <c r="H21" s="72" t="str">
        <f>pixel_shift_table.asm!I21</f>
        <v>96</v>
      </c>
      <c r="I21" s="72" t="str">
        <f>pixel_shift_table.asm!J21</f>
        <v>34</v>
      </c>
      <c r="J21" s="72" t="str">
        <f>pixel_shift_table.asm!K21</f>
        <v>2A</v>
      </c>
      <c r="K21" s="72" t="str">
        <f>pixel_shift_table.asm!L21</f>
        <v>44</v>
      </c>
      <c r="L21" s="72" t="str">
        <f>pixel_shift_table.asm!M21</f>
        <v>A6</v>
      </c>
      <c r="M21" s="72" t="str">
        <f>pixel_shift_table.asm!N21</f>
        <v>54</v>
      </c>
      <c r="N21" s="72" t="str">
        <f>pixel_shift_table.asm!O21</f>
        <v>58</v>
      </c>
      <c r="O21" s="72" t="str">
        <f>pixel_shift_table.asm!P21</f>
        <v>64</v>
      </c>
      <c r="P21" s="72" t="str">
        <f>pixel_shift_table.asm!Q21</f>
        <v>B6</v>
      </c>
      <c r="Q21" s="72" t="str">
        <f>pixel_shift_table.asm!R21</f>
        <v>74</v>
      </c>
      <c r="S21">
        <f t="shared" si="27"/>
        <v>32</v>
      </c>
      <c r="T21" s="5" t="str">
        <f t="shared" si="46"/>
        <v>A90E</v>
      </c>
      <c r="U21" s="5" t="str">
        <f t="shared" si="47"/>
        <v>AA04</v>
      </c>
      <c r="V21" s="5" t="str">
        <f t="shared" si="48"/>
        <v>A986</v>
      </c>
      <c r="W21" s="5" t="str">
        <f t="shared" si="49"/>
        <v>AA14</v>
      </c>
      <c r="X21" s="5" t="str">
        <f t="shared" si="50"/>
        <v>A948</v>
      </c>
      <c r="Y21" s="5" t="str">
        <f t="shared" si="51"/>
        <v>AA24</v>
      </c>
      <c r="Z21" s="5" t="str">
        <f t="shared" si="52"/>
        <v>A996</v>
      </c>
      <c r="AA21" s="5" t="str">
        <f t="shared" si="53"/>
        <v>AA34</v>
      </c>
      <c r="AB21" s="5" t="str">
        <f t="shared" si="54"/>
        <v>A92A</v>
      </c>
      <c r="AC21" s="5" t="str">
        <f t="shared" si="55"/>
        <v>AA44</v>
      </c>
      <c r="AD21" s="5" t="str">
        <f t="shared" si="56"/>
        <v>A9A6</v>
      </c>
      <c r="AE21" s="5" t="str">
        <f t="shared" si="57"/>
        <v>AA54</v>
      </c>
      <c r="AF21" s="5" t="str">
        <f t="shared" si="58"/>
        <v>A958</v>
      </c>
      <c r="AG21" s="5" t="str">
        <f t="shared" si="59"/>
        <v>AA64</v>
      </c>
      <c r="AH21" s="5" t="str">
        <f t="shared" si="60"/>
        <v>A9B6</v>
      </c>
      <c r="AI21" s="5" t="str">
        <f t="shared" si="61"/>
        <v>AA74</v>
      </c>
      <c r="AK21" s="5" t="str" cm="1">
        <f t="array" ref="AK21">INDEX(_xlfn.TOROW(PixelPatternTable),HEX2DEC(T21)-$T$1+1)</f>
        <v>C0</v>
      </c>
      <c r="AL21" s="5" t="str" cm="1">
        <f t="array" ref="AL21">INDEX(_xlfn.TOROW(PixelPatternTable),HEX2DEC(U21)-$T$1+1)</f>
        <v>C2</v>
      </c>
      <c r="AM21" s="5" t="str" cm="1">
        <f t="array" ref="AM21">INDEX(_xlfn.TOROW(PixelPatternTable),HEX2DEC(V21)-$T$1+1)</f>
        <v>C4</v>
      </c>
      <c r="AN21" s="5" t="str" cm="1">
        <f t="array" ref="AN21">INDEX(_xlfn.TOROW(PixelPatternTable),HEX2DEC(W21)-$T$1+1)</f>
        <v>C6</v>
      </c>
      <c r="AO21" s="5" t="str" cm="1">
        <f t="array" ref="AO21">INDEX(_xlfn.TOROW(PixelPatternTable),HEX2DEC(X21)-$T$1+1)</f>
        <v>C8</v>
      </c>
      <c r="AP21" s="5" t="str" cm="1">
        <f t="array" ref="AP21">INDEX(_xlfn.TOROW(PixelPatternTable),HEX2DEC(Y21)-$T$1+1)</f>
        <v>CA</v>
      </c>
      <c r="AQ21" s="5" t="str" cm="1">
        <f t="array" ref="AQ21">INDEX(_xlfn.TOROW(PixelPatternTable),HEX2DEC(Z21)-$T$1+1)</f>
        <v>CC</v>
      </c>
      <c r="AR21" s="5" t="str" cm="1">
        <f t="array" ref="AR21">INDEX(_xlfn.TOROW(PixelPatternTable),HEX2DEC(AA21)-$T$1+1)</f>
        <v>CE</v>
      </c>
      <c r="AS21" s="5" t="str" cm="1">
        <f t="array" ref="AS21">INDEX(_xlfn.TOROW(PixelPatternTable),HEX2DEC(AB21)-$T$1+1)</f>
        <v>D0</v>
      </c>
      <c r="AT21" s="5" t="str" cm="1">
        <f t="array" ref="AT21">INDEX(_xlfn.TOROW(PixelPatternTable),HEX2DEC(AC21)-$T$1+1)</f>
        <v>D2</v>
      </c>
      <c r="AU21" s="5" t="str" cm="1">
        <f t="array" ref="AU21">INDEX(_xlfn.TOROW(PixelPatternTable),HEX2DEC(AD21)-$T$1+1)</f>
        <v>D4</v>
      </c>
      <c r="AV21" s="5" t="str" cm="1">
        <f t="array" ref="AV21">INDEX(_xlfn.TOROW(PixelPatternTable),HEX2DEC(AE21)-$T$1+1)</f>
        <v>D6</v>
      </c>
      <c r="AW21" s="5" t="str" cm="1">
        <f t="array" ref="AW21">INDEX(_xlfn.TOROW(PixelPatternTable),HEX2DEC(AF21)-$T$1+1)</f>
        <v>D8</v>
      </c>
      <c r="AX21" s="5" t="str" cm="1">
        <f t="array" ref="AX21">INDEX(_xlfn.TOROW(PixelPatternTable),HEX2DEC(AG21)-$T$1+1)</f>
        <v>DA</v>
      </c>
      <c r="AY21" s="5" t="str" cm="1">
        <f t="array" ref="AY21">INDEX(_xlfn.TOROW(PixelPatternTable),HEX2DEC(AH21)-$T$1+1)</f>
        <v>DC</v>
      </c>
      <c r="AZ21" s="5" t="str" cm="1">
        <f t="array" ref="AZ21">INDEX(_xlfn.TOROW(PixelPatternTable),HEX2DEC(AI21)-$T$1+1)</f>
        <v>DE</v>
      </c>
    </row>
    <row r="22" spans="1:52" x14ac:dyDescent="0.3">
      <c r="A22" s="5" t="str">
        <f t="shared" si="20"/>
        <v>A330</v>
      </c>
      <c r="B22" s="71" t="str">
        <f>pixel_shift_table.asm!C22</f>
        <v>1C</v>
      </c>
      <c r="C22" s="72" t="str">
        <f>pixel_shift_table.asm!D22</f>
        <v>84</v>
      </c>
      <c r="D22" s="72" t="str">
        <f>pixel_shift_table.asm!E22</f>
        <v>C6</v>
      </c>
      <c r="E22" s="72" t="str">
        <f>pixel_shift_table.asm!F22</f>
        <v>94</v>
      </c>
      <c r="F22" s="72" t="str">
        <f>pixel_shift_table.asm!G22</f>
        <v>68</v>
      </c>
      <c r="G22" s="72" t="str">
        <f>pixel_shift_table.asm!H22</f>
        <v>A4</v>
      </c>
      <c r="H22" s="72" t="str">
        <f>pixel_shift_table.asm!I22</f>
        <v>D6</v>
      </c>
      <c r="I22" s="72" t="str">
        <f>pixel_shift_table.asm!J22</f>
        <v>B4</v>
      </c>
      <c r="J22" s="72" t="str">
        <f>pixel_shift_table.asm!K22</f>
        <v>3A</v>
      </c>
      <c r="K22" s="72" t="str">
        <f>pixel_shift_table.asm!L22</f>
        <v>C4</v>
      </c>
      <c r="L22" s="72" t="str">
        <f>pixel_shift_table.asm!M22</f>
        <v>E6</v>
      </c>
      <c r="M22" s="72" t="str">
        <f>pixel_shift_table.asm!N22</f>
        <v>D4</v>
      </c>
      <c r="N22" s="72" t="str">
        <f>pixel_shift_table.asm!O22</f>
        <v>78</v>
      </c>
      <c r="O22" s="72" t="str">
        <f>pixel_shift_table.asm!P22</f>
        <v>E4</v>
      </c>
      <c r="P22" s="72" t="str">
        <f>pixel_shift_table.asm!Q22</f>
        <v>F6</v>
      </c>
      <c r="Q22" s="72" t="str">
        <f>pixel_shift_table.asm!R22</f>
        <v>F4</v>
      </c>
      <c r="S22">
        <f t="shared" ref="S22:S85" si="62">IF(RIGHT(A22,2)="00",0,S21+16)</f>
        <v>48</v>
      </c>
      <c r="T22" s="5" t="str">
        <f t="shared" ref="T22:T85" si="63">IF($S22&lt;128,B30&amp;B22,DEC2HEX(HEX2DEC(T14)+1,4))</f>
        <v>A91C</v>
      </c>
      <c r="U22" s="5" t="str">
        <f t="shared" ref="U22:U85" si="64">IF($S22&lt;128,C30&amp;C22,DEC2HEX(HEX2DEC(U14)+1,4))</f>
        <v>AA84</v>
      </c>
      <c r="V22" s="5" t="str">
        <f t="shared" ref="V22:V85" si="65">IF($S22&lt;128,D30&amp;D22,DEC2HEX(HEX2DEC(V14)+1,4))</f>
        <v>A9C6</v>
      </c>
      <c r="W22" s="5" t="str">
        <f t="shared" ref="W22:W85" si="66">IF($S22&lt;128,E30&amp;E22,DEC2HEX(HEX2DEC(W14)+1,4))</f>
        <v>AA94</v>
      </c>
      <c r="X22" s="5" t="str">
        <f t="shared" ref="X22:X85" si="67">IF($S22&lt;128,F30&amp;F22,DEC2HEX(HEX2DEC(X14)+1,4))</f>
        <v>A968</v>
      </c>
      <c r="Y22" s="5" t="str">
        <f t="shared" ref="Y22:Y85" si="68">IF($S22&lt;128,G30&amp;G22,DEC2HEX(HEX2DEC(Y14)+1,4))</f>
        <v>AAA4</v>
      </c>
      <c r="Z22" s="5" t="str">
        <f t="shared" ref="Z22:Z85" si="69">IF($S22&lt;128,H30&amp;H22,DEC2HEX(HEX2DEC(Z14)+1,4))</f>
        <v>A9D6</v>
      </c>
      <c r="AA22" s="5" t="str">
        <f t="shared" ref="AA22:AA85" si="70">IF($S22&lt;128,I30&amp;I22,DEC2HEX(HEX2DEC(AA14)+1,4))</f>
        <v>AAB4</v>
      </c>
      <c r="AB22" s="5" t="str">
        <f t="shared" ref="AB22:AB85" si="71">IF($S22&lt;128,J30&amp;J22,DEC2HEX(HEX2DEC(AB14)+1,4))</f>
        <v>A93A</v>
      </c>
      <c r="AC22" s="5" t="str">
        <f t="shared" ref="AC22:AC85" si="72">IF($S22&lt;128,K30&amp;K22,DEC2HEX(HEX2DEC(AC14)+1,4))</f>
        <v>AAC4</v>
      </c>
      <c r="AD22" s="5" t="str">
        <f t="shared" ref="AD22:AD85" si="73">IF($S22&lt;128,L30&amp;L22,DEC2HEX(HEX2DEC(AD14)+1,4))</f>
        <v>A9E6</v>
      </c>
      <c r="AE22" s="5" t="str">
        <f t="shared" ref="AE22:AE85" si="74">IF($S22&lt;128,M30&amp;M22,DEC2HEX(HEX2DEC(AE14)+1,4))</f>
        <v>AAD4</v>
      </c>
      <c r="AF22" s="5" t="str">
        <f t="shared" ref="AF22:AF85" si="75">IF($S22&lt;128,N30&amp;N22,DEC2HEX(HEX2DEC(AF14)+1,4))</f>
        <v>A978</v>
      </c>
      <c r="AG22" s="5" t="str">
        <f t="shared" ref="AG22:AG85" si="76">IF($S22&lt;128,O30&amp;O22,DEC2HEX(HEX2DEC(AG14)+1,4))</f>
        <v>AAE4</v>
      </c>
      <c r="AH22" s="5" t="str">
        <f t="shared" ref="AH22:AH85" si="77">IF($S22&lt;128,P30&amp;P22,DEC2HEX(HEX2DEC(AH14)+1,4))</f>
        <v>A9F6</v>
      </c>
      <c r="AI22" s="5" t="str">
        <f t="shared" ref="AI22:AI85" si="78">IF($S22&lt;128,Q30&amp;Q22,DEC2HEX(HEX2DEC(AI14)+1,4))</f>
        <v>AAF4</v>
      </c>
      <c r="AK22" s="5" t="str" cm="1">
        <f t="array" ref="AK22">INDEX(_xlfn.TOROW(PixelPatternTable),HEX2DEC(T22)-$T$1+1)</f>
        <v>E0</v>
      </c>
      <c r="AL22" s="5" t="str" cm="1">
        <f t="array" ref="AL22">INDEX(_xlfn.TOROW(PixelPatternTable),HEX2DEC(U22)-$T$1+1)</f>
        <v>E2</v>
      </c>
      <c r="AM22" s="5" t="str" cm="1">
        <f t="array" ref="AM22">INDEX(_xlfn.TOROW(PixelPatternTable),HEX2DEC(V22)-$T$1+1)</f>
        <v>E4</v>
      </c>
      <c r="AN22" s="5" t="str" cm="1">
        <f t="array" ref="AN22">INDEX(_xlfn.TOROW(PixelPatternTable),HEX2DEC(W22)-$T$1+1)</f>
        <v>E6</v>
      </c>
      <c r="AO22" s="5" t="str" cm="1">
        <f t="array" ref="AO22">INDEX(_xlfn.TOROW(PixelPatternTable),HEX2DEC(X22)-$T$1+1)</f>
        <v>E8</v>
      </c>
      <c r="AP22" s="5" t="str" cm="1">
        <f t="array" ref="AP22">INDEX(_xlfn.TOROW(PixelPatternTable),HEX2DEC(Y22)-$T$1+1)</f>
        <v>EA</v>
      </c>
      <c r="AQ22" s="5" t="str" cm="1">
        <f t="array" ref="AQ22">INDEX(_xlfn.TOROW(PixelPatternTable),HEX2DEC(Z22)-$T$1+1)</f>
        <v>EC</v>
      </c>
      <c r="AR22" s="5" t="str" cm="1">
        <f t="array" ref="AR22">INDEX(_xlfn.TOROW(PixelPatternTable),HEX2DEC(AA22)-$T$1+1)</f>
        <v>EE</v>
      </c>
      <c r="AS22" s="5" t="str" cm="1">
        <f t="array" ref="AS22">INDEX(_xlfn.TOROW(PixelPatternTable),HEX2DEC(AB22)-$T$1+1)</f>
        <v>F0</v>
      </c>
      <c r="AT22" s="5" t="str" cm="1">
        <f t="array" ref="AT22">INDEX(_xlfn.TOROW(PixelPatternTable),HEX2DEC(AC22)-$T$1+1)</f>
        <v>F2</v>
      </c>
      <c r="AU22" s="5" t="str" cm="1">
        <f t="array" ref="AU22">INDEX(_xlfn.TOROW(PixelPatternTable),HEX2DEC(AD22)-$T$1+1)</f>
        <v>F4</v>
      </c>
      <c r="AV22" s="5" t="str" cm="1">
        <f t="array" ref="AV22">INDEX(_xlfn.TOROW(PixelPatternTable),HEX2DEC(AE22)-$T$1+1)</f>
        <v>F6</v>
      </c>
      <c r="AW22" s="5" t="str" cm="1">
        <f t="array" ref="AW22">INDEX(_xlfn.TOROW(PixelPatternTable),HEX2DEC(AF22)-$T$1+1)</f>
        <v>F8</v>
      </c>
      <c r="AX22" s="5" t="str" cm="1">
        <f t="array" ref="AX22">INDEX(_xlfn.TOROW(PixelPatternTable),HEX2DEC(AG22)-$T$1+1)</f>
        <v>FA</v>
      </c>
      <c r="AY22" s="5" t="str" cm="1">
        <f t="array" ref="AY22">INDEX(_xlfn.TOROW(PixelPatternTable),HEX2DEC(AH22)-$T$1+1)</f>
        <v>FC</v>
      </c>
      <c r="AZ22" s="5" t="str" cm="1">
        <f t="array" ref="AZ22">INDEX(_xlfn.TOROW(PixelPatternTable),HEX2DEC(AI22)-$T$1+1)</f>
        <v>FE</v>
      </c>
    </row>
    <row r="23" spans="1:52" x14ac:dyDescent="0.3">
      <c r="A23" s="5" t="str">
        <f t="shared" si="20"/>
        <v>A340</v>
      </c>
      <c r="B23" s="71" t="str">
        <f>pixel_shift_table.asm!C23</f>
        <v>10</v>
      </c>
      <c r="C23" s="72" t="str">
        <f>pixel_shift_table.asm!D23</f>
        <v>04</v>
      </c>
      <c r="D23" s="72" t="str">
        <f>pixel_shift_table.asm!E23</f>
        <v>06</v>
      </c>
      <c r="E23" s="72" t="str">
        <f>pixel_shift_table.asm!F23</f>
        <v>14</v>
      </c>
      <c r="F23" s="72" t="str">
        <f>pixel_shift_table.asm!G23</f>
        <v>88</v>
      </c>
      <c r="G23" s="72" t="str">
        <f>pixel_shift_table.asm!H23</f>
        <v>24</v>
      </c>
      <c r="H23" s="72" t="str">
        <f>pixel_shift_table.asm!I23</f>
        <v>16</v>
      </c>
      <c r="I23" s="72" t="str">
        <f>pixel_shift_table.asm!J23</f>
        <v>34</v>
      </c>
      <c r="J23" s="72" t="str">
        <f>pixel_shift_table.asm!K23</f>
        <v>4A</v>
      </c>
      <c r="K23" s="72" t="str">
        <f>pixel_shift_table.asm!L23</f>
        <v>44</v>
      </c>
      <c r="L23" s="72" t="str">
        <f>pixel_shift_table.asm!M23</f>
        <v>26</v>
      </c>
      <c r="M23" s="72" t="str">
        <f>pixel_shift_table.asm!N23</f>
        <v>54</v>
      </c>
      <c r="N23" s="72" t="str">
        <f>pixel_shift_table.asm!O23</f>
        <v>98</v>
      </c>
      <c r="O23" s="72" t="str">
        <f>pixel_shift_table.asm!P23</f>
        <v>64</v>
      </c>
      <c r="P23" s="72" t="str">
        <f>pixel_shift_table.asm!Q23</f>
        <v>36</v>
      </c>
      <c r="Q23" s="72" t="str">
        <f>pixel_shift_table.asm!R23</f>
        <v>74</v>
      </c>
      <c r="S23">
        <f t="shared" si="62"/>
        <v>64</v>
      </c>
      <c r="T23" s="5" t="str">
        <f t="shared" si="63"/>
        <v>A910</v>
      </c>
      <c r="U23" s="5" t="str">
        <f t="shared" si="64"/>
        <v>AB04</v>
      </c>
      <c r="V23" s="5" t="str">
        <f t="shared" si="65"/>
        <v>AA06</v>
      </c>
      <c r="W23" s="5" t="str">
        <f t="shared" si="66"/>
        <v>AB14</v>
      </c>
      <c r="X23" s="5" t="str">
        <f t="shared" si="67"/>
        <v>A988</v>
      </c>
      <c r="Y23" s="5" t="str">
        <f t="shared" si="68"/>
        <v>AB24</v>
      </c>
      <c r="Z23" s="5" t="str">
        <f t="shared" si="69"/>
        <v>AA16</v>
      </c>
      <c r="AA23" s="5" t="str">
        <f t="shared" si="70"/>
        <v>AB34</v>
      </c>
      <c r="AB23" s="5" t="str">
        <f t="shared" si="71"/>
        <v>A94A</v>
      </c>
      <c r="AC23" s="5" t="str">
        <f t="shared" si="72"/>
        <v>AB44</v>
      </c>
      <c r="AD23" s="5" t="str">
        <f t="shared" si="73"/>
        <v>AA26</v>
      </c>
      <c r="AE23" s="5" t="str">
        <f t="shared" si="74"/>
        <v>AB54</v>
      </c>
      <c r="AF23" s="5" t="str">
        <f t="shared" si="75"/>
        <v>A998</v>
      </c>
      <c r="AG23" s="5" t="str">
        <f t="shared" si="76"/>
        <v>AB64</v>
      </c>
      <c r="AH23" s="5" t="str">
        <f t="shared" si="77"/>
        <v>AA36</v>
      </c>
      <c r="AI23" s="5" t="str">
        <f t="shared" si="78"/>
        <v>AB74</v>
      </c>
      <c r="AK23" s="5" t="str" cm="1">
        <f t="array" ref="AK23">INDEX(_xlfn.TOROW(PixelPatternTable),HEX2DEC(T23)-$T$1+1)</f>
        <v>80</v>
      </c>
      <c r="AL23" s="5" t="str" cm="1">
        <f t="array" ref="AL23">INDEX(_xlfn.TOROW(PixelPatternTable),HEX2DEC(U23)-$T$1+1)</f>
        <v>82</v>
      </c>
      <c r="AM23" s="5" t="str" cm="1">
        <f t="array" ref="AM23">INDEX(_xlfn.TOROW(PixelPatternTable),HEX2DEC(V23)-$T$1+1)</f>
        <v>84</v>
      </c>
      <c r="AN23" s="5" t="str" cm="1">
        <f t="array" ref="AN23">INDEX(_xlfn.TOROW(PixelPatternTable),HEX2DEC(W23)-$T$1+1)</f>
        <v>86</v>
      </c>
      <c r="AO23" s="5" t="str" cm="1">
        <f t="array" ref="AO23">INDEX(_xlfn.TOROW(PixelPatternTable),HEX2DEC(X23)-$T$1+1)</f>
        <v>88</v>
      </c>
      <c r="AP23" s="5" t="str" cm="1">
        <f t="array" ref="AP23">INDEX(_xlfn.TOROW(PixelPatternTable),HEX2DEC(Y23)-$T$1+1)</f>
        <v>8A</v>
      </c>
      <c r="AQ23" s="5" t="str" cm="1">
        <f t="array" ref="AQ23">INDEX(_xlfn.TOROW(PixelPatternTable),HEX2DEC(Z23)-$T$1+1)</f>
        <v>8C</v>
      </c>
      <c r="AR23" s="5" t="str" cm="1">
        <f t="array" ref="AR23">INDEX(_xlfn.TOROW(PixelPatternTable),HEX2DEC(AA23)-$T$1+1)</f>
        <v>8E</v>
      </c>
      <c r="AS23" s="5" t="str" cm="1">
        <f t="array" ref="AS23">INDEX(_xlfn.TOROW(PixelPatternTable),HEX2DEC(AB23)-$T$1+1)</f>
        <v>90</v>
      </c>
      <c r="AT23" s="5" t="str" cm="1">
        <f t="array" ref="AT23">INDEX(_xlfn.TOROW(PixelPatternTable),HEX2DEC(AC23)-$T$1+1)</f>
        <v>92</v>
      </c>
      <c r="AU23" s="5" t="str" cm="1">
        <f t="array" ref="AU23">INDEX(_xlfn.TOROW(PixelPatternTable),HEX2DEC(AD23)-$T$1+1)</f>
        <v>94</v>
      </c>
      <c r="AV23" s="5" t="str" cm="1">
        <f t="array" ref="AV23">INDEX(_xlfn.TOROW(PixelPatternTable),HEX2DEC(AE23)-$T$1+1)</f>
        <v>96</v>
      </c>
      <c r="AW23" s="5" t="str" cm="1">
        <f t="array" ref="AW23">INDEX(_xlfn.TOROW(PixelPatternTable),HEX2DEC(AF23)-$T$1+1)</f>
        <v>98</v>
      </c>
      <c r="AX23" s="5" t="str" cm="1">
        <f t="array" ref="AX23">INDEX(_xlfn.TOROW(PixelPatternTable),HEX2DEC(AG23)-$T$1+1)</f>
        <v>9A</v>
      </c>
      <c r="AY23" s="5" t="str" cm="1">
        <f t="array" ref="AY23">INDEX(_xlfn.TOROW(PixelPatternTable),HEX2DEC(AH23)-$T$1+1)</f>
        <v>9C</v>
      </c>
      <c r="AZ23" s="5" t="str" cm="1">
        <f t="array" ref="AZ23">INDEX(_xlfn.TOROW(PixelPatternTable),HEX2DEC(AI23)-$T$1+1)</f>
        <v>9E</v>
      </c>
    </row>
    <row r="24" spans="1:52" x14ac:dyDescent="0.3">
      <c r="A24" s="5" t="str">
        <f t="shared" si="20"/>
        <v>A350</v>
      </c>
      <c r="B24" s="71" t="str">
        <f>pixel_shift_table.asm!C24</f>
        <v>2C</v>
      </c>
      <c r="C24" s="72" t="str">
        <f>pixel_shift_table.asm!D24</f>
        <v>84</v>
      </c>
      <c r="D24" s="72" t="str">
        <f>pixel_shift_table.asm!E24</f>
        <v>46</v>
      </c>
      <c r="E24" s="72" t="str">
        <f>pixel_shift_table.asm!F24</f>
        <v>94</v>
      </c>
      <c r="F24" s="72" t="str">
        <f>pixel_shift_table.asm!G24</f>
        <v>A8</v>
      </c>
      <c r="G24" s="72" t="str">
        <f>pixel_shift_table.asm!H24</f>
        <v>A4</v>
      </c>
      <c r="H24" s="72" t="str">
        <f>pixel_shift_table.asm!I24</f>
        <v>56</v>
      </c>
      <c r="I24" s="72" t="str">
        <f>pixel_shift_table.asm!J24</f>
        <v>B4</v>
      </c>
      <c r="J24" s="72" t="str">
        <f>pixel_shift_table.asm!K24</f>
        <v>5A</v>
      </c>
      <c r="K24" s="72" t="str">
        <f>pixel_shift_table.asm!L24</f>
        <v>C4</v>
      </c>
      <c r="L24" s="72" t="str">
        <f>pixel_shift_table.asm!M24</f>
        <v>66</v>
      </c>
      <c r="M24" s="72" t="str">
        <f>pixel_shift_table.asm!N24</f>
        <v>D4</v>
      </c>
      <c r="N24" s="72" t="str">
        <f>pixel_shift_table.asm!O24</f>
        <v>B8</v>
      </c>
      <c r="O24" s="72" t="str">
        <f>pixel_shift_table.asm!P24</f>
        <v>E4</v>
      </c>
      <c r="P24" s="72" t="str">
        <f>pixel_shift_table.asm!Q24</f>
        <v>76</v>
      </c>
      <c r="Q24" s="72" t="str">
        <f>pixel_shift_table.asm!R24</f>
        <v>F4</v>
      </c>
      <c r="S24">
        <f t="shared" si="62"/>
        <v>80</v>
      </c>
      <c r="T24" s="5" t="str">
        <f t="shared" si="63"/>
        <v>A92C</v>
      </c>
      <c r="U24" s="5" t="str">
        <f t="shared" si="64"/>
        <v>AB84</v>
      </c>
      <c r="V24" s="5" t="str">
        <f t="shared" si="65"/>
        <v>AA46</v>
      </c>
      <c r="W24" s="5" t="str">
        <f t="shared" si="66"/>
        <v>AB94</v>
      </c>
      <c r="X24" s="5" t="str">
        <f t="shared" si="67"/>
        <v>A9A8</v>
      </c>
      <c r="Y24" s="5" t="str">
        <f t="shared" si="68"/>
        <v>ABA4</v>
      </c>
      <c r="Z24" s="5" t="str">
        <f t="shared" si="69"/>
        <v>AA56</v>
      </c>
      <c r="AA24" s="5" t="str">
        <f t="shared" si="70"/>
        <v>ABB4</v>
      </c>
      <c r="AB24" s="5" t="str">
        <f t="shared" si="71"/>
        <v>A95A</v>
      </c>
      <c r="AC24" s="5" t="str">
        <f t="shared" si="72"/>
        <v>ABC4</v>
      </c>
      <c r="AD24" s="5" t="str">
        <f t="shared" si="73"/>
        <v>AA66</v>
      </c>
      <c r="AE24" s="5" t="str">
        <f t="shared" si="74"/>
        <v>ABD4</v>
      </c>
      <c r="AF24" s="5" t="str">
        <f t="shared" si="75"/>
        <v>A9B8</v>
      </c>
      <c r="AG24" s="5" t="str">
        <f t="shared" si="76"/>
        <v>ABE4</v>
      </c>
      <c r="AH24" s="5" t="str">
        <f t="shared" si="77"/>
        <v>AA76</v>
      </c>
      <c r="AI24" s="5" t="str">
        <f t="shared" si="78"/>
        <v>ABF4</v>
      </c>
      <c r="AK24" s="5" t="str" cm="1">
        <f t="array" ref="AK24">INDEX(_xlfn.TOROW(PixelPatternTable),HEX2DEC(T24)-$T$1+1)</f>
        <v>A0</v>
      </c>
      <c r="AL24" s="5" t="str" cm="1">
        <f t="array" ref="AL24">INDEX(_xlfn.TOROW(PixelPatternTable),HEX2DEC(U24)-$T$1+1)</f>
        <v>A2</v>
      </c>
      <c r="AM24" s="5" t="str" cm="1">
        <f t="array" ref="AM24">INDEX(_xlfn.TOROW(PixelPatternTable),HEX2DEC(V24)-$T$1+1)</f>
        <v>A4</v>
      </c>
      <c r="AN24" s="5" t="str" cm="1">
        <f t="array" ref="AN24">INDEX(_xlfn.TOROW(PixelPatternTable),HEX2DEC(W24)-$T$1+1)</f>
        <v>A6</v>
      </c>
      <c r="AO24" s="5" t="str" cm="1">
        <f t="array" ref="AO24">INDEX(_xlfn.TOROW(PixelPatternTable),HEX2DEC(X24)-$T$1+1)</f>
        <v>A8</v>
      </c>
      <c r="AP24" s="5" t="str" cm="1">
        <f t="array" ref="AP24">INDEX(_xlfn.TOROW(PixelPatternTable),HEX2DEC(Y24)-$T$1+1)</f>
        <v>AA</v>
      </c>
      <c r="AQ24" s="5" t="str" cm="1">
        <f t="array" ref="AQ24">INDEX(_xlfn.TOROW(PixelPatternTable),HEX2DEC(Z24)-$T$1+1)</f>
        <v>AC</v>
      </c>
      <c r="AR24" s="5" t="str" cm="1">
        <f t="array" ref="AR24">INDEX(_xlfn.TOROW(PixelPatternTable),HEX2DEC(AA24)-$T$1+1)</f>
        <v>AE</v>
      </c>
      <c r="AS24" s="5" t="str" cm="1">
        <f t="array" ref="AS24">INDEX(_xlfn.TOROW(PixelPatternTable),HEX2DEC(AB24)-$T$1+1)</f>
        <v>B0</v>
      </c>
      <c r="AT24" s="5" t="str" cm="1">
        <f t="array" ref="AT24">INDEX(_xlfn.TOROW(PixelPatternTable),HEX2DEC(AC24)-$T$1+1)</f>
        <v>B2</v>
      </c>
      <c r="AU24" s="5" t="str" cm="1">
        <f t="array" ref="AU24">INDEX(_xlfn.TOROW(PixelPatternTable),HEX2DEC(AD24)-$T$1+1)</f>
        <v>B4</v>
      </c>
      <c r="AV24" s="5" t="str" cm="1">
        <f t="array" ref="AV24">INDEX(_xlfn.TOROW(PixelPatternTable),HEX2DEC(AE24)-$T$1+1)</f>
        <v>B6</v>
      </c>
      <c r="AW24" s="5" t="str" cm="1">
        <f t="array" ref="AW24">INDEX(_xlfn.TOROW(PixelPatternTable),HEX2DEC(AF24)-$T$1+1)</f>
        <v>B8</v>
      </c>
      <c r="AX24" s="5" t="str" cm="1">
        <f t="array" ref="AX24">INDEX(_xlfn.TOROW(PixelPatternTable),HEX2DEC(AG24)-$T$1+1)</f>
        <v>BA</v>
      </c>
      <c r="AY24" s="5" t="str" cm="1">
        <f t="array" ref="AY24">INDEX(_xlfn.TOROW(PixelPatternTable),HEX2DEC(AH24)-$T$1+1)</f>
        <v>BC</v>
      </c>
      <c r="AZ24" s="5" t="str" cm="1">
        <f t="array" ref="AZ24">INDEX(_xlfn.TOROW(PixelPatternTable),HEX2DEC(AI24)-$T$1+1)</f>
        <v>BE</v>
      </c>
    </row>
    <row r="25" spans="1:52" x14ac:dyDescent="0.3">
      <c r="A25" s="5" t="str">
        <f t="shared" si="20"/>
        <v>A360</v>
      </c>
      <c r="B25" s="71" t="str">
        <f>pixel_shift_table.asm!C25</f>
        <v>1E</v>
      </c>
      <c r="C25" s="72" t="str">
        <f>pixel_shift_table.asm!D25</f>
        <v>04</v>
      </c>
      <c r="D25" s="72" t="str">
        <f>pixel_shift_table.asm!E25</f>
        <v>86</v>
      </c>
      <c r="E25" s="72" t="str">
        <f>pixel_shift_table.asm!F25</f>
        <v>14</v>
      </c>
      <c r="F25" s="72" t="str">
        <f>pixel_shift_table.asm!G25</f>
        <v>C8</v>
      </c>
      <c r="G25" s="72" t="str">
        <f>pixel_shift_table.asm!H25</f>
        <v>24</v>
      </c>
      <c r="H25" s="72" t="str">
        <f>pixel_shift_table.asm!I25</f>
        <v>96</v>
      </c>
      <c r="I25" s="72" t="str">
        <f>pixel_shift_table.asm!J25</f>
        <v>34</v>
      </c>
      <c r="J25" s="72" t="str">
        <f>pixel_shift_table.asm!K25</f>
        <v>6A</v>
      </c>
      <c r="K25" s="72" t="str">
        <f>pixel_shift_table.asm!L25</f>
        <v>44</v>
      </c>
      <c r="L25" s="72" t="str">
        <f>pixel_shift_table.asm!M25</f>
        <v>A6</v>
      </c>
      <c r="M25" s="72" t="str">
        <f>pixel_shift_table.asm!N25</f>
        <v>54</v>
      </c>
      <c r="N25" s="72" t="str">
        <f>pixel_shift_table.asm!O25</f>
        <v>D8</v>
      </c>
      <c r="O25" s="72" t="str">
        <f>pixel_shift_table.asm!P25</f>
        <v>64</v>
      </c>
      <c r="P25" s="72" t="str">
        <f>pixel_shift_table.asm!Q25</f>
        <v>B6</v>
      </c>
      <c r="Q25" s="72" t="str">
        <f>pixel_shift_table.asm!R25</f>
        <v>74</v>
      </c>
      <c r="S25">
        <f t="shared" si="62"/>
        <v>96</v>
      </c>
      <c r="T25" s="5" t="str">
        <f t="shared" si="63"/>
        <v>A91E</v>
      </c>
      <c r="U25" s="5" t="str">
        <f t="shared" si="64"/>
        <v>AC04</v>
      </c>
      <c r="V25" s="5" t="str">
        <f t="shared" si="65"/>
        <v>AA86</v>
      </c>
      <c r="W25" s="5" t="str">
        <f t="shared" si="66"/>
        <v>AC14</v>
      </c>
      <c r="X25" s="5" t="str">
        <f t="shared" si="67"/>
        <v>A9C8</v>
      </c>
      <c r="Y25" s="5" t="str">
        <f t="shared" si="68"/>
        <v>AC24</v>
      </c>
      <c r="Z25" s="5" t="str">
        <f t="shared" si="69"/>
        <v>AA96</v>
      </c>
      <c r="AA25" s="5" t="str">
        <f t="shared" si="70"/>
        <v>AC34</v>
      </c>
      <c r="AB25" s="5" t="str">
        <f t="shared" si="71"/>
        <v>A96A</v>
      </c>
      <c r="AC25" s="5" t="str">
        <f t="shared" si="72"/>
        <v>AC44</v>
      </c>
      <c r="AD25" s="5" t="str">
        <f t="shared" si="73"/>
        <v>AAA6</v>
      </c>
      <c r="AE25" s="5" t="str">
        <f t="shared" si="74"/>
        <v>AC54</v>
      </c>
      <c r="AF25" s="5" t="str">
        <f t="shared" si="75"/>
        <v>A9D8</v>
      </c>
      <c r="AG25" s="5" t="str">
        <f t="shared" si="76"/>
        <v>AC64</v>
      </c>
      <c r="AH25" s="5" t="str">
        <f t="shared" si="77"/>
        <v>AAB6</v>
      </c>
      <c r="AI25" s="5" t="str">
        <f t="shared" si="78"/>
        <v>AC74</v>
      </c>
      <c r="AK25" s="5" t="str" cm="1">
        <f t="array" ref="AK25">INDEX(_xlfn.TOROW(PixelPatternTable),HEX2DEC(T25)-$T$1+1)</f>
        <v>C0</v>
      </c>
      <c r="AL25" s="5" t="str" cm="1">
        <f t="array" ref="AL25">INDEX(_xlfn.TOROW(PixelPatternTable),HEX2DEC(U25)-$T$1+1)</f>
        <v>C2</v>
      </c>
      <c r="AM25" s="5" t="str" cm="1">
        <f t="array" ref="AM25">INDEX(_xlfn.TOROW(PixelPatternTable),HEX2DEC(V25)-$T$1+1)</f>
        <v>C4</v>
      </c>
      <c r="AN25" s="5" t="str" cm="1">
        <f t="array" ref="AN25">INDEX(_xlfn.TOROW(PixelPatternTable),HEX2DEC(W25)-$T$1+1)</f>
        <v>C6</v>
      </c>
      <c r="AO25" s="5" t="str" cm="1">
        <f t="array" ref="AO25">INDEX(_xlfn.TOROW(PixelPatternTable),HEX2DEC(X25)-$T$1+1)</f>
        <v>C8</v>
      </c>
      <c r="AP25" s="5" t="str" cm="1">
        <f t="array" ref="AP25">INDEX(_xlfn.TOROW(PixelPatternTable),HEX2DEC(Y25)-$T$1+1)</f>
        <v>CA</v>
      </c>
      <c r="AQ25" s="5" t="str" cm="1">
        <f t="array" ref="AQ25">INDEX(_xlfn.TOROW(PixelPatternTable),HEX2DEC(Z25)-$T$1+1)</f>
        <v>CC</v>
      </c>
      <c r="AR25" s="5" t="str" cm="1">
        <f t="array" ref="AR25">INDEX(_xlfn.TOROW(PixelPatternTable),HEX2DEC(AA25)-$T$1+1)</f>
        <v>CE</v>
      </c>
      <c r="AS25" s="5" t="str" cm="1">
        <f t="array" ref="AS25">INDEX(_xlfn.TOROW(PixelPatternTable),HEX2DEC(AB25)-$T$1+1)</f>
        <v>D0</v>
      </c>
      <c r="AT25" s="5" t="str" cm="1">
        <f t="array" ref="AT25">INDEX(_xlfn.TOROW(PixelPatternTable),HEX2DEC(AC25)-$T$1+1)</f>
        <v>D2</v>
      </c>
      <c r="AU25" s="5" t="str" cm="1">
        <f t="array" ref="AU25">INDEX(_xlfn.TOROW(PixelPatternTable),HEX2DEC(AD25)-$T$1+1)</f>
        <v>D4</v>
      </c>
      <c r="AV25" s="5" t="str" cm="1">
        <f t="array" ref="AV25">INDEX(_xlfn.TOROW(PixelPatternTable),HEX2DEC(AE25)-$T$1+1)</f>
        <v>D6</v>
      </c>
      <c r="AW25" s="5" t="str" cm="1">
        <f t="array" ref="AW25">INDEX(_xlfn.TOROW(PixelPatternTable),HEX2DEC(AF25)-$T$1+1)</f>
        <v>D8</v>
      </c>
      <c r="AX25" s="5" t="str" cm="1">
        <f t="array" ref="AX25">INDEX(_xlfn.TOROW(PixelPatternTable),HEX2DEC(AG25)-$T$1+1)</f>
        <v>DA</v>
      </c>
      <c r="AY25" s="5" t="str" cm="1">
        <f t="array" ref="AY25">INDEX(_xlfn.TOROW(PixelPatternTable),HEX2DEC(AH25)-$T$1+1)</f>
        <v>DC</v>
      </c>
      <c r="AZ25" s="5" t="str" cm="1">
        <f t="array" ref="AZ25">INDEX(_xlfn.TOROW(PixelPatternTable),HEX2DEC(AI25)-$T$1+1)</f>
        <v>DE</v>
      </c>
    </row>
    <row r="26" spans="1:52" x14ac:dyDescent="0.3">
      <c r="A26" s="58" t="str">
        <f t="shared" si="20"/>
        <v>A370</v>
      </c>
      <c r="B26" s="73" t="str">
        <f>pixel_shift_table.asm!C26</f>
        <v>3C</v>
      </c>
      <c r="C26" s="74" t="str">
        <f>pixel_shift_table.asm!D26</f>
        <v>84</v>
      </c>
      <c r="D26" s="74" t="str">
        <f>pixel_shift_table.asm!E26</f>
        <v>C6</v>
      </c>
      <c r="E26" s="74" t="str">
        <f>pixel_shift_table.asm!F26</f>
        <v>94</v>
      </c>
      <c r="F26" s="74" t="str">
        <f>pixel_shift_table.asm!G26</f>
        <v>E8</v>
      </c>
      <c r="G26" s="74" t="str">
        <f>pixel_shift_table.asm!H26</f>
        <v>A4</v>
      </c>
      <c r="H26" s="74" t="str">
        <f>pixel_shift_table.asm!I26</f>
        <v>D6</v>
      </c>
      <c r="I26" s="74" t="str">
        <f>pixel_shift_table.asm!J26</f>
        <v>B4</v>
      </c>
      <c r="J26" s="74" t="str">
        <f>pixel_shift_table.asm!K26</f>
        <v>7A</v>
      </c>
      <c r="K26" s="74" t="str">
        <f>pixel_shift_table.asm!L26</f>
        <v>C4</v>
      </c>
      <c r="L26" s="74" t="str">
        <f>pixel_shift_table.asm!M26</f>
        <v>E6</v>
      </c>
      <c r="M26" s="74" t="str">
        <f>pixel_shift_table.asm!N26</f>
        <v>D4</v>
      </c>
      <c r="N26" s="74" t="str">
        <f>pixel_shift_table.asm!O26</f>
        <v>F8</v>
      </c>
      <c r="O26" s="74" t="str">
        <f>pixel_shift_table.asm!P26</f>
        <v>E4</v>
      </c>
      <c r="P26" s="74" t="str">
        <f>pixel_shift_table.asm!Q26</f>
        <v>F6</v>
      </c>
      <c r="Q26" s="74" t="str">
        <f>pixel_shift_table.asm!R26</f>
        <v>F4</v>
      </c>
      <c r="S26">
        <f t="shared" si="62"/>
        <v>112</v>
      </c>
      <c r="T26" s="5" t="str">
        <f t="shared" si="63"/>
        <v>A93C</v>
      </c>
      <c r="U26" s="5" t="str">
        <f t="shared" si="64"/>
        <v>AC84</v>
      </c>
      <c r="V26" s="5" t="str">
        <f t="shared" si="65"/>
        <v>AAC6</v>
      </c>
      <c r="W26" s="5" t="str">
        <f t="shared" si="66"/>
        <v>AC94</v>
      </c>
      <c r="X26" s="5" t="str">
        <f t="shared" si="67"/>
        <v>A9E8</v>
      </c>
      <c r="Y26" s="5" t="str">
        <f t="shared" si="68"/>
        <v>ACA4</v>
      </c>
      <c r="Z26" s="5" t="str">
        <f t="shared" si="69"/>
        <v>AAD6</v>
      </c>
      <c r="AA26" s="5" t="str">
        <f t="shared" si="70"/>
        <v>ACB4</v>
      </c>
      <c r="AB26" s="5" t="str">
        <f t="shared" si="71"/>
        <v>A97A</v>
      </c>
      <c r="AC26" s="5" t="str">
        <f t="shared" si="72"/>
        <v>ACC4</v>
      </c>
      <c r="AD26" s="5" t="str">
        <f t="shared" si="73"/>
        <v>AAE6</v>
      </c>
      <c r="AE26" s="5" t="str">
        <f t="shared" si="74"/>
        <v>ACD4</v>
      </c>
      <c r="AF26" s="5" t="str">
        <f t="shared" si="75"/>
        <v>A9F8</v>
      </c>
      <c r="AG26" s="5" t="str">
        <f t="shared" si="76"/>
        <v>ACE4</v>
      </c>
      <c r="AH26" s="5" t="str">
        <f t="shared" si="77"/>
        <v>AAF6</v>
      </c>
      <c r="AI26" s="5" t="str">
        <f t="shared" si="78"/>
        <v>ACF4</v>
      </c>
      <c r="AK26" s="5" t="str" cm="1">
        <f t="array" ref="AK26">INDEX(_xlfn.TOROW(PixelPatternTable),HEX2DEC(T26)-$T$1+1)</f>
        <v>E0</v>
      </c>
      <c r="AL26" s="5" t="str" cm="1">
        <f t="array" ref="AL26">INDEX(_xlfn.TOROW(PixelPatternTable),HEX2DEC(U26)-$T$1+1)</f>
        <v>E2</v>
      </c>
      <c r="AM26" s="5" t="str" cm="1">
        <f t="array" ref="AM26">INDEX(_xlfn.TOROW(PixelPatternTable),HEX2DEC(V26)-$T$1+1)</f>
        <v>E4</v>
      </c>
      <c r="AN26" s="5" t="str" cm="1">
        <f t="array" ref="AN26">INDEX(_xlfn.TOROW(PixelPatternTable),HEX2DEC(W26)-$T$1+1)</f>
        <v>E6</v>
      </c>
      <c r="AO26" s="5" t="str" cm="1">
        <f t="array" ref="AO26">INDEX(_xlfn.TOROW(PixelPatternTable),HEX2DEC(X26)-$T$1+1)</f>
        <v>E8</v>
      </c>
      <c r="AP26" s="5" t="str" cm="1">
        <f t="array" ref="AP26">INDEX(_xlfn.TOROW(PixelPatternTable),HEX2DEC(Y26)-$T$1+1)</f>
        <v>EA</v>
      </c>
      <c r="AQ26" s="5" t="str" cm="1">
        <f t="array" ref="AQ26">INDEX(_xlfn.TOROW(PixelPatternTable),HEX2DEC(Z26)-$T$1+1)</f>
        <v>EC</v>
      </c>
      <c r="AR26" s="5" t="str" cm="1">
        <f t="array" ref="AR26">INDEX(_xlfn.TOROW(PixelPatternTable),HEX2DEC(AA26)-$T$1+1)</f>
        <v>EE</v>
      </c>
      <c r="AS26" s="5" t="str" cm="1">
        <f t="array" ref="AS26">INDEX(_xlfn.TOROW(PixelPatternTable),HEX2DEC(AB26)-$T$1+1)</f>
        <v>F0</v>
      </c>
      <c r="AT26" s="5" t="str" cm="1">
        <f t="array" ref="AT26">INDEX(_xlfn.TOROW(PixelPatternTable),HEX2DEC(AC26)-$T$1+1)</f>
        <v>F2</v>
      </c>
      <c r="AU26" s="5" t="str" cm="1">
        <f t="array" ref="AU26">INDEX(_xlfn.TOROW(PixelPatternTable),HEX2DEC(AD26)-$T$1+1)</f>
        <v>F4</v>
      </c>
      <c r="AV26" s="5" t="str" cm="1">
        <f t="array" ref="AV26">INDEX(_xlfn.TOROW(PixelPatternTable),HEX2DEC(AE26)-$T$1+1)</f>
        <v>F6</v>
      </c>
      <c r="AW26" s="5" t="str" cm="1">
        <f t="array" ref="AW26">INDEX(_xlfn.TOROW(PixelPatternTable),HEX2DEC(AF26)-$T$1+1)</f>
        <v>F8</v>
      </c>
      <c r="AX26" s="5" t="str" cm="1">
        <f t="array" ref="AX26">INDEX(_xlfn.TOROW(PixelPatternTable),HEX2DEC(AG26)-$T$1+1)</f>
        <v>FA</v>
      </c>
      <c r="AY26" s="5" t="str" cm="1">
        <f t="array" ref="AY26">INDEX(_xlfn.TOROW(PixelPatternTable),HEX2DEC(AH26)-$T$1+1)</f>
        <v>FC</v>
      </c>
      <c r="AZ26" s="5" t="str" cm="1">
        <f t="array" ref="AZ26">INDEX(_xlfn.TOROW(PixelPatternTable),HEX2DEC(AI26)-$T$1+1)</f>
        <v>FE</v>
      </c>
    </row>
    <row r="27" spans="1:52" x14ac:dyDescent="0.3">
      <c r="A27" s="5" t="str">
        <f t="shared" si="20"/>
        <v>A380</v>
      </c>
      <c r="B27" s="69" t="str">
        <f>pixel_shift_table.asm!C27</f>
        <v>A9</v>
      </c>
      <c r="C27" s="70" t="str">
        <f>pixel_shift_table.asm!D27</f>
        <v>A9</v>
      </c>
      <c r="D27" s="70" t="str">
        <f>pixel_shift_table.asm!E27</f>
        <v>A9</v>
      </c>
      <c r="E27" s="70" t="str">
        <f>pixel_shift_table.asm!F27</f>
        <v>A9</v>
      </c>
      <c r="F27" s="70" t="str">
        <f>pixel_shift_table.asm!G27</f>
        <v>A9</v>
      </c>
      <c r="G27" s="70" t="str">
        <f>pixel_shift_table.asm!H27</f>
        <v>A9</v>
      </c>
      <c r="H27" s="70" t="str">
        <f>pixel_shift_table.asm!I27</f>
        <v>A9</v>
      </c>
      <c r="I27" s="70" t="str">
        <f>pixel_shift_table.asm!J27</f>
        <v>A9</v>
      </c>
      <c r="J27" s="70" t="str">
        <f>pixel_shift_table.asm!K27</f>
        <v>A9</v>
      </c>
      <c r="K27" s="70" t="str">
        <f>pixel_shift_table.asm!L27</f>
        <v>A9</v>
      </c>
      <c r="L27" s="70" t="str">
        <f>pixel_shift_table.asm!M27</f>
        <v>A9</v>
      </c>
      <c r="M27" s="70" t="str">
        <f>pixel_shift_table.asm!N27</f>
        <v>A9</v>
      </c>
      <c r="N27" s="70" t="str">
        <f>pixel_shift_table.asm!O27</f>
        <v>A9</v>
      </c>
      <c r="O27" s="70" t="str">
        <f>pixel_shift_table.asm!P27</f>
        <v>A9</v>
      </c>
      <c r="P27" s="70" t="str">
        <f>pixel_shift_table.asm!Q27</f>
        <v>A9</v>
      </c>
      <c r="Q27" s="70" t="str">
        <f>pixel_shift_table.asm!R27</f>
        <v>A9</v>
      </c>
      <c r="S27">
        <f t="shared" si="62"/>
        <v>128</v>
      </c>
      <c r="T27" s="5" t="str">
        <f t="shared" si="63"/>
        <v>A901</v>
      </c>
      <c r="U27" s="5" t="str">
        <f t="shared" si="64"/>
        <v>A905</v>
      </c>
      <c r="V27" s="5" t="str">
        <f t="shared" si="65"/>
        <v>A907</v>
      </c>
      <c r="W27" s="5" t="str">
        <f t="shared" si="66"/>
        <v>A915</v>
      </c>
      <c r="X27" s="5" t="str">
        <f t="shared" si="67"/>
        <v>A909</v>
      </c>
      <c r="Y27" s="5" t="str">
        <f t="shared" si="68"/>
        <v>A925</v>
      </c>
      <c r="Z27" s="5" t="str">
        <f t="shared" si="69"/>
        <v>A917</v>
      </c>
      <c r="AA27" s="5" t="str">
        <f t="shared" si="70"/>
        <v>A935</v>
      </c>
      <c r="AB27" s="5" t="str">
        <f t="shared" si="71"/>
        <v>A90B</v>
      </c>
      <c r="AC27" s="5" t="str">
        <f t="shared" si="72"/>
        <v>A945</v>
      </c>
      <c r="AD27" s="5" t="str">
        <f t="shared" si="73"/>
        <v>A927</v>
      </c>
      <c r="AE27" s="5" t="str">
        <f t="shared" si="74"/>
        <v>A955</v>
      </c>
      <c r="AF27" s="5" t="str">
        <f t="shared" si="75"/>
        <v>A919</v>
      </c>
      <c r="AG27" s="5" t="str">
        <f t="shared" si="76"/>
        <v>A965</v>
      </c>
      <c r="AH27" s="5" t="str">
        <f t="shared" si="77"/>
        <v>A937</v>
      </c>
      <c r="AI27" s="5" t="str">
        <f t="shared" si="78"/>
        <v>A975</v>
      </c>
      <c r="AK27" s="5" t="str" cm="1">
        <f t="array" ref="AK27">INDEX(_xlfn.TOROW(PixelPatternTable),HEX2DEC(T27)-$T$1+1)</f>
        <v>80</v>
      </c>
      <c r="AL27" s="5" t="str" cm="1">
        <f t="array" ref="AL27">INDEX(_xlfn.TOROW(PixelPatternTable),HEX2DEC(U27)-$T$1+1)</f>
        <v>80</v>
      </c>
      <c r="AM27" s="5" t="str" cm="1">
        <f t="array" ref="AM27">INDEX(_xlfn.TOROW(PixelPatternTable),HEX2DEC(V27)-$T$1+1)</f>
        <v>80</v>
      </c>
      <c r="AN27" s="5" t="str" cm="1">
        <f t="array" ref="AN27">INDEX(_xlfn.TOROW(PixelPatternTable),HEX2DEC(W27)-$T$1+1)</f>
        <v>80</v>
      </c>
      <c r="AO27" s="5" t="str" cm="1">
        <f t="array" ref="AO27">INDEX(_xlfn.TOROW(PixelPatternTable),HEX2DEC(X27)-$T$1+1)</f>
        <v>80</v>
      </c>
      <c r="AP27" s="5" t="str" cm="1">
        <f t="array" ref="AP27">INDEX(_xlfn.TOROW(PixelPatternTable),HEX2DEC(Y27)-$T$1+1)</f>
        <v>80</v>
      </c>
      <c r="AQ27" s="5" t="str" cm="1">
        <f t="array" ref="AQ27">INDEX(_xlfn.TOROW(PixelPatternTable),HEX2DEC(Z27)-$T$1+1)</f>
        <v>80</v>
      </c>
      <c r="AR27" s="5" t="str" cm="1">
        <f t="array" ref="AR27">INDEX(_xlfn.TOROW(PixelPatternTable),HEX2DEC(AA27)-$T$1+1)</f>
        <v>80</v>
      </c>
      <c r="AS27" s="5" t="str" cm="1">
        <f t="array" ref="AS27">INDEX(_xlfn.TOROW(PixelPatternTable),HEX2DEC(AB27)-$T$1+1)</f>
        <v>80</v>
      </c>
      <c r="AT27" s="5" t="str" cm="1">
        <f t="array" ref="AT27">INDEX(_xlfn.TOROW(PixelPatternTable),HEX2DEC(AC27)-$T$1+1)</f>
        <v>80</v>
      </c>
      <c r="AU27" s="5" t="str" cm="1">
        <f t="array" ref="AU27">INDEX(_xlfn.TOROW(PixelPatternTable),HEX2DEC(AD27)-$T$1+1)</f>
        <v>80</v>
      </c>
      <c r="AV27" s="5" t="str" cm="1">
        <f t="array" ref="AV27">INDEX(_xlfn.TOROW(PixelPatternTable),HEX2DEC(AE27)-$T$1+1)</f>
        <v>80</v>
      </c>
      <c r="AW27" s="5" t="str" cm="1">
        <f t="array" ref="AW27">INDEX(_xlfn.TOROW(PixelPatternTable),HEX2DEC(AF27)-$T$1+1)</f>
        <v>80</v>
      </c>
      <c r="AX27" s="5" t="str" cm="1">
        <f t="array" ref="AX27">INDEX(_xlfn.TOROW(PixelPatternTable),HEX2DEC(AG27)-$T$1+1)</f>
        <v>80</v>
      </c>
      <c r="AY27" s="5" t="str" cm="1">
        <f t="array" ref="AY27">INDEX(_xlfn.TOROW(PixelPatternTable),HEX2DEC(AH27)-$T$1+1)</f>
        <v>80</v>
      </c>
      <c r="AZ27" s="5" t="str" cm="1">
        <f t="array" ref="AZ27">INDEX(_xlfn.TOROW(PixelPatternTable),HEX2DEC(AI27)-$T$1+1)</f>
        <v>80</v>
      </c>
    </row>
    <row r="28" spans="1:52" x14ac:dyDescent="0.3">
      <c r="A28" s="5" t="str">
        <f t="shared" si="20"/>
        <v>A390</v>
      </c>
      <c r="B28" s="71" t="str">
        <f>pixel_shift_table.asm!C28</f>
        <v>A9</v>
      </c>
      <c r="C28" s="72" t="str">
        <f>pixel_shift_table.asm!D28</f>
        <v>A9</v>
      </c>
      <c r="D28" s="72" t="str">
        <f>pixel_shift_table.asm!E28</f>
        <v>A9</v>
      </c>
      <c r="E28" s="72" t="str">
        <f>pixel_shift_table.asm!F28</f>
        <v>A9</v>
      </c>
      <c r="F28" s="72" t="str">
        <f>pixel_shift_table.asm!G28</f>
        <v>A9</v>
      </c>
      <c r="G28" s="72" t="str">
        <f>pixel_shift_table.asm!H28</f>
        <v>A9</v>
      </c>
      <c r="H28" s="72" t="str">
        <f>pixel_shift_table.asm!I28</f>
        <v>A9</v>
      </c>
      <c r="I28" s="72" t="str">
        <f>pixel_shift_table.asm!J28</f>
        <v>A9</v>
      </c>
      <c r="J28" s="72" t="str">
        <f>pixel_shift_table.asm!K28</f>
        <v>A9</v>
      </c>
      <c r="K28" s="72" t="str">
        <f>pixel_shift_table.asm!L28</f>
        <v>A9</v>
      </c>
      <c r="L28" s="72" t="str">
        <f>pixel_shift_table.asm!M28</f>
        <v>A9</v>
      </c>
      <c r="M28" s="72" t="str">
        <f>pixel_shift_table.asm!N28</f>
        <v>A9</v>
      </c>
      <c r="N28" s="72" t="str">
        <f>pixel_shift_table.asm!O28</f>
        <v>A9</v>
      </c>
      <c r="O28" s="72" t="str">
        <f>pixel_shift_table.asm!P28</f>
        <v>A9</v>
      </c>
      <c r="P28" s="72" t="str">
        <f>pixel_shift_table.asm!Q28</f>
        <v>A9</v>
      </c>
      <c r="Q28" s="72" t="str">
        <f>pixel_shift_table.asm!R28</f>
        <v>A9</v>
      </c>
      <c r="S28">
        <f t="shared" si="62"/>
        <v>144</v>
      </c>
      <c r="T28" s="5" t="str">
        <f t="shared" si="63"/>
        <v>A90D</v>
      </c>
      <c r="U28" s="5" t="str">
        <f t="shared" si="64"/>
        <v>A985</v>
      </c>
      <c r="V28" s="5" t="str">
        <f t="shared" si="65"/>
        <v>A947</v>
      </c>
      <c r="W28" s="5" t="str">
        <f t="shared" si="66"/>
        <v>A995</v>
      </c>
      <c r="X28" s="5" t="str">
        <f t="shared" si="67"/>
        <v>A929</v>
      </c>
      <c r="Y28" s="5" t="str">
        <f t="shared" si="68"/>
        <v>A9A5</v>
      </c>
      <c r="Z28" s="5" t="str">
        <f t="shared" si="69"/>
        <v>A957</v>
      </c>
      <c r="AA28" s="5" t="str">
        <f t="shared" si="70"/>
        <v>A9B5</v>
      </c>
      <c r="AB28" s="5" t="str">
        <f t="shared" si="71"/>
        <v>A91B</v>
      </c>
      <c r="AC28" s="5" t="str">
        <f t="shared" si="72"/>
        <v>A9C5</v>
      </c>
      <c r="AD28" s="5" t="str">
        <f t="shared" si="73"/>
        <v>A967</v>
      </c>
      <c r="AE28" s="5" t="str">
        <f t="shared" si="74"/>
        <v>A9D5</v>
      </c>
      <c r="AF28" s="5" t="str">
        <f t="shared" si="75"/>
        <v>A939</v>
      </c>
      <c r="AG28" s="5" t="str">
        <f t="shared" si="76"/>
        <v>A9E5</v>
      </c>
      <c r="AH28" s="5" t="str">
        <f t="shared" si="77"/>
        <v>A977</v>
      </c>
      <c r="AI28" s="5" t="str">
        <f t="shared" si="78"/>
        <v>A9F5</v>
      </c>
      <c r="AK28" s="5" t="str" cm="1">
        <f t="array" ref="AK28">INDEX(_xlfn.TOROW(PixelPatternTable),HEX2DEC(T28)-$T$1+1)</f>
        <v>80</v>
      </c>
      <c r="AL28" s="5" t="str" cm="1">
        <f t="array" ref="AL28">INDEX(_xlfn.TOROW(PixelPatternTable),HEX2DEC(U28)-$T$1+1)</f>
        <v>80</v>
      </c>
      <c r="AM28" s="5" t="str" cm="1">
        <f t="array" ref="AM28">INDEX(_xlfn.TOROW(PixelPatternTable),HEX2DEC(V28)-$T$1+1)</f>
        <v>80</v>
      </c>
      <c r="AN28" s="5" t="str" cm="1">
        <f t="array" ref="AN28">INDEX(_xlfn.TOROW(PixelPatternTable),HEX2DEC(W28)-$T$1+1)</f>
        <v>80</v>
      </c>
      <c r="AO28" s="5" t="str" cm="1">
        <f t="array" ref="AO28">INDEX(_xlfn.TOROW(PixelPatternTable),HEX2DEC(X28)-$T$1+1)</f>
        <v>80</v>
      </c>
      <c r="AP28" s="5" t="str" cm="1">
        <f t="array" ref="AP28">INDEX(_xlfn.TOROW(PixelPatternTable),HEX2DEC(Y28)-$T$1+1)</f>
        <v>80</v>
      </c>
      <c r="AQ28" s="5" t="str" cm="1">
        <f t="array" ref="AQ28">INDEX(_xlfn.TOROW(PixelPatternTable),HEX2DEC(Z28)-$T$1+1)</f>
        <v>80</v>
      </c>
      <c r="AR28" s="5" t="str" cm="1">
        <f t="array" ref="AR28">INDEX(_xlfn.TOROW(PixelPatternTable),HEX2DEC(AA28)-$T$1+1)</f>
        <v>80</v>
      </c>
      <c r="AS28" s="5" t="str" cm="1">
        <f t="array" ref="AS28">INDEX(_xlfn.TOROW(PixelPatternTable),HEX2DEC(AB28)-$T$1+1)</f>
        <v>80</v>
      </c>
      <c r="AT28" s="5" t="str" cm="1">
        <f t="array" ref="AT28">INDEX(_xlfn.TOROW(PixelPatternTable),HEX2DEC(AC28)-$T$1+1)</f>
        <v>80</v>
      </c>
      <c r="AU28" s="5" t="str" cm="1">
        <f t="array" ref="AU28">INDEX(_xlfn.TOROW(PixelPatternTable),HEX2DEC(AD28)-$T$1+1)</f>
        <v>80</v>
      </c>
      <c r="AV28" s="5" t="str" cm="1">
        <f t="array" ref="AV28">INDEX(_xlfn.TOROW(PixelPatternTable),HEX2DEC(AE28)-$T$1+1)</f>
        <v>80</v>
      </c>
      <c r="AW28" s="5" t="str" cm="1">
        <f t="array" ref="AW28">INDEX(_xlfn.TOROW(PixelPatternTable),HEX2DEC(AF28)-$T$1+1)</f>
        <v>80</v>
      </c>
      <c r="AX28" s="5" t="str" cm="1">
        <f t="array" ref="AX28">INDEX(_xlfn.TOROW(PixelPatternTable),HEX2DEC(AG28)-$T$1+1)</f>
        <v>80</v>
      </c>
      <c r="AY28" s="5" t="str" cm="1">
        <f t="array" ref="AY28">INDEX(_xlfn.TOROW(PixelPatternTable),HEX2DEC(AH28)-$T$1+1)</f>
        <v>80</v>
      </c>
      <c r="AZ28" s="5" t="str" cm="1">
        <f t="array" ref="AZ28">INDEX(_xlfn.TOROW(PixelPatternTable),HEX2DEC(AI28)-$T$1+1)</f>
        <v>80</v>
      </c>
    </row>
    <row r="29" spans="1:52" x14ac:dyDescent="0.3">
      <c r="A29" s="5" t="str">
        <f t="shared" si="20"/>
        <v>A3A0</v>
      </c>
      <c r="B29" s="71" t="str">
        <f>pixel_shift_table.asm!C29</f>
        <v>A9</v>
      </c>
      <c r="C29" s="72" t="str">
        <f>pixel_shift_table.asm!D29</f>
        <v>AA</v>
      </c>
      <c r="D29" s="72" t="str">
        <f>pixel_shift_table.asm!E29</f>
        <v>A9</v>
      </c>
      <c r="E29" s="72" t="str">
        <f>pixel_shift_table.asm!F29</f>
        <v>AA</v>
      </c>
      <c r="F29" s="72" t="str">
        <f>pixel_shift_table.asm!G29</f>
        <v>A9</v>
      </c>
      <c r="G29" s="72" t="str">
        <f>pixel_shift_table.asm!H29</f>
        <v>AA</v>
      </c>
      <c r="H29" s="72" t="str">
        <f>pixel_shift_table.asm!I29</f>
        <v>A9</v>
      </c>
      <c r="I29" s="72" t="str">
        <f>pixel_shift_table.asm!J29</f>
        <v>AA</v>
      </c>
      <c r="J29" s="72" t="str">
        <f>pixel_shift_table.asm!K29</f>
        <v>A9</v>
      </c>
      <c r="K29" s="72" t="str">
        <f>pixel_shift_table.asm!L29</f>
        <v>AA</v>
      </c>
      <c r="L29" s="72" t="str">
        <f>pixel_shift_table.asm!M29</f>
        <v>A9</v>
      </c>
      <c r="M29" s="72" t="str">
        <f>pixel_shift_table.asm!N29</f>
        <v>AA</v>
      </c>
      <c r="N29" s="72" t="str">
        <f>pixel_shift_table.asm!O29</f>
        <v>A9</v>
      </c>
      <c r="O29" s="72" t="str">
        <f>pixel_shift_table.asm!P29</f>
        <v>AA</v>
      </c>
      <c r="P29" s="72" t="str">
        <f>pixel_shift_table.asm!Q29</f>
        <v>A9</v>
      </c>
      <c r="Q29" s="72" t="str">
        <f>pixel_shift_table.asm!R29</f>
        <v>AA</v>
      </c>
      <c r="S29">
        <f t="shared" si="62"/>
        <v>160</v>
      </c>
      <c r="T29" s="5" t="str">
        <f t="shared" si="63"/>
        <v>A90F</v>
      </c>
      <c r="U29" s="5" t="str">
        <f t="shared" si="64"/>
        <v>AA05</v>
      </c>
      <c r="V29" s="5" t="str">
        <f t="shared" si="65"/>
        <v>A987</v>
      </c>
      <c r="W29" s="5" t="str">
        <f t="shared" si="66"/>
        <v>AA15</v>
      </c>
      <c r="X29" s="5" t="str">
        <f t="shared" si="67"/>
        <v>A949</v>
      </c>
      <c r="Y29" s="5" t="str">
        <f t="shared" si="68"/>
        <v>AA25</v>
      </c>
      <c r="Z29" s="5" t="str">
        <f t="shared" si="69"/>
        <v>A997</v>
      </c>
      <c r="AA29" s="5" t="str">
        <f t="shared" si="70"/>
        <v>AA35</v>
      </c>
      <c r="AB29" s="5" t="str">
        <f t="shared" si="71"/>
        <v>A92B</v>
      </c>
      <c r="AC29" s="5" t="str">
        <f t="shared" si="72"/>
        <v>AA45</v>
      </c>
      <c r="AD29" s="5" t="str">
        <f t="shared" si="73"/>
        <v>A9A7</v>
      </c>
      <c r="AE29" s="5" t="str">
        <f t="shared" si="74"/>
        <v>AA55</v>
      </c>
      <c r="AF29" s="5" t="str">
        <f t="shared" si="75"/>
        <v>A959</v>
      </c>
      <c r="AG29" s="5" t="str">
        <f t="shared" si="76"/>
        <v>AA65</v>
      </c>
      <c r="AH29" s="5" t="str">
        <f t="shared" si="77"/>
        <v>A9B7</v>
      </c>
      <c r="AI29" s="5" t="str">
        <f t="shared" si="78"/>
        <v>AA75</v>
      </c>
      <c r="AK29" s="5" t="str" cm="1">
        <f t="array" ref="AK29">INDEX(_xlfn.TOROW(PixelPatternTable),HEX2DEC(T29)-$T$1+1)</f>
        <v>80</v>
      </c>
      <c r="AL29" s="5" t="str" cm="1">
        <f t="array" ref="AL29">INDEX(_xlfn.TOROW(PixelPatternTable),HEX2DEC(U29)-$T$1+1)</f>
        <v>80</v>
      </c>
      <c r="AM29" s="5" t="str" cm="1">
        <f t="array" ref="AM29">INDEX(_xlfn.TOROW(PixelPatternTable),HEX2DEC(V29)-$T$1+1)</f>
        <v>80</v>
      </c>
      <c r="AN29" s="5" t="str" cm="1">
        <f t="array" ref="AN29">INDEX(_xlfn.TOROW(PixelPatternTable),HEX2DEC(W29)-$T$1+1)</f>
        <v>80</v>
      </c>
      <c r="AO29" s="5" t="str" cm="1">
        <f t="array" ref="AO29">INDEX(_xlfn.TOROW(PixelPatternTable),HEX2DEC(X29)-$T$1+1)</f>
        <v>80</v>
      </c>
      <c r="AP29" s="5" t="str" cm="1">
        <f t="array" ref="AP29">INDEX(_xlfn.TOROW(PixelPatternTable),HEX2DEC(Y29)-$T$1+1)</f>
        <v>80</v>
      </c>
      <c r="AQ29" s="5" t="str" cm="1">
        <f t="array" ref="AQ29">INDEX(_xlfn.TOROW(PixelPatternTable),HEX2DEC(Z29)-$T$1+1)</f>
        <v>80</v>
      </c>
      <c r="AR29" s="5" t="str" cm="1">
        <f t="array" ref="AR29">INDEX(_xlfn.TOROW(PixelPatternTable),HEX2DEC(AA29)-$T$1+1)</f>
        <v>80</v>
      </c>
      <c r="AS29" s="5" t="str" cm="1">
        <f t="array" ref="AS29">INDEX(_xlfn.TOROW(PixelPatternTable),HEX2DEC(AB29)-$T$1+1)</f>
        <v>80</v>
      </c>
      <c r="AT29" s="5" t="str" cm="1">
        <f t="array" ref="AT29">INDEX(_xlfn.TOROW(PixelPatternTable),HEX2DEC(AC29)-$T$1+1)</f>
        <v>80</v>
      </c>
      <c r="AU29" s="5" t="str" cm="1">
        <f t="array" ref="AU29">INDEX(_xlfn.TOROW(PixelPatternTable),HEX2DEC(AD29)-$T$1+1)</f>
        <v>80</v>
      </c>
      <c r="AV29" s="5" t="str" cm="1">
        <f t="array" ref="AV29">INDEX(_xlfn.TOROW(PixelPatternTable),HEX2DEC(AE29)-$T$1+1)</f>
        <v>80</v>
      </c>
      <c r="AW29" s="5" t="str" cm="1">
        <f t="array" ref="AW29">INDEX(_xlfn.TOROW(PixelPatternTable),HEX2DEC(AF29)-$T$1+1)</f>
        <v>80</v>
      </c>
      <c r="AX29" s="5" t="str" cm="1">
        <f t="array" ref="AX29">INDEX(_xlfn.TOROW(PixelPatternTable),HEX2DEC(AG29)-$T$1+1)</f>
        <v>80</v>
      </c>
      <c r="AY29" s="5" t="str" cm="1">
        <f t="array" ref="AY29">INDEX(_xlfn.TOROW(PixelPatternTable),HEX2DEC(AH29)-$T$1+1)</f>
        <v>80</v>
      </c>
      <c r="AZ29" s="5" t="str" cm="1">
        <f t="array" ref="AZ29">INDEX(_xlfn.TOROW(PixelPatternTable),HEX2DEC(AI29)-$T$1+1)</f>
        <v>80</v>
      </c>
    </row>
    <row r="30" spans="1:52" x14ac:dyDescent="0.3">
      <c r="A30" s="5" t="str">
        <f t="shared" si="20"/>
        <v>A3B0</v>
      </c>
      <c r="B30" s="71" t="str">
        <f>pixel_shift_table.asm!C30</f>
        <v>A9</v>
      </c>
      <c r="C30" s="72" t="str">
        <f>pixel_shift_table.asm!D30</f>
        <v>AA</v>
      </c>
      <c r="D30" s="72" t="str">
        <f>pixel_shift_table.asm!E30</f>
        <v>A9</v>
      </c>
      <c r="E30" s="72" t="str">
        <f>pixel_shift_table.asm!F30</f>
        <v>AA</v>
      </c>
      <c r="F30" s="72" t="str">
        <f>pixel_shift_table.asm!G30</f>
        <v>A9</v>
      </c>
      <c r="G30" s="72" t="str">
        <f>pixel_shift_table.asm!H30</f>
        <v>AA</v>
      </c>
      <c r="H30" s="72" t="str">
        <f>pixel_shift_table.asm!I30</f>
        <v>A9</v>
      </c>
      <c r="I30" s="72" t="str">
        <f>pixel_shift_table.asm!J30</f>
        <v>AA</v>
      </c>
      <c r="J30" s="72" t="str">
        <f>pixel_shift_table.asm!K30</f>
        <v>A9</v>
      </c>
      <c r="K30" s="72" t="str">
        <f>pixel_shift_table.asm!L30</f>
        <v>AA</v>
      </c>
      <c r="L30" s="72" t="str">
        <f>pixel_shift_table.asm!M30</f>
        <v>A9</v>
      </c>
      <c r="M30" s="72" t="str">
        <f>pixel_shift_table.asm!N30</f>
        <v>AA</v>
      </c>
      <c r="N30" s="72" t="str">
        <f>pixel_shift_table.asm!O30</f>
        <v>A9</v>
      </c>
      <c r="O30" s="72" t="str">
        <f>pixel_shift_table.asm!P30</f>
        <v>AA</v>
      </c>
      <c r="P30" s="72" t="str">
        <f>pixel_shift_table.asm!Q30</f>
        <v>A9</v>
      </c>
      <c r="Q30" s="72" t="str">
        <f>pixel_shift_table.asm!R30</f>
        <v>AA</v>
      </c>
      <c r="S30">
        <f t="shared" si="62"/>
        <v>176</v>
      </c>
      <c r="T30" s="5" t="str">
        <f t="shared" si="63"/>
        <v>A91D</v>
      </c>
      <c r="U30" s="5" t="str">
        <f t="shared" si="64"/>
        <v>AA85</v>
      </c>
      <c r="V30" s="5" t="str">
        <f t="shared" si="65"/>
        <v>A9C7</v>
      </c>
      <c r="W30" s="5" t="str">
        <f t="shared" si="66"/>
        <v>AA95</v>
      </c>
      <c r="X30" s="5" t="str">
        <f t="shared" si="67"/>
        <v>A969</v>
      </c>
      <c r="Y30" s="5" t="str">
        <f t="shared" si="68"/>
        <v>AAA5</v>
      </c>
      <c r="Z30" s="5" t="str">
        <f t="shared" si="69"/>
        <v>A9D7</v>
      </c>
      <c r="AA30" s="5" t="str">
        <f t="shared" si="70"/>
        <v>AAB5</v>
      </c>
      <c r="AB30" s="5" t="str">
        <f t="shared" si="71"/>
        <v>A93B</v>
      </c>
      <c r="AC30" s="5" t="str">
        <f t="shared" si="72"/>
        <v>AAC5</v>
      </c>
      <c r="AD30" s="5" t="str">
        <f t="shared" si="73"/>
        <v>A9E7</v>
      </c>
      <c r="AE30" s="5" t="str">
        <f t="shared" si="74"/>
        <v>AAD5</v>
      </c>
      <c r="AF30" s="5" t="str">
        <f t="shared" si="75"/>
        <v>A979</v>
      </c>
      <c r="AG30" s="5" t="str">
        <f t="shared" si="76"/>
        <v>AAE5</v>
      </c>
      <c r="AH30" s="5" t="str">
        <f t="shared" si="77"/>
        <v>A9F7</v>
      </c>
      <c r="AI30" s="5" t="str">
        <f t="shared" si="78"/>
        <v>AAF5</v>
      </c>
      <c r="AK30" s="5" t="str" cm="1">
        <f t="array" ref="AK30">INDEX(_xlfn.TOROW(PixelPatternTable),HEX2DEC(T30)-$T$1+1)</f>
        <v>80</v>
      </c>
      <c r="AL30" s="5" t="str" cm="1">
        <f t="array" ref="AL30">INDEX(_xlfn.TOROW(PixelPatternTable),HEX2DEC(U30)-$T$1+1)</f>
        <v>80</v>
      </c>
      <c r="AM30" s="5" t="str" cm="1">
        <f t="array" ref="AM30">INDEX(_xlfn.TOROW(PixelPatternTable),HEX2DEC(V30)-$T$1+1)</f>
        <v>80</v>
      </c>
      <c r="AN30" s="5" t="str" cm="1">
        <f t="array" ref="AN30">INDEX(_xlfn.TOROW(PixelPatternTable),HEX2DEC(W30)-$T$1+1)</f>
        <v>80</v>
      </c>
      <c r="AO30" s="5" t="str" cm="1">
        <f t="array" ref="AO30">INDEX(_xlfn.TOROW(PixelPatternTable),HEX2DEC(X30)-$T$1+1)</f>
        <v>80</v>
      </c>
      <c r="AP30" s="5" t="str" cm="1">
        <f t="array" ref="AP30">INDEX(_xlfn.TOROW(PixelPatternTable),HEX2DEC(Y30)-$T$1+1)</f>
        <v>80</v>
      </c>
      <c r="AQ30" s="5" t="str" cm="1">
        <f t="array" ref="AQ30">INDEX(_xlfn.TOROW(PixelPatternTable),HEX2DEC(Z30)-$T$1+1)</f>
        <v>80</v>
      </c>
      <c r="AR30" s="5" t="str" cm="1">
        <f t="array" ref="AR30">INDEX(_xlfn.TOROW(PixelPatternTable),HEX2DEC(AA30)-$T$1+1)</f>
        <v>80</v>
      </c>
      <c r="AS30" s="5" t="str" cm="1">
        <f t="array" ref="AS30">INDEX(_xlfn.TOROW(PixelPatternTable),HEX2DEC(AB30)-$T$1+1)</f>
        <v>80</v>
      </c>
      <c r="AT30" s="5" t="str" cm="1">
        <f t="array" ref="AT30">INDEX(_xlfn.TOROW(PixelPatternTable),HEX2DEC(AC30)-$T$1+1)</f>
        <v>80</v>
      </c>
      <c r="AU30" s="5" t="str" cm="1">
        <f t="array" ref="AU30">INDEX(_xlfn.TOROW(PixelPatternTable),HEX2DEC(AD30)-$T$1+1)</f>
        <v>80</v>
      </c>
      <c r="AV30" s="5" t="str" cm="1">
        <f t="array" ref="AV30">INDEX(_xlfn.TOROW(PixelPatternTable),HEX2DEC(AE30)-$T$1+1)</f>
        <v>80</v>
      </c>
      <c r="AW30" s="5" t="str" cm="1">
        <f t="array" ref="AW30">INDEX(_xlfn.TOROW(PixelPatternTable),HEX2DEC(AF30)-$T$1+1)</f>
        <v>80</v>
      </c>
      <c r="AX30" s="5" t="str" cm="1">
        <f t="array" ref="AX30">INDEX(_xlfn.TOROW(PixelPatternTable),HEX2DEC(AG30)-$T$1+1)</f>
        <v>80</v>
      </c>
      <c r="AY30" s="5" t="str" cm="1">
        <f t="array" ref="AY30">INDEX(_xlfn.TOROW(PixelPatternTable),HEX2DEC(AH30)-$T$1+1)</f>
        <v>80</v>
      </c>
      <c r="AZ30" s="5" t="str" cm="1">
        <f t="array" ref="AZ30">INDEX(_xlfn.TOROW(PixelPatternTable),HEX2DEC(AI30)-$T$1+1)</f>
        <v>80</v>
      </c>
    </row>
    <row r="31" spans="1:52" x14ac:dyDescent="0.3">
      <c r="A31" s="5" t="str">
        <f t="shared" si="20"/>
        <v>A3C0</v>
      </c>
      <c r="B31" s="71" t="str">
        <f>pixel_shift_table.asm!C31</f>
        <v>A9</v>
      </c>
      <c r="C31" s="72" t="str">
        <f>pixel_shift_table.asm!D31</f>
        <v>AB</v>
      </c>
      <c r="D31" s="72" t="str">
        <f>pixel_shift_table.asm!E31</f>
        <v>AA</v>
      </c>
      <c r="E31" s="72" t="str">
        <f>pixel_shift_table.asm!F31</f>
        <v>AB</v>
      </c>
      <c r="F31" s="72" t="str">
        <f>pixel_shift_table.asm!G31</f>
        <v>A9</v>
      </c>
      <c r="G31" s="72" t="str">
        <f>pixel_shift_table.asm!H31</f>
        <v>AB</v>
      </c>
      <c r="H31" s="72" t="str">
        <f>pixel_shift_table.asm!I31</f>
        <v>AA</v>
      </c>
      <c r="I31" s="72" t="str">
        <f>pixel_shift_table.asm!J31</f>
        <v>AB</v>
      </c>
      <c r="J31" s="72" t="str">
        <f>pixel_shift_table.asm!K31</f>
        <v>A9</v>
      </c>
      <c r="K31" s="72" t="str">
        <f>pixel_shift_table.asm!L31</f>
        <v>AB</v>
      </c>
      <c r="L31" s="72" t="str">
        <f>pixel_shift_table.asm!M31</f>
        <v>AA</v>
      </c>
      <c r="M31" s="72" t="str">
        <f>pixel_shift_table.asm!N31</f>
        <v>AB</v>
      </c>
      <c r="N31" s="72" t="str">
        <f>pixel_shift_table.asm!O31</f>
        <v>A9</v>
      </c>
      <c r="O31" s="72" t="str">
        <f>pixel_shift_table.asm!P31</f>
        <v>AB</v>
      </c>
      <c r="P31" s="72" t="str">
        <f>pixel_shift_table.asm!Q31</f>
        <v>AA</v>
      </c>
      <c r="Q31" s="72" t="str">
        <f>pixel_shift_table.asm!R31</f>
        <v>AB</v>
      </c>
      <c r="S31">
        <f t="shared" si="62"/>
        <v>192</v>
      </c>
      <c r="T31" s="5" t="str">
        <f t="shared" si="63"/>
        <v>A911</v>
      </c>
      <c r="U31" s="5" t="str">
        <f t="shared" si="64"/>
        <v>AB05</v>
      </c>
      <c r="V31" s="5" t="str">
        <f t="shared" si="65"/>
        <v>AA07</v>
      </c>
      <c r="W31" s="5" t="str">
        <f t="shared" si="66"/>
        <v>AB15</v>
      </c>
      <c r="X31" s="5" t="str">
        <f t="shared" si="67"/>
        <v>A989</v>
      </c>
      <c r="Y31" s="5" t="str">
        <f t="shared" si="68"/>
        <v>AB25</v>
      </c>
      <c r="Z31" s="5" t="str">
        <f t="shared" si="69"/>
        <v>AA17</v>
      </c>
      <c r="AA31" s="5" t="str">
        <f t="shared" si="70"/>
        <v>AB35</v>
      </c>
      <c r="AB31" s="5" t="str">
        <f t="shared" si="71"/>
        <v>A94B</v>
      </c>
      <c r="AC31" s="5" t="str">
        <f t="shared" si="72"/>
        <v>AB45</v>
      </c>
      <c r="AD31" s="5" t="str">
        <f t="shared" si="73"/>
        <v>AA27</v>
      </c>
      <c r="AE31" s="5" t="str">
        <f t="shared" si="74"/>
        <v>AB55</v>
      </c>
      <c r="AF31" s="5" t="str">
        <f t="shared" si="75"/>
        <v>A999</v>
      </c>
      <c r="AG31" s="5" t="str">
        <f t="shared" si="76"/>
        <v>AB65</v>
      </c>
      <c r="AH31" s="5" t="str">
        <f t="shared" si="77"/>
        <v>AA37</v>
      </c>
      <c r="AI31" s="5" t="str">
        <f t="shared" si="78"/>
        <v>AB75</v>
      </c>
      <c r="AK31" s="5" t="str" cm="1">
        <f t="array" ref="AK31">INDEX(_xlfn.TOROW(PixelPatternTable),HEX2DEC(T31)-$T$1+1)</f>
        <v>81</v>
      </c>
      <c r="AL31" s="5" t="str" cm="1">
        <f t="array" ref="AL31">INDEX(_xlfn.TOROW(PixelPatternTable),HEX2DEC(U31)-$T$1+1)</f>
        <v>81</v>
      </c>
      <c r="AM31" s="5" t="str" cm="1">
        <f t="array" ref="AM31">INDEX(_xlfn.TOROW(PixelPatternTable),HEX2DEC(V31)-$T$1+1)</f>
        <v>81</v>
      </c>
      <c r="AN31" s="5" t="str" cm="1">
        <f t="array" ref="AN31">INDEX(_xlfn.TOROW(PixelPatternTable),HEX2DEC(W31)-$T$1+1)</f>
        <v>81</v>
      </c>
      <c r="AO31" s="5" t="str" cm="1">
        <f t="array" ref="AO31">INDEX(_xlfn.TOROW(PixelPatternTable),HEX2DEC(X31)-$T$1+1)</f>
        <v>81</v>
      </c>
      <c r="AP31" s="5" t="str" cm="1">
        <f t="array" ref="AP31">INDEX(_xlfn.TOROW(PixelPatternTable),HEX2DEC(Y31)-$T$1+1)</f>
        <v>81</v>
      </c>
      <c r="AQ31" s="5" t="str" cm="1">
        <f t="array" ref="AQ31">INDEX(_xlfn.TOROW(PixelPatternTable),HEX2DEC(Z31)-$T$1+1)</f>
        <v>81</v>
      </c>
      <c r="AR31" s="5" t="str" cm="1">
        <f t="array" ref="AR31">INDEX(_xlfn.TOROW(PixelPatternTable),HEX2DEC(AA31)-$T$1+1)</f>
        <v>81</v>
      </c>
      <c r="AS31" s="5" t="str" cm="1">
        <f t="array" ref="AS31">INDEX(_xlfn.TOROW(PixelPatternTable),HEX2DEC(AB31)-$T$1+1)</f>
        <v>81</v>
      </c>
      <c r="AT31" s="5" t="str" cm="1">
        <f t="array" ref="AT31">INDEX(_xlfn.TOROW(PixelPatternTable),HEX2DEC(AC31)-$T$1+1)</f>
        <v>81</v>
      </c>
      <c r="AU31" s="5" t="str" cm="1">
        <f t="array" ref="AU31">INDEX(_xlfn.TOROW(PixelPatternTable),HEX2DEC(AD31)-$T$1+1)</f>
        <v>81</v>
      </c>
      <c r="AV31" s="5" t="str" cm="1">
        <f t="array" ref="AV31">INDEX(_xlfn.TOROW(PixelPatternTable),HEX2DEC(AE31)-$T$1+1)</f>
        <v>81</v>
      </c>
      <c r="AW31" s="5" t="str" cm="1">
        <f t="array" ref="AW31">INDEX(_xlfn.TOROW(PixelPatternTable),HEX2DEC(AF31)-$T$1+1)</f>
        <v>81</v>
      </c>
      <c r="AX31" s="5" t="str" cm="1">
        <f t="array" ref="AX31">INDEX(_xlfn.TOROW(PixelPatternTable),HEX2DEC(AG31)-$T$1+1)</f>
        <v>81</v>
      </c>
      <c r="AY31" s="5" t="str" cm="1">
        <f t="array" ref="AY31">INDEX(_xlfn.TOROW(PixelPatternTable),HEX2DEC(AH31)-$T$1+1)</f>
        <v>81</v>
      </c>
      <c r="AZ31" s="5" t="str" cm="1">
        <f t="array" ref="AZ31">INDEX(_xlfn.TOROW(PixelPatternTable),HEX2DEC(AI31)-$T$1+1)</f>
        <v>81</v>
      </c>
    </row>
    <row r="32" spans="1:52" x14ac:dyDescent="0.3">
      <c r="A32" s="5" t="str">
        <f t="shared" si="20"/>
        <v>A3D0</v>
      </c>
      <c r="B32" s="71" t="str">
        <f>pixel_shift_table.asm!C32</f>
        <v>A9</v>
      </c>
      <c r="C32" s="72" t="str">
        <f>pixel_shift_table.asm!D32</f>
        <v>AB</v>
      </c>
      <c r="D32" s="72" t="str">
        <f>pixel_shift_table.asm!E32</f>
        <v>AA</v>
      </c>
      <c r="E32" s="72" t="str">
        <f>pixel_shift_table.asm!F32</f>
        <v>AB</v>
      </c>
      <c r="F32" s="72" t="str">
        <f>pixel_shift_table.asm!G32</f>
        <v>A9</v>
      </c>
      <c r="G32" s="72" t="str">
        <f>pixel_shift_table.asm!H32</f>
        <v>AB</v>
      </c>
      <c r="H32" s="72" t="str">
        <f>pixel_shift_table.asm!I32</f>
        <v>AA</v>
      </c>
      <c r="I32" s="72" t="str">
        <f>pixel_shift_table.asm!J32</f>
        <v>AB</v>
      </c>
      <c r="J32" s="72" t="str">
        <f>pixel_shift_table.asm!K32</f>
        <v>A9</v>
      </c>
      <c r="K32" s="72" t="str">
        <f>pixel_shift_table.asm!L32</f>
        <v>AB</v>
      </c>
      <c r="L32" s="72" t="str">
        <f>pixel_shift_table.asm!M32</f>
        <v>AA</v>
      </c>
      <c r="M32" s="72" t="str">
        <f>pixel_shift_table.asm!N32</f>
        <v>AB</v>
      </c>
      <c r="N32" s="72" t="str">
        <f>pixel_shift_table.asm!O32</f>
        <v>A9</v>
      </c>
      <c r="O32" s="72" t="str">
        <f>pixel_shift_table.asm!P32</f>
        <v>AB</v>
      </c>
      <c r="P32" s="72" t="str">
        <f>pixel_shift_table.asm!Q32</f>
        <v>AA</v>
      </c>
      <c r="Q32" s="72" t="str">
        <f>pixel_shift_table.asm!R32</f>
        <v>AB</v>
      </c>
      <c r="S32">
        <f t="shared" si="62"/>
        <v>208</v>
      </c>
      <c r="T32" s="5" t="str">
        <f t="shared" si="63"/>
        <v>A92D</v>
      </c>
      <c r="U32" s="5" t="str">
        <f t="shared" si="64"/>
        <v>AB85</v>
      </c>
      <c r="V32" s="5" t="str">
        <f t="shared" si="65"/>
        <v>AA47</v>
      </c>
      <c r="W32" s="5" t="str">
        <f t="shared" si="66"/>
        <v>AB95</v>
      </c>
      <c r="X32" s="5" t="str">
        <f t="shared" si="67"/>
        <v>A9A9</v>
      </c>
      <c r="Y32" s="5" t="str">
        <f t="shared" si="68"/>
        <v>ABA5</v>
      </c>
      <c r="Z32" s="5" t="str">
        <f t="shared" si="69"/>
        <v>AA57</v>
      </c>
      <c r="AA32" s="5" t="str">
        <f t="shared" si="70"/>
        <v>ABB5</v>
      </c>
      <c r="AB32" s="5" t="str">
        <f t="shared" si="71"/>
        <v>A95B</v>
      </c>
      <c r="AC32" s="5" t="str">
        <f t="shared" si="72"/>
        <v>ABC5</v>
      </c>
      <c r="AD32" s="5" t="str">
        <f t="shared" si="73"/>
        <v>AA67</v>
      </c>
      <c r="AE32" s="5" t="str">
        <f t="shared" si="74"/>
        <v>ABD5</v>
      </c>
      <c r="AF32" s="5" t="str">
        <f t="shared" si="75"/>
        <v>A9B9</v>
      </c>
      <c r="AG32" s="5" t="str">
        <f t="shared" si="76"/>
        <v>ABE5</v>
      </c>
      <c r="AH32" s="5" t="str">
        <f t="shared" si="77"/>
        <v>AA77</v>
      </c>
      <c r="AI32" s="5" t="str">
        <f t="shared" si="78"/>
        <v>ABF5</v>
      </c>
      <c r="AK32" s="5" t="str" cm="1">
        <f t="array" ref="AK32">INDEX(_xlfn.TOROW(PixelPatternTable),HEX2DEC(T32)-$T$1+1)</f>
        <v>81</v>
      </c>
      <c r="AL32" s="5" t="str" cm="1">
        <f t="array" ref="AL32">INDEX(_xlfn.TOROW(PixelPatternTable),HEX2DEC(U32)-$T$1+1)</f>
        <v>81</v>
      </c>
      <c r="AM32" s="5" t="str" cm="1">
        <f t="array" ref="AM32">INDEX(_xlfn.TOROW(PixelPatternTable),HEX2DEC(V32)-$T$1+1)</f>
        <v>81</v>
      </c>
      <c r="AN32" s="5" t="str" cm="1">
        <f t="array" ref="AN32">INDEX(_xlfn.TOROW(PixelPatternTable),HEX2DEC(W32)-$T$1+1)</f>
        <v>81</v>
      </c>
      <c r="AO32" s="5" t="str" cm="1">
        <f t="array" ref="AO32">INDEX(_xlfn.TOROW(PixelPatternTable),HEX2DEC(X32)-$T$1+1)</f>
        <v>81</v>
      </c>
      <c r="AP32" s="5" t="str" cm="1">
        <f t="array" ref="AP32">INDEX(_xlfn.TOROW(PixelPatternTable),HEX2DEC(Y32)-$T$1+1)</f>
        <v>81</v>
      </c>
      <c r="AQ32" s="5" t="str" cm="1">
        <f t="array" ref="AQ32">INDEX(_xlfn.TOROW(PixelPatternTable),HEX2DEC(Z32)-$T$1+1)</f>
        <v>81</v>
      </c>
      <c r="AR32" s="5" t="str" cm="1">
        <f t="array" ref="AR32">INDEX(_xlfn.TOROW(PixelPatternTable),HEX2DEC(AA32)-$T$1+1)</f>
        <v>81</v>
      </c>
      <c r="AS32" s="5" t="str" cm="1">
        <f t="array" ref="AS32">INDEX(_xlfn.TOROW(PixelPatternTable),HEX2DEC(AB32)-$T$1+1)</f>
        <v>81</v>
      </c>
      <c r="AT32" s="5" t="str" cm="1">
        <f t="array" ref="AT32">INDEX(_xlfn.TOROW(PixelPatternTable),HEX2DEC(AC32)-$T$1+1)</f>
        <v>81</v>
      </c>
      <c r="AU32" s="5" t="str" cm="1">
        <f t="array" ref="AU32">INDEX(_xlfn.TOROW(PixelPatternTable),HEX2DEC(AD32)-$T$1+1)</f>
        <v>81</v>
      </c>
      <c r="AV32" s="5" t="str" cm="1">
        <f t="array" ref="AV32">INDEX(_xlfn.TOROW(PixelPatternTable),HEX2DEC(AE32)-$T$1+1)</f>
        <v>81</v>
      </c>
      <c r="AW32" s="5" t="str" cm="1">
        <f t="array" ref="AW32">INDEX(_xlfn.TOROW(PixelPatternTable),HEX2DEC(AF32)-$T$1+1)</f>
        <v>81</v>
      </c>
      <c r="AX32" s="5" t="str" cm="1">
        <f t="array" ref="AX32">INDEX(_xlfn.TOROW(PixelPatternTable),HEX2DEC(AG32)-$T$1+1)</f>
        <v>81</v>
      </c>
      <c r="AY32" s="5" t="str" cm="1">
        <f t="array" ref="AY32">INDEX(_xlfn.TOROW(PixelPatternTable),HEX2DEC(AH32)-$T$1+1)</f>
        <v>81</v>
      </c>
      <c r="AZ32" s="5" t="str" cm="1">
        <f t="array" ref="AZ32">INDEX(_xlfn.TOROW(PixelPatternTable),HEX2DEC(AI32)-$T$1+1)</f>
        <v>81</v>
      </c>
    </row>
    <row r="33" spans="1:52" x14ac:dyDescent="0.3">
      <c r="A33" s="5" t="str">
        <f t="shared" si="20"/>
        <v>A3E0</v>
      </c>
      <c r="B33" s="71" t="str">
        <f>pixel_shift_table.asm!C33</f>
        <v>A9</v>
      </c>
      <c r="C33" s="72" t="str">
        <f>pixel_shift_table.asm!D33</f>
        <v>AC</v>
      </c>
      <c r="D33" s="72" t="str">
        <f>pixel_shift_table.asm!E33</f>
        <v>AA</v>
      </c>
      <c r="E33" s="72" t="str">
        <f>pixel_shift_table.asm!F33</f>
        <v>AC</v>
      </c>
      <c r="F33" s="72" t="str">
        <f>pixel_shift_table.asm!G33</f>
        <v>A9</v>
      </c>
      <c r="G33" s="72" t="str">
        <f>pixel_shift_table.asm!H33</f>
        <v>AC</v>
      </c>
      <c r="H33" s="72" t="str">
        <f>pixel_shift_table.asm!I33</f>
        <v>AA</v>
      </c>
      <c r="I33" s="72" t="str">
        <f>pixel_shift_table.asm!J33</f>
        <v>AC</v>
      </c>
      <c r="J33" s="72" t="str">
        <f>pixel_shift_table.asm!K33</f>
        <v>A9</v>
      </c>
      <c r="K33" s="72" t="str">
        <f>pixel_shift_table.asm!L33</f>
        <v>AC</v>
      </c>
      <c r="L33" s="72" t="str">
        <f>pixel_shift_table.asm!M33</f>
        <v>AA</v>
      </c>
      <c r="M33" s="72" t="str">
        <f>pixel_shift_table.asm!N33</f>
        <v>AC</v>
      </c>
      <c r="N33" s="72" t="str">
        <f>pixel_shift_table.asm!O33</f>
        <v>A9</v>
      </c>
      <c r="O33" s="72" t="str">
        <f>pixel_shift_table.asm!P33</f>
        <v>AC</v>
      </c>
      <c r="P33" s="72" t="str">
        <f>pixel_shift_table.asm!Q33</f>
        <v>AA</v>
      </c>
      <c r="Q33" s="72" t="str">
        <f>pixel_shift_table.asm!R33</f>
        <v>AC</v>
      </c>
      <c r="S33">
        <f t="shared" si="62"/>
        <v>224</v>
      </c>
      <c r="T33" s="5" t="str">
        <f t="shared" si="63"/>
        <v>A91F</v>
      </c>
      <c r="U33" s="5" t="str">
        <f t="shared" si="64"/>
        <v>AC05</v>
      </c>
      <c r="V33" s="5" t="str">
        <f t="shared" si="65"/>
        <v>AA87</v>
      </c>
      <c r="W33" s="5" t="str">
        <f t="shared" si="66"/>
        <v>AC15</v>
      </c>
      <c r="X33" s="5" t="str">
        <f t="shared" si="67"/>
        <v>A9C9</v>
      </c>
      <c r="Y33" s="5" t="str">
        <f t="shared" si="68"/>
        <v>AC25</v>
      </c>
      <c r="Z33" s="5" t="str">
        <f t="shared" si="69"/>
        <v>AA97</v>
      </c>
      <c r="AA33" s="5" t="str">
        <f t="shared" si="70"/>
        <v>AC35</v>
      </c>
      <c r="AB33" s="5" t="str">
        <f t="shared" si="71"/>
        <v>A96B</v>
      </c>
      <c r="AC33" s="5" t="str">
        <f t="shared" si="72"/>
        <v>AC45</v>
      </c>
      <c r="AD33" s="5" t="str">
        <f t="shared" si="73"/>
        <v>AAA7</v>
      </c>
      <c r="AE33" s="5" t="str">
        <f t="shared" si="74"/>
        <v>AC55</v>
      </c>
      <c r="AF33" s="5" t="str">
        <f t="shared" si="75"/>
        <v>A9D9</v>
      </c>
      <c r="AG33" s="5" t="str">
        <f t="shared" si="76"/>
        <v>AC65</v>
      </c>
      <c r="AH33" s="5" t="str">
        <f t="shared" si="77"/>
        <v>AAB7</v>
      </c>
      <c r="AI33" s="5" t="str">
        <f t="shared" si="78"/>
        <v>AC75</v>
      </c>
      <c r="AK33" s="5" t="str" cm="1">
        <f t="array" ref="AK33">INDEX(_xlfn.TOROW(PixelPatternTable),HEX2DEC(T33)-$T$1+1)</f>
        <v>81</v>
      </c>
      <c r="AL33" s="5" t="str" cm="1">
        <f t="array" ref="AL33">INDEX(_xlfn.TOROW(PixelPatternTable),HEX2DEC(U33)-$T$1+1)</f>
        <v>81</v>
      </c>
      <c r="AM33" s="5" t="str" cm="1">
        <f t="array" ref="AM33">INDEX(_xlfn.TOROW(PixelPatternTable),HEX2DEC(V33)-$T$1+1)</f>
        <v>81</v>
      </c>
      <c r="AN33" s="5" t="str" cm="1">
        <f t="array" ref="AN33">INDEX(_xlfn.TOROW(PixelPatternTable),HEX2DEC(W33)-$T$1+1)</f>
        <v>81</v>
      </c>
      <c r="AO33" s="5" t="str" cm="1">
        <f t="array" ref="AO33">INDEX(_xlfn.TOROW(PixelPatternTable),HEX2DEC(X33)-$T$1+1)</f>
        <v>81</v>
      </c>
      <c r="AP33" s="5" t="str" cm="1">
        <f t="array" ref="AP33">INDEX(_xlfn.TOROW(PixelPatternTable),HEX2DEC(Y33)-$T$1+1)</f>
        <v>81</v>
      </c>
      <c r="AQ33" s="5" t="str" cm="1">
        <f t="array" ref="AQ33">INDEX(_xlfn.TOROW(PixelPatternTable),HEX2DEC(Z33)-$T$1+1)</f>
        <v>81</v>
      </c>
      <c r="AR33" s="5" t="str" cm="1">
        <f t="array" ref="AR33">INDEX(_xlfn.TOROW(PixelPatternTable),HEX2DEC(AA33)-$T$1+1)</f>
        <v>81</v>
      </c>
      <c r="AS33" s="5" t="str" cm="1">
        <f t="array" ref="AS33">INDEX(_xlfn.TOROW(PixelPatternTable),HEX2DEC(AB33)-$T$1+1)</f>
        <v>81</v>
      </c>
      <c r="AT33" s="5" t="str" cm="1">
        <f t="array" ref="AT33">INDEX(_xlfn.TOROW(PixelPatternTable),HEX2DEC(AC33)-$T$1+1)</f>
        <v>81</v>
      </c>
      <c r="AU33" s="5" t="str" cm="1">
        <f t="array" ref="AU33">INDEX(_xlfn.TOROW(PixelPatternTable),HEX2DEC(AD33)-$T$1+1)</f>
        <v>81</v>
      </c>
      <c r="AV33" s="5" t="str" cm="1">
        <f t="array" ref="AV33">INDEX(_xlfn.TOROW(PixelPatternTable),HEX2DEC(AE33)-$T$1+1)</f>
        <v>81</v>
      </c>
      <c r="AW33" s="5" t="str" cm="1">
        <f t="array" ref="AW33">INDEX(_xlfn.TOROW(PixelPatternTable),HEX2DEC(AF33)-$T$1+1)</f>
        <v>81</v>
      </c>
      <c r="AX33" s="5" t="str" cm="1">
        <f t="array" ref="AX33">INDEX(_xlfn.TOROW(PixelPatternTable),HEX2DEC(AG33)-$T$1+1)</f>
        <v>81</v>
      </c>
      <c r="AY33" s="5" t="str" cm="1">
        <f t="array" ref="AY33">INDEX(_xlfn.TOROW(PixelPatternTable),HEX2DEC(AH33)-$T$1+1)</f>
        <v>81</v>
      </c>
      <c r="AZ33" s="5" t="str" cm="1">
        <f t="array" ref="AZ33">INDEX(_xlfn.TOROW(PixelPatternTable),HEX2DEC(AI33)-$T$1+1)</f>
        <v>81</v>
      </c>
    </row>
    <row r="34" spans="1:52" x14ac:dyDescent="0.3">
      <c r="A34" s="58" t="str">
        <f t="shared" si="20"/>
        <v>A3F0</v>
      </c>
      <c r="B34" s="73" t="str">
        <f>pixel_shift_table.asm!C34</f>
        <v>A9</v>
      </c>
      <c r="C34" s="74" t="str">
        <f>pixel_shift_table.asm!D34</f>
        <v>AC</v>
      </c>
      <c r="D34" s="74" t="str">
        <f>pixel_shift_table.asm!E34</f>
        <v>AA</v>
      </c>
      <c r="E34" s="74" t="str">
        <f>pixel_shift_table.asm!F34</f>
        <v>AC</v>
      </c>
      <c r="F34" s="74" t="str">
        <f>pixel_shift_table.asm!G34</f>
        <v>A9</v>
      </c>
      <c r="G34" s="74" t="str">
        <f>pixel_shift_table.asm!H34</f>
        <v>AC</v>
      </c>
      <c r="H34" s="74" t="str">
        <f>pixel_shift_table.asm!I34</f>
        <v>AA</v>
      </c>
      <c r="I34" s="74" t="str">
        <f>pixel_shift_table.asm!J34</f>
        <v>AC</v>
      </c>
      <c r="J34" s="74" t="str">
        <f>pixel_shift_table.asm!K34</f>
        <v>A9</v>
      </c>
      <c r="K34" s="74" t="str">
        <f>pixel_shift_table.asm!L34</f>
        <v>AC</v>
      </c>
      <c r="L34" s="74" t="str">
        <f>pixel_shift_table.asm!M34</f>
        <v>AA</v>
      </c>
      <c r="M34" s="74" t="str">
        <f>pixel_shift_table.asm!N34</f>
        <v>AC</v>
      </c>
      <c r="N34" s="74" t="str">
        <f>pixel_shift_table.asm!O34</f>
        <v>A9</v>
      </c>
      <c r="O34" s="74" t="str">
        <f>pixel_shift_table.asm!P34</f>
        <v>AC</v>
      </c>
      <c r="P34" s="74" t="str">
        <f>pixel_shift_table.asm!Q34</f>
        <v>AA</v>
      </c>
      <c r="Q34" s="74" t="str">
        <f>pixel_shift_table.asm!R34</f>
        <v>AC</v>
      </c>
      <c r="S34">
        <f t="shared" si="62"/>
        <v>240</v>
      </c>
      <c r="T34" s="5" t="str">
        <f t="shared" si="63"/>
        <v>A93D</v>
      </c>
      <c r="U34" s="5" t="str">
        <f t="shared" si="64"/>
        <v>AC85</v>
      </c>
      <c r="V34" s="5" t="str">
        <f t="shared" si="65"/>
        <v>AAC7</v>
      </c>
      <c r="W34" s="5" t="str">
        <f t="shared" si="66"/>
        <v>AC95</v>
      </c>
      <c r="X34" s="5" t="str">
        <f t="shared" si="67"/>
        <v>A9E9</v>
      </c>
      <c r="Y34" s="5" t="str">
        <f t="shared" si="68"/>
        <v>ACA5</v>
      </c>
      <c r="Z34" s="5" t="str">
        <f t="shared" si="69"/>
        <v>AAD7</v>
      </c>
      <c r="AA34" s="5" t="str">
        <f t="shared" si="70"/>
        <v>ACB5</v>
      </c>
      <c r="AB34" s="5" t="str">
        <f t="shared" si="71"/>
        <v>A97B</v>
      </c>
      <c r="AC34" s="5" t="str">
        <f t="shared" si="72"/>
        <v>ACC5</v>
      </c>
      <c r="AD34" s="5" t="str">
        <f t="shared" si="73"/>
        <v>AAE7</v>
      </c>
      <c r="AE34" s="5" t="str">
        <f t="shared" si="74"/>
        <v>ACD5</v>
      </c>
      <c r="AF34" s="5" t="str">
        <f t="shared" si="75"/>
        <v>A9F9</v>
      </c>
      <c r="AG34" s="5" t="str">
        <f t="shared" si="76"/>
        <v>ACE5</v>
      </c>
      <c r="AH34" s="5" t="str">
        <f t="shared" si="77"/>
        <v>AAF7</v>
      </c>
      <c r="AI34" s="5" t="str">
        <f t="shared" si="78"/>
        <v>ACF5</v>
      </c>
      <c r="AK34" s="5" t="str" cm="1">
        <f t="array" ref="AK34">INDEX(_xlfn.TOROW(PixelPatternTable),HEX2DEC(T34)-$T$1+1)</f>
        <v>81</v>
      </c>
      <c r="AL34" s="5" t="str" cm="1">
        <f t="array" ref="AL34">INDEX(_xlfn.TOROW(PixelPatternTable),HEX2DEC(U34)-$T$1+1)</f>
        <v>81</v>
      </c>
      <c r="AM34" s="5" t="str" cm="1">
        <f t="array" ref="AM34">INDEX(_xlfn.TOROW(PixelPatternTable),HEX2DEC(V34)-$T$1+1)</f>
        <v>81</v>
      </c>
      <c r="AN34" s="5" t="str" cm="1">
        <f t="array" ref="AN34">INDEX(_xlfn.TOROW(PixelPatternTable),HEX2DEC(W34)-$T$1+1)</f>
        <v>81</v>
      </c>
      <c r="AO34" s="5" t="str" cm="1">
        <f t="array" ref="AO34">INDEX(_xlfn.TOROW(PixelPatternTable),HEX2DEC(X34)-$T$1+1)</f>
        <v>81</v>
      </c>
      <c r="AP34" s="5" t="str" cm="1">
        <f t="array" ref="AP34">INDEX(_xlfn.TOROW(PixelPatternTable),HEX2DEC(Y34)-$T$1+1)</f>
        <v>81</v>
      </c>
      <c r="AQ34" s="5" t="str" cm="1">
        <f t="array" ref="AQ34">INDEX(_xlfn.TOROW(PixelPatternTable),HEX2DEC(Z34)-$T$1+1)</f>
        <v>81</v>
      </c>
      <c r="AR34" s="5" t="str" cm="1">
        <f t="array" ref="AR34">INDEX(_xlfn.TOROW(PixelPatternTable),HEX2DEC(AA34)-$T$1+1)</f>
        <v>81</v>
      </c>
      <c r="AS34" s="5" t="str" cm="1">
        <f t="array" ref="AS34">INDEX(_xlfn.TOROW(PixelPatternTable),HEX2DEC(AB34)-$T$1+1)</f>
        <v>81</v>
      </c>
      <c r="AT34" s="5" t="str" cm="1">
        <f t="array" ref="AT34">INDEX(_xlfn.TOROW(PixelPatternTable),HEX2DEC(AC34)-$T$1+1)</f>
        <v>81</v>
      </c>
      <c r="AU34" s="5" t="str" cm="1">
        <f t="array" ref="AU34">INDEX(_xlfn.TOROW(PixelPatternTable),HEX2DEC(AD34)-$T$1+1)</f>
        <v>81</v>
      </c>
      <c r="AV34" s="5" t="str" cm="1">
        <f t="array" ref="AV34">INDEX(_xlfn.TOROW(PixelPatternTable),HEX2DEC(AE34)-$T$1+1)</f>
        <v>81</v>
      </c>
      <c r="AW34" s="5" t="str" cm="1">
        <f t="array" ref="AW34">INDEX(_xlfn.TOROW(PixelPatternTable),HEX2DEC(AF34)-$T$1+1)</f>
        <v>81</v>
      </c>
      <c r="AX34" s="5" t="str" cm="1">
        <f t="array" ref="AX34">INDEX(_xlfn.TOROW(PixelPatternTable),HEX2DEC(AG34)-$T$1+1)</f>
        <v>81</v>
      </c>
      <c r="AY34" s="5" t="str" cm="1">
        <f t="array" ref="AY34">INDEX(_xlfn.TOROW(PixelPatternTable),HEX2DEC(AH34)-$T$1+1)</f>
        <v>81</v>
      </c>
      <c r="AZ34" s="5" t="str" cm="1">
        <f t="array" ref="AZ34">INDEX(_xlfn.TOROW(PixelPatternTable),HEX2DEC(AI34)-$T$1+1)</f>
        <v>81</v>
      </c>
    </row>
    <row r="35" spans="1:52" x14ac:dyDescent="0.3">
      <c r="A35" s="29" t="str">
        <f t="shared" si="20"/>
        <v>A400</v>
      </c>
      <c r="B35" s="69" t="str">
        <f>pixel_shift_table.asm!C35</f>
        <v>00</v>
      </c>
      <c r="C35" s="70" t="str">
        <f>pixel_shift_table.asm!D35</f>
        <v>06</v>
      </c>
      <c r="D35" s="70" t="str">
        <f>pixel_shift_table.asm!E35</f>
        <v>08</v>
      </c>
      <c r="E35" s="70" t="str">
        <f>pixel_shift_table.asm!F35</f>
        <v>16</v>
      </c>
      <c r="F35" s="70" t="str">
        <f>pixel_shift_table.asm!G35</f>
        <v>0A</v>
      </c>
      <c r="G35" s="70" t="str">
        <f>pixel_shift_table.asm!H35</f>
        <v>26</v>
      </c>
      <c r="H35" s="70" t="str">
        <f>pixel_shift_table.asm!I35</f>
        <v>18</v>
      </c>
      <c r="I35" s="70" t="str">
        <f>pixel_shift_table.asm!J35</f>
        <v>36</v>
      </c>
      <c r="J35" s="70" t="str">
        <f>pixel_shift_table.asm!K35</f>
        <v>0C</v>
      </c>
      <c r="K35" s="70" t="str">
        <f>pixel_shift_table.asm!L35</f>
        <v>46</v>
      </c>
      <c r="L35" s="70" t="str">
        <f>pixel_shift_table.asm!M35</f>
        <v>28</v>
      </c>
      <c r="M35" s="70" t="str">
        <f>pixel_shift_table.asm!N35</f>
        <v>56</v>
      </c>
      <c r="N35" s="70" t="str">
        <f>pixel_shift_table.asm!O35</f>
        <v>1A</v>
      </c>
      <c r="O35" s="70" t="str">
        <f>pixel_shift_table.asm!P35</f>
        <v>66</v>
      </c>
      <c r="P35" s="70" t="str">
        <f>pixel_shift_table.asm!Q35</f>
        <v>38</v>
      </c>
      <c r="Q35" s="70" t="str">
        <f>pixel_shift_table.asm!R35</f>
        <v>76</v>
      </c>
      <c r="S35">
        <f t="shared" si="62"/>
        <v>0</v>
      </c>
      <c r="T35" s="5" t="str">
        <f t="shared" si="63"/>
        <v>A900</v>
      </c>
      <c r="U35" s="5" t="str">
        <f t="shared" si="64"/>
        <v>A906</v>
      </c>
      <c r="V35" s="5" t="str">
        <f t="shared" si="65"/>
        <v>A908</v>
      </c>
      <c r="W35" s="5" t="str">
        <f t="shared" si="66"/>
        <v>A916</v>
      </c>
      <c r="X35" s="5" t="str">
        <f t="shared" si="67"/>
        <v>A90A</v>
      </c>
      <c r="Y35" s="5" t="str">
        <f t="shared" si="68"/>
        <v>A926</v>
      </c>
      <c r="Z35" s="5" t="str">
        <f t="shared" si="69"/>
        <v>A918</v>
      </c>
      <c r="AA35" s="5" t="str">
        <f t="shared" si="70"/>
        <v>A936</v>
      </c>
      <c r="AB35" s="5" t="str">
        <f t="shared" si="71"/>
        <v>A90C</v>
      </c>
      <c r="AC35" s="5" t="str">
        <f t="shared" si="72"/>
        <v>A946</v>
      </c>
      <c r="AD35" s="5" t="str">
        <f t="shared" si="73"/>
        <v>A928</v>
      </c>
      <c r="AE35" s="5" t="str">
        <f t="shared" si="74"/>
        <v>A956</v>
      </c>
      <c r="AF35" s="5" t="str">
        <f t="shared" si="75"/>
        <v>A91A</v>
      </c>
      <c r="AG35" s="5" t="str">
        <f t="shared" si="76"/>
        <v>A966</v>
      </c>
      <c r="AH35" s="5" t="str">
        <f t="shared" si="77"/>
        <v>A938</v>
      </c>
      <c r="AI35" s="5" t="str">
        <f t="shared" si="78"/>
        <v>A976</v>
      </c>
      <c r="AK35" s="5" t="str" cm="1">
        <f t="array" ref="AK35">INDEX(_xlfn.TOROW(PixelPatternTable),HEX2DEC(T35)-$T$1+1)</f>
        <v>80</v>
      </c>
      <c r="AL35" s="5" t="str" cm="1">
        <f t="array" ref="AL35">INDEX(_xlfn.TOROW(PixelPatternTable),HEX2DEC(U35)-$T$1+1)</f>
        <v>84</v>
      </c>
      <c r="AM35" s="5" t="str" cm="1">
        <f t="array" ref="AM35">INDEX(_xlfn.TOROW(PixelPatternTable),HEX2DEC(V35)-$T$1+1)</f>
        <v>88</v>
      </c>
      <c r="AN35" s="5" t="str" cm="1">
        <f t="array" ref="AN35">INDEX(_xlfn.TOROW(PixelPatternTable),HEX2DEC(W35)-$T$1+1)</f>
        <v>8C</v>
      </c>
      <c r="AO35" s="5" t="str" cm="1">
        <f t="array" ref="AO35">INDEX(_xlfn.TOROW(PixelPatternTable),HEX2DEC(X35)-$T$1+1)</f>
        <v>90</v>
      </c>
      <c r="AP35" s="5" t="str" cm="1">
        <f t="array" ref="AP35">INDEX(_xlfn.TOROW(PixelPatternTable),HEX2DEC(Y35)-$T$1+1)</f>
        <v>94</v>
      </c>
      <c r="AQ35" s="5" t="str" cm="1">
        <f t="array" ref="AQ35">INDEX(_xlfn.TOROW(PixelPatternTable),HEX2DEC(Z35)-$T$1+1)</f>
        <v>98</v>
      </c>
      <c r="AR35" s="5" t="str" cm="1">
        <f t="array" ref="AR35">INDEX(_xlfn.TOROW(PixelPatternTable),HEX2DEC(AA35)-$T$1+1)</f>
        <v>9C</v>
      </c>
      <c r="AS35" s="5" t="str" cm="1">
        <f t="array" ref="AS35">INDEX(_xlfn.TOROW(PixelPatternTable),HEX2DEC(AB35)-$T$1+1)</f>
        <v>A0</v>
      </c>
      <c r="AT35" s="5" t="str" cm="1">
        <f t="array" ref="AT35">INDEX(_xlfn.TOROW(PixelPatternTable),HEX2DEC(AC35)-$T$1+1)</f>
        <v>A4</v>
      </c>
      <c r="AU35" s="5" t="str" cm="1">
        <f t="array" ref="AU35">INDEX(_xlfn.TOROW(PixelPatternTable),HEX2DEC(AD35)-$T$1+1)</f>
        <v>A8</v>
      </c>
      <c r="AV35" s="5" t="str" cm="1">
        <f t="array" ref="AV35">INDEX(_xlfn.TOROW(PixelPatternTable),HEX2DEC(AE35)-$T$1+1)</f>
        <v>AC</v>
      </c>
      <c r="AW35" s="5" t="str" cm="1">
        <f t="array" ref="AW35">INDEX(_xlfn.TOROW(PixelPatternTable),HEX2DEC(AF35)-$T$1+1)</f>
        <v>B0</v>
      </c>
      <c r="AX35" s="5" t="str" cm="1">
        <f t="array" ref="AX35">INDEX(_xlfn.TOROW(PixelPatternTable),HEX2DEC(AG35)-$T$1+1)</f>
        <v>B4</v>
      </c>
      <c r="AY35" s="5" t="str" cm="1">
        <f t="array" ref="AY35">INDEX(_xlfn.TOROW(PixelPatternTable),HEX2DEC(AH35)-$T$1+1)</f>
        <v>B8</v>
      </c>
      <c r="AZ35" s="5" t="str" cm="1">
        <f t="array" ref="AZ35">INDEX(_xlfn.TOROW(PixelPatternTable),HEX2DEC(AI35)-$T$1+1)</f>
        <v>BC</v>
      </c>
    </row>
    <row r="36" spans="1:52" x14ac:dyDescent="0.3">
      <c r="A36" s="5" t="str">
        <f t="shared" si="20"/>
        <v>A410</v>
      </c>
      <c r="B36" s="71" t="str">
        <f>pixel_shift_table.asm!C36</f>
        <v>0E</v>
      </c>
      <c r="C36" s="72" t="str">
        <f>pixel_shift_table.asm!D36</f>
        <v>86</v>
      </c>
      <c r="D36" s="72" t="str">
        <f>pixel_shift_table.asm!E36</f>
        <v>48</v>
      </c>
      <c r="E36" s="72" t="str">
        <f>pixel_shift_table.asm!F36</f>
        <v>96</v>
      </c>
      <c r="F36" s="72" t="str">
        <f>pixel_shift_table.asm!G36</f>
        <v>2A</v>
      </c>
      <c r="G36" s="72" t="str">
        <f>pixel_shift_table.asm!H36</f>
        <v>A6</v>
      </c>
      <c r="H36" s="72" t="str">
        <f>pixel_shift_table.asm!I36</f>
        <v>58</v>
      </c>
      <c r="I36" s="72" t="str">
        <f>pixel_shift_table.asm!J36</f>
        <v>B6</v>
      </c>
      <c r="J36" s="72" t="str">
        <f>pixel_shift_table.asm!K36</f>
        <v>1C</v>
      </c>
      <c r="K36" s="72" t="str">
        <f>pixel_shift_table.asm!L36</f>
        <v>C6</v>
      </c>
      <c r="L36" s="72" t="str">
        <f>pixel_shift_table.asm!M36</f>
        <v>68</v>
      </c>
      <c r="M36" s="72" t="str">
        <f>pixel_shift_table.asm!N36</f>
        <v>D6</v>
      </c>
      <c r="N36" s="72" t="str">
        <f>pixel_shift_table.asm!O36</f>
        <v>3A</v>
      </c>
      <c r="O36" s="72" t="str">
        <f>pixel_shift_table.asm!P36</f>
        <v>E6</v>
      </c>
      <c r="P36" s="72" t="str">
        <f>pixel_shift_table.asm!Q36</f>
        <v>78</v>
      </c>
      <c r="Q36" s="72" t="str">
        <f>pixel_shift_table.asm!R36</f>
        <v>F6</v>
      </c>
      <c r="S36">
        <f t="shared" si="62"/>
        <v>16</v>
      </c>
      <c r="T36" s="5" t="str">
        <f t="shared" si="63"/>
        <v>A90E</v>
      </c>
      <c r="U36" s="5" t="str">
        <f t="shared" si="64"/>
        <v>A986</v>
      </c>
      <c r="V36" s="5" t="str">
        <f t="shared" si="65"/>
        <v>A948</v>
      </c>
      <c r="W36" s="5" t="str">
        <f t="shared" si="66"/>
        <v>A996</v>
      </c>
      <c r="X36" s="5" t="str">
        <f t="shared" si="67"/>
        <v>A92A</v>
      </c>
      <c r="Y36" s="5" t="str">
        <f t="shared" si="68"/>
        <v>A9A6</v>
      </c>
      <c r="Z36" s="5" t="str">
        <f t="shared" si="69"/>
        <v>A958</v>
      </c>
      <c r="AA36" s="5" t="str">
        <f t="shared" si="70"/>
        <v>A9B6</v>
      </c>
      <c r="AB36" s="5" t="str">
        <f t="shared" si="71"/>
        <v>A91C</v>
      </c>
      <c r="AC36" s="5" t="str">
        <f t="shared" si="72"/>
        <v>A9C6</v>
      </c>
      <c r="AD36" s="5" t="str">
        <f t="shared" si="73"/>
        <v>A968</v>
      </c>
      <c r="AE36" s="5" t="str">
        <f t="shared" si="74"/>
        <v>A9D6</v>
      </c>
      <c r="AF36" s="5" t="str">
        <f t="shared" si="75"/>
        <v>A93A</v>
      </c>
      <c r="AG36" s="5" t="str">
        <f t="shared" si="76"/>
        <v>A9E6</v>
      </c>
      <c r="AH36" s="5" t="str">
        <f t="shared" si="77"/>
        <v>A978</v>
      </c>
      <c r="AI36" s="5" t="str">
        <f t="shared" si="78"/>
        <v>A9F6</v>
      </c>
      <c r="AK36" s="5" t="str" cm="1">
        <f t="array" ref="AK36">INDEX(_xlfn.TOROW(PixelPatternTable),HEX2DEC(T36)-$T$1+1)</f>
        <v>C0</v>
      </c>
      <c r="AL36" s="5" t="str" cm="1">
        <f t="array" ref="AL36">INDEX(_xlfn.TOROW(PixelPatternTable),HEX2DEC(U36)-$T$1+1)</f>
        <v>C4</v>
      </c>
      <c r="AM36" s="5" t="str" cm="1">
        <f t="array" ref="AM36">INDEX(_xlfn.TOROW(PixelPatternTable),HEX2DEC(V36)-$T$1+1)</f>
        <v>C8</v>
      </c>
      <c r="AN36" s="5" t="str" cm="1">
        <f t="array" ref="AN36">INDEX(_xlfn.TOROW(PixelPatternTable),HEX2DEC(W36)-$T$1+1)</f>
        <v>CC</v>
      </c>
      <c r="AO36" s="5" t="str" cm="1">
        <f t="array" ref="AO36">INDEX(_xlfn.TOROW(PixelPatternTable),HEX2DEC(X36)-$T$1+1)</f>
        <v>D0</v>
      </c>
      <c r="AP36" s="5" t="str" cm="1">
        <f t="array" ref="AP36">INDEX(_xlfn.TOROW(PixelPatternTable),HEX2DEC(Y36)-$T$1+1)</f>
        <v>D4</v>
      </c>
      <c r="AQ36" s="5" t="str" cm="1">
        <f t="array" ref="AQ36">INDEX(_xlfn.TOROW(PixelPatternTable),HEX2DEC(Z36)-$T$1+1)</f>
        <v>D8</v>
      </c>
      <c r="AR36" s="5" t="str" cm="1">
        <f t="array" ref="AR36">INDEX(_xlfn.TOROW(PixelPatternTable),HEX2DEC(AA36)-$T$1+1)</f>
        <v>DC</v>
      </c>
      <c r="AS36" s="5" t="str" cm="1">
        <f t="array" ref="AS36">INDEX(_xlfn.TOROW(PixelPatternTable),HEX2DEC(AB36)-$T$1+1)</f>
        <v>E0</v>
      </c>
      <c r="AT36" s="5" t="str" cm="1">
        <f t="array" ref="AT36">INDEX(_xlfn.TOROW(PixelPatternTable),HEX2DEC(AC36)-$T$1+1)</f>
        <v>E4</v>
      </c>
      <c r="AU36" s="5" t="str" cm="1">
        <f t="array" ref="AU36">INDEX(_xlfn.TOROW(PixelPatternTable),HEX2DEC(AD36)-$T$1+1)</f>
        <v>E8</v>
      </c>
      <c r="AV36" s="5" t="str" cm="1">
        <f t="array" ref="AV36">INDEX(_xlfn.TOROW(PixelPatternTable),HEX2DEC(AE36)-$T$1+1)</f>
        <v>EC</v>
      </c>
      <c r="AW36" s="5" t="str" cm="1">
        <f t="array" ref="AW36">INDEX(_xlfn.TOROW(PixelPatternTable),HEX2DEC(AF36)-$T$1+1)</f>
        <v>F0</v>
      </c>
      <c r="AX36" s="5" t="str" cm="1">
        <f t="array" ref="AX36">INDEX(_xlfn.TOROW(PixelPatternTable),HEX2DEC(AG36)-$T$1+1)</f>
        <v>F4</v>
      </c>
      <c r="AY36" s="5" t="str" cm="1">
        <f t="array" ref="AY36">INDEX(_xlfn.TOROW(PixelPatternTable),HEX2DEC(AH36)-$T$1+1)</f>
        <v>F8</v>
      </c>
      <c r="AZ36" s="5" t="str" cm="1">
        <f t="array" ref="AZ36">INDEX(_xlfn.TOROW(PixelPatternTable),HEX2DEC(AI36)-$T$1+1)</f>
        <v>FC</v>
      </c>
    </row>
    <row r="37" spans="1:52" x14ac:dyDescent="0.3">
      <c r="A37" s="5" t="str">
        <f t="shared" si="20"/>
        <v>A420</v>
      </c>
      <c r="B37" s="71" t="str">
        <f>pixel_shift_table.asm!C37</f>
        <v>10</v>
      </c>
      <c r="C37" s="72" t="str">
        <f>pixel_shift_table.asm!D37</f>
        <v>06</v>
      </c>
      <c r="D37" s="72" t="str">
        <f>pixel_shift_table.asm!E37</f>
        <v>88</v>
      </c>
      <c r="E37" s="72" t="str">
        <f>pixel_shift_table.asm!F37</f>
        <v>16</v>
      </c>
      <c r="F37" s="72" t="str">
        <f>pixel_shift_table.asm!G37</f>
        <v>4A</v>
      </c>
      <c r="G37" s="72" t="str">
        <f>pixel_shift_table.asm!H37</f>
        <v>26</v>
      </c>
      <c r="H37" s="72" t="str">
        <f>pixel_shift_table.asm!I37</f>
        <v>98</v>
      </c>
      <c r="I37" s="72" t="str">
        <f>pixel_shift_table.asm!J37</f>
        <v>36</v>
      </c>
      <c r="J37" s="72" t="str">
        <f>pixel_shift_table.asm!K37</f>
        <v>2C</v>
      </c>
      <c r="K37" s="72" t="str">
        <f>pixel_shift_table.asm!L37</f>
        <v>46</v>
      </c>
      <c r="L37" s="72" t="str">
        <f>pixel_shift_table.asm!M37</f>
        <v>A8</v>
      </c>
      <c r="M37" s="72" t="str">
        <f>pixel_shift_table.asm!N37</f>
        <v>56</v>
      </c>
      <c r="N37" s="72" t="str">
        <f>pixel_shift_table.asm!O37</f>
        <v>5A</v>
      </c>
      <c r="O37" s="72" t="str">
        <f>pixel_shift_table.asm!P37</f>
        <v>66</v>
      </c>
      <c r="P37" s="72" t="str">
        <f>pixel_shift_table.asm!Q37</f>
        <v>B8</v>
      </c>
      <c r="Q37" s="72" t="str">
        <f>pixel_shift_table.asm!R37</f>
        <v>76</v>
      </c>
      <c r="S37">
        <f t="shared" si="62"/>
        <v>32</v>
      </c>
      <c r="T37" s="5" t="str">
        <f t="shared" si="63"/>
        <v>A910</v>
      </c>
      <c r="U37" s="5" t="str">
        <f t="shared" si="64"/>
        <v>AA06</v>
      </c>
      <c r="V37" s="5" t="str">
        <f t="shared" si="65"/>
        <v>A988</v>
      </c>
      <c r="W37" s="5" t="str">
        <f t="shared" si="66"/>
        <v>AA16</v>
      </c>
      <c r="X37" s="5" t="str">
        <f t="shared" si="67"/>
        <v>A94A</v>
      </c>
      <c r="Y37" s="5" t="str">
        <f t="shared" si="68"/>
        <v>AA26</v>
      </c>
      <c r="Z37" s="5" t="str">
        <f t="shared" si="69"/>
        <v>A998</v>
      </c>
      <c r="AA37" s="5" t="str">
        <f t="shared" si="70"/>
        <v>AA36</v>
      </c>
      <c r="AB37" s="5" t="str">
        <f t="shared" si="71"/>
        <v>A92C</v>
      </c>
      <c r="AC37" s="5" t="str">
        <f t="shared" si="72"/>
        <v>AA46</v>
      </c>
      <c r="AD37" s="5" t="str">
        <f t="shared" si="73"/>
        <v>A9A8</v>
      </c>
      <c r="AE37" s="5" t="str">
        <f t="shared" si="74"/>
        <v>AA56</v>
      </c>
      <c r="AF37" s="5" t="str">
        <f t="shared" si="75"/>
        <v>A95A</v>
      </c>
      <c r="AG37" s="5" t="str">
        <f t="shared" si="76"/>
        <v>AA66</v>
      </c>
      <c r="AH37" s="5" t="str">
        <f t="shared" si="77"/>
        <v>A9B8</v>
      </c>
      <c r="AI37" s="5" t="str">
        <f t="shared" si="78"/>
        <v>AA76</v>
      </c>
      <c r="AK37" s="5" t="str" cm="1">
        <f t="array" ref="AK37">INDEX(_xlfn.TOROW(PixelPatternTable),HEX2DEC(T37)-$T$1+1)</f>
        <v>80</v>
      </c>
      <c r="AL37" s="5" t="str" cm="1">
        <f t="array" ref="AL37">INDEX(_xlfn.TOROW(PixelPatternTable),HEX2DEC(U37)-$T$1+1)</f>
        <v>84</v>
      </c>
      <c r="AM37" s="5" t="str" cm="1">
        <f t="array" ref="AM37">INDEX(_xlfn.TOROW(PixelPatternTable),HEX2DEC(V37)-$T$1+1)</f>
        <v>88</v>
      </c>
      <c r="AN37" s="5" t="str" cm="1">
        <f t="array" ref="AN37">INDEX(_xlfn.TOROW(PixelPatternTable),HEX2DEC(W37)-$T$1+1)</f>
        <v>8C</v>
      </c>
      <c r="AO37" s="5" t="str" cm="1">
        <f t="array" ref="AO37">INDEX(_xlfn.TOROW(PixelPatternTable),HEX2DEC(X37)-$T$1+1)</f>
        <v>90</v>
      </c>
      <c r="AP37" s="5" t="str" cm="1">
        <f t="array" ref="AP37">INDEX(_xlfn.TOROW(PixelPatternTable),HEX2DEC(Y37)-$T$1+1)</f>
        <v>94</v>
      </c>
      <c r="AQ37" s="5" t="str" cm="1">
        <f t="array" ref="AQ37">INDEX(_xlfn.TOROW(PixelPatternTable),HEX2DEC(Z37)-$T$1+1)</f>
        <v>98</v>
      </c>
      <c r="AR37" s="5" t="str" cm="1">
        <f t="array" ref="AR37">INDEX(_xlfn.TOROW(PixelPatternTable),HEX2DEC(AA37)-$T$1+1)</f>
        <v>9C</v>
      </c>
      <c r="AS37" s="5" t="str" cm="1">
        <f t="array" ref="AS37">INDEX(_xlfn.TOROW(PixelPatternTable),HEX2DEC(AB37)-$T$1+1)</f>
        <v>A0</v>
      </c>
      <c r="AT37" s="5" t="str" cm="1">
        <f t="array" ref="AT37">INDEX(_xlfn.TOROW(PixelPatternTable),HEX2DEC(AC37)-$T$1+1)</f>
        <v>A4</v>
      </c>
      <c r="AU37" s="5" t="str" cm="1">
        <f t="array" ref="AU37">INDEX(_xlfn.TOROW(PixelPatternTable),HEX2DEC(AD37)-$T$1+1)</f>
        <v>A8</v>
      </c>
      <c r="AV37" s="5" t="str" cm="1">
        <f t="array" ref="AV37">INDEX(_xlfn.TOROW(PixelPatternTable),HEX2DEC(AE37)-$T$1+1)</f>
        <v>AC</v>
      </c>
      <c r="AW37" s="5" t="str" cm="1">
        <f t="array" ref="AW37">INDEX(_xlfn.TOROW(PixelPatternTable),HEX2DEC(AF37)-$T$1+1)</f>
        <v>B0</v>
      </c>
      <c r="AX37" s="5" t="str" cm="1">
        <f t="array" ref="AX37">INDEX(_xlfn.TOROW(PixelPatternTable),HEX2DEC(AG37)-$T$1+1)</f>
        <v>B4</v>
      </c>
      <c r="AY37" s="5" t="str" cm="1">
        <f t="array" ref="AY37">INDEX(_xlfn.TOROW(PixelPatternTable),HEX2DEC(AH37)-$T$1+1)</f>
        <v>B8</v>
      </c>
      <c r="AZ37" s="5" t="str" cm="1">
        <f t="array" ref="AZ37">INDEX(_xlfn.TOROW(PixelPatternTable),HEX2DEC(AI37)-$T$1+1)</f>
        <v>BC</v>
      </c>
    </row>
    <row r="38" spans="1:52" x14ac:dyDescent="0.3">
      <c r="A38" s="5" t="str">
        <f t="shared" si="20"/>
        <v>A430</v>
      </c>
      <c r="B38" s="71" t="str">
        <f>pixel_shift_table.asm!C38</f>
        <v>1E</v>
      </c>
      <c r="C38" s="72" t="str">
        <f>pixel_shift_table.asm!D38</f>
        <v>86</v>
      </c>
      <c r="D38" s="72" t="str">
        <f>pixel_shift_table.asm!E38</f>
        <v>C8</v>
      </c>
      <c r="E38" s="72" t="str">
        <f>pixel_shift_table.asm!F38</f>
        <v>96</v>
      </c>
      <c r="F38" s="72" t="str">
        <f>pixel_shift_table.asm!G38</f>
        <v>6A</v>
      </c>
      <c r="G38" s="72" t="str">
        <f>pixel_shift_table.asm!H38</f>
        <v>A6</v>
      </c>
      <c r="H38" s="72" t="str">
        <f>pixel_shift_table.asm!I38</f>
        <v>D8</v>
      </c>
      <c r="I38" s="72" t="str">
        <f>pixel_shift_table.asm!J38</f>
        <v>B6</v>
      </c>
      <c r="J38" s="72" t="str">
        <f>pixel_shift_table.asm!K38</f>
        <v>3C</v>
      </c>
      <c r="K38" s="72" t="str">
        <f>pixel_shift_table.asm!L38</f>
        <v>C6</v>
      </c>
      <c r="L38" s="72" t="str">
        <f>pixel_shift_table.asm!M38</f>
        <v>E8</v>
      </c>
      <c r="M38" s="72" t="str">
        <f>pixel_shift_table.asm!N38</f>
        <v>D6</v>
      </c>
      <c r="N38" s="72" t="str">
        <f>pixel_shift_table.asm!O38</f>
        <v>7A</v>
      </c>
      <c r="O38" s="72" t="str">
        <f>pixel_shift_table.asm!P38</f>
        <v>E6</v>
      </c>
      <c r="P38" s="72" t="str">
        <f>pixel_shift_table.asm!Q38</f>
        <v>F8</v>
      </c>
      <c r="Q38" s="72" t="str">
        <f>pixel_shift_table.asm!R38</f>
        <v>F6</v>
      </c>
      <c r="S38">
        <f t="shared" si="62"/>
        <v>48</v>
      </c>
      <c r="T38" s="5" t="str">
        <f t="shared" si="63"/>
        <v>A91E</v>
      </c>
      <c r="U38" s="5" t="str">
        <f t="shared" si="64"/>
        <v>AA86</v>
      </c>
      <c r="V38" s="5" t="str">
        <f t="shared" si="65"/>
        <v>A9C8</v>
      </c>
      <c r="W38" s="5" t="str">
        <f t="shared" si="66"/>
        <v>AA96</v>
      </c>
      <c r="X38" s="5" t="str">
        <f t="shared" si="67"/>
        <v>A96A</v>
      </c>
      <c r="Y38" s="5" t="str">
        <f t="shared" si="68"/>
        <v>AAA6</v>
      </c>
      <c r="Z38" s="5" t="str">
        <f t="shared" si="69"/>
        <v>A9D8</v>
      </c>
      <c r="AA38" s="5" t="str">
        <f t="shared" si="70"/>
        <v>AAB6</v>
      </c>
      <c r="AB38" s="5" t="str">
        <f t="shared" si="71"/>
        <v>A93C</v>
      </c>
      <c r="AC38" s="5" t="str">
        <f t="shared" si="72"/>
        <v>AAC6</v>
      </c>
      <c r="AD38" s="5" t="str">
        <f t="shared" si="73"/>
        <v>A9E8</v>
      </c>
      <c r="AE38" s="5" t="str">
        <f t="shared" si="74"/>
        <v>AAD6</v>
      </c>
      <c r="AF38" s="5" t="str">
        <f t="shared" si="75"/>
        <v>A97A</v>
      </c>
      <c r="AG38" s="5" t="str">
        <f t="shared" si="76"/>
        <v>AAE6</v>
      </c>
      <c r="AH38" s="5" t="str">
        <f t="shared" si="77"/>
        <v>A9F8</v>
      </c>
      <c r="AI38" s="5" t="str">
        <f t="shared" si="78"/>
        <v>AAF6</v>
      </c>
      <c r="AK38" s="5" t="str" cm="1">
        <f t="array" ref="AK38">INDEX(_xlfn.TOROW(PixelPatternTable),HEX2DEC(T38)-$T$1+1)</f>
        <v>C0</v>
      </c>
      <c r="AL38" s="5" t="str" cm="1">
        <f t="array" ref="AL38">INDEX(_xlfn.TOROW(PixelPatternTable),HEX2DEC(U38)-$T$1+1)</f>
        <v>C4</v>
      </c>
      <c r="AM38" s="5" t="str" cm="1">
        <f t="array" ref="AM38">INDEX(_xlfn.TOROW(PixelPatternTable),HEX2DEC(V38)-$T$1+1)</f>
        <v>C8</v>
      </c>
      <c r="AN38" s="5" t="str" cm="1">
        <f t="array" ref="AN38">INDEX(_xlfn.TOROW(PixelPatternTable),HEX2DEC(W38)-$T$1+1)</f>
        <v>CC</v>
      </c>
      <c r="AO38" s="5" t="str" cm="1">
        <f t="array" ref="AO38">INDEX(_xlfn.TOROW(PixelPatternTable),HEX2DEC(X38)-$T$1+1)</f>
        <v>D0</v>
      </c>
      <c r="AP38" s="5" t="str" cm="1">
        <f t="array" ref="AP38">INDEX(_xlfn.TOROW(PixelPatternTable),HEX2DEC(Y38)-$T$1+1)</f>
        <v>D4</v>
      </c>
      <c r="AQ38" s="5" t="str" cm="1">
        <f t="array" ref="AQ38">INDEX(_xlfn.TOROW(PixelPatternTable),HEX2DEC(Z38)-$T$1+1)</f>
        <v>D8</v>
      </c>
      <c r="AR38" s="5" t="str" cm="1">
        <f t="array" ref="AR38">INDEX(_xlfn.TOROW(PixelPatternTable),HEX2DEC(AA38)-$T$1+1)</f>
        <v>DC</v>
      </c>
      <c r="AS38" s="5" t="str" cm="1">
        <f t="array" ref="AS38">INDEX(_xlfn.TOROW(PixelPatternTable),HEX2DEC(AB38)-$T$1+1)</f>
        <v>E0</v>
      </c>
      <c r="AT38" s="5" t="str" cm="1">
        <f t="array" ref="AT38">INDEX(_xlfn.TOROW(PixelPatternTable),HEX2DEC(AC38)-$T$1+1)</f>
        <v>E4</v>
      </c>
      <c r="AU38" s="5" t="str" cm="1">
        <f t="array" ref="AU38">INDEX(_xlfn.TOROW(PixelPatternTable),HEX2DEC(AD38)-$T$1+1)</f>
        <v>E8</v>
      </c>
      <c r="AV38" s="5" t="str" cm="1">
        <f t="array" ref="AV38">INDEX(_xlfn.TOROW(PixelPatternTable),HEX2DEC(AE38)-$T$1+1)</f>
        <v>EC</v>
      </c>
      <c r="AW38" s="5" t="str" cm="1">
        <f t="array" ref="AW38">INDEX(_xlfn.TOROW(PixelPatternTable),HEX2DEC(AF38)-$T$1+1)</f>
        <v>F0</v>
      </c>
      <c r="AX38" s="5" t="str" cm="1">
        <f t="array" ref="AX38">INDEX(_xlfn.TOROW(PixelPatternTable),HEX2DEC(AG38)-$T$1+1)</f>
        <v>F4</v>
      </c>
      <c r="AY38" s="5" t="str" cm="1">
        <f t="array" ref="AY38">INDEX(_xlfn.TOROW(PixelPatternTable),HEX2DEC(AH38)-$T$1+1)</f>
        <v>F8</v>
      </c>
      <c r="AZ38" s="5" t="str" cm="1">
        <f t="array" ref="AZ38">INDEX(_xlfn.TOROW(PixelPatternTable),HEX2DEC(AI38)-$T$1+1)</f>
        <v>FC</v>
      </c>
    </row>
    <row r="39" spans="1:52" x14ac:dyDescent="0.3">
      <c r="A39" s="5" t="str">
        <f t="shared" si="20"/>
        <v>A440</v>
      </c>
      <c r="B39" s="71" t="str">
        <f>pixel_shift_table.asm!C39</f>
        <v>20</v>
      </c>
      <c r="C39" s="72" t="str">
        <f>pixel_shift_table.asm!D39</f>
        <v>06</v>
      </c>
      <c r="D39" s="72" t="str">
        <f>pixel_shift_table.asm!E39</f>
        <v>08</v>
      </c>
      <c r="E39" s="72" t="str">
        <f>pixel_shift_table.asm!F39</f>
        <v>16</v>
      </c>
      <c r="F39" s="72" t="str">
        <f>pixel_shift_table.asm!G39</f>
        <v>8A</v>
      </c>
      <c r="G39" s="72" t="str">
        <f>pixel_shift_table.asm!H39</f>
        <v>26</v>
      </c>
      <c r="H39" s="72" t="str">
        <f>pixel_shift_table.asm!I39</f>
        <v>18</v>
      </c>
      <c r="I39" s="72" t="str">
        <f>pixel_shift_table.asm!J39</f>
        <v>36</v>
      </c>
      <c r="J39" s="72" t="str">
        <f>pixel_shift_table.asm!K39</f>
        <v>4C</v>
      </c>
      <c r="K39" s="72" t="str">
        <f>pixel_shift_table.asm!L39</f>
        <v>46</v>
      </c>
      <c r="L39" s="72" t="str">
        <f>pixel_shift_table.asm!M39</f>
        <v>28</v>
      </c>
      <c r="M39" s="72" t="str">
        <f>pixel_shift_table.asm!N39</f>
        <v>56</v>
      </c>
      <c r="N39" s="72" t="str">
        <f>pixel_shift_table.asm!O39</f>
        <v>9A</v>
      </c>
      <c r="O39" s="72" t="str">
        <f>pixel_shift_table.asm!P39</f>
        <v>66</v>
      </c>
      <c r="P39" s="72" t="str">
        <f>pixel_shift_table.asm!Q39</f>
        <v>38</v>
      </c>
      <c r="Q39" s="72" t="str">
        <f>pixel_shift_table.asm!R39</f>
        <v>76</v>
      </c>
      <c r="S39">
        <f t="shared" si="62"/>
        <v>64</v>
      </c>
      <c r="T39" s="5" t="str">
        <f t="shared" si="63"/>
        <v>A920</v>
      </c>
      <c r="U39" s="5" t="str">
        <f t="shared" si="64"/>
        <v>AB06</v>
      </c>
      <c r="V39" s="5" t="str">
        <f t="shared" si="65"/>
        <v>AA08</v>
      </c>
      <c r="W39" s="5" t="str">
        <f t="shared" si="66"/>
        <v>AB16</v>
      </c>
      <c r="X39" s="5" t="str">
        <f t="shared" si="67"/>
        <v>A98A</v>
      </c>
      <c r="Y39" s="5" t="str">
        <f t="shared" si="68"/>
        <v>AB26</v>
      </c>
      <c r="Z39" s="5" t="str">
        <f t="shared" si="69"/>
        <v>AA18</v>
      </c>
      <c r="AA39" s="5" t="str">
        <f t="shared" si="70"/>
        <v>AB36</v>
      </c>
      <c r="AB39" s="5" t="str">
        <f t="shared" si="71"/>
        <v>A94C</v>
      </c>
      <c r="AC39" s="5" t="str">
        <f t="shared" si="72"/>
        <v>AB46</v>
      </c>
      <c r="AD39" s="5" t="str">
        <f t="shared" si="73"/>
        <v>AA28</v>
      </c>
      <c r="AE39" s="5" t="str">
        <f t="shared" si="74"/>
        <v>AB56</v>
      </c>
      <c r="AF39" s="5" t="str">
        <f t="shared" si="75"/>
        <v>A99A</v>
      </c>
      <c r="AG39" s="5" t="str">
        <f t="shared" si="76"/>
        <v>AB66</v>
      </c>
      <c r="AH39" s="5" t="str">
        <f t="shared" si="77"/>
        <v>AA38</v>
      </c>
      <c r="AI39" s="5" t="str">
        <f t="shared" si="78"/>
        <v>AB76</v>
      </c>
      <c r="AK39" s="5" t="str" cm="1">
        <f t="array" ref="AK39">INDEX(_xlfn.TOROW(PixelPatternTable),HEX2DEC(T39)-$T$1+1)</f>
        <v>80</v>
      </c>
      <c r="AL39" s="5" t="str" cm="1">
        <f t="array" ref="AL39">INDEX(_xlfn.TOROW(PixelPatternTable),HEX2DEC(U39)-$T$1+1)</f>
        <v>84</v>
      </c>
      <c r="AM39" s="5" t="str" cm="1">
        <f t="array" ref="AM39">INDEX(_xlfn.TOROW(PixelPatternTable),HEX2DEC(V39)-$T$1+1)</f>
        <v>88</v>
      </c>
      <c r="AN39" s="5" t="str" cm="1">
        <f t="array" ref="AN39">INDEX(_xlfn.TOROW(PixelPatternTable),HEX2DEC(W39)-$T$1+1)</f>
        <v>8C</v>
      </c>
      <c r="AO39" s="5" t="str" cm="1">
        <f t="array" ref="AO39">INDEX(_xlfn.TOROW(PixelPatternTable),HEX2DEC(X39)-$T$1+1)</f>
        <v>90</v>
      </c>
      <c r="AP39" s="5" t="str" cm="1">
        <f t="array" ref="AP39">INDEX(_xlfn.TOROW(PixelPatternTable),HEX2DEC(Y39)-$T$1+1)</f>
        <v>94</v>
      </c>
      <c r="AQ39" s="5" t="str" cm="1">
        <f t="array" ref="AQ39">INDEX(_xlfn.TOROW(PixelPatternTable),HEX2DEC(Z39)-$T$1+1)</f>
        <v>98</v>
      </c>
      <c r="AR39" s="5" t="str" cm="1">
        <f t="array" ref="AR39">INDEX(_xlfn.TOROW(PixelPatternTable),HEX2DEC(AA39)-$T$1+1)</f>
        <v>9C</v>
      </c>
      <c r="AS39" s="5" t="str" cm="1">
        <f t="array" ref="AS39">INDEX(_xlfn.TOROW(PixelPatternTable),HEX2DEC(AB39)-$T$1+1)</f>
        <v>A0</v>
      </c>
      <c r="AT39" s="5" t="str" cm="1">
        <f t="array" ref="AT39">INDEX(_xlfn.TOROW(PixelPatternTable),HEX2DEC(AC39)-$T$1+1)</f>
        <v>A4</v>
      </c>
      <c r="AU39" s="5" t="str" cm="1">
        <f t="array" ref="AU39">INDEX(_xlfn.TOROW(PixelPatternTable),HEX2DEC(AD39)-$T$1+1)</f>
        <v>A8</v>
      </c>
      <c r="AV39" s="5" t="str" cm="1">
        <f t="array" ref="AV39">INDEX(_xlfn.TOROW(PixelPatternTable),HEX2DEC(AE39)-$T$1+1)</f>
        <v>AC</v>
      </c>
      <c r="AW39" s="5" t="str" cm="1">
        <f t="array" ref="AW39">INDEX(_xlfn.TOROW(PixelPatternTable),HEX2DEC(AF39)-$T$1+1)</f>
        <v>B0</v>
      </c>
      <c r="AX39" s="5" t="str" cm="1">
        <f t="array" ref="AX39">INDEX(_xlfn.TOROW(PixelPatternTable),HEX2DEC(AG39)-$T$1+1)</f>
        <v>B4</v>
      </c>
      <c r="AY39" s="5" t="str" cm="1">
        <f t="array" ref="AY39">INDEX(_xlfn.TOROW(PixelPatternTable),HEX2DEC(AH39)-$T$1+1)</f>
        <v>B8</v>
      </c>
      <c r="AZ39" s="5" t="str" cm="1">
        <f t="array" ref="AZ39">INDEX(_xlfn.TOROW(PixelPatternTable),HEX2DEC(AI39)-$T$1+1)</f>
        <v>BC</v>
      </c>
    </row>
    <row r="40" spans="1:52" x14ac:dyDescent="0.3">
      <c r="A40" s="5" t="str">
        <f t="shared" si="20"/>
        <v>A450</v>
      </c>
      <c r="B40" s="71" t="str">
        <f>pixel_shift_table.asm!C40</f>
        <v>2E</v>
      </c>
      <c r="C40" s="72" t="str">
        <f>pixel_shift_table.asm!D40</f>
        <v>86</v>
      </c>
      <c r="D40" s="72" t="str">
        <f>pixel_shift_table.asm!E40</f>
        <v>48</v>
      </c>
      <c r="E40" s="72" t="str">
        <f>pixel_shift_table.asm!F40</f>
        <v>96</v>
      </c>
      <c r="F40" s="72" t="str">
        <f>pixel_shift_table.asm!G40</f>
        <v>AA</v>
      </c>
      <c r="G40" s="72" t="str">
        <f>pixel_shift_table.asm!H40</f>
        <v>A6</v>
      </c>
      <c r="H40" s="72" t="str">
        <f>pixel_shift_table.asm!I40</f>
        <v>58</v>
      </c>
      <c r="I40" s="72" t="str">
        <f>pixel_shift_table.asm!J40</f>
        <v>B6</v>
      </c>
      <c r="J40" s="72" t="str">
        <f>pixel_shift_table.asm!K40</f>
        <v>5C</v>
      </c>
      <c r="K40" s="72" t="str">
        <f>pixel_shift_table.asm!L40</f>
        <v>C6</v>
      </c>
      <c r="L40" s="72" t="str">
        <f>pixel_shift_table.asm!M40</f>
        <v>68</v>
      </c>
      <c r="M40" s="72" t="str">
        <f>pixel_shift_table.asm!N40</f>
        <v>D6</v>
      </c>
      <c r="N40" s="72" t="str">
        <f>pixel_shift_table.asm!O40</f>
        <v>BA</v>
      </c>
      <c r="O40" s="72" t="str">
        <f>pixel_shift_table.asm!P40</f>
        <v>E6</v>
      </c>
      <c r="P40" s="72" t="str">
        <f>pixel_shift_table.asm!Q40</f>
        <v>78</v>
      </c>
      <c r="Q40" s="72" t="str">
        <f>pixel_shift_table.asm!R40</f>
        <v>F6</v>
      </c>
      <c r="S40">
        <f t="shared" si="62"/>
        <v>80</v>
      </c>
      <c r="T40" s="5" t="str">
        <f t="shared" si="63"/>
        <v>A92E</v>
      </c>
      <c r="U40" s="5" t="str">
        <f t="shared" si="64"/>
        <v>AB86</v>
      </c>
      <c r="V40" s="5" t="str">
        <f t="shared" si="65"/>
        <v>AA48</v>
      </c>
      <c r="W40" s="5" t="str">
        <f t="shared" si="66"/>
        <v>AB96</v>
      </c>
      <c r="X40" s="5" t="str">
        <f t="shared" si="67"/>
        <v>A9AA</v>
      </c>
      <c r="Y40" s="5" t="str">
        <f t="shared" si="68"/>
        <v>ABA6</v>
      </c>
      <c r="Z40" s="5" t="str">
        <f t="shared" si="69"/>
        <v>AA58</v>
      </c>
      <c r="AA40" s="5" t="str">
        <f t="shared" si="70"/>
        <v>ABB6</v>
      </c>
      <c r="AB40" s="5" t="str">
        <f t="shared" si="71"/>
        <v>A95C</v>
      </c>
      <c r="AC40" s="5" t="str">
        <f t="shared" si="72"/>
        <v>ABC6</v>
      </c>
      <c r="AD40" s="5" t="str">
        <f t="shared" si="73"/>
        <v>AA68</v>
      </c>
      <c r="AE40" s="5" t="str">
        <f t="shared" si="74"/>
        <v>ABD6</v>
      </c>
      <c r="AF40" s="5" t="str">
        <f t="shared" si="75"/>
        <v>A9BA</v>
      </c>
      <c r="AG40" s="5" t="str">
        <f t="shared" si="76"/>
        <v>ABE6</v>
      </c>
      <c r="AH40" s="5" t="str">
        <f t="shared" si="77"/>
        <v>AA78</v>
      </c>
      <c r="AI40" s="5" t="str">
        <f t="shared" si="78"/>
        <v>ABF6</v>
      </c>
      <c r="AK40" s="5" t="str" cm="1">
        <f t="array" ref="AK40">INDEX(_xlfn.TOROW(PixelPatternTable),HEX2DEC(T40)-$T$1+1)</f>
        <v>C0</v>
      </c>
      <c r="AL40" s="5" t="str" cm="1">
        <f t="array" ref="AL40">INDEX(_xlfn.TOROW(PixelPatternTable),HEX2DEC(U40)-$T$1+1)</f>
        <v>C4</v>
      </c>
      <c r="AM40" s="5" t="str" cm="1">
        <f t="array" ref="AM40">INDEX(_xlfn.TOROW(PixelPatternTable),HEX2DEC(V40)-$T$1+1)</f>
        <v>C8</v>
      </c>
      <c r="AN40" s="5" t="str" cm="1">
        <f t="array" ref="AN40">INDEX(_xlfn.TOROW(PixelPatternTable),HEX2DEC(W40)-$T$1+1)</f>
        <v>CC</v>
      </c>
      <c r="AO40" s="5" t="str" cm="1">
        <f t="array" ref="AO40">INDEX(_xlfn.TOROW(PixelPatternTable),HEX2DEC(X40)-$T$1+1)</f>
        <v>D0</v>
      </c>
      <c r="AP40" s="5" t="str" cm="1">
        <f t="array" ref="AP40">INDEX(_xlfn.TOROW(PixelPatternTable),HEX2DEC(Y40)-$T$1+1)</f>
        <v>D4</v>
      </c>
      <c r="AQ40" s="5" t="str" cm="1">
        <f t="array" ref="AQ40">INDEX(_xlfn.TOROW(PixelPatternTable),HEX2DEC(Z40)-$T$1+1)</f>
        <v>D8</v>
      </c>
      <c r="AR40" s="5" t="str" cm="1">
        <f t="array" ref="AR40">INDEX(_xlfn.TOROW(PixelPatternTable),HEX2DEC(AA40)-$T$1+1)</f>
        <v>DC</v>
      </c>
      <c r="AS40" s="5" t="str" cm="1">
        <f t="array" ref="AS40">INDEX(_xlfn.TOROW(PixelPatternTable),HEX2DEC(AB40)-$T$1+1)</f>
        <v>E0</v>
      </c>
      <c r="AT40" s="5" t="str" cm="1">
        <f t="array" ref="AT40">INDEX(_xlfn.TOROW(PixelPatternTable),HEX2DEC(AC40)-$T$1+1)</f>
        <v>E4</v>
      </c>
      <c r="AU40" s="5" t="str" cm="1">
        <f t="array" ref="AU40">INDEX(_xlfn.TOROW(PixelPatternTable),HEX2DEC(AD40)-$T$1+1)</f>
        <v>E8</v>
      </c>
      <c r="AV40" s="5" t="str" cm="1">
        <f t="array" ref="AV40">INDEX(_xlfn.TOROW(PixelPatternTable),HEX2DEC(AE40)-$T$1+1)</f>
        <v>EC</v>
      </c>
      <c r="AW40" s="5" t="str" cm="1">
        <f t="array" ref="AW40">INDEX(_xlfn.TOROW(PixelPatternTable),HEX2DEC(AF40)-$T$1+1)</f>
        <v>F0</v>
      </c>
      <c r="AX40" s="5" t="str" cm="1">
        <f t="array" ref="AX40">INDEX(_xlfn.TOROW(PixelPatternTable),HEX2DEC(AG40)-$T$1+1)</f>
        <v>F4</v>
      </c>
      <c r="AY40" s="5" t="str" cm="1">
        <f t="array" ref="AY40">INDEX(_xlfn.TOROW(PixelPatternTable),HEX2DEC(AH40)-$T$1+1)</f>
        <v>F8</v>
      </c>
      <c r="AZ40" s="5" t="str" cm="1">
        <f t="array" ref="AZ40">INDEX(_xlfn.TOROW(PixelPatternTable),HEX2DEC(AI40)-$T$1+1)</f>
        <v>FC</v>
      </c>
    </row>
    <row r="41" spans="1:52" x14ac:dyDescent="0.3">
      <c r="A41" s="5" t="str">
        <f t="shared" si="20"/>
        <v>A460</v>
      </c>
      <c r="B41" s="71" t="str">
        <f>pixel_shift_table.asm!C41</f>
        <v>30</v>
      </c>
      <c r="C41" s="72" t="str">
        <f>pixel_shift_table.asm!D41</f>
        <v>06</v>
      </c>
      <c r="D41" s="72" t="str">
        <f>pixel_shift_table.asm!E41</f>
        <v>88</v>
      </c>
      <c r="E41" s="72" t="str">
        <f>pixel_shift_table.asm!F41</f>
        <v>16</v>
      </c>
      <c r="F41" s="72" t="str">
        <f>pixel_shift_table.asm!G41</f>
        <v>CA</v>
      </c>
      <c r="G41" s="72" t="str">
        <f>pixel_shift_table.asm!H41</f>
        <v>26</v>
      </c>
      <c r="H41" s="72" t="str">
        <f>pixel_shift_table.asm!I41</f>
        <v>98</v>
      </c>
      <c r="I41" s="72" t="str">
        <f>pixel_shift_table.asm!J41</f>
        <v>36</v>
      </c>
      <c r="J41" s="72" t="str">
        <f>pixel_shift_table.asm!K41</f>
        <v>6C</v>
      </c>
      <c r="K41" s="72" t="str">
        <f>pixel_shift_table.asm!L41</f>
        <v>46</v>
      </c>
      <c r="L41" s="72" t="str">
        <f>pixel_shift_table.asm!M41</f>
        <v>A8</v>
      </c>
      <c r="M41" s="72" t="str">
        <f>pixel_shift_table.asm!N41</f>
        <v>56</v>
      </c>
      <c r="N41" s="72" t="str">
        <f>pixel_shift_table.asm!O41</f>
        <v>DA</v>
      </c>
      <c r="O41" s="72" t="str">
        <f>pixel_shift_table.asm!P41</f>
        <v>66</v>
      </c>
      <c r="P41" s="72" t="str">
        <f>pixel_shift_table.asm!Q41</f>
        <v>B8</v>
      </c>
      <c r="Q41" s="72" t="str">
        <f>pixel_shift_table.asm!R41</f>
        <v>76</v>
      </c>
      <c r="S41">
        <f t="shared" si="62"/>
        <v>96</v>
      </c>
      <c r="T41" s="5" t="str">
        <f t="shared" si="63"/>
        <v>A930</v>
      </c>
      <c r="U41" s="5" t="str">
        <f t="shared" si="64"/>
        <v>AC06</v>
      </c>
      <c r="V41" s="5" t="str">
        <f t="shared" si="65"/>
        <v>AA88</v>
      </c>
      <c r="W41" s="5" t="str">
        <f t="shared" si="66"/>
        <v>AC16</v>
      </c>
      <c r="X41" s="5" t="str">
        <f t="shared" si="67"/>
        <v>A9CA</v>
      </c>
      <c r="Y41" s="5" t="str">
        <f t="shared" si="68"/>
        <v>AC26</v>
      </c>
      <c r="Z41" s="5" t="str">
        <f t="shared" si="69"/>
        <v>AA98</v>
      </c>
      <c r="AA41" s="5" t="str">
        <f t="shared" si="70"/>
        <v>AC36</v>
      </c>
      <c r="AB41" s="5" t="str">
        <f t="shared" si="71"/>
        <v>A96C</v>
      </c>
      <c r="AC41" s="5" t="str">
        <f t="shared" si="72"/>
        <v>AC46</v>
      </c>
      <c r="AD41" s="5" t="str">
        <f t="shared" si="73"/>
        <v>AAA8</v>
      </c>
      <c r="AE41" s="5" t="str">
        <f t="shared" si="74"/>
        <v>AC56</v>
      </c>
      <c r="AF41" s="5" t="str">
        <f t="shared" si="75"/>
        <v>A9DA</v>
      </c>
      <c r="AG41" s="5" t="str">
        <f t="shared" si="76"/>
        <v>AC66</v>
      </c>
      <c r="AH41" s="5" t="str">
        <f t="shared" si="77"/>
        <v>AAB8</v>
      </c>
      <c r="AI41" s="5" t="str">
        <f t="shared" si="78"/>
        <v>AC76</v>
      </c>
      <c r="AK41" s="5" t="str" cm="1">
        <f t="array" ref="AK41">INDEX(_xlfn.TOROW(PixelPatternTable),HEX2DEC(T41)-$T$1+1)</f>
        <v>80</v>
      </c>
      <c r="AL41" s="5" t="str" cm="1">
        <f t="array" ref="AL41">INDEX(_xlfn.TOROW(PixelPatternTable),HEX2DEC(U41)-$T$1+1)</f>
        <v>84</v>
      </c>
      <c r="AM41" s="5" t="str" cm="1">
        <f t="array" ref="AM41">INDEX(_xlfn.TOROW(PixelPatternTable),HEX2DEC(V41)-$T$1+1)</f>
        <v>88</v>
      </c>
      <c r="AN41" s="5" t="str" cm="1">
        <f t="array" ref="AN41">INDEX(_xlfn.TOROW(PixelPatternTable),HEX2DEC(W41)-$T$1+1)</f>
        <v>8C</v>
      </c>
      <c r="AO41" s="5" t="str" cm="1">
        <f t="array" ref="AO41">INDEX(_xlfn.TOROW(PixelPatternTable),HEX2DEC(X41)-$T$1+1)</f>
        <v>90</v>
      </c>
      <c r="AP41" s="5" t="str" cm="1">
        <f t="array" ref="AP41">INDEX(_xlfn.TOROW(PixelPatternTable),HEX2DEC(Y41)-$T$1+1)</f>
        <v>94</v>
      </c>
      <c r="AQ41" s="5" t="str" cm="1">
        <f t="array" ref="AQ41">INDEX(_xlfn.TOROW(PixelPatternTable),HEX2DEC(Z41)-$T$1+1)</f>
        <v>98</v>
      </c>
      <c r="AR41" s="5" t="str" cm="1">
        <f t="array" ref="AR41">INDEX(_xlfn.TOROW(PixelPatternTable),HEX2DEC(AA41)-$T$1+1)</f>
        <v>9C</v>
      </c>
      <c r="AS41" s="5" t="str" cm="1">
        <f t="array" ref="AS41">INDEX(_xlfn.TOROW(PixelPatternTable),HEX2DEC(AB41)-$T$1+1)</f>
        <v>A0</v>
      </c>
      <c r="AT41" s="5" t="str" cm="1">
        <f t="array" ref="AT41">INDEX(_xlfn.TOROW(PixelPatternTable),HEX2DEC(AC41)-$T$1+1)</f>
        <v>A4</v>
      </c>
      <c r="AU41" s="5" t="str" cm="1">
        <f t="array" ref="AU41">INDEX(_xlfn.TOROW(PixelPatternTable),HEX2DEC(AD41)-$T$1+1)</f>
        <v>A8</v>
      </c>
      <c r="AV41" s="5" t="str" cm="1">
        <f t="array" ref="AV41">INDEX(_xlfn.TOROW(PixelPatternTable),HEX2DEC(AE41)-$T$1+1)</f>
        <v>AC</v>
      </c>
      <c r="AW41" s="5" t="str" cm="1">
        <f t="array" ref="AW41">INDEX(_xlfn.TOROW(PixelPatternTable),HEX2DEC(AF41)-$T$1+1)</f>
        <v>B0</v>
      </c>
      <c r="AX41" s="5" t="str" cm="1">
        <f t="array" ref="AX41">INDEX(_xlfn.TOROW(PixelPatternTable),HEX2DEC(AG41)-$T$1+1)</f>
        <v>B4</v>
      </c>
      <c r="AY41" s="5" t="str" cm="1">
        <f t="array" ref="AY41">INDEX(_xlfn.TOROW(PixelPatternTable),HEX2DEC(AH41)-$T$1+1)</f>
        <v>B8</v>
      </c>
      <c r="AZ41" s="5" t="str" cm="1">
        <f t="array" ref="AZ41">INDEX(_xlfn.TOROW(PixelPatternTable),HEX2DEC(AI41)-$T$1+1)</f>
        <v>BC</v>
      </c>
    </row>
    <row r="42" spans="1:52" x14ac:dyDescent="0.3">
      <c r="A42" s="58" t="str">
        <f t="shared" si="20"/>
        <v>A470</v>
      </c>
      <c r="B42" s="73" t="str">
        <f>pixel_shift_table.asm!C42</f>
        <v>3E</v>
      </c>
      <c r="C42" s="74" t="str">
        <f>pixel_shift_table.asm!D42</f>
        <v>86</v>
      </c>
      <c r="D42" s="74" t="str">
        <f>pixel_shift_table.asm!E42</f>
        <v>C8</v>
      </c>
      <c r="E42" s="74" t="str">
        <f>pixel_shift_table.asm!F42</f>
        <v>96</v>
      </c>
      <c r="F42" s="74" t="str">
        <f>pixel_shift_table.asm!G42</f>
        <v>EA</v>
      </c>
      <c r="G42" s="74" t="str">
        <f>pixel_shift_table.asm!H42</f>
        <v>A6</v>
      </c>
      <c r="H42" s="74" t="str">
        <f>pixel_shift_table.asm!I42</f>
        <v>D8</v>
      </c>
      <c r="I42" s="74" t="str">
        <f>pixel_shift_table.asm!J42</f>
        <v>B6</v>
      </c>
      <c r="J42" s="74" t="str">
        <f>pixel_shift_table.asm!K42</f>
        <v>7C</v>
      </c>
      <c r="K42" s="74" t="str">
        <f>pixel_shift_table.asm!L42</f>
        <v>C6</v>
      </c>
      <c r="L42" s="74" t="str">
        <f>pixel_shift_table.asm!M42</f>
        <v>E8</v>
      </c>
      <c r="M42" s="74" t="str">
        <f>pixel_shift_table.asm!N42</f>
        <v>D6</v>
      </c>
      <c r="N42" s="74" t="str">
        <f>pixel_shift_table.asm!O42</f>
        <v>FA</v>
      </c>
      <c r="O42" s="74" t="str">
        <f>pixel_shift_table.asm!P42</f>
        <v>E6</v>
      </c>
      <c r="P42" s="74" t="str">
        <f>pixel_shift_table.asm!Q42</f>
        <v>F8</v>
      </c>
      <c r="Q42" s="74" t="str">
        <f>pixel_shift_table.asm!R42</f>
        <v>F6</v>
      </c>
      <c r="S42">
        <f t="shared" si="62"/>
        <v>112</v>
      </c>
      <c r="T42" s="5" t="str">
        <f t="shared" si="63"/>
        <v>A93E</v>
      </c>
      <c r="U42" s="5" t="str">
        <f t="shared" si="64"/>
        <v>AC86</v>
      </c>
      <c r="V42" s="5" t="str">
        <f t="shared" si="65"/>
        <v>AAC8</v>
      </c>
      <c r="W42" s="5" t="str">
        <f t="shared" si="66"/>
        <v>AC96</v>
      </c>
      <c r="X42" s="5" t="str">
        <f t="shared" si="67"/>
        <v>A9EA</v>
      </c>
      <c r="Y42" s="5" t="str">
        <f t="shared" si="68"/>
        <v>ACA6</v>
      </c>
      <c r="Z42" s="5" t="str">
        <f t="shared" si="69"/>
        <v>AAD8</v>
      </c>
      <c r="AA42" s="5" t="str">
        <f t="shared" si="70"/>
        <v>ACB6</v>
      </c>
      <c r="AB42" s="5" t="str">
        <f t="shared" si="71"/>
        <v>A97C</v>
      </c>
      <c r="AC42" s="5" t="str">
        <f t="shared" si="72"/>
        <v>ACC6</v>
      </c>
      <c r="AD42" s="5" t="str">
        <f t="shared" si="73"/>
        <v>AAE8</v>
      </c>
      <c r="AE42" s="5" t="str">
        <f t="shared" si="74"/>
        <v>ACD6</v>
      </c>
      <c r="AF42" s="5" t="str">
        <f t="shared" si="75"/>
        <v>A9FA</v>
      </c>
      <c r="AG42" s="5" t="str">
        <f t="shared" si="76"/>
        <v>ACE6</v>
      </c>
      <c r="AH42" s="5" t="str">
        <f t="shared" si="77"/>
        <v>AAF8</v>
      </c>
      <c r="AI42" s="5" t="str">
        <f t="shared" si="78"/>
        <v>ACF6</v>
      </c>
      <c r="AK42" s="5" t="str" cm="1">
        <f t="array" ref="AK42">INDEX(_xlfn.TOROW(PixelPatternTable),HEX2DEC(T42)-$T$1+1)</f>
        <v>C0</v>
      </c>
      <c r="AL42" s="5" t="str" cm="1">
        <f t="array" ref="AL42">INDEX(_xlfn.TOROW(PixelPatternTable),HEX2DEC(U42)-$T$1+1)</f>
        <v>C4</v>
      </c>
      <c r="AM42" s="5" t="str" cm="1">
        <f t="array" ref="AM42">INDEX(_xlfn.TOROW(PixelPatternTable),HEX2DEC(V42)-$T$1+1)</f>
        <v>C8</v>
      </c>
      <c r="AN42" s="5" t="str" cm="1">
        <f t="array" ref="AN42">INDEX(_xlfn.TOROW(PixelPatternTable),HEX2DEC(W42)-$T$1+1)</f>
        <v>CC</v>
      </c>
      <c r="AO42" s="5" t="str" cm="1">
        <f t="array" ref="AO42">INDEX(_xlfn.TOROW(PixelPatternTable),HEX2DEC(X42)-$T$1+1)</f>
        <v>D0</v>
      </c>
      <c r="AP42" s="5" t="str" cm="1">
        <f t="array" ref="AP42">INDEX(_xlfn.TOROW(PixelPatternTable),HEX2DEC(Y42)-$T$1+1)</f>
        <v>D4</v>
      </c>
      <c r="AQ42" s="5" t="str" cm="1">
        <f t="array" ref="AQ42">INDEX(_xlfn.TOROW(PixelPatternTable),HEX2DEC(Z42)-$T$1+1)</f>
        <v>D8</v>
      </c>
      <c r="AR42" s="5" t="str" cm="1">
        <f t="array" ref="AR42">INDEX(_xlfn.TOROW(PixelPatternTable),HEX2DEC(AA42)-$T$1+1)</f>
        <v>DC</v>
      </c>
      <c r="AS42" s="5" t="str" cm="1">
        <f t="array" ref="AS42">INDEX(_xlfn.TOROW(PixelPatternTable),HEX2DEC(AB42)-$T$1+1)</f>
        <v>E0</v>
      </c>
      <c r="AT42" s="5" t="str" cm="1">
        <f t="array" ref="AT42">INDEX(_xlfn.TOROW(PixelPatternTable),HEX2DEC(AC42)-$T$1+1)</f>
        <v>E4</v>
      </c>
      <c r="AU42" s="5" t="str" cm="1">
        <f t="array" ref="AU42">INDEX(_xlfn.TOROW(PixelPatternTable),HEX2DEC(AD42)-$T$1+1)</f>
        <v>E8</v>
      </c>
      <c r="AV42" s="5" t="str" cm="1">
        <f t="array" ref="AV42">INDEX(_xlfn.TOROW(PixelPatternTable),HEX2DEC(AE42)-$T$1+1)</f>
        <v>EC</v>
      </c>
      <c r="AW42" s="5" t="str" cm="1">
        <f t="array" ref="AW42">INDEX(_xlfn.TOROW(PixelPatternTable),HEX2DEC(AF42)-$T$1+1)</f>
        <v>F0</v>
      </c>
      <c r="AX42" s="5" t="str" cm="1">
        <f t="array" ref="AX42">INDEX(_xlfn.TOROW(PixelPatternTable),HEX2DEC(AG42)-$T$1+1)</f>
        <v>F4</v>
      </c>
      <c r="AY42" s="5" t="str" cm="1">
        <f t="array" ref="AY42">INDEX(_xlfn.TOROW(PixelPatternTable),HEX2DEC(AH42)-$T$1+1)</f>
        <v>F8</v>
      </c>
      <c r="AZ42" s="5" t="str" cm="1">
        <f t="array" ref="AZ42">INDEX(_xlfn.TOROW(PixelPatternTable),HEX2DEC(AI42)-$T$1+1)</f>
        <v>FC</v>
      </c>
    </row>
    <row r="43" spans="1:52" x14ac:dyDescent="0.3">
      <c r="A43" s="5" t="str">
        <f t="shared" si="20"/>
        <v>A480</v>
      </c>
      <c r="B43" s="69" t="str">
        <f>pixel_shift_table.asm!C43</f>
        <v>A9</v>
      </c>
      <c r="C43" s="70" t="str">
        <f>pixel_shift_table.asm!D43</f>
        <v>A9</v>
      </c>
      <c r="D43" s="70" t="str">
        <f>pixel_shift_table.asm!E43</f>
        <v>A9</v>
      </c>
      <c r="E43" s="70" t="str">
        <f>pixel_shift_table.asm!F43</f>
        <v>A9</v>
      </c>
      <c r="F43" s="70" t="str">
        <f>pixel_shift_table.asm!G43</f>
        <v>A9</v>
      </c>
      <c r="G43" s="70" t="str">
        <f>pixel_shift_table.asm!H43</f>
        <v>A9</v>
      </c>
      <c r="H43" s="70" t="str">
        <f>pixel_shift_table.asm!I43</f>
        <v>A9</v>
      </c>
      <c r="I43" s="70" t="str">
        <f>pixel_shift_table.asm!J43</f>
        <v>A9</v>
      </c>
      <c r="J43" s="70" t="str">
        <f>pixel_shift_table.asm!K43</f>
        <v>A9</v>
      </c>
      <c r="K43" s="70" t="str">
        <f>pixel_shift_table.asm!L43</f>
        <v>A9</v>
      </c>
      <c r="L43" s="70" t="str">
        <f>pixel_shift_table.asm!M43</f>
        <v>A9</v>
      </c>
      <c r="M43" s="70" t="str">
        <f>pixel_shift_table.asm!N43</f>
        <v>A9</v>
      </c>
      <c r="N43" s="70" t="str">
        <f>pixel_shift_table.asm!O43</f>
        <v>A9</v>
      </c>
      <c r="O43" s="70" t="str">
        <f>pixel_shift_table.asm!P43</f>
        <v>A9</v>
      </c>
      <c r="P43" s="70" t="str">
        <f>pixel_shift_table.asm!Q43</f>
        <v>A9</v>
      </c>
      <c r="Q43" s="70" t="str">
        <f>pixel_shift_table.asm!R43</f>
        <v>A9</v>
      </c>
      <c r="S43">
        <f t="shared" si="62"/>
        <v>128</v>
      </c>
      <c r="T43" s="5" t="str">
        <f t="shared" si="63"/>
        <v>A901</v>
      </c>
      <c r="U43" s="5" t="str">
        <f t="shared" si="64"/>
        <v>A907</v>
      </c>
      <c r="V43" s="5" t="str">
        <f t="shared" si="65"/>
        <v>A909</v>
      </c>
      <c r="W43" s="5" t="str">
        <f t="shared" si="66"/>
        <v>A917</v>
      </c>
      <c r="X43" s="5" t="str">
        <f t="shared" si="67"/>
        <v>A90B</v>
      </c>
      <c r="Y43" s="5" t="str">
        <f t="shared" si="68"/>
        <v>A927</v>
      </c>
      <c r="Z43" s="5" t="str">
        <f t="shared" si="69"/>
        <v>A919</v>
      </c>
      <c r="AA43" s="5" t="str">
        <f t="shared" si="70"/>
        <v>A937</v>
      </c>
      <c r="AB43" s="5" t="str">
        <f t="shared" si="71"/>
        <v>A90D</v>
      </c>
      <c r="AC43" s="5" t="str">
        <f t="shared" si="72"/>
        <v>A947</v>
      </c>
      <c r="AD43" s="5" t="str">
        <f t="shared" si="73"/>
        <v>A929</v>
      </c>
      <c r="AE43" s="5" t="str">
        <f t="shared" si="74"/>
        <v>A957</v>
      </c>
      <c r="AF43" s="5" t="str">
        <f t="shared" si="75"/>
        <v>A91B</v>
      </c>
      <c r="AG43" s="5" t="str">
        <f t="shared" si="76"/>
        <v>A967</v>
      </c>
      <c r="AH43" s="5" t="str">
        <f t="shared" si="77"/>
        <v>A939</v>
      </c>
      <c r="AI43" s="5" t="str">
        <f t="shared" si="78"/>
        <v>A977</v>
      </c>
      <c r="AK43" s="5" t="str" cm="1">
        <f t="array" ref="AK43">INDEX(_xlfn.TOROW(PixelPatternTable),HEX2DEC(T43)-$T$1+1)</f>
        <v>80</v>
      </c>
      <c r="AL43" s="5" t="str" cm="1">
        <f t="array" ref="AL43">INDEX(_xlfn.TOROW(PixelPatternTable),HEX2DEC(U43)-$T$1+1)</f>
        <v>80</v>
      </c>
      <c r="AM43" s="5" t="str" cm="1">
        <f t="array" ref="AM43">INDEX(_xlfn.TOROW(PixelPatternTable),HEX2DEC(V43)-$T$1+1)</f>
        <v>80</v>
      </c>
      <c r="AN43" s="5" t="str" cm="1">
        <f t="array" ref="AN43">INDEX(_xlfn.TOROW(PixelPatternTable),HEX2DEC(W43)-$T$1+1)</f>
        <v>80</v>
      </c>
      <c r="AO43" s="5" t="str" cm="1">
        <f t="array" ref="AO43">INDEX(_xlfn.TOROW(PixelPatternTable),HEX2DEC(X43)-$T$1+1)</f>
        <v>80</v>
      </c>
      <c r="AP43" s="5" t="str" cm="1">
        <f t="array" ref="AP43">INDEX(_xlfn.TOROW(PixelPatternTable),HEX2DEC(Y43)-$T$1+1)</f>
        <v>80</v>
      </c>
      <c r="AQ43" s="5" t="str" cm="1">
        <f t="array" ref="AQ43">INDEX(_xlfn.TOROW(PixelPatternTable),HEX2DEC(Z43)-$T$1+1)</f>
        <v>80</v>
      </c>
      <c r="AR43" s="5" t="str" cm="1">
        <f t="array" ref="AR43">INDEX(_xlfn.TOROW(PixelPatternTable),HEX2DEC(AA43)-$T$1+1)</f>
        <v>80</v>
      </c>
      <c r="AS43" s="5" t="str" cm="1">
        <f t="array" ref="AS43">INDEX(_xlfn.TOROW(PixelPatternTable),HEX2DEC(AB43)-$T$1+1)</f>
        <v>80</v>
      </c>
      <c r="AT43" s="5" t="str" cm="1">
        <f t="array" ref="AT43">INDEX(_xlfn.TOROW(PixelPatternTable),HEX2DEC(AC43)-$T$1+1)</f>
        <v>80</v>
      </c>
      <c r="AU43" s="5" t="str" cm="1">
        <f t="array" ref="AU43">INDEX(_xlfn.TOROW(PixelPatternTable),HEX2DEC(AD43)-$T$1+1)</f>
        <v>80</v>
      </c>
      <c r="AV43" s="5" t="str" cm="1">
        <f t="array" ref="AV43">INDEX(_xlfn.TOROW(PixelPatternTable),HEX2DEC(AE43)-$T$1+1)</f>
        <v>80</v>
      </c>
      <c r="AW43" s="5" t="str" cm="1">
        <f t="array" ref="AW43">INDEX(_xlfn.TOROW(PixelPatternTable),HEX2DEC(AF43)-$T$1+1)</f>
        <v>80</v>
      </c>
      <c r="AX43" s="5" t="str" cm="1">
        <f t="array" ref="AX43">INDEX(_xlfn.TOROW(PixelPatternTable),HEX2DEC(AG43)-$T$1+1)</f>
        <v>80</v>
      </c>
      <c r="AY43" s="5" t="str" cm="1">
        <f t="array" ref="AY43">INDEX(_xlfn.TOROW(PixelPatternTable),HEX2DEC(AH43)-$T$1+1)</f>
        <v>80</v>
      </c>
      <c r="AZ43" s="5" t="str" cm="1">
        <f t="array" ref="AZ43">INDEX(_xlfn.TOROW(PixelPatternTable),HEX2DEC(AI43)-$T$1+1)</f>
        <v>80</v>
      </c>
    </row>
    <row r="44" spans="1:52" x14ac:dyDescent="0.3">
      <c r="A44" s="5" t="str">
        <f t="shared" si="20"/>
        <v>A490</v>
      </c>
      <c r="B44" s="71" t="str">
        <f>pixel_shift_table.asm!C44</f>
        <v>A9</v>
      </c>
      <c r="C44" s="72" t="str">
        <f>pixel_shift_table.asm!D44</f>
        <v>A9</v>
      </c>
      <c r="D44" s="72" t="str">
        <f>pixel_shift_table.asm!E44</f>
        <v>A9</v>
      </c>
      <c r="E44" s="72" t="str">
        <f>pixel_shift_table.asm!F44</f>
        <v>A9</v>
      </c>
      <c r="F44" s="72" t="str">
        <f>pixel_shift_table.asm!G44</f>
        <v>A9</v>
      </c>
      <c r="G44" s="72" t="str">
        <f>pixel_shift_table.asm!H44</f>
        <v>A9</v>
      </c>
      <c r="H44" s="72" t="str">
        <f>pixel_shift_table.asm!I44</f>
        <v>A9</v>
      </c>
      <c r="I44" s="72" t="str">
        <f>pixel_shift_table.asm!J44</f>
        <v>A9</v>
      </c>
      <c r="J44" s="72" t="str">
        <f>pixel_shift_table.asm!K44</f>
        <v>A9</v>
      </c>
      <c r="K44" s="72" t="str">
        <f>pixel_shift_table.asm!L44</f>
        <v>A9</v>
      </c>
      <c r="L44" s="72" t="str">
        <f>pixel_shift_table.asm!M44</f>
        <v>A9</v>
      </c>
      <c r="M44" s="72" t="str">
        <f>pixel_shift_table.asm!N44</f>
        <v>A9</v>
      </c>
      <c r="N44" s="72" t="str">
        <f>pixel_shift_table.asm!O44</f>
        <v>A9</v>
      </c>
      <c r="O44" s="72" t="str">
        <f>pixel_shift_table.asm!P44</f>
        <v>A9</v>
      </c>
      <c r="P44" s="72" t="str">
        <f>pixel_shift_table.asm!Q44</f>
        <v>A9</v>
      </c>
      <c r="Q44" s="72" t="str">
        <f>pixel_shift_table.asm!R44</f>
        <v>A9</v>
      </c>
      <c r="S44">
        <f t="shared" si="62"/>
        <v>144</v>
      </c>
      <c r="T44" s="5" t="str">
        <f t="shared" si="63"/>
        <v>A90F</v>
      </c>
      <c r="U44" s="5" t="str">
        <f t="shared" si="64"/>
        <v>A987</v>
      </c>
      <c r="V44" s="5" t="str">
        <f t="shared" si="65"/>
        <v>A949</v>
      </c>
      <c r="W44" s="5" t="str">
        <f t="shared" si="66"/>
        <v>A997</v>
      </c>
      <c r="X44" s="5" t="str">
        <f t="shared" si="67"/>
        <v>A92B</v>
      </c>
      <c r="Y44" s="5" t="str">
        <f t="shared" si="68"/>
        <v>A9A7</v>
      </c>
      <c r="Z44" s="5" t="str">
        <f t="shared" si="69"/>
        <v>A959</v>
      </c>
      <c r="AA44" s="5" t="str">
        <f t="shared" si="70"/>
        <v>A9B7</v>
      </c>
      <c r="AB44" s="5" t="str">
        <f t="shared" si="71"/>
        <v>A91D</v>
      </c>
      <c r="AC44" s="5" t="str">
        <f t="shared" si="72"/>
        <v>A9C7</v>
      </c>
      <c r="AD44" s="5" t="str">
        <f t="shared" si="73"/>
        <v>A969</v>
      </c>
      <c r="AE44" s="5" t="str">
        <f t="shared" si="74"/>
        <v>A9D7</v>
      </c>
      <c r="AF44" s="5" t="str">
        <f t="shared" si="75"/>
        <v>A93B</v>
      </c>
      <c r="AG44" s="5" t="str">
        <f t="shared" si="76"/>
        <v>A9E7</v>
      </c>
      <c r="AH44" s="5" t="str">
        <f t="shared" si="77"/>
        <v>A979</v>
      </c>
      <c r="AI44" s="5" t="str">
        <f t="shared" si="78"/>
        <v>A9F7</v>
      </c>
      <c r="AK44" s="5" t="str" cm="1">
        <f t="array" ref="AK44">INDEX(_xlfn.TOROW(PixelPatternTable),HEX2DEC(T44)-$T$1+1)</f>
        <v>80</v>
      </c>
      <c r="AL44" s="5" t="str" cm="1">
        <f t="array" ref="AL44">INDEX(_xlfn.TOROW(PixelPatternTable),HEX2DEC(U44)-$T$1+1)</f>
        <v>80</v>
      </c>
      <c r="AM44" s="5" t="str" cm="1">
        <f t="array" ref="AM44">INDEX(_xlfn.TOROW(PixelPatternTable),HEX2DEC(V44)-$T$1+1)</f>
        <v>80</v>
      </c>
      <c r="AN44" s="5" t="str" cm="1">
        <f t="array" ref="AN44">INDEX(_xlfn.TOROW(PixelPatternTable),HEX2DEC(W44)-$T$1+1)</f>
        <v>80</v>
      </c>
      <c r="AO44" s="5" t="str" cm="1">
        <f t="array" ref="AO44">INDEX(_xlfn.TOROW(PixelPatternTable),HEX2DEC(X44)-$T$1+1)</f>
        <v>80</v>
      </c>
      <c r="AP44" s="5" t="str" cm="1">
        <f t="array" ref="AP44">INDEX(_xlfn.TOROW(PixelPatternTable),HEX2DEC(Y44)-$T$1+1)</f>
        <v>80</v>
      </c>
      <c r="AQ44" s="5" t="str" cm="1">
        <f t="array" ref="AQ44">INDEX(_xlfn.TOROW(PixelPatternTable),HEX2DEC(Z44)-$T$1+1)</f>
        <v>80</v>
      </c>
      <c r="AR44" s="5" t="str" cm="1">
        <f t="array" ref="AR44">INDEX(_xlfn.TOROW(PixelPatternTable),HEX2DEC(AA44)-$T$1+1)</f>
        <v>80</v>
      </c>
      <c r="AS44" s="5" t="str" cm="1">
        <f t="array" ref="AS44">INDEX(_xlfn.TOROW(PixelPatternTable),HEX2DEC(AB44)-$T$1+1)</f>
        <v>80</v>
      </c>
      <c r="AT44" s="5" t="str" cm="1">
        <f t="array" ref="AT44">INDEX(_xlfn.TOROW(PixelPatternTable),HEX2DEC(AC44)-$T$1+1)</f>
        <v>80</v>
      </c>
      <c r="AU44" s="5" t="str" cm="1">
        <f t="array" ref="AU44">INDEX(_xlfn.TOROW(PixelPatternTable),HEX2DEC(AD44)-$T$1+1)</f>
        <v>80</v>
      </c>
      <c r="AV44" s="5" t="str" cm="1">
        <f t="array" ref="AV44">INDEX(_xlfn.TOROW(PixelPatternTable),HEX2DEC(AE44)-$T$1+1)</f>
        <v>80</v>
      </c>
      <c r="AW44" s="5" t="str" cm="1">
        <f t="array" ref="AW44">INDEX(_xlfn.TOROW(PixelPatternTable),HEX2DEC(AF44)-$T$1+1)</f>
        <v>80</v>
      </c>
      <c r="AX44" s="5" t="str" cm="1">
        <f t="array" ref="AX44">INDEX(_xlfn.TOROW(PixelPatternTable),HEX2DEC(AG44)-$T$1+1)</f>
        <v>80</v>
      </c>
      <c r="AY44" s="5" t="str" cm="1">
        <f t="array" ref="AY44">INDEX(_xlfn.TOROW(PixelPatternTable),HEX2DEC(AH44)-$T$1+1)</f>
        <v>80</v>
      </c>
      <c r="AZ44" s="5" t="str" cm="1">
        <f t="array" ref="AZ44">INDEX(_xlfn.TOROW(PixelPatternTable),HEX2DEC(AI44)-$T$1+1)</f>
        <v>80</v>
      </c>
    </row>
    <row r="45" spans="1:52" x14ac:dyDescent="0.3">
      <c r="A45" s="5" t="str">
        <f t="shared" si="20"/>
        <v>A4A0</v>
      </c>
      <c r="B45" s="71" t="str">
        <f>pixel_shift_table.asm!C45</f>
        <v>A9</v>
      </c>
      <c r="C45" s="72" t="str">
        <f>pixel_shift_table.asm!D45</f>
        <v>AA</v>
      </c>
      <c r="D45" s="72" t="str">
        <f>pixel_shift_table.asm!E45</f>
        <v>A9</v>
      </c>
      <c r="E45" s="72" t="str">
        <f>pixel_shift_table.asm!F45</f>
        <v>AA</v>
      </c>
      <c r="F45" s="72" t="str">
        <f>pixel_shift_table.asm!G45</f>
        <v>A9</v>
      </c>
      <c r="G45" s="72" t="str">
        <f>pixel_shift_table.asm!H45</f>
        <v>AA</v>
      </c>
      <c r="H45" s="72" t="str">
        <f>pixel_shift_table.asm!I45</f>
        <v>A9</v>
      </c>
      <c r="I45" s="72" t="str">
        <f>pixel_shift_table.asm!J45</f>
        <v>AA</v>
      </c>
      <c r="J45" s="72" t="str">
        <f>pixel_shift_table.asm!K45</f>
        <v>A9</v>
      </c>
      <c r="K45" s="72" t="str">
        <f>pixel_shift_table.asm!L45</f>
        <v>AA</v>
      </c>
      <c r="L45" s="72" t="str">
        <f>pixel_shift_table.asm!M45</f>
        <v>A9</v>
      </c>
      <c r="M45" s="72" t="str">
        <f>pixel_shift_table.asm!N45</f>
        <v>AA</v>
      </c>
      <c r="N45" s="72" t="str">
        <f>pixel_shift_table.asm!O45</f>
        <v>A9</v>
      </c>
      <c r="O45" s="72" t="str">
        <f>pixel_shift_table.asm!P45</f>
        <v>AA</v>
      </c>
      <c r="P45" s="72" t="str">
        <f>pixel_shift_table.asm!Q45</f>
        <v>A9</v>
      </c>
      <c r="Q45" s="72" t="str">
        <f>pixel_shift_table.asm!R45</f>
        <v>AA</v>
      </c>
      <c r="S45">
        <f t="shared" si="62"/>
        <v>160</v>
      </c>
      <c r="T45" s="5" t="str">
        <f t="shared" si="63"/>
        <v>A911</v>
      </c>
      <c r="U45" s="5" t="str">
        <f t="shared" si="64"/>
        <v>AA07</v>
      </c>
      <c r="V45" s="5" t="str">
        <f t="shared" si="65"/>
        <v>A989</v>
      </c>
      <c r="W45" s="5" t="str">
        <f t="shared" si="66"/>
        <v>AA17</v>
      </c>
      <c r="X45" s="5" t="str">
        <f t="shared" si="67"/>
        <v>A94B</v>
      </c>
      <c r="Y45" s="5" t="str">
        <f t="shared" si="68"/>
        <v>AA27</v>
      </c>
      <c r="Z45" s="5" t="str">
        <f t="shared" si="69"/>
        <v>A999</v>
      </c>
      <c r="AA45" s="5" t="str">
        <f t="shared" si="70"/>
        <v>AA37</v>
      </c>
      <c r="AB45" s="5" t="str">
        <f t="shared" si="71"/>
        <v>A92D</v>
      </c>
      <c r="AC45" s="5" t="str">
        <f t="shared" si="72"/>
        <v>AA47</v>
      </c>
      <c r="AD45" s="5" t="str">
        <f t="shared" si="73"/>
        <v>A9A9</v>
      </c>
      <c r="AE45" s="5" t="str">
        <f t="shared" si="74"/>
        <v>AA57</v>
      </c>
      <c r="AF45" s="5" t="str">
        <f t="shared" si="75"/>
        <v>A95B</v>
      </c>
      <c r="AG45" s="5" t="str">
        <f t="shared" si="76"/>
        <v>AA67</v>
      </c>
      <c r="AH45" s="5" t="str">
        <f t="shared" si="77"/>
        <v>A9B9</v>
      </c>
      <c r="AI45" s="5" t="str">
        <f t="shared" si="78"/>
        <v>AA77</v>
      </c>
      <c r="AK45" s="5" t="str" cm="1">
        <f t="array" ref="AK45">INDEX(_xlfn.TOROW(PixelPatternTable),HEX2DEC(T45)-$T$1+1)</f>
        <v>81</v>
      </c>
      <c r="AL45" s="5" t="str" cm="1">
        <f t="array" ref="AL45">INDEX(_xlfn.TOROW(PixelPatternTable),HEX2DEC(U45)-$T$1+1)</f>
        <v>81</v>
      </c>
      <c r="AM45" s="5" t="str" cm="1">
        <f t="array" ref="AM45">INDEX(_xlfn.TOROW(PixelPatternTable),HEX2DEC(V45)-$T$1+1)</f>
        <v>81</v>
      </c>
      <c r="AN45" s="5" t="str" cm="1">
        <f t="array" ref="AN45">INDEX(_xlfn.TOROW(PixelPatternTable),HEX2DEC(W45)-$T$1+1)</f>
        <v>81</v>
      </c>
      <c r="AO45" s="5" t="str" cm="1">
        <f t="array" ref="AO45">INDEX(_xlfn.TOROW(PixelPatternTable),HEX2DEC(X45)-$T$1+1)</f>
        <v>81</v>
      </c>
      <c r="AP45" s="5" t="str" cm="1">
        <f t="array" ref="AP45">INDEX(_xlfn.TOROW(PixelPatternTable),HEX2DEC(Y45)-$T$1+1)</f>
        <v>81</v>
      </c>
      <c r="AQ45" s="5" t="str" cm="1">
        <f t="array" ref="AQ45">INDEX(_xlfn.TOROW(PixelPatternTable),HEX2DEC(Z45)-$T$1+1)</f>
        <v>81</v>
      </c>
      <c r="AR45" s="5" t="str" cm="1">
        <f t="array" ref="AR45">INDEX(_xlfn.TOROW(PixelPatternTable),HEX2DEC(AA45)-$T$1+1)</f>
        <v>81</v>
      </c>
      <c r="AS45" s="5" t="str" cm="1">
        <f t="array" ref="AS45">INDEX(_xlfn.TOROW(PixelPatternTable),HEX2DEC(AB45)-$T$1+1)</f>
        <v>81</v>
      </c>
      <c r="AT45" s="5" t="str" cm="1">
        <f t="array" ref="AT45">INDEX(_xlfn.TOROW(PixelPatternTable),HEX2DEC(AC45)-$T$1+1)</f>
        <v>81</v>
      </c>
      <c r="AU45" s="5" t="str" cm="1">
        <f t="array" ref="AU45">INDEX(_xlfn.TOROW(PixelPatternTable),HEX2DEC(AD45)-$T$1+1)</f>
        <v>81</v>
      </c>
      <c r="AV45" s="5" t="str" cm="1">
        <f t="array" ref="AV45">INDEX(_xlfn.TOROW(PixelPatternTable),HEX2DEC(AE45)-$T$1+1)</f>
        <v>81</v>
      </c>
      <c r="AW45" s="5" t="str" cm="1">
        <f t="array" ref="AW45">INDEX(_xlfn.TOROW(PixelPatternTable),HEX2DEC(AF45)-$T$1+1)</f>
        <v>81</v>
      </c>
      <c r="AX45" s="5" t="str" cm="1">
        <f t="array" ref="AX45">INDEX(_xlfn.TOROW(PixelPatternTable),HEX2DEC(AG45)-$T$1+1)</f>
        <v>81</v>
      </c>
      <c r="AY45" s="5" t="str" cm="1">
        <f t="array" ref="AY45">INDEX(_xlfn.TOROW(PixelPatternTable),HEX2DEC(AH45)-$T$1+1)</f>
        <v>81</v>
      </c>
      <c r="AZ45" s="5" t="str" cm="1">
        <f t="array" ref="AZ45">INDEX(_xlfn.TOROW(PixelPatternTable),HEX2DEC(AI45)-$T$1+1)</f>
        <v>81</v>
      </c>
    </row>
    <row r="46" spans="1:52" x14ac:dyDescent="0.3">
      <c r="A46" s="5" t="str">
        <f t="shared" si="20"/>
        <v>A4B0</v>
      </c>
      <c r="B46" s="71" t="str">
        <f>pixel_shift_table.asm!C46</f>
        <v>A9</v>
      </c>
      <c r="C46" s="72" t="str">
        <f>pixel_shift_table.asm!D46</f>
        <v>AA</v>
      </c>
      <c r="D46" s="72" t="str">
        <f>pixel_shift_table.asm!E46</f>
        <v>A9</v>
      </c>
      <c r="E46" s="72" t="str">
        <f>pixel_shift_table.asm!F46</f>
        <v>AA</v>
      </c>
      <c r="F46" s="72" t="str">
        <f>pixel_shift_table.asm!G46</f>
        <v>A9</v>
      </c>
      <c r="G46" s="72" t="str">
        <f>pixel_shift_table.asm!H46</f>
        <v>AA</v>
      </c>
      <c r="H46" s="72" t="str">
        <f>pixel_shift_table.asm!I46</f>
        <v>A9</v>
      </c>
      <c r="I46" s="72" t="str">
        <f>pixel_shift_table.asm!J46</f>
        <v>AA</v>
      </c>
      <c r="J46" s="72" t="str">
        <f>pixel_shift_table.asm!K46</f>
        <v>A9</v>
      </c>
      <c r="K46" s="72" t="str">
        <f>pixel_shift_table.asm!L46</f>
        <v>AA</v>
      </c>
      <c r="L46" s="72" t="str">
        <f>pixel_shift_table.asm!M46</f>
        <v>A9</v>
      </c>
      <c r="M46" s="72" t="str">
        <f>pixel_shift_table.asm!N46</f>
        <v>AA</v>
      </c>
      <c r="N46" s="72" t="str">
        <f>pixel_shift_table.asm!O46</f>
        <v>A9</v>
      </c>
      <c r="O46" s="72" t="str">
        <f>pixel_shift_table.asm!P46</f>
        <v>AA</v>
      </c>
      <c r="P46" s="72" t="str">
        <f>pixel_shift_table.asm!Q46</f>
        <v>A9</v>
      </c>
      <c r="Q46" s="72" t="str">
        <f>pixel_shift_table.asm!R46</f>
        <v>AA</v>
      </c>
      <c r="S46">
        <f t="shared" si="62"/>
        <v>176</v>
      </c>
      <c r="T46" s="5" t="str">
        <f t="shared" si="63"/>
        <v>A91F</v>
      </c>
      <c r="U46" s="5" t="str">
        <f t="shared" si="64"/>
        <v>AA87</v>
      </c>
      <c r="V46" s="5" t="str">
        <f t="shared" si="65"/>
        <v>A9C9</v>
      </c>
      <c r="W46" s="5" t="str">
        <f t="shared" si="66"/>
        <v>AA97</v>
      </c>
      <c r="X46" s="5" t="str">
        <f t="shared" si="67"/>
        <v>A96B</v>
      </c>
      <c r="Y46" s="5" t="str">
        <f t="shared" si="68"/>
        <v>AAA7</v>
      </c>
      <c r="Z46" s="5" t="str">
        <f t="shared" si="69"/>
        <v>A9D9</v>
      </c>
      <c r="AA46" s="5" t="str">
        <f t="shared" si="70"/>
        <v>AAB7</v>
      </c>
      <c r="AB46" s="5" t="str">
        <f t="shared" si="71"/>
        <v>A93D</v>
      </c>
      <c r="AC46" s="5" t="str">
        <f t="shared" si="72"/>
        <v>AAC7</v>
      </c>
      <c r="AD46" s="5" t="str">
        <f t="shared" si="73"/>
        <v>A9E9</v>
      </c>
      <c r="AE46" s="5" t="str">
        <f t="shared" si="74"/>
        <v>AAD7</v>
      </c>
      <c r="AF46" s="5" t="str">
        <f t="shared" si="75"/>
        <v>A97B</v>
      </c>
      <c r="AG46" s="5" t="str">
        <f t="shared" si="76"/>
        <v>AAE7</v>
      </c>
      <c r="AH46" s="5" t="str">
        <f t="shared" si="77"/>
        <v>A9F9</v>
      </c>
      <c r="AI46" s="5" t="str">
        <f t="shared" si="78"/>
        <v>AAF7</v>
      </c>
      <c r="AK46" s="5" t="str" cm="1">
        <f t="array" ref="AK46">INDEX(_xlfn.TOROW(PixelPatternTable),HEX2DEC(T46)-$T$1+1)</f>
        <v>81</v>
      </c>
      <c r="AL46" s="5" t="str" cm="1">
        <f t="array" ref="AL46">INDEX(_xlfn.TOROW(PixelPatternTable),HEX2DEC(U46)-$T$1+1)</f>
        <v>81</v>
      </c>
      <c r="AM46" s="5" t="str" cm="1">
        <f t="array" ref="AM46">INDEX(_xlfn.TOROW(PixelPatternTable),HEX2DEC(V46)-$T$1+1)</f>
        <v>81</v>
      </c>
      <c r="AN46" s="5" t="str" cm="1">
        <f t="array" ref="AN46">INDEX(_xlfn.TOROW(PixelPatternTable),HEX2DEC(W46)-$T$1+1)</f>
        <v>81</v>
      </c>
      <c r="AO46" s="5" t="str" cm="1">
        <f t="array" ref="AO46">INDEX(_xlfn.TOROW(PixelPatternTable),HEX2DEC(X46)-$T$1+1)</f>
        <v>81</v>
      </c>
      <c r="AP46" s="5" t="str" cm="1">
        <f t="array" ref="AP46">INDEX(_xlfn.TOROW(PixelPatternTable),HEX2DEC(Y46)-$T$1+1)</f>
        <v>81</v>
      </c>
      <c r="AQ46" s="5" t="str" cm="1">
        <f t="array" ref="AQ46">INDEX(_xlfn.TOROW(PixelPatternTable),HEX2DEC(Z46)-$T$1+1)</f>
        <v>81</v>
      </c>
      <c r="AR46" s="5" t="str" cm="1">
        <f t="array" ref="AR46">INDEX(_xlfn.TOROW(PixelPatternTable),HEX2DEC(AA46)-$T$1+1)</f>
        <v>81</v>
      </c>
      <c r="AS46" s="5" t="str" cm="1">
        <f t="array" ref="AS46">INDEX(_xlfn.TOROW(PixelPatternTable),HEX2DEC(AB46)-$T$1+1)</f>
        <v>81</v>
      </c>
      <c r="AT46" s="5" t="str" cm="1">
        <f t="array" ref="AT46">INDEX(_xlfn.TOROW(PixelPatternTable),HEX2DEC(AC46)-$T$1+1)</f>
        <v>81</v>
      </c>
      <c r="AU46" s="5" t="str" cm="1">
        <f t="array" ref="AU46">INDEX(_xlfn.TOROW(PixelPatternTable),HEX2DEC(AD46)-$T$1+1)</f>
        <v>81</v>
      </c>
      <c r="AV46" s="5" t="str" cm="1">
        <f t="array" ref="AV46">INDEX(_xlfn.TOROW(PixelPatternTable),HEX2DEC(AE46)-$T$1+1)</f>
        <v>81</v>
      </c>
      <c r="AW46" s="5" t="str" cm="1">
        <f t="array" ref="AW46">INDEX(_xlfn.TOROW(PixelPatternTable),HEX2DEC(AF46)-$T$1+1)</f>
        <v>81</v>
      </c>
      <c r="AX46" s="5" t="str" cm="1">
        <f t="array" ref="AX46">INDEX(_xlfn.TOROW(PixelPatternTable),HEX2DEC(AG46)-$T$1+1)</f>
        <v>81</v>
      </c>
      <c r="AY46" s="5" t="str" cm="1">
        <f t="array" ref="AY46">INDEX(_xlfn.TOROW(PixelPatternTable),HEX2DEC(AH46)-$T$1+1)</f>
        <v>81</v>
      </c>
      <c r="AZ46" s="5" t="str" cm="1">
        <f t="array" ref="AZ46">INDEX(_xlfn.TOROW(PixelPatternTable),HEX2DEC(AI46)-$T$1+1)</f>
        <v>81</v>
      </c>
    </row>
    <row r="47" spans="1:52" x14ac:dyDescent="0.3">
      <c r="A47" s="5" t="str">
        <f t="shared" si="20"/>
        <v>A4C0</v>
      </c>
      <c r="B47" s="71" t="str">
        <f>pixel_shift_table.asm!C47</f>
        <v>A9</v>
      </c>
      <c r="C47" s="72" t="str">
        <f>pixel_shift_table.asm!D47</f>
        <v>AB</v>
      </c>
      <c r="D47" s="72" t="str">
        <f>pixel_shift_table.asm!E47</f>
        <v>AA</v>
      </c>
      <c r="E47" s="72" t="str">
        <f>pixel_shift_table.asm!F47</f>
        <v>AB</v>
      </c>
      <c r="F47" s="72" t="str">
        <f>pixel_shift_table.asm!G47</f>
        <v>A9</v>
      </c>
      <c r="G47" s="72" t="str">
        <f>pixel_shift_table.asm!H47</f>
        <v>AB</v>
      </c>
      <c r="H47" s="72" t="str">
        <f>pixel_shift_table.asm!I47</f>
        <v>AA</v>
      </c>
      <c r="I47" s="72" t="str">
        <f>pixel_shift_table.asm!J47</f>
        <v>AB</v>
      </c>
      <c r="J47" s="72" t="str">
        <f>pixel_shift_table.asm!K47</f>
        <v>A9</v>
      </c>
      <c r="K47" s="72" t="str">
        <f>pixel_shift_table.asm!L47</f>
        <v>AB</v>
      </c>
      <c r="L47" s="72" t="str">
        <f>pixel_shift_table.asm!M47</f>
        <v>AA</v>
      </c>
      <c r="M47" s="72" t="str">
        <f>pixel_shift_table.asm!N47</f>
        <v>AB</v>
      </c>
      <c r="N47" s="72" t="str">
        <f>pixel_shift_table.asm!O47</f>
        <v>A9</v>
      </c>
      <c r="O47" s="72" t="str">
        <f>pixel_shift_table.asm!P47</f>
        <v>AB</v>
      </c>
      <c r="P47" s="72" t="str">
        <f>pixel_shift_table.asm!Q47</f>
        <v>AA</v>
      </c>
      <c r="Q47" s="72" t="str">
        <f>pixel_shift_table.asm!R47</f>
        <v>AB</v>
      </c>
      <c r="S47">
        <f t="shared" si="62"/>
        <v>192</v>
      </c>
      <c r="T47" s="5" t="str">
        <f t="shared" si="63"/>
        <v>A921</v>
      </c>
      <c r="U47" s="5" t="str">
        <f t="shared" si="64"/>
        <v>AB07</v>
      </c>
      <c r="V47" s="5" t="str">
        <f t="shared" si="65"/>
        <v>AA09</v>
      </c>
      <c r="W47" s="5" t="str">
        <f t="shared" si="66"/>
        <v>AB17</v>
      </c>
      <c r="X47" s="5" t="str">
        <f t="shared" si="67"/>
        <v>A98B</v>
      </c>
      <c r="Y47" s="5" t="str">
        <f t="shared" si="68"/>
        <v>AB27</v>
      </c>
      <c r="Z47" s="5" t="str">
        <f t="shared" si="69"/>
        <v>AA19</v>
      </c>
      <c r="AA47" s="5" t="str">
        <f t="shared" si="70"/>
        <v>AB37</v>
      </c>
      <c r="AB47" s="5" t="str">
        <f t="shared" si="71"/>
        <v>A94D</v>
      </c>
      <c r="AC47" s="5" t="str">
        <f t="shared" si="72"/>
        <v>AB47</v>
      </c>
      <c r="AD47" s="5" t="str">
        <f t="shared" si="73"/>
        <v>AA29</v>
      </c>
      <c r="AE47" s="5" t="str">
        <f t="shared" si="74"/>
        <v>AB57</v>
      </c>
      <c r="AF47" s="5" t="str">
        <f t="shared" si="75"/>
        <v>A99B</v>
      </c>
      <c r="AG47" s="5" t="str">
        <f t="shared" si="76"/>
        <v>AB67</v>
      </c>
      <c r="AH47" s="5" t="str">
        <f t="shared" si="77"/>
        <v>AA39</v>
      </c>
      <c r="AI47" s="5" t="str">
        <f t="shared" si="78"/>
        <v>AB77</v>
      </c>
      <c r="AK47" s="5" t="str" cm="1">
        <f t="array" ref="AK47">INDEX(_xlfn.TOROW(PixelPatternTable),HEX2DEC(T47)-$T$1+1)</f>
        <v>82</v>
      </c>
      <c r="AL47" s="5" t="str" cm="1">
        <f t="array" ref="AL47">INDEX(_xlfn.TOROW(PixelPatternTable),HEX2DEC(U47)-$T$1+1)</f>
        <v>82</v>
      </c>
      <c r="AM47" s="5" t="str" cm="1">
        <f t="array" ref="AM47">INDEX(_xlfn.TOROW(PixelPatternTable),HEX2DEC(V47)-$T$1+1)</f>
        <v>82</v>
      </c>
      <c r="AN47" s="5" t="str" cm="1">
        <f t="array" ref="AN47">INDEX(_xlfn.TOROW(PixelPatternTable),HEX2DEC(W47)-$T$1+1)</f>
        <v>82</v>
      </c>
      <c r="AO47" s="5" t="str" cm="1">
        <f t="array" ref="AO47">INDEX(_xlfn.TOROW(PixelPatternTable),HEX2DEC(X47)-$T$1+1)</f>
        <v>82</v>
      </c>
      <c r="AP47" s="5" t="str" cm="1">
        <f t="array" ref="AP47">INDEX(_xlfn.TOROW(PixelPatternTable),HEX2DEC(Y47)-$T$1+1)</f>
        <v>82</v>
      </c>
      <c r="AQ47" s="5" t="str" cm="1">
        <f t="array" ref="AQ47">INDEX(_xlfn.TOROW(PixelPatternTable),HEX2DEC(Z47)-$T$1+1)</f>
        <v>82</v>
      </c>
      <c r="AR47" s="5" t="str" cm="1">
        <f t="array" ref="AR47">INDEX(_xlfn.TOROW(PixelPatternTable),HEX2DEC(AA47)-$T$1+1)</f>
        <v>82</v>
      </c>
      <c r="AS47" s="5" t="str" cm="1">
        <f t="array" ref="AS47">INDEX(_xlfn.TOROW(PixelPatternTable),HEX2DEC(AB47)-$T$1+1)</f>
        <v>82</v>
      </c>
      <c r="AT47" s="5" t="str" cm="1">
        <f t="array" ref="AT47">INDEX(_xlfn.TOROW(PixelPatternTable),HEX2DEC(AC47)-$T$1+1)</f>
        <v>82</v>
      </c>
      <c r="AU47" s="5" t="str" cm="1">
        <f t="array" ref="AU47">INDEX(_xlfn.TOROW(PixelPatternTable),HEX2DEC(AD47)-$T$1+1)</f>
        <v>82</v>
      </c>
      <c r="AV47" s="5" t="str" cm="1">
        <f t="array" ref="AV47">INDEX(_xlfn.TOROW(PixelPatternTable),HEX2DEC(AE47)-$T$1+1)</f>
        <v>82</v>
      </c>
      <c r="AW47" s="5" t="str" cm="1">
        <f t="array" ref="AW47">INDEX(_xlfn.TOROW(PixelPatternTable),HEX2DEC(AF47)-$T$1+1)</f>
        <v>82</v>
      </c>
      <c r="AX47" s="5" t="str" cm="1">
        <f t="array" ref="AX47">INDEX(_xlfn.TOROW(PixelPatternTable),HEX2DEC(AG47)-$T$1+1)</f>
        <v>82</v>
      </c>
      <c r="AY47" s="5" t="str" cm="1">
        <f t="array" ref="AY47">INDEX(_xlfn.TOROW(PixelPatternTable),HEX2DEC(AH47)-$T$1+1)</f>
        <v>82</v>
      </c>
      <c r="AZ47" s="5" t="str" cm="1">
        <f t="array" ref="AZ47">INDEX(_xlfn.TOROW(PixelPatternTable),HEX2DEC(AI47)-$T$1+1)</f>
        <v>82</v>
      </c>
    </row>
    <row r="48" spans="1:52" x14ac:dyDescent="0.3">
      <c r="A48" s="5" t="str">
        <f t="shared" si="20"/>
        <v>A4D0</v>
      </c>
      <c r="B48" s="71" t="str">
        <f>pixel_shift_table.asm!C48</f>
        <v>A9</v>
      </c>
      <c r="C48" s="72" t="str">
        <f>pixel_shift_table.asm!D48</f>
        <v>AB</v>
      </c>
      <c r="D48" s="72" t="str">
        <f>pixel_shift_table.asm!E48</f>
        <v>AA</v>
      </c>
      <c r="E48" s="72" t="str">
        <f>pixel_shift_table.asm!F48</f>
        <v>AB</v>
      </c>
      <c r="F48" s="72" t="str">
        <f>pixel_shift_table.asm!G48</f>
        <v>A9</v>
      </c>
      <c r="G48" s="72" t="str">
        <f>pixel_shift_table.asm!H48</f>
        <v>AB</v>
      </c>
      <c r="H48" s="72" t="str">
        <f>pixel_shift_table.asm!I48</f>
        <v>AA</v>
      </c>
      <c r="I48" s="72" t="str">
        <f>pixel_shift_table.asm!J48</f>
        <v>AB</v>
      </c>
      <c r="J48" s="72" t="str">
        <f>pixel_shift_table.asm!K48</f>
        <v>A9</v>
      </c>
      <c r="K48" s="72" t="str">
        <f>pixel_shift_table.asm!L48</f>
        <v>AB</v>
      </c>
      <c r="L48" s="72" t="str">
        <f>pixel_shift_table.asm!M48</f>
        <v>AA</v>
      </c>
      <c r="M48" s="72" t="str">
        <f>pixel_shift_table.asm!N48</f>
        <v>AB</v>
      </c>
      <c r="N48" s="72" t="str">
        <f>pixel_shift_table.asm!O48</f>
        <v>A9</v>
      </c>
      <c r="O48" s="72" t="str">
        <f>pixel_shift_table.asm!P48</f>
        <v>AB</v>
      </c>
      <c r="P48" s="72" t="str">
        <f>pixel_shift_table.asm!Q48</f>
        <v>AA</v>
      </c>
      <c r="Q48" s="72" t="str">
        <f>pixel_shift_table.asm!R48</f>
        <v>AB</v>
      </c>
      <c r="S48">
        <f t="shared" si="62"/>
        <v>208</v>
      </c>
      <c r="T48" s="5" t="str">
        <f t="shared" si="63"/>
        <v>A92F</v>
      </c>
      <c r="U48" s="5" t="str">
        <f t="shared" si="64"/>
        <v>AB87</v>
      </c>
      <c r="V48" s="5" t="str">
        <f t="shared" si="65"/>
        <v>AA49</v>
      </c>
      <c r="W48" s="5" t="str">
        <f t="shared" si="66"/>
        <v>AB97</v>
      </c>
      <c r="X48" s="5" t="str">
        <f t="shared" si="67"/>
        <v>A9AB</v>
      </c>
      <c r="Y48" s="5" t="str">
        <f t="shared" si="68"/>
        <v>ABA7</v>
      </c>
      <c r="Z48" s="5" t="str">
        <f t="shared" si="69"/>
        <v>AA59</v>
      </c>
      <c r="AA48" s="5" t="str">
        <f t="shared" si="70"/>
        <v>ABB7</v>
      </c>
      <c r="AB48" s="5" t="str">
        <f t="shared" si="71"/>
        <v>A95D</v>
      </c>
      <c r="AC48" s="5" t="str">
        <f t="shared" si="72"/>
        <v>ABC7</v>
      </c>
      <c r="AD48" s="5" t="str">
        <f t="shared" si="73"/>
        <v>AA69</v>
      </c>
      <c r="AE48" s="5" t="str">
        <f t="shared" si="74"/>
        <v>ABD7</v>
      </c>
      <c r="AF48" s="5" t="str">
        <f t="shared" si="75"/>
        <v>A9BB</v>
      </c>
      <c r="AG48" s="5" t="str">
        <f t="shared" si="76"/>
        <v>ABE7</v>
      </c>
      <c r="AH48" s="5" t="str">
        <f t="shared" si="77"/>
        <v>AA79</v>
      </c>
      <c r="AI48" s="5" t="str">
        <f t="shared" si="78"/>
        <v>ABF7</v>
      </c>
      <c r="AK48" s="5" t="str" cm="1">
        <f t="array" ref="AK48">INDEX(_xlfn.TOROW(PixelPatternTable),HEX2DEC(T48)-$T$1+1)</f>
        <v>82</v>
      </c>
      <c r="AL48" s="5" t="str" cm="1">
        <f t="array" ref="AL48">INDEX(_xlfn.TOROW(PixelPatternTable),HEX2DEC(U48)-$T$1+1)</f>
        <v>82</v>
      </c>
      <c r="AM48" s="5" t="str" cm="1">
        <f t="array" ref="AM48">INDEX(_xlfn.TOROW(PixelPatternTable),HEX2DEC(V48)-$T$1+1)</f>
        <v>82</v>
      </c>
      <c r="AN48" s="5" t="str" cm="1">
        <f t="array" ref="AN48">INDEX(_xlfn.TOROW(PixelPatternTable),HEX2DEC(W48)-$T$1+1)</f>
        <v>82</v>
      </c>
      <c r="AO48" s="5" t="str" cm="1">
        <f t="array" ref="AO48">INDEX(_xlfn.TOROW(PixelPatternTable),HEX2DEC(X48)-$T$1+1)</f>
        <v>82</v>
      </c>
      <c r="AP48" s="5" t="str" cm="1">
        <f t="array" ref="AP48">INDEX(_xlfn.TOROW(PixelPatternTable),HEX2DEC(Y48)-$T$1+1)</f>
        <v>82</v>
      </c>
      <c r="AQ48" s="5" t="str" cm="1">
        <f t="array" ref="AQ48">INDEX(_xlfn.TOROW(PixelPatternTable),HEX2DEC(Z48)-$T$1+1)</f>
        <v>82</v>
      </c>
      <c r="AR48" s="5" t="str" cm="1">
        <f t="array" ref="AR48">INDEX(_xlfn.TOROW(PixelPatternTable),HEX2DEC(AA48)-$T$1+1)</f>
        <v>82</v>
      </c>
      <c r="AS48" s="5" t="str" cm="1">
        <f t="array" ref="AS48">INDEX(_xlfn.TOROW(PixelPatternTable),HEX2DEC(AB48)-$T$1+1)</f>
        <v>82</v>
      </c>
      <c r="AT48" s="5" t="str" cm="1">
        <f t="array" ref="AT48">INDEX(_xlfn.TOROW(PixelPatternTable),HEX2DEC(AC48)-$T$1+1)</f>
        <v>82</v>
      </c>
      <c r="AU48" s="5" t="str" cm="1">
        <f t="array" ref="AU48">INDEX(_xlfn.TOROW(PixelPatternTable),HEX2DEC(AD48)-$T$1+1)</f>
        <v>82</v>
      </c>
      <c r="AV48" s="5" t="str" cm="1">
        <f t="array" ref="AV48">INDEX(_xlfn.TOROW(PixelPatternTable),HEX2DEC(AE48)-$T$1+1)</f>
        <v>82</v>
      </c>
      <c r="AW48" s="5" t="str" cm="1">
        <f t="array" ref="AW48">INDEX(_xlfn.TOROW(PixelPatternTable),HEX2DEC(AF48)-$T$1+1)</f>
        <v>82</v>
      </c>
      <c r="AX48" s="5" t="str" cm="1">
        <f t="array" ref="AX48">INDEX(_xlfn.TOROW(PixelPatternTable),HEX2DEC(AG48)-$T$1+1)</f>
        <v>82</v>
      </c>
      <c r="AY48" s="5" t="str" cm="1">
        <f t="array" ref="AY48">INDEX(_xlfn.TOROW(PixelPatternTable),HEX2DEC(AH48)-$T$1+1)</f>
        <v>82</v>
      </c>
      <c r="AZ48" s="5" t="str" cm="1">
        <f t="array" ref="AZ48">INDEX(_xlfn.TOROW(PixelPatternTable),HEX2DEC(AI48)-$T$1+1)</f>
        <v>82</v>
      </c>
    </row>
    <row r="49" spans="1:52" x14ac:dyDescent="0.3">
      <c r="A49" s="5" t="str">
        <f t="shared" si="20"/>
        <v>A4E0</v>
      </c>
      <c r="B49" s="71" t="str">
        <f>pixel_shift_table.asm!C49</f>
        <v>A9</v>
      </c>
      <c r="C49" s="72" t="str">
        <f>pixel_shift_table.asm!D49</f>
        <v>AC</v>
      </c>
      <c r="D49" s="72" t="str">
        <f>pixel_shift_table.asm!E49</f>
        <v>AA</v>
      </c>
      <c r="E49" s="72" t="str">
        <f>pixel_shift_table.asm!F49</f>
        <v>AC</v>
      </c>
      <c r="F49" s="72" t="str">
        <f>pixel_shift_table.asm!G49</f>
        <v>A9</v>
      </c>
      <c r="G49" s="72" t="str">
        <f>pixel_shift_table.asm!H49</f>
        <v>AC</v>
      </c>
      <c r="H49" s="72" t="str">
        <f>pixel_shift_table.asm!I49</f>
        <v>AA</v>
      </c>
      <c r="I49" s="72" t="str">
        <f>pixel_shift_table.asm!J49</f>
        <v>AC</v>
      </c>
      <c r="J49" s="72" t="str">
        <f>pixel_shift_table.asm!K49</f>
        <v>A9</v>
      </c>
      <c r="K49" s="72" t="str">
        <f>pixel_shift_table.asm!L49</f>
        <v>AC</v>
      </c>
      <c r="L49" s="72" t="str">
        <f>pixel_shift_table.asm!M49</f>
        <v>AA</v>
      </c>
      <c r="M49" s="72" t="str">
        <f>pixel_shift_table.asm!N49</f>
        <v>AC</v>
      </c>
      <c r="N49" s="72" t="str">
        <f>pixel_shift_table.asm!O49</f>
        <v>A9</v>
      </c>
      <c r="O49" s="72" t="str">
        <f>pixel_shift_table.asm!P49</f>
        <v>AC</v>
      </c>
      <c r="P49" s="72" t="str">
        <f>pixel_shift_table.asm!Q49</f>
        <v>AA</v>
      </c>
      <c r="Q49" s="72" t="str">
        <f>pixel_shift_table.asm!R49</f>
        <v>AC</v>
      </c>
      <c r="S49">
        <f t="shared" si="62"/>
        <v>224</v>
      </c>
      <c r="T49" s="5" t="str">
        <f t="shared" si="63"/>
        <v>A931</v>
      </c>
      <c r="U49" s="5" t="str">
        <f t="shared" si="64"/>
        <v>AC07</v>
      </c>
      <c r="V49" s="5" t="str">
        <f t="shared" si="65"/>
        <v>AA89</v>
      </c>
      <c r="W49" s="5" t="str">
        <f t="shared" si="66"/>
        <v>AC17</v>
      </c>
      <c r="X49" s="5" t="str">
        <f t="shared" si="67"/>
        <v>A9CB</v>
      </c>
      <c r="Y49" s="5" t="str">
        <f t="shared" si="68"/>
        <v>AC27</v>
      </c>
      <c r="Z49" s="5" t="str">
        <f t="shared" si="69"/>
        <v>AA99</v>
      </c>
      <c r="AA49" s="5" t="str">
        <f t="shared" si="70"/>
        <v>AC37</v>
      </c>
      <c r="AB49" s="5" t="str">
        <f t="shared" si="71"/>
        <v>A96D</v>
      </c>
      <c r="AC49" s="5" t="str">
        <f t="shared" si="72"/>
        <v>AC47</v>
      </c>
      <c r="AD49" s="5" t="str">
        <f t="shared" si="73"/>
        <v>AAA9</v>
      </c>
      <c r="AE49" s="5" t="str">
        <f t="shared" si="74"/>
        <v>AC57</v>
      </c>
      <c r="AF49" s="5" t="str">
        <f t="shared" si="75"/>
        <v>A9DB</v>
      </c>
      <c r="AG49" s="5" t="str">
        <f t="shared" si="76"/>
        <v>AC67</v>
      </c>
      <c r="AH49" s="5" t="str">
        <f t="shared" si="77"/>
        <v>AAB9</v>
      </c>
      <c r="AI49" s="5" t="str">
        <f t="shared" si="78"/>
        <v>AC77</v>
      </c>
      <c r="AK49" s="5" t="str" cm="1">
        <f t="array" ref="AK49">INDEX(_xlfn.TOROW(PixelPatternTable),HEX2DEC(T49)-$T$1+1)</f>
        <v>83</v>
      </c>
      <c r="AL49" s="5" t="str" cm="1">
        <f t="array" ref="AL49">INDEX(_xlfn.TOROW(PixelPatternTable),HEX2DEC(U49)-$T$1+1)</f>
        <v>83</v>
      </c>
      <c r="AM49" s="5" t="str" cm="1">
        <f t="array" ref="AM49">INDEX(_xlfn.TOROW(PixelPatternTable),HEX2DEC(V49)-$T$1+1)</f>
        <v>83</v>
      </c>
      <c r="AN49" s="5" t="str" cm="1">
        <f t="array" ref="AN49">INDEX(_xlfn.TOROW(PixelPatternTable),HEX2DEC(W49)-$T$1+1)</f>
        <v>83</v>
      </c>
      <c r="AO49" s="5" t="str" cm="1">
        <f t="array" ref="AO49">INDEX(_xlfn.TOROW(PixelPatternTable),HEX2DEC(X49)-$T$1+1)</f>
        <v>83</v>
      </c>
      <c r="AP49" s="5" t="str" cm="1">
        <f t="array" ref="AP49">INDEX(_xlfn.TOROW(PixelPatternTable),HEX2DEC(Y49)-$T$1+1)</f>
        <v>83</v>
      </c>
      <c r="AQ49" s="5" t="str" cm="1">
        <f t="array" ref="AQ49">INDEX(_xlfn.TOROW(PixelPatternTable),HEX2DEC(Z49)-$T$1+1)</f>
        <v>83</v>
      </c>
      <c r="AR49" s="5" t="str" cm="1">
        <f t="array" ref="AR49">INDEX(_xlfn.TOROW(PixelPatternTable),HEX2DEC(AA49)-$T$1+1)</f>
        <v>83</v>
      </c>
      <c r="AS49" s="5" t="str" cm="1">
        <f t="array" ref="AS49">INDEX(_xlfn.TOROW(PixelPatternTable),HEX2DEC(AB49)-$T$1+1)</f>
        <v>83</v>
      </c>
      <c r="AT49" s="5" t="str" cm="1">
        <f t="array" ref="AT49">INDEX(_xlfn.TOROW(PixelPatternTable),HEX2DEC(AC49)-$T$1+1)</f>
        <v>83</v>
      </c>
      <c r="AU49" s="5" t="str" cm="1">
        <f t="array" ref="AU49">INDEX(_xlfn.TOROW(PixelPatternTable),HEX2DEC(AD49)-$T$1+1)</f>
        <v>83</v>
      </c>
      <c r="AV49" s="5" t="str" cm="1">
        <f t="array" ref="AV49">INDEX(_xlfn.TOROW(PixelPatternTable),HEX2DEC(AE49)-$T$1+1)</f>
        <v>83</v>
      </c>
      <c r="AW49" s="5" t="str" cm="1">
        <f t="array" ref="AW49">INDEX(_xlfn.TOROW(PixelPatternTable),HEX2DEC(AF49)-$T$1+1)</f>
        <v>83</v>
      </c>
      <c r="AX49" s="5" t="str" cm="1">
        <f t="array" ref="AX49">INDEX(_xlfn.TOROW(PixelPatternTable),HEX2DEC(AG49)-$T$1+1)</f>
        <v>83</v>
      </c>
      <c r="AY49" s="5" t="str" cm="1">
        <f t="array" ref="AY49">INDEX(_xlfn.TOROW(PixelPatternTable),HEX2DEC(AH49)-$T$1+1)</f>
        <v>83</v>
      </c>
      <c r="AZ49" s="5" t="str" cm="1">
        <f t="array" ref="AZ49">INDEX(_xlfn.TOROW(PixelPatternTable),HEX2DEC(AI49)-$T$1+1)</f>
        <v>83</v>
      </c>
    </row>
    <row r="50" spans="1:52" x14ac:dyDescent="0.3">
      <c r="A50" s="58" t="str">
        <f t="shared" si="20"/>
        <v>A4F0</v>
      </c>
      <c r="B50" s="73" t="str">
        <f>pixel_shift_table.asm!C50</f>
        <v>A9</v>
      </c>
      <c r="C50" s="74" t="str">
        <f>pixel_shift_table.asm!D50</f>
        <v>AC</v>
      </c>
      <c r="D50" s="74" t="str">
        <f>pixel_shift_table.asm!E50</f>
        <v>AA</v>
      </c>
      <c r="E50" s="74" t="str">
        <f>pixel_shift_table.asm!F50</f>
        <v>AC</v>
      </c>
      <c r="F50" s="74" t="str">
        <f>pixel_shift_table.asm!G50</f>
        <v>A9</v>
      </c>
      <c r="G50" s="74" t="str">
        <f>pixel_shift_table.asm!H50</f>
        <v>AC</v>
      </c>
      <c r="H50" s="74" t="str">
        <f>pixel_shift_table.asm!I50</f>
        <v>AA</v>
      </c>
      <c r="I50" s="74" t="str">
        <f>pixel_shift_table.asm!J50</f>
        <v>AC</v>
      </c>
      <c r="J50" s="74" t="str">
        <f>pixel_shift_table.asm!K50</f>
        <v>A9</v>
      </c>
      <c r="K50" s="74" t="str">
        <f>pixel_shift_table.asm!L50</f>
        <v>AC</v>
      </c>
      <c r="L50" s="74" t="str">
        <f>pixel_shift_table.asm!M50</f>
        <v>AA</v>
      </c>
      <c r="M50" s="74" t="str">
        <f>pixel_shift_table.asm!N50</f>
        <v>AC</v>
      </c>
      <c r="N50" s="74" t="str">
        <f>pixel_shift_table.asm!O50</f>
        <v>A9</v>
      </c>
      <c r="O50" s="74" t="str">
        <f>pixel_shift_table.asm!P50</f>
        <v>AC</v>
      </c>
      <c r="P50" s="74" t="str">
        <f>pixel_shift_table.asm!Q50</f>
        <v>AA</v>
      </c>
      <c r="Q50" s="74" t="str">
        <f>pixel_shift_table.asm!R50</f>
        <v>AC</v>
      </c>
      <c r="S50">
        <f t="shared" si="62"/>
        <v>240</v>
      </c>
      <c r="T50" s="5" t="str">
        <f t="shared" si="63"/>
        <v>A93F</v>
      </c>
      <c r="U50" s="5" t="str">
        <f t="shared" si="64"/>
        <v>AC87</v>
      </c>
      <c r="V50" s="5" t="str">
        <f t="shared" si="65"/>
        <v>AAC9</v>
      </c>
      <c r="W50" s="5" t="str">
        <f t="shared" si="66"/>
        <v>AC97</v>
      </c>
      <c r="X50" s="5" t="str">
        <f t="shared" si="67"/>
        <v>A9EB</v>
      </c>
      <c r="Y50" s="5" t="str">
        <f t="shared" si="68"/>
        <v>ACA7</v>
      </c>
      <c r="Z50" s="5" t="str">
        <f t="shared" si="69"/>
        <v>AAD9</v>
      </c>
      <c r="AA50" s="5" t="str">
        <f t="shared" si="70"/>
        <v>ACB7</v>
      </c>
      <c r="AB50" s="5" t="str">
        <f t="shared" si="71"/>
        <v>A97D</v>
      </c>
      <c r="AC50" s="5" t="str">
        <f t="shared" si="72"/>
        <v>ACC7</v>
      </c>
      <c r="AD50" s="5" t="str">
        <f t="shared" si="73"/>
        <v>AAE9</v>
      </c>
      <c r="AE50" s="5" t="str">
        <f t="shared" si="74"/>
        <v>ACD7</v>
      </c>
      <c r="AF50" s="5" t="str">
        <f t="shared" si="75"/>
        <v>A9FB</v>
      </c>
      <c r="AG50" s="5" t="str">
        <f t="shared" si="76"/>
        <v>ACE7</v>
      </c>
      <c r="AH50" s="5" t="str">
        <f t="shared" si="77"/>
        <v>AAF9</v>
      </c>
      <c r="AI50" s="5" t="str">
        <f t="shared" si="78"/>
        <v>ACF7</v>
      </c>
      <c r="AK50" s="5" t="str" cm="1">
        <f t="array" ref="AK50">INDEX(_xlfn.TOROW(PixelPatternTable),HEX2DEC(T50)-$T$1+1)</f>
        <v>83</v>
      </c>
      <c r="AL50" s="5" t="str" cm="1">
        <f t="array" ref="AL50">INDEX(_xlfn.TOROW(PixelPatternTable),HEX2DEC(U50)-$T$1+1)</f>
        <v>83</v>
      </c>
      <c r="AM50" s="5" t="str" cm="1">
        <f t="array" ref="AM50">INDEX(_xlfn.TOROW(PixelPatternTable),HEX2DEC(V50)-$T$1+1)</f>
        <v>83</v>
      </c>
      <c r="AN50" s="5" t="str" cm="1">
        <f t="array" ref="AN50">INDEX(_xlfn.TOROW(PixelPatternTable),HEX2DEC(W50)-$T$1+1)</f>
        <v>83</v>
      </c>
      <c r="AO50" s="5" t="str" cm="1">
        <f t="array" ref="AO50">INDEX(_xlfn.TOROW(PixelPatternTable),HEX2DEC(X50)-$T$1+1)</f>
        <v>83</v>
      </c>
      <c r="AP50" s="5" t="str" cm="1">
        <f t="array" ref="AP50">INDEX(_xlfn.TOROW(PixelPatternTable),HEX2DEC(Y50)-$T$1+1)</f>
        <v>83</v>
      </c>
      <c r="AQ50" s="5" t="str" cm="1">
        <f t="array" ref="AQ50">INDEX(_xlfn.TOROW(PixelPatternTable),HEX2DEC(Z50)-$T$1+1)</f>
        <v>83</v>
      </c>
      <c r="AR50" s="5" t="str" cm="1">
        <f t="array" ref="AR50">INDEX(_xlfn.TOROW(PixelPatternTable),HEX2DEC(AA50)-$T$1+1)</f>
        <v>83</v>
      </c>
      <c r="AS50" s="5" t="str" cm="1">
        <f t="array" ref="AS50">INDEX(_xlfn.TOROW(PixelPatternTable),HEX2DEC(AB50)-$T$1+1)</f>
        <v>83</v>
      </c>
      <c r="AT50" s="5" t="str" cm="1">
        <f t="array" ref="AT50">INDEX(_xlfn.TOROW(PixelPatternTable),HEX2DEC(AC50)-$T$1+1)</f>
        <v>83</v>
      </c>
      <c r="AU50" s="5" t="str" cm="1">
        <f t="array" ref="AU50">INDEX(_xlfn.TOROW(PixelPatternTable),HEX2DEC(AD50)-$T$1+1)</f>
        <v>83</v>
      </c>
      <c r="AV50" s="5" t="str" cm="1">
        <f t="array" ref="AV50">INDEX(_xlfn.TOROW(PixelPatternTable),HEX2DEC(AE50)-$T$1+1)</f>
        <v>83</v>
      </c>
      <c r="AW50" s="5" t="str" cm="1">
        <f t="array" ref="AW50">INDEX(_xlfn.TOROW(PixelPatternTable),HEX2DEC(AF50)-$T$1+1)</f>
        <v>83</v>
      </c>
      <c r="AX50" s="5" t="str" cm="1">
        <f t="array" ref="AX50">INDEX(_xlfn.TOROW(PixelPatternTable),HEX2DEC(AG50)-$T$1+1)</f>
        <v>83</v>
      </c>
      <c r="AY50" s="5" t="str" cm="1">
        <f t="array" ref="AY50">INDEX(_xlfn.TOROW(PixelPatternTable),HEX2DEC(AH50)-$T$1+1)</f>
        <v>83</v>
      </c>
      <c r="AZ50" s="5" t="str" cm="1">
        <f t="array" ref="AZ50">INDEX(_xlfn.TOROW(PixelPatternTable),HEX2DEC(AI50)-$T$1+1)</f>
        <v>83</v>
      </c>
    </row>
    <row r="51" spans="1:52" x14ac:dyDescent="0.3">
      <c r="A51" s="29" t="str">
        <f t="shared" si="20"/>
        <v>A500</v>
      </c>
      <c r="B51" s="69" t="str">
        <f>pixel_shift_table.asm!C51</f>
        <v>00</v>
      </c>
      <c r="C51" s="70" t="str">
        <f>pixel_shift_table.asm!D51</f>
        <v>08</v>
      </c>
      <c r="D51" s="70" t="str">
        <f>pixel_shift_table.asm!E51</f>
        <v>0A</v>
      </c>
      <c r="E51" s="70" t="str">
        <f>pixel_shift_table.asm!F51</f>
        <v>18</v>
      </c>
      <c r="F51" s="70" t="str">
        <f>pixel_shift_table.asm!G51</f>
        <v>0C</v>
      </c>
      <c r="G51" s="70" t="str">
        <f>pixel_shift_table.asm!H51</f>
        <v>28</v>
      </c>
      <c r="H51" s="70" t="str">
        <f>pixel_shift_table.asm!I51</f>
        <v>1A</v>
      </c>
      <c r="I51" s="70" t="str">
        <f>pixel_shift_table.asm!J51</f>
        <v>38</v>
      </c>
      <c r="J51" s="70" t="str">
        <f>pixel_shift_table.asm!K51</f>
        <v>0E</v>
      </c>
      <c r="K51" s="70" t="str">
        <f>pixel_shift_table.asm!L51</f>
        <v>48</v>
      </c>
      <c r="L51" s="70" t="str">
        <f>pixel_shift_table.asm!M51</f>
        <v>2A</v>
      </c>
      <c r="M51" s="70" t="str">
        <f>pixel_shift_table.asm!N51</f>
        <v>58</v>
      </c>
      <c r="N51" s="70" t="str">
        <f>pixel_shift_table.asm!O51</f>
        <v>1C</v>
      </c>
      <c r="O51" s="70" t="str">
        <f>pixel_shift_table.asm!P51</f>
        <v>68</v>
      </c>
      <c r="P51" s="70" t="str">
        <f>pixel_shift_table.asm!Q51</f>
        <v>3A</v>
      </c>
      <c r="Q51" s="70" t="str">
        <f>pixel_shift_table.asm!R51</f>
        <v>78</v>
      </c>
      <c r="S51">
        <f t="shared" si="62"/>
        <v>0</v>
      </c>
      <c r="T51" s="5" t="str">
        <f t="shared" si="63"/>
        <v>A900</v>
      </c>
      <c r="U51" s="5" t="str">
        <f t="shared" si="64"/>
        <v>A908</v>
      </c>
      <c r="V51" s="5" t="str">
        <f t="shared" si="65"/>
        <v>A90A</v>
      </c>
      <c r="W51" s="5" t="str">
        <f t="shared" si="66"/>
        <v>A918</v>
      </c>
      <c r="X51" s="5" t="str">
        <f t="shared" si="67"/>
        <v>A90C</v>
      </c>
      <c r="Y51" s="5" t="str">
        <f t="shared" si="68"/>
        <v>A928</v>
      </c>
      <c r="Z51" s="5" t="str">
        <f t="shared" si="69"/>
        <v>A91A</v>
      </c>
      <c r="AA51" s="5" t="str">
        <f t="shared" si="70"/>
        <v>A938</v>
      </c>
      <c r="AB51" s="5" t="str">
        <f t="shared" si="71"/>
        <v>A90E</v>
      </c>
      <c r="AC51" s="5" t="str">
        <f t="shared" si="72"/>
        <v>A948</v>
      </c>
      <c r="AD51" s="5" t="str">
        <f t="shared" si="73"/>
        <v>A92A</v>
      </c>
      <c r="AE51" s="5" t="str">
        <f t="shared" si="74"/>
        <v>A958</v>
      </c>
      <c r="AF51" s="5" t="str">
        <f t="shared" si="75"/>
        <v>A91C</v>
      </c>
      <c r="AG51" s="5" t="str">
        <f t="shared" si="76"/>
        <v>A968</v>
      </c>
      <c r="AH51" s="5" t="str">
        <f t="shared" si="77"/>
        <v>A93A</v>
      </c>
      <c r="AI51" s="5" t="str">
        <f t="shared" si="78"/>
        <v>A978</v>
      </c>
      <c r="AK51" s="5" t="str" cm="1">
        <f t="array" ref="AK51">INDEX(_xlfn.TOROW(PixelPatternTable),HEX2DEC(T51)-$T$1+1)</f>
        <v>80</v>
      </c>
      <c r="AL51" s="5" t="str" cm="1">
        <f t="array" ref="AL51">INDEX(_xlfn.TOROW(PixelPatternTable),HEX2DEC(U51)-$T$1+1)</f>
        <v>88</v>
      </c>
      <c r="AM51" s="5" t="str" cm="1">
        <f t="array" ref="AM51">INDEX(_xlfn.TOROW(PixelPatternTable),HEX2DEC(V51)-$T$1+1)</f>
        <v>90</v>
      </c>
      <c r="AN51" s="5" t="str" cm="1">
        <f t="array" ref="AN51">INDEX(_xlfn.TOROW(PixelPatternTable),HEX2DEC(W51)-$T$1+1)</f>
        <v>98</v>
      </c>
      <c r="AO51" s="5" t="str" cm="1">
        <f t="array" ref="AO51">INDEX(_xlfn.TOROW(PixelPatternTable),HEX2DEC(X51)-$T$1+1)</f>
        <v>A0</v>
      </c>
      <c r="AP51" s="5" t="str" cm="1">
        <f t="array" ref="AP51">INDEX(_xlfn.TOROW(PixelPatternTable),HEX2DEC(Y51)-$T$1+1)</f>
        <v>A8</v>
      </c>
      <c r="AQ51" s="5" t="str" cm="1">
        <f t="array" ref="AQ51">INDEX(_xlfn.TOROW(PixelPatternTable),HEX2DEC(Z51)-$T$1+1)</f>
        <v>B0</v>
      </c>
      <c r="AR51" s="5" t="str" cm="1">
        <f t="array" ref="AR51">INDEX(_xlfn.TOROW(PixelPatternTable),HEX2DEC(AA51)-$T$1+1)</f>
        <v>B8</v>
      </c>
      <c r="AS51" s="5" t="str" cm="1">
        <f t="array" ref="AS51">INDEX(_xlfn.TOROW(PixelPatternTable),HEX2DEC(AB51)-$T$1+1)</f>
        <v>C0</v>
      </c>
      <c r="AT51" s="5" t="str" cm="1">
        <f t="array" ref="AT51">INDEX(_xlfn.TOROW(PixelPatternTable),HEX2DEC(AC51)-$T$1+1)</f>
        <v>C8</v>
      </c>
      <c r="AU51" s="5" t="str" cm="1">
        <f t="array" ref="AU51">INDEX(_xlfn.TOROW(PixelPatternTable),HEX2DEC(AD51)-$T$1+1)</f>
        <v>D0</v>
      </c>
      <c r="AV51" s="5" t="str" cm="1">
        <f t="array" ref="AV51">INDEX(_xlfn.TOROW(PixelPatternTable),HEX2DEC(AE51)-$T$1+1)</f>
        <v>D8</v>
      </c>
      <c r="AW51" s="5" t="str" cm="1">
        <f t="array" ref="AW51">INDEX(_xlfn.TOROW(PixelPatternTable),HEX2DEC(AF51)-$T$1+1)</f>
        <v>E0</v>
      </c>
      <c r="AX51" s="5" t="str" cm="1">
        <f t="array" ref="AX51">INDEX(_xlfn.TOROW(PixelPatternTable),HEX2DEC(AG51)-$T$1+1)</f>
        <v>E8</v>
      </c>
      <c r="AY51" s="5" t="str" cm="1">
        <f t="array" ref="AY51">INDEX(_xlfn.TOROW(PixelPatternTable),HEX2DEC(AH51)-$T$1+1)</f>
        <v>F0</v>
      </c>
      <c r="AZ51" s="5" t="str" cm="1">
        <f t="array" ref="AZ51">INDEX(_xlfn.TOROW(PixelPatternTable),HEX2DEC(AI51)-$T$1+1)</f>
        <v>F8</v>
      </c>
    </row>
    <row r="52" spans="1:52" x14ac:dyDescent="0.3">
      <c r="A52" s="5" t="str">
        <f t="shared" si="20"/>
        <v>A510</v>
      </c>
      <c r="B52" s="71" t="str">
        <f>pixel_shift_table.asm!C52</f>
        <v>10</v>
      </c>
      <c r="C52" s="72" t="str">
        <f>pixel_shift_table.asm!D52</f>
        <v>88</v>
      </c>
      <c r="D52" s="72" t="str">
        <f>pixel_shift_table.asm!E52</f>
        <v>4A</v>
      </c>
      <c r="E52" s="72" t="str">
        <f>pixel_shift_table.asm!F52</f>
        <v>98</v>
      </c>
      <c r="F52" s="72" t="str">
        <f>pixel_shift_table.asm!G52</f>
        <v>2C</v>
      </c>
      <c r="G52" s="72" t="str">
        <f>pixel_shift_table.asm!H52</f>
        <v>A8</v>
      </c>
      <c r="H52" s="72" t="str">
        <f>pixel_shift_table.asm!I52</f>
        <v>5A</v>
      </c>
      <c r="I52" s="72" t="str">
        <f>pixel_shift_table.asm!J52</f>
        <v>B8</v>
      </c>
      <c r="J52" s="72" t="str">
        <f>pixel_shift_table.asm!K52</f>
        <v>1E</v>
      </c>
      <c r="K52" s="72" t="str">
        <f>pixel_shift_table.asm!L52</f>
        <v>C8</v>
      </c>
      <c r="L52" s="72" t="str">
        <f>pixel_shift_table.asm!M52</f>
        <v>6A</v>
      </c>
      <c r="M52" s="72" t="str">
        <f>pixel_shift_table.asm!N52</f>
        <v>D8</v>
      </c>
      <c r="N52" s="72" t="str">
        <f>pixel_shift_table.asm!O52</f>
        <v>3C</v>
      </c>
      <c r="O52" s="72" t="str">
        <f>pixel_shift_table.asm!P52</f>
        <v>E8</v>
      </c>
      <c r="P52" s="72" t="str">
        <f>pixel_shift_table.asm!Q52</f>
        <v>7A</v>
      </c>
      <c r="Q52" s="72" t="str">
        <f>pixel_shift_table.asm!R52</f>
        <v>F8</v>
      </c>
      <c r="S52">
        <f t="shared" si="62"/>
        <v>16</v>
      </c>
      <c r="T52" s="5" t="str">
        <f t="shared" si="63"/>
        <v>A910</v>
      </c>
      <c r="U52" s="5" t="str">
        <f t="shared" si="64"/>
        <v>A988</v>
      </c>
      <c r="V52" s="5" t="str">
        <f t="shared" si="65"/>
        <v>A94A</v>
      </c>
      <c r="W52" s="5" t="str">
        <f t="shared" si="66"/>
        <v>A998</v>
      </c>
      <c r="X52" s="5" t="str">
        <f t="shared" si="67"/>
        <v>A92C</v>
      </c>
      <c r="Y52" s="5" t="str">
        <f t="shared" si="68"/>
        <v>A9A8</v>
      </c>
      <c r="Z52" s="5" t="str">
        <f t="shared" si="69"/>
        <v>A95A</v>
      </c>
      <c r="AA52" s="5" t="str">
        <f t="shared" si="70"/>
        <v>A9B8</v>
      </c>
      <c r="AB52" s="5" t="str">
        <f t="shared" si="71"/>
        <v>A91E</v>
      </c>
      <c r="AC52" s="5" t="str">
        <f t="shared" si="72"/>
        <v>A9C8</v>
      </c>
      <c r="AD52" s="5" t="str">
        <f t="shared" si="73"/>
        <v>A96A</v>
      </c>
      <c r="AE52" s="5" t="str">
        <f t="shared" si="74"/>
        <v>A9D8</v>
      </c>
      <c r="AF52" s="5" t="str">
        <f t="shared" si="75"/>
        <v>A93C</v>
      </c>
      <c r="AG52" s="5" t="str">
        <f t="shared" si="76"/>
        <v>A9E8</v>
      </c>
      <c r="AH52" s="5" t="str">
        <f t="shared" si="77"/>
        <v>A97A</v>
      </c>
      <c r="AI52" s="5" t="str">
        <f t="shared" si="78"/>
        <v>A9F8</v>
      </c>
      <c r="AK52" s="5" t="str" cm="1">
        <f t="array" ref="AK52">INDEX(_xlfn.TOROW(PixelPatternTable),HEX2DEC(T52)-$T$1+1)</f>
        <v>80</v>
      </c>
      <c r="AL52" s="5" t="str" cm="1">
        <f t="array" ref="AL52">INDEX(_xlfn.TOROW(PixelPatternTable),HEX2DEC(U52)-$T$1+1)</f>
        <v>88</v>
      </c>
      <c r="AM52" s="5" t="str" cm="1">
        <f t="array" ref="AM52">INDEX(_xlfn.TOROW(PixelPatternTable),HEX2DEC(V52)-$T$1+1)</f>
        <v>90</v>
      </c>
      <c r="AN52" s="5" t="str" cm="1">
        <f t="array" ref="AN52">INDEX(_xlfn.TOROW(PixelPatternTable),HEX2DEC(W52)-$T$1+1)</f>
        <v>98</v>
      </c>
      <c r="AO52" s="5" t="str" cm="1">
        <f t="array" ref="AO52">INDEX(_xlfn.TOROW(PixelPatternTable),HEX2DEC(X52)-$T$1+1)</f>
        <v>A0</v>
      </c>
      <c r="AP52" s="5" t="str" cm="1">
        <f t="array" ref="AP52">INDEX(_xlfn.TOROW(PixelPatternTable),HEX2DEC(Y52)-$T$1+1)</f>
        <v>A8</v>
      </c>
      <c r="AQ52" s="5" t="str" cm="1">
        <f t="array" ref="AQ52">INDEX(_xlfn.TOROW(PixelPatternTable),HEX2DEC(Z52)-$T$1+1)</f>
        <v>B0</v>
      </c>
      <c r="AR52" s="5" t="str" cm="1">
        <f t="array" ref="AR52">INDEX(_xlfn.TOROW(PixelPatternTable),HEX2DEC(AA52)-$T$1+1)</f>
        <v>B8</v>
      </c>
      <c r="AS52" s="5" t="str" cm="1">
        <f t="array" ref="AS52">INDEX(_xlfn.TOROW(PixelPatternTable),HEX2DEC(AB52)-$T$1+1)</f>
        <v>C0</v>
      </c>
      <c r="AT52" s="5" t="str" cm="1">
        <f t="array" ref="AT52">INDEX(_xlfn.TOROW(PixelPatternTable),HEX2DEC(AC52)-$T$1+1)</f>
        <v>C8</v>
      </c>
      <c r="AU52" s="5" t="str" cm="1">
        <f t="array" ref="AU52">INDEX(_xlfn.TOROW(PixelPatternTable),HEX2DEC(AD52)-$T$1+1)</f>
        <v>D0</v>
      </c>
      <c r="AV52" s="5" t="str" cm="1">
        <f t="array" ref="AV52">INDEX(_xlfn.TOROW(PixelPatternTable),HEX2DEC(AE52)-$T$1+1)</f>
        <v>D8</v>
      </c>
      <c r="AW52" s="5" t="str" cm="1">
        <f t="array" ref="AW52">INDEX(_xlfn.TOROW(PixelPatternTable),HEX2DEC(AF52)-$T$1+1)</f>
        <v>E0</v>
      </c>
      <c r="AX52" s="5" t="str" cm="1">
        <f t="array" ref="AX52">INDEX(_xlfn.TOROW(PixelPatternTable),HEX2DEC(AG52)-$T$1+1)</f>
        <v>E8</v>
      </c>
      <c r="AY52" s="5" t="str" cm="1">
        <f t="array" ref="AY52">INDEX(_xlfn.TOROW(PixelPatternTable),HEX2DEC(AH52)-$T$1+1)</f>
        <v>F0</v>
      </c>
      <c r="AZ52" s="5" t="str" cm="1">
        <f t="array" ref="AZ52">INDEX(_xlfn.TOROW(PixelPatternTable),HEX2DEC(AI52)-$T$1+1)</f>
        <v>F8</v>
      </c>
    </row>
    <row r="53" spans="1:52" x14ac:dyDescent="0.3">
      <c r="A53" s="5" t="str">
        <f t="shared" si="20"/>
        <v>A520</v>
      </c>
      <c r="B53" s="71" t="str">
        <f>pixel_shift_table.asm!C53</f>
        <v>20</v>
      </c>
      <c r="C53" s="72" t="str">
        <f>pixel_shift_table.asm!D53</f>
        <v>08</v>
      </c>
      <c r="D53" s="72" t="str">
        <f>pixel_shift_table.asm!E53</f>
        <v>8A</v>
      </c>
      <c r="E53" s="72" t="str">
        <f>pixel_shift_table.asm!F53</f>
        <v>18</v>
      </c>
      <c r="F53" s="72" t="str">
        <f>pixel_shift_table.asm!G53</f>
        <v>4C</v>
      </c>
      <c r="G53" s="72" t="str">
        <f>pixel_shift_table.asm!H53</f>
        <v>28</v>
      </c>
      <c r="H53" s="72" t="str">
        <f>pixel_shift_table.asm!I53</f>
        <v>9A</v>
      </c>
      <c r="I53" s="72" t="str">
        <f>pixel_shift_table.asm!J53</f>
        <v>38</v>
      </c>
      <c r="J53" s="72" t="str">
        <f>pixel_shift_table.asm!K53</f>
        <v>2E</v>
      </c>
      <c r="K53" s="72" t="str">
        <f>pixel_shift_table.asm!L53</f>
        <v>48</v>
      </c>
      <c r="L53" s="72" t="str">
        <f>pixel_shift_table.asm!M53</f>
        <v>AA</v>
      </c>
      <c r="M53" s="72" t="str">
        <f>pixel_shift_table.asm!N53</f>
        <v>58</v>
      </c>
      <c r="N53" s="72" t="str">
        <f>pixel_shift_table.asm!O53</f>
        <v>5C</v>
      </c>
      <c r="O53" s="72" t="str">
        <f>pixel_shift_table.asm!P53</f>
        <v>68</v>
      </c>
      <c r="P53" s="72" t="str">
        <f>pixel_shift_table.asm!Q53</f>
        <v>BA</v>
      </c>
      <c r="Q53" s="72" t="str">
        <f>pixel_shift_table.asm!R53</f>
        <v>78</v>
      </c>
      <c r="S53">
        <f t="shared" si="62"/>
        <v>32</v>
      </c>
      <c r="T53" s="5" t="str">
        <f t="shared" si="63"/>
        <v>A920</v>
      </c>
      <c r="U53" s="5" t="str">
        <f t="shared" si="64"/>
        <v>AA08</v>
      </c>
      <c r="V53" s="5" t="str">
        <f t="shared" si="65"/>
        <v>A98A</v>
      </c>
      <c r="W53" s="5" t="str">
        <f t="shared" si="66"/>
        <v>AA18</v>
      </c>
      <c r="X53" s="5" t="str">
        <f t="shared" si="67"/>
        <v>A94C</v>
      </c>
      <c r="Y53" s="5" t="str">
        <f t="shared" si="68"/>
        <v>AA28</v>
      </c>
      <c r="Z53" s="5" t="str">
        <f t="shared" si="69"/>
        <v>A99A</v>
      </c>
      <c r="AA53" s="5" t="str">
        <f t="shared" si="70"/>
        <v>AA38</v>
      </c>
      <c r="AB53" s="5" t="str">
        <f t="shared" si="71"/>
        <v>A92E</v>
      </c>
      <c r="AC53" s="5" t="str">
        <f t="shared" si="72"/>
        <v>AA48</v>
      </c>
      <c r="AD53" s="5" t="str">
        <f t="shared" si="73"/>
        <v>A9AA</v>
      </c>
      <c r="AE53" s="5" t="str">
        <f t="shared" si="74"/>
        <v>AA58</v>
      </c>
      <c r="AF53" s="5" t="str">
        <f t="shared" si="75"/>
        <v>A95C</v>
      </c>
      <c r="AG53" s="5" t="str">
        <f t="shared" si="76"/>
        <v>AA68</v>
      </c>
      <c r="AH53" s="5" t="str">
        <f t="shared" si="77"/>
        <v>A9BA</v>
      </c>
      <c r="AI53" s="5" t="str">
        <f t="shared" si="78"/>
        <v>AA78</v>
      </c>
      <c r="AK53" s="5" t="str" cm="1">
        <f t="array" ref="AK53">INDEX(_xlfn.TOROW(PixelPatternTable),HEX2DEC(T53)-$T$1+1)</f>
        <v>80</v>
      </c>
      <c r="AL53" s="5" t="str" cm="1">
        <f t="array" ref="AL53">INDEX(_xlfn.TOROW(PixelPatternTable),HEX2DEC(U53)-$T$1+1)</f>
        <v>88</v>
      </c>
      <c r="AM53" s="5" t="str" cm="1">
        <f t="array" ref="AM53">INDEX(_xlfn.TOROW(PixelPatternTable),HEX2DEC(V53)-$T$1+1)</f>
        <v>90</v>
      </c>
      <c r="AN53" s="5" t="str" cm="1">
        <f t="array" ref="AN53">INDEX(_xlfn.TOROW(PixelPatternTable),HEX2DEC(W53)-$T$1+1)</f>
        <v>98</v>
      </c>
      <c r="AO53" s="5" t="str" cm="1">
        <f t="array" ref="AO53">INDEX(_xlfn.TOROW(PixelPatternTable),HEX2DEC(X53)-$T$1+1)</f>
        <v>A0</v>
      </c>
      <c r="AP53" s="5" t="str" cm="1">
        <f t="array" ref="AP53">INDEX(_xlfn.TOROW(PixelPatternTable),HEX2DEC(Y53)-$T$1+1)</f>
        <v>A8</v>
      </c>
      <c r="AQ53" s="5" t="str" cm="1">
        <f t="array" ref="AQ53">INDEX(_xlfn.TOROW(PixelPatternTable),HEX2DEC(Z53)-$T$1+1)</f>
        <v>B0</v>
      </c>
      <c r="AR53" s="5" t="str" cm="1">
        <f t="array" ref="AR53">INDEX(_xlfn.TOROW(PixelPatternTable),HEX2DEC(AA53)-$T$1+1)</f>
        <v>B8</v>
      </c>
      <c r="AS53" s="5" t="str" cm="1">
        <f t="array" ref="AS53">INDEX(_xlfn.TOROW(PixelPatternTable),HEX2DEC(AB53)-$T$1+1)</f>
        <v>C0</v>
      </c>
      <c r="AT53" s="5" t="str" cm="1">
        <f t="array" ref="AT53">INDEX(_xlfn.TOROW(PixelPatternTable),HEX2DEC(AC53)-$T$1+1)</f>
        <v>C8</v>
      </c>
      <c r="AU53" s="5" t="str" cm="1">
        <f t="array" ref="AU53">INDEX(_xlfn.TOROW(PixelPatternTable),HEX2DEC(AD53)-$T$1+1)</f>
        <v>D0</v>
      </c>
      <c r="AV53" s="5" t="str" cm="1">
        <f t="array" ref="AV53">INDEX(_xlfn.TOROW(PixelPatternTable),HEX2DEC(AE53)-$T$1+1)</f>
        <v>D8</v>
      </c>
      <c r="AW53" s="5" t="str" cm="1">
        <f t="array" ref="AW53">INDEX(_xlfn.TOROW(PixelPatternTable),HEX2DEC(AF53)-$T$1+1)</f>
        <v>E0</v>
      </c>
      <c r="AX53" s="5" t="str" cm="1">
        <f t="array" ref="AX53">INDEX(_xlfn.TOROW(PixelPatternTable),HEX2DEC(AG53)-$T$1+1)</f>
        <v>E8</v>
      </c>
      <c r="AY53" s="5" t="str" cm="1">
        <f t="array" ref="AY53">INDEX(_xlfn.TOROW(PixelPatternTable),HEX2DEC(AH53)-$T$1+1)</f>
        <v>F0</v>
      </c>
      <c r="AZ53" s="5" t="str" cm="1">
        <f t="array" ref="AZ53">INDEX(_xlfn.TOROW(PixelPatternTable),HEX2DEC(AI53)-$T$1+1)</f>
        <v>F8</v>
      </c>
    </row>
    <row r="54" spans="1:52" x14ac:dyDescent="0.3">
      <c r="A54" s="5" t="str">
        <f t="shared" si="20"/>
        <v>A530</v>
      </c>
      <c r="B54" s="71" t="str">
        <f>pixel_shift_table.asm!C54</f>
        <v>30</v>
      </c>
      <c r="C54" s="72" t="str">
        <f>pixel_shift_table.asm!D54</f>
        <v>88</v>
      </c>
      <c r="D54" s="72" t="str">
        <f>pixel_shift_table.asm!E54</f>
        <v>CA</v>
      </c>
      <c r="E54" s="72" t="str">
        <f>pixel_shift_table.asm!F54</f>
        <v>98</v>
      </c>
      <c r="F54" s="72" t="str">
        <f>pixel_shift_table.asm!G54</f>
        <v>6C</v>
      </c>
      <c r="G54" s="72" t="str">
        <f>pixel_shift_table.asm!H54</f>
        <v>A8</v>
      </c>
      <c r="H54" s="72" t="str">
        <f>pixel_shift_table.asm!I54</f>
        <v>DA</v>
      </c>
      <c r="I54" s="72" t="str">
        <f>pixel_shift_table.asm!J54</f>
        <v>B8</v>
      </c>
      <c r="J54" s="72" t="str">
        <f>pixel_shift_table.asm!K54</f>
        <v>3E</v>
      </c>
      <c r="K54" s="72" t="str">
        <f>pixel_shift_table.asm!L54</f>
        <v>C8</v>
      </c>
      <c r="L54" s="72" t="str">
        <f>pixel_shift_table.asm!M54</f>
        <v>EA</v>
      </c>
      <c r="M54" s="72" t="str">
        <f>pixel_shift_table.asm!N54</f>
        <v>D8</v>
      </c>
      <c r="N54" s="72" t="str">
        <f>pixel_shift_table.asm!O54</f>
        <v>7C</v>
      </c>
      <c r="O54" s="72" t="str">
        <f>pixel_shift_table.asm!P54</f>
        <v>E8</v>
      </c>
      <c r="P54" s="72" t="str">
        <f>pixel_shift_table.asm!Q54</f>
        <v>FA</v>
      </c>
      <c r="Q54" s="72" t="str">
        <f>pixel_shift_table.asm!R54</f>
        <v>F8</v>
      </c>
      <c r="S54">
        <f t="shared" si="62"/>
        <v>48</v>
      </c>
      <c r="T54" s="5" t="str">
        <f t="shared" si="63"/>
        <v>A930</v>
      </c>
      <c r="U54" s="5" t="str">
        <f t="shared" si="64"/>
        <v>AA88</v>
      </c>
      <c r="V54" s="5" t="str">
        <f t="shared" si="65"/>
        <v>A9CA</v>
      </c>
      <c r="W54" s="5" t="str">
        <f t="shared" si="66"/>
        <v>AA98</v>
      </c>
      <c r="X54" s="5" t="str">
        <f t="shared" si="67"/>
        <v>A96C</v>
      </c>
      <c r="Y54" s="5" t="str">
        <f t="shared" si="68"/>
        <v>AAA8</v>
      </c>
      <c r="Z54" s="5" t="str">
        <f t="shared" si="69"/>
        <v>A9DA</v>
      </c>
      <c r="AA54" s="5" t="str">
        <f t="shared" si="70"/>
        <v>AAB8</v>
      </c>
      <c r="AB54" s="5" t="str">
        <f t="shared" si="71"/>
        <v>A93E</v>
      </c>
      <c r="AC54" s="5" t="str">
        <f t="shared" si="72"/>
        <v>AAC8</v>
      </c>
      <c r="AD54" s="5" t="str">
        <f t="shared" si="73"/>
        <v>A9EA</v>
      </c>
      <c r="AE54" s="5" t="str">
        <f t="shared" si="74"/>
        <v>AAD8</v>
      </c>
      <c r="AF54" s="5" t="str">
        <f t="shared" si="75"/>
        <v>A97C</v>
      </c>
      <c r="AG54" s="5" t="str">
        <f t="shared" si="76"/>
        <v>AAE8</v>
      </c>
      <c r="AH54" s="5" t="str">
        <f t="shared" si="77"/>
        <v>A9FA</v>
      </c>
      <c r="AI54" s="5" t="str">
        <f t="shared" si="78"/>
        <v>AAF8</v>
      </c>
      <c r="AK54" s="5" t="str" cm="1">
        <f t="array" ref="AK54">INDEX(_xlfn.TOROW(PixelPatternTable),HEX2DEC(T54)-$T$1+1)</f>
        <v>80</v>
      </c>
      <c r="AL54" s="5" t="str" cm="1">
        <f t="array" ref="AL54">INDEX(_xlfn.TOROW(PixelPatternTable),HEX2DEC(U54)-$T$1+1)</f>
        <v>88</v>
      </c>
      <c r="AM54" s="5" t="str" cm="1">
        <f t="array" ref="AM54">INDEX(_xlfn.TOROW(PixelPatternTable),HEX2DEC(V54)-$T$1+1)</f>
        <v>90</v>
      </c>
      <c r="AN54" s="5" t="str" cm="1">
        <f t="array" ref="AN54">INDEX(_xlfn.TOROW(PixelPatternTable),HEX2DEC(W54)-$T$1+1)</f>
        <v>98</v>
      </c>
      <c r="AO54" s="5" t="str" cm="1">
        <f t="array" ref="AO54">INDEX(_xlfn.TOROW(PixelPatternTable),HEX2DEC(X54)-$T$1+1)</f>
        <v>A0</v>
      </c>
      <c r="AP54" s="5" t="str" cm="1">
        <f t="array" ref="AP54">INDEX(_xlfn.TOROW(PixelPatternTable),HEX2DEC(Y54)-$T$1+1)</f>
        <v>A8</v>
      </c>
      <c r="AQ54" s="5" t="str" cm="1">
        <f t="array" ref="AQ54">INDEX(_xlfn.TOROW(PixelPatternTable),HEX2DEC(Z54)-$T$1+1)</f>
        <v>B0</v>
      </c>
      <c r="AR54" s="5" t="str" cm="1">
        <f t="array" ref="AR54">INDEX(_xlfn.TOROW(PixelPatternTable),HEX2DEC(AA54)-$T$1+1)</f>
        <v>B8</v>
      </c>
      <c r="AS54" s="5" t="str" cm="1">
        <f t="array" ref="AS54">INDEX(_xlfn.TOROW(PixelPatternTable),HEX2DEC(AB54)-$T$1+1)</f>
        <v>C0</v>
      </c>
      <c r="AT54" s="5" t="str" cm="1">
        <f t="array" ref="AT54">INDEX(_xlfn.TOROW(PixelPatternTable),HEX2DEC(AC54)-$T$1+1)</f>
        <v>C8</v>
      </c>
      <c r="AU54" s="5" t="str" cm="1">
        <f t="array" ref="AU54">INDEX(_xlfn.TOROW(PixelPatternTable),HEX2DEC(AD54)-$T$1+1)</f>
        <v>D0</v>
      </c>
      <c r="AV54" s="5" t="str" cm="1">
        <f t="array" ref="AV54">INDEX(_xlfn.TOROW(PixelPatternTable),HEX2DEC(AE54)-$T$1+1)</f>
        <v>D8</v>
      </c>
      <c r="AW54" s="5" t="str" cm="1">
        <f t="array" ref="AW54">INDEX(_xlfn.TOROW(PixelPatternTable),HEX2DEC(AF54)-$T$1+1)</f>
        <v>E0</v>
      </c>
      <c r="AX54" s="5" t="str" cm="1">
        <f t="array" ref="AX54">INDEX(_xlfn.TOROW(PixelPatternTable),HEX2DEC(AG54)-$T$1+1)</f>
        <v>E8</v>
      </c>
      <c r="AY54" s="5" t="str" cm="1">
        <f t="array" ref="AY54">INDEX(_xlfn.TOROW(PixelPatternTable),HEX2DEC(AH54)-$T$1+1)</f>
        <v>F0</v>
      </c>
      <c r="AZ54" s="5" t="str" cm="1">
        <f t="array" ref="AZ54">INDEX(_xlfn.TOROW(PixelPatternTable),HEX2DEC(AI54)-$T$1+1)</f>
        <v>F8</v>
      </c>
    </row>
    <row r="55" spans="1:52" x14ac:dyDescent="0.3">
      <c r="A55" s="5" t="str">
        <f t="shared" si="20"/>
        <v>A540</v>
      </c>
      <c r="B55" s="71" t="str">
        <f>pixel_shift_table.asm!C55</f>
        <v>40</v>
      </c>
      <c r="C55" s="72" t="str">
        <f>pixel_shift_table.asm!D55</f>
        <v>08</v>
      </c>
      <c r="D55" s="72" t="str">
        <f>pixel_shift_table.asm!E55</f>
        <v>0A</v>
      </c>
      <c r="E55" s="72" t="str">
        <f>pixel_shift_table.asm!F55</f>
        <v>18</v>
      </c>
      <c r="F55" s="72" t="str">
        <f>pixel_shift_table.asm!G55</f>
        <v>8C</v>
      </c>
      <c r="G55" s="72" t="str">
        <f>pixel_shift_table.asm!H55</f>
        <v>28</v>
      </c>
      <c r="H55" s="72" t="str">
        <f>pixel_shift_table.asm!I55</f>
        <v>1A</v>
      </c>
      <c r="I55" s="72" t="str">
        <f>pixel_shift_table.asm!J55</f>
        <v>38</v>
      </c>
      <c r="J55" s="72" t="str">
        <f>pixel_shift_table.asm!K55</f>
        <v>4E</v>
      </c>
      <c r="K55" s="72" t="str">
        <f>pixel_shift_table.asm!L55</f>
        <v>48</v>
      </c>
      <c r="L55" s="72" t="str">
        <f>pixel_shift_table.asm!M55</f>
        <v>2A</v>
      </c>
      <c r="M55" s="72" t="str">
        <f>pixel_shift_table.asm!N55</f>
        <v>58</v>
      </c>
      <c r="N55" s="72" t="str">
        <f>pixel_shift_table.asm!O55</f>
        <v>9C</v>
      </c>
      <c r="O55" s="72" t="str">
        <f>pixel_shift_table.asm!P55</f>
        <v>68</v>
      </c>
      <c r="P55" s="72" t="str">
        <f>pixel_shift_table.asm!Q55</f>
        <v>3A</v>
      </c>
      <c r="Q55" s="72" t="str">
        <f>pixel_shift_table.asm!R55</f>
        <v>78</v>
      </c>
      <c r="S55">
        <f t="shared" si="62"/>
        <v>64</v>
      </c>
      <c r="T55" s="5" t="str">
        <f t="shared" si="63"/>
        <v>A940</v>
      </c>
      <c r="U55" s="5" t="str">
        <f t="shared" si="64"/>
        <v>AB08</v>
      </c>
      <c r="V55" s="5" t="str">
        <f t="shared" si="65"/>
        <v>AA0A</v>
      </c>
      <c r="W55" s="5" t="str">
        <f t="shared" si="66"/>
        <v>AB18</v>
      </c>
      <c r="X55" s="5" t="str">
        <f t="shared" si="67"/>
        <v>A98C</v>
      </c>
      <c r="Y55" s="5" t="str">
        <f t="shared" si="68"/>
        <v>AB28</v>
      </c>
      <c r="Z55" s="5" t="str">
        <f t="shared" si="69"/>
        <v>AA1A</v>
      </c>
      <c r="AA55" s="5" t="str">
        <f t="shared" si="70"/>
        <v>AB38</v>
      </c>
      <c r="AB55" s="5" t="str">
        <f t="shared" si="71"/>
        <v>A94E</v>
      </c>
      <c r="AC55" s="5" t="str">
        <f t="shared" si="72"/>
        <v>AB48</v>
      </c>
      <c r="AD55" s="5" t="str">
        <f t="shared" si="73"/>
        <v>AA2A</v>
      </c>
      <c r="AE55" s="5" t="str">
        <f t="shared" si="74"/>
        <v>AB58</v>
      </c>
      <c r="AF55" s="5" t="str">
        <f t="shared" si="75"/>
        <v>A99C</v>
      </c>
      <c r="AG55" s="5" t="str">
        <f t="shared" si="76"/>
        <v>AB68</v>
      </c>
      <c r="AH55" s="5" t="str">
        <f t="shared" si="77"/>
        <v>AA3A</v>
      </c>
      <c r="AI55" s="5" t="str">
        <f t="shared" si="78"/>
        <v>AB78</v>
      </c>
      <c r="AK55" s="5" t="str" cm="1">
        <f t="array" ref="AK55">INDEX(_xlfn.TOROW(PixelPatternTable),HEX2DEC(T55)-$T$1+1)</f>
        <v>80</v>
      </c>
      <c r="AL55" s="5" t="str" cm="1">
        <f t="array" ref="AL55">INDEX(_xlfn.TOROW(PixelPatternTable),HEX2DEC(U55)-$T$1+1)</f>
        <v>88</v>
      </c>
      <c r="AM55" s="5" t="str" cm="1">
        <f t="array" ref="AM55">INDEX(_xlfn.TOROW(PixelPatternTable),HEX2DEC(V55)-$T$1+1)</f>
        <v>90</v>
      </c>
      <c r="AN55" s="5" t="str" cm="1">
        <f t="array" ref="AN55">INDEX(_xlfn.TOROW(PixelPatternTable),HEX2DEC(W55)-$T$1+1)</f>
        <v>98</v>
      </c>
      <c r="AO55" s="5" t="str" cm="1">
        <f t="array" ref="AO55">INDEX(_xlfn.TOROW(PixelPatternTable),HEX2DEC(X55)-$T$1+1)</f>
        <v>A0</v>
      </c>
      <c r="AP55" s="5" t="str" cm="1">
        <f t="array" ref="AP55">INDEX(_xlfn.TOROW(PixelPatternTable),HEX2DEC(Y55)-$T$1+1)</f>
        <v>A8</v>
      </c>
      <c r="AQ55" s="5" t="str" cm="1">
        <f t="array" ref="AQ55">INDEX(_xlfn.TOROW(PixelPatternTable),HEX2DEC(Z55)-$T$1+1)</f>
        <v>B0</v>
      </c>
      <c r="AR55" s="5" t="str" cm="1">
        <f t="array" ref="AR55">INDEX(_xlfn.TOROW(PixelPatternTable),HEX2DEC(AA55)-$T$1+1)</f>
        <v>B8</v>
      </c>
      <c r="AS55" s="5" t="str" cm="1">
        <f t="array" ref="AS55">INDEX(_xlfn.TOROW(PixelPatternTable),HEX2DEC(AB55)-$T$1+1)</f>
        <v>C0</v>
      </c>
      <c r="AT55" s="5" t="str" cm="1">
        <f t="array" ref="AT55">INDEX(_xlfn.TOROW(PixelPatternTable),HEX2DEC(AC55)-$T$1+1)</f>
        <v>C8</v>
      </c>
      <c r="AU55" s="5" t="str" cm="1">
        <f t="array" ref="AU55">INDEX(_xlfn.TOROW(PixelPatternTable),HEX2DEC(AD55)-$T$1+1)</f>
        <v>D0</v>
      </c>
      <c r="AV55" s="5" t="str" cm="1">
        <f t="array" ref="AV55">INDEX(_xlfn.TOROW(PixelPatternTable),HEX2DEC(AE55)-$T$1+1)</f>
        <v>D8</v>
      </c>
      <c r="AW55" s="5" t="str" cm="1">
        <f t="array" ref="AW55">INDEX(_xlfn.TOROW(PixelPatternTable),HEX2DEC(AF55)-$T$1+1)</f>
        <v>E0</v>
      </c>
      <c r="AX55" s="5" t="str" cm="1">
        <f t="array" ref="AX55">INDEX(_xlfn.TOROW(PixelPatternTable),HEX2DEC(AG55)-$T$1+1)</f>
        <v>E8</v>
      </c>
      <c r="AY55" s="5" t="str" cm="1">
        <f t="array" ref="AY55">INDEX(_xlfn.TOROW(PixelPatternTable),HEX2DEC(AH55)-$T$1+1)</f>
        <v>F0</v>
      </c>
      <c r="AZ55" s="5" t="str" cm="1">
        <f t="array" ref="AZ55">INDEX(_xlfn.TOROW(PixelPatternTable),HEX2DEC(AI55)-$T$1+1)</f>
        <v>F8</v>
      </c>
    </row>
    <row r="56" spans="1:52" x14ac:dyDescent="0.3">
      <c r="A56" s="5" t="str">
        <f t="shared" si="20"/>
        <v>A550</v>
      </c>
      <c r="B56" s="71" t="str">
        <f>pixel_shift_table.asm!C56</f>
        <v>50</v>
      </c>
      <c r="C56" s="72" t="str">
        <f>pixel_shift_table.asm!D56</f>
        <v>88</v>
      </c>
      <c r="D56" s="72" t="str">
        <f>pixel_shift_table.asm!E56</f>
        <v>4A</v>
      </c>
      <c r="E56" s="72" t="str">
        <f>pixel_shift_table.asm!F56</f>
        <v>98</v>
      </c>
      <c r="F56" s="72" t="str">
        <f>pixel_shift_table.asm!G56</f>
        <v>AC</v>
      </c>
      <c r="G56" s="72" t="str">
        <f>pixel_shift_table.asm!H56</f>
        <v>A8</v>
      </c>
      <c r="H56" s="72" t="str">
        <f>pixel_shift_table.asm!I56</f>
        <v>5A</v>
      </c>
      <c r="I56" s="72" t="str">
        <f>pixel_shift_table.asm!J56</f>
        <v>B8</v>
      </c>
      <c r="J56" s="72" t="str">
        <f>pixel_shift_table.asm!K56</f>
        <v>5E</v>
      </c>
      <c r="K56" s="72" t="str">
        <f>pixel_shift_table.asm!L56</f>
        <v>C8</v>
      </c>
      <c r="L56" s="72" t="str">
        <f>pixel_shift_table.asm!M56</f>
        <v>6A</v>
      </c>
      <c r="M56" s="72" t="str">
        <f>pixel_shift_table.asm!N56</f>
        <v>D8</v>
      </c>
      <c r="N56" s="72" t="str">
        <f>pixel_shift_table.asm!O56</f>
        <v>BC</v>
      </c>
      <c r="O56" s="72" t="str">
        <f>pixel_shift_table.asm!P56</f>
        <v>E8</v>
      </c>
      <c r="P56" s="72" t="str">
        <f>pixel_shift_table.asm!Q56</f>
        <v>7A</v>
      </c>
      <c r="Q56" s="72" t="str">
        <f>pixel_shift_table.asm!R56</f>
        <v>F8</v>
      </c>
      <c r="S56">
        <f t="shared" si="62"/>
        <v>80</v>
      </c>
      <c r="T56" s="5" t="str">
        <f t="shared" si="63"/>
        <v>A950</v>
      </c>
      <c r="U56" s="5" t="str">
        <f t="shared" si="64"/>
        <v>AB88</v>
      </c>
      <c r="V56" s="5" t="str">
        <f t="shared" si="65"/>
        <v>AA4A</v>
      </c>
      <c r="W56" s="5" t="str">
        <f t="shared" si="66"/>
        <v>AB98</v>
      </c>
      <c r="X56" s="5" t="str">
        <f t="shared" si="67"/>
        <v>A9AC</v>
      </c>
      <c r="Y56" s="5" t="str">
        <f t="shared" si="68"/>
        <v>ABA8</v>
      </c>
      <c r="Z56" s="5" t="str">
        <f t="shared" si="69"/>
        <v>AA5A</v>
      </c>
      <c r="AA56" s="5" t="str">
        <f t="shared" si="70"/>
        <v>ABB8</v>
      </c>
      <c r="AB56" s="5" t="str">
        <f t="shared" si="71"/>
        <v>A95E</v>
      </c>
      <c r="AC56" s="5" t="str">
        <f t="shared" si="72"/>
        <v>ABC8</v>
      </c>
      <c r="AD56" s="5" t="str">
        <f t="shared" si="73"/>
        <v>AA6A</v>
      </c>
      <c r="AE56" s="5" t="str">
        <f t="shared" si="74"/>
        <v>ABD8</v>
      </c>
      <c r="AF56" s="5" t="str">
        <f t="shared" si="75"/>
        <v>A9BC</v>
      </c>
      <c r="AG56" s="5" t="str">
        <f t="shared" si="76"/>
        <v>ABE8</v>
      </c>
      <c r="AH56" s="5" t="str">
        <f t="shared" si="77"/>
        <v>AA7A</v>
      </c>
      <c r="AI56" s="5" t="str">
        <f t="shared" si="78"/>
        <v>ABF8</v>
      </c>
      <c r="AK56" s="5" t="str" cm="1">
        <f t="array" ref="AK56">INDEX(_xlfn.TOROW(PixelPatternTable),HEX2DEC(T56)-$T$1+1)</f>
        <v>80</v>
      </c>
      <c r="AL56" s="5" t="str" cm="1">
        <f t="array" ref="AL56">INDEX(_xlfn.TOROW(PixelPatternTable),HEX2DEC(U56)-$T$1+1)</f>
        <v>88</v>
      </c>
      <c r="AM56" s="5" t="str" cm="1">
        <f t="array" ref="AM56">INDEX(_xlfn.TOROW(PixelPatternTable),HEX2DEC(V56)-$T$1+1)</f>
        <v>90</v>
      </c>
      <c r="AN56" s="5" t="str" cm="1">
        <f t="array" ref="AN56">INDEX(_xlfn.TOROW(PixelPatternTable),HEX2DEC(W56)-$T$1+1)</f>
        <v>98</v>
      </c>
      <c r="AO56" s="5" t="str" cm="1">
        <f t="array" ref="AO56">INDEX(_xlfn.TOROW(PixelPatternTable),HEX2DEC(X56)-$T$1+1)</f>
        <v>A0</v>
      </c>
      <c r="AP56" s="5" t="str" cm="1">
        <f t="array" ref="AP56">INDEX(_xlfn.TOROW(PixelPatternTable),HEX2DEC(Y56)-$T$1+1)</f>
        <v>A8</v>
      </c>
      <c r="AQ56" s="5" t="str" cm="1">
        <f t="array" ref="AQ56">INDEX(_xlfn.TOROW(PixelPatternTable),HEX2DEC(Z56)-$T$1+1)</f>
        <v>B0</v>
      </c>
      <c r="AR56" s="5" t="str" cm="1">
        <f t="array" ref="AR56">INDEX(_xlfn.TOROW(PixelPatternTable),HEX2DEC(AA56)-$T$1+1)</f>
        <v>B8</v>
      </c>
      <c r="AS56" s="5" t="str" cm="1">
        <f t="array" ref="AS56">INDEX(_xlfn.TOROW(PixelPatternTable),HEX2DEC(AB56)-$T$1+1)</f>
        <v>C0</v>
      </c>
      <c r="AT56" s="5" t="str" cm="1">
        <f t="array" ref="AT56">INDEX(_xlfn.TOROW(PixelPatternTable),HEX2DEC(AC56)-$T$1+1)</f>
        <v>C8</v>
      </c>
      <c r="AU56" s="5" t="str" cm="1">
        <f t="array" ref="AU56">INDEX(_xlfn.TOROW(PixelPatternTable),HEX2DEC(AD56)-$T$1+1)</f>
        <v>D0</v>
      </c>
      <c r="AV56" s="5" t="str" cm="1">
        <f t="array" ref="AV56">INDEX(_xlfn.TOROW(PixelPatternTable),HEX2DEC(AE56)-$T$1+1)</f>
        <v>D8</v>
      </c>
      <c r="AW56" s="5" t="str" cm="1">
        <f t="array" ref="AW56">INDEX(_xlfn.TOROW(PixelPatternTable),HEX2DEC(AF56)-$T$1+1)</f>
        <v>E0</v>
      </c>
      <c r="AX56" s="5" t="str" cm="1">
        <f t="array" ref="AX56">INDEX(_xlfn.TOROW(PixelPatternTable),HEX2DEC(AG56)-$T$1+1)</f>
        <v>E8</v>
      </c>
      <c r="AY56" s="5" t="str" cm="1">
        <f t="array" ref="AY56">INDEX(_xlfn.TOROW(PixelPatternTable),HEX2DEC(AH56)-$T$1+1)</f>
        <v>F0</v>
      </c>
      <c r="AZ56" s="5" t="str" cm="1">
        <f t="array" ref="AZ56">INDEX(_xlfn.TOROW(PixelPatternTable),HEX2DEC(AI56)-$T$1+1)</f>
        <v>F8</v>
      </c>
    </row>
    <row r="57" spans="1:52" x14ac:dyDescent="0.3">
      <c r="A57" s="5" t="str">
        <f t="shared" si="20"/>
        <v>A560</v>
      </c>
      <c r="B57" s="71" t="str">
        <f>pixel_shift_table.asm!C57</f>
        <v>60</v>
      </c>
      <c r="C57" s="72" t="str">
        <f>pixel_shift_table.asm!D57</f>
        <v>08</v>
      </c>
      <c r="D57" s="72" t="str">
        <f>pixel_shift_table.asm!E57</f>
        <v>8A</v>
      </c>
      <c r="E57" s="72" t="str">
        <f>pixel_shift_table.asm!F57</f>
        <v>18</v>
      </c>
      <c r="F57" s="72" t="str">
        <f>pixel_shift_table.asm!G57</f>
        <v>CC</v>
      </c>
      <c r="G57" s="72" t="str">
        <f>pixel_shift_table.asm!H57</f>
        <v>28</v>
      </c>
      <c r="H57" s="72" t="str">
        <f>pixel_shift_table.asm!I57</f>
        <v>9A</v>
      </c>
      <c r="I57" s="72" t="str">
        <f>pixel_shift_table.asm!J57</f>
        <v>38</v>
      </c>
      <c r="J57" s="72" t="str">
        <f>pixel_shift_table.asm!K57</f>
        <v>6E</v>
      </c>
      <c r="K57" s="72" t="str">
        <f>pixel_shift_table.asm!L57</f>
        <v>48</v>
      </c>
      <c r="L57" s="72" t="str">
        <f>pixel_shift_table.asm!M57</f>
        <v>AA</v>
      </c>
      <c r="M57" s="72" t="str">
        <f>pixel_shift_table.asm!N57</f>
        <v>58</v>
      </c>
      <c r="N57" s="72" t="str">
        <f>pixel_shift_table.asm!O57</f>
        <v>DC</v>
      </c>
      <c r="O57" s="72" t="str">
        <f>pixel_shift_table.asm!P57</f>
        <v>68</v>
      </c>
      <c r="P57" s="72" t="str">
        <f>pixel_shift_table.asm!Q57</f>
        <v>BA</v>
      </c>
      <c r="Q57" s="72" t="str">
        <f>pixel_shift_table.asm!R57</f>
        <v>78</v>
      </c>
      <c r="S57">
        <f t="shared" si="62"/>
        <v>96</v>
      </c>
      <c r="T57" s="5" t="str">
        <f t="shared" si="63"/>
        <v>A960</v>
      </c>
      <c r="U57" s="5" t="str">
        <f t="shared" si="64"/>
        <v>AC08</v>
      </c>
      <c r="V57" s="5" t="str">
        <f t="shared" si="65"/>
        <v>AA8A</v>
      </c>
      <c r="W57" s="5" t="str">
        <f t="shared" si="66"/>
        <v>AC18</v>
      </c>
      <c r="X57" s="5" t="str">
        <f t="shared" si="67"/>
        <v>A9CC</v>
      </c>
      <c r="Y57" s="5" t="str">
        <f t="shared" si="68"/>
        <v>AC28</v>
      </c>
      <c r="Z57" s="5" t="str">
        <f t="shared" si="69"/>
        <v>AA9A</v>
      </c>
      <c r="AA57" s="5" t="str">
        <f t="shared" si="70"/>
        <v>AC38</v>
      </c>
      <c r="AB57" s="5" t="str">
        <f t="shared" si="71"/>
        <v>A96E</v>
      </c>
      <c r="AC57" s="5" t="str">
        <f t="shared" si="72"/>
        <v>AC48</v>
      </c>
      <c r="AD57" s="5" t="str">
        <f t="shared" si="73"/>
        <v>AAAA</v>
      </c>
      <c r="AE57" s="5" t="str">
        <f t="shared" si="74"/>
        <v>AC58</v>
      </c>
      <c r="AF57" s="5" t="str">
        <f t="shared" si="75"/>
        <v>A9DC</v>
      </c>
      <c r="AG57" s="5" t="str">
        <f t="shared" si="76"/>
        <v>AC68</v>
      </c>
      <c r="AH57" s="5" t="str">
        <f t="shared" si="77"/>
        <v>AABA</v>
      </c>
      <c r="AI57" s="5" t="str">
        <f t="shared" si="78"/>
        <v>AC78</v>
      </c>
      <c r="AK57" s="5" t="str" cm="1">
        <f t="array" ref="AK57">INDEX(_xlfn.TOROW(PixelPatternTable),HEX2DEC(T57)-$T$1+1)</f>
        <v>80</v>
      </c>
      <c r="AL57" s="5" t="str" cm="1">
        <f t="array" ref="AL57">INDEX(_xlfn.TOROW(PixelPatternTable),HEX2DEC(U57)-$T$1+1)</f>
        <v>88</v>
      </c>
      <c r="AM57" s="5" t="str" cm="1">
        <f t="array" ref="AM57">INDEX(_xlfn.TOROW(PixelPatternTable),HEX2DEC(V57)-$T$1+1)</f>
        <v>90</v>
      </c>
      <c r="AN57" s="5" t="str" cm="1">
        <f t="array" ref="AN57">INDEX(_xlfn.TOROW(PixelPatternTable),HEX2DEC(W57)-$T$1+1)</f>
        <v>98</v>
      </c>
      <c r="AO57" s="5" t="str" cm="1">
        <f t="array" ref="AO57">INDEX(_xlfn.TOROW(PixelPatternTable),HEX2DEC(X57)-$T$1+1)</f>
        <v>A0</v>
      </c>
      <c r="AP57" s="5" t="str" cm="1">
        <f t="array" ref="AP57">INDEX(_xlfn.TOROW(PixelPatternTable),HEX2DEC(Y57)-$T$1+1)</f>
        <v>A8</v>
      </c>
      <c r="AQ57" s="5" t="str" cm="1">
        <f t="array" ref="AQ57">INDEX(_xlfn.TOROW(PixelPatternTable),HEX2DEC(Z57)-$T$1+1)</f>
        <v>B0</v>
      </c>
      <c r="AR57" s="5" t="str" cm="1">
        <f t="array" ref="AR57">INDEX(_xlfn.TOROW(PixelPatternTable),HEX2DEC(AA57)-$T$1+1)</f>
        <v>B8</v>
      </c>
      <c r="AS57" s="5" t="str" cm="1">
        <f t="array" ref="AS57">INDEX(_xlfn.TOROW(PixelPatternTable),HEX2DEC(AB57)-$T$1+1)</f>
        <v>C0</v>
      </c>
      <c r="AT57" s="5" t="str" cm="1">
        <f t="array" ref="AT57">INDEX(_xlfn.TOROW(PixelPatternTable),HEX2DEC(AC57)-$T$1+1)</f>
        <v>C8</v>
      </c>
      <c r="AU57" s="5" t="str" cm="1">
        <f t="array" ref="AU57">INDEX(_xlfn.TOROW(PixelPatternTable),HEX2DEC(AD57)-$T$1+1)</f>
        <v>D0</v>
      </c>
      <c r="AV57" s="5" t="str" cm="1">
        <f t="array" ref="AV57">INDEX(_xlfn.TOROW(PixelPatternTable),HEX2DEC(AE57)-$T$1+1)</f>
        <v>D8</v>
      </c>
      <c r="AW57" s="5" t="str" cm="1">
        <f t="array" ref="AW57">INDEX(_xlfn.TOROW(PixelPatternTable),HEX2DEC(AF57)-$T$1+1)</f>
        <v>E0</v>
      </c>
      <c r="AX57" s="5" t="str" cm="1">
        <f t="array" ref="AX57">INDEX(_xlfn.TOROW(PixelPatternTable),HEX2DEC(AG57)-$T$1+1)</f>
        <v>E8</v>
      </c>
      <c r="AY57" s="5" t="str" cm="1">
        <f t="array" ref="AY57">INDEX(_xlfn.TOROW(PixelPatternTable),HEX2DEC(AH57)-$T$1+1)</f>
        <v>F0</v>
      </c>
      <c r="AZ57" s="5" t="str" cm="1">
        <f t="array" ref="AZ57">INDEX(_xlfn.TOROW(PixelPatternTable),HEX2DEC(AI57)-$T$1+1)</f>
        <v>F8</v>
      </c>
    </row>
    <row r="58" spans="1:52" x14ac:dyDescent="0.3">
      <c r="A58" s="58" t="str">
        <f t="shared" si="20"/>
        <v>A570</v>
      </c>
      <c r="B58" s="73" t="str">
        <f>pixel_shift_table.asm!C58</f>
        <v>70</v>
      </c>
      <c r="C58" s="74" t="str">
        <f>pixel_shift_table.asm!D58</f>
        <v>88</v>
      </c>
      <c r="D58" s="74" t="str">
        <f>pixel_shift_table.asm!E58</f>
        <v>CA</v>
      </c>
      <c r="E58" s="74" t="str">
        <f>pixel_shift_table.asm!F58</f>
        <v>98</v>
      </c>
      <c r="F58" s="74" t="str">
        <f>pixel_shift_table.asm!G58</f>
        <v>EC</v>
      </c>
      <c r="G58" s="74" t="str">
        <f>pixel_shift_table.asm!H58</f>
        <v>A8</v>
      </c>
      <c r="H58" s="74" t="str">
        <f>pixel_shift_table.asm!I58</f>
        <v>DA</v>
      </c>
      <c r="I58" s="74" t="str">
        <f>pixel_shift_table.asm!J58</f>
        <v>B8</v>
      </c>
      <c r="J58" s="74" t="str">
        <f>pixel_shift_table.asm!K58</f>
        <v>7E</v>
      </c>
      <c r="K58" s="74" t="str">
        <f>pixel_shift_table.asm!L58</f>
        <v>C8</v>
      </c>
      <c r="L58" s="74" t="str">
        <f>pixel_shift_table.asm!M58</f>
        <v>EA</v>
      </c>
      <c r="M58" s="74" t="str">
        <f>pixel_shift_table.asm!N58</f>
        <v>D8</v>
      </c>
      <c r="N58" s="74" t="str">
        <f>pixel_shift_table.asm!O58</f>
        <v>FC</v>
      </c>
      <c r="O58" s="74" t="str">
        <f>pixel_shift_table.asm!P58</f>
        <v>E8</v>
      </c>
      <c r="P58" s="74" t="str">
        <f>pixel_shift_table.asm!Q58</f>
        <v>FA</v>
      </c>
      <c r="Q58" s="74" t="str">
        <f>pixel_shift_table.asm!R58</f>
        <v>F8</v>
      </c>
      <c r="S58">
        <f t="shared" si="62"/>
        <v>112</v>
      </c>
      <c r="T58" s="5" t="str">
        <f t="shared" si="63"/>
        <v>A970</v>
      </c>
      <c r="U58" s="5" t="str">
        <f t="shared" si="64"/>
        <v>AC88</v>
      </c>
      <c r="V58" s="5" t="str">
        <f t="shared" si="65"/>
        <v>AACA</v>
      </c>
      <c r="W58" s="5" t="str">
        <f t="shared" si="66"/>
        <v>AC98</v>
      </c>
      <c r="X58" s="5" t="str">
        <f t="shared" si="67"/>
        <v>A9EC</v>
      </c>
      <c r="Y58" s="5" t="str">
        <f t="shared" si="68"/>
        <v>ACA8</v>
      </c>
      <c r="Z58" s="5" t="str">
        <f t="shared" si="69"/>
        <v>AADA</v>
      </c>
      <c r="AA58" s="5" t="str">
        <f t="shared" si="70"/>
        <v>ACB8</v>
      </c>
      <c r="AB58" s="5" t="str">
        <f t="shared" si="71"/>
        <v>A97E</v>
      </c>
      <c r="AC58" s="5" t="str">
        <f t="shared" si="72"/>
        <v>ACC8</v>
      </c>
      <c r="AD58" s="5" t="str">
        <f t="shared" si="73"/>
        <v>AAEA</v>
      </c>
      <c r="AE58" s="5" t="str">
        <f t="shared" si="74"/>
        <v>ACD8</v>
      </c>
      <c r="AF58" s="5" t="str">
        <f t="shared" si="75"/>
        <v>A9FC</v>
      </c>
      <c r="AG58" s="5" t="str">
        <f t="shared" si="76"/>
        <v>ACE8</v>
      </c>
      <c r="AH58" s="5" t="str">
        <f t="shared" si="77"/>
        <v>AAFA</v>
      </c>
      <c r="AI58" s="5" t="str">
        <f t="shared" si="78"/>
        <v>ACF8</v>
      </c>
      <c r="AK58" s="5" t="str" cm="1">
        <f t="array" ref="AK58">INDEX(_xlfn.TOROW(PixelPatternTable),HEX2DEC(T58)-$T$1+1)</f>
        <v>80</v>
      </c>
      <c r="AL58" s="5" t="str" cm="1">
        <f t="array" ref="AL58">INDEX(_xlfn.TOROW(PixelPatternTable),HEX2DEC(U58)-$T$1+1)</f>
        <v>88</v>
      </c>
      <c r="AM58" s="5" t="str" cm="1">
        <f t="array" ref="AM58">INDEX(_xlfn.TOROW(PixelPatternTable),HEX2DEC(V58)-$T$1+1)</f>
        <v>90</v>
      </c>
      <c r="AN58" s="5" t="str" cm="1">
        <f t="array" ref="AN58">INDEX(_xlfn.TOROW(PixelPatternTable),HEX2DEC(W58)-$T$1+1)</f>
        <v>98</v>
      </c>
      <c r="AO58" s="5" t="str" cm="1">
        <f t="array" ref="AO58">INDEX(_xlfn.TOROW(PixelPatternTable),HEX2DEC(X58)-$T$1+1)</f>
        <v>A0</v>
      </c>
      <c r="AP58" s="5" t="str" cm="1">
        <f t="array" ref="AP58">INDEX(_xlfn.TOROW(PixelPatternTable),HEX2DEC(Y58)-$T$1+1)</f>
        <v>A8</v>
      </c>
      <c r="AQ58" s="5" t="str" cm="1">
        <f t="array" ref="AQ58">INDEX(_xlfn.TOROW(PixelPatternTable),HEX2DEC(Z58)-$T$1+1)</f>
        <v>B0</v>
      </c>
      <c r="AR58" s="5" t="str" cm="1">
        <f t="array" ref="AR58">INDEX(_xlfn.TOROW(PixelPatternTable),HEX2DEC(AA58)-$T$1+1)</f>
        <v>B8</v>
      </c>
      <c r="AS58" s="5" t="str" cm="1">
        <f t="array" ref="AS58">INDEX(_xlfn.TOROW(PixelPatternTable),HEX2DEC(AB58)-$T$1+1)</f>
        <v>C0</v>
      </c>
      <c r="AT58" s="5" t="str" cm="1">
        <f t="array" ref="AT58">INDEX(_xlfn.TOROW(PixelPatternTable),HEX2DEC(AC58)-$T$1+1)</f>
        <v>C8</v>
      </c>
      <c r="AU58" s="5" t="str" cm="1">
        <f t="array" ref="AU58">INDEX(_xlfn.TOROW(PixelPatternTable),HEX2DEC(AD58)-$T$1+1)</f>
        <v>D0</v>
      </c>
      <c r="AV58" s="5" t="str" cm="1">
        <f t="array" ref="AV58">INDEX(_xlfn.TOROW(PixelPatternTable),HEX2DEC(AE58)-$T$1+1)</f>
        <v>D8</v>
      </c>
      <c r="AW58" s="5" t="str" cm="1">
        <f t="array" ref="AW58">INDEX(_xlfn.TOROW(PixelPatternTable),HEX2DEC(AF58)-$T$1+1)</f>
        <v>E0</v>
      </c>
      <c r="AX58" s="5" t="str" cm="1">
        <f t="array" ref="AX58">INDEX(_xlfn.TOROW(PixelPatternTable),HEX2DEC(AG58)-$T$1+1)</f>
        <v>E8</v>
      </c>
      <c r="AY58" s="5" t="str" cm="1">
        <f t="array" ref="AY58">INDEX(_xlfn.TOROW(PixelPatternTable),HEX2DEC(AH58)-$T$1+1)</f>
        <v>F0</v>
      </c>
      <c r="AZ58" s="5" t="str" cm="1">
        <f t="array" ref="AZ58">INDEX(_xlfn.TOROW(PixelPatternTable),HEX2DEC(AI58)-$T$1+1)</f>
        <v>F8</v>
      </c>
    </row>
    <row r="59" spans="1:52" x14ac:dyDescent="0.3">
      <c r="A59" s="5" t="str">
        <f t="shared" si="20"/>
        <v>A580</v>
      </c>
      <c r="B59" s="69" t="str">
        <f>pixel_shift_table.asm!C59</f>
        <v>A9</v>
      </c>
      <c r="C59" s="70" t="str">
        <f>pixel_shift_table.asm!D59</f>
        <v>A9</v>
      </c>
      <c r="D59" s="70" t="str">
        <f>pixel_shift_table.asm!E59</f>
        <v>A9</v>
      </c>
      <c r="E59" s="70" t="str">
        <f>pixel_shift_table.asm!F59</f>
        <v>A9</v>
      </c>
      <c r="F59" s="70" t="str">
        <f>pixel_shift_table.asm!G59</f>
        <v>A9</v>
      </c>
      <c r="G59" s="70" t="str">
        <f>pixel_shift_table.asm!H59</f>
        <v>A9</v>
      </c>
      <c r="H59" s="70" t="str">
        <f>pixel_shift_table.asm!I59</f>
        <v>A9</v>
      </c>
      <c r="I59" s="70" t="str">
        <f>pixel_shift_table.asm!J59</f>
        <v>A9</v>
      </c>
      <c r="J59" s="70" t="str">
        <f>pixel_shift_table.asm!K59</f>
        <v>A9</v>
      </c>
      <c r="K59" s="70" t="str">
        <f>pixel_shift_table.asm!L59</f>
        <v>A9</v>
      </c>
      <c r="L59" s="70" t="str">
        <f>pixel_shift_table.asm!M59</f>
        <v>A9</v>
      </c>
      <c r="M59" s="70" t="str">
        <f>pixel_shift_table.asm!N59</f>
        <v>A9</v>
      </c>
      <c r="N59" s="70" t="str">
        <f>pixel_shift_table.asm!O59</f>
        <v>A9</v>
      </c>
      <c r="O59" s="70" t="str">
        <f>pixel_shift_table.asm!P59</f>
        <v>A9</v>
      </c>
      <c r="P59" s="70" t="str">
        <f>pixel_shift_table.asm!Q59</f>
        <v>A9</v>
      </c>
      <c r="Q59" s="70" t="str">
        <f>pixel_shift_table.asm!R59</f>
        <v>A9</v>
      </c>
      <c r="S59">
        <f t="shared" si="62"/>
        <v>128</v>
      </c>
      <c r="T59" s="5" t="str">
        <f t="shared" si="63"/>
        <v>A901</v>
      </c>
      <c r="U59" s="5" t="str">
        <f t="shared" si="64"/>
        <v>A909</v>
      </c>
      <c r="V59" s="5" t="str">
        <f t="shared" si="65"/>
        <v>A90B</v>
      </c>
      <c r="W59" s="5" t="str">
        <f t="shared" si="66"/>
        <v>A919</v>
      </c>
      <c r="X59" s="5" t="str">
        <f t="shared" si="67"/>
        <v>A90D</v>
      </c>
      <c r="Y59" s="5" t="str">
        <f t="shared" si="68"/>
        <v>A929</v>
      </c>
      <c r="Z59" s="5" t="str">
        <f t="shared" si="69"/>
        <v>A91B</v>
      </c>
      <c r="AA59" s="5" t="str">
        <f t="shared" si="70"/>
        <v>A939</v>
      </c>
      <c r="AB59" s="5" t="str">
        <f t="shared" si="71"/>
        <v>A90F</v>
      </c>
      <c r="AC59" s="5" t="str">
        <f t="shared" si="72"/>
        <v>A949</v>
      </c>
      <c r="AD59" s="5" t="str">
        <f t="shared" si="73"/>
        <v>A92B</v>
      </c>
      <c r="AE59" s="5" t="str">
        <f t="shared" si="74"/>
        <v>A959</v>
      </c>
      <c r="AF59" s="5" t="str">
        <f t="shared" si="75"/>
        <v>A91D</v>
      </c>
      <c r="AG59" s="5" t="str">
        <f t="shared" si="76"/>
        <v>A969</v>
      </c>
      <c r="AH59" s="5" t="str">
        <f t="shared" si="77"/>
        <v>A93B</v>
      </c>
      <c r="AI59" s="5" t="str">
        <f t="shared" si="78"/>
        <v>A979</v>
      </c>
      <c r="AK59" s="5" t="str" cm="1">
        <f t="array" ref="AK59">INDEX(_xlfn.TOROW(PixelPatternTable),HEX2DEC(T59)-$T$1+1)</f>
        <v>80</v>
      </c>
      <c r="AL59" s="5" t="str" cm="1">
        <f t="array" ref="AL59">INDEX(_xlfn.TOROW(PixelPatternTable),HEX2DEC(U59)-$T$1+1)</f>
        <v>80</v>
      </c>
      <c r="AM59" s="5" t="str" cm="1">
        <f t="array" ref="AM59">INDEX(_xlfn.TOROW(PixelPatternTable),HEX2DEC(V59)-$T$1+1)</f>
        <v>80</v>
      </c>
      <c r="AN59" s="5" t="str" cm="1">
        <f t="array" ref="AN59">INDEX(_xlfn.TOROW(PixelPatternTable),HEX2DEC(W59)-$T$1+1)</f>
        <v>80</v>
      </c>
      <c r="AO59" s="5" t="str" cm="1">
        <f t="array" ref="AO59">INDEX(_xlfn.TOROW(PixelPatternTable),HEX2DEC(X59)-$T$1+1)</f>
        <v>80</v>
      </c>
      <c r="AP59" s="5" t="str" cm="1">
        <f t="array" ref="AP59">INDEX(_xlfn.TOROW(PixelPatternTable),HEX2DEC(Y59)-$T$1+1)</f>
        <v>80</v>
      </c>
      <c r="AQ59" s="5" t="str" cm="1">
        <f t="array" ref="AQ59">INDEX(_xlfn.TOROW(PixelPatternTable),HEX2DEC(Z59)-$T$1+1)</f>
        <v>80</v>
      </c>
      <c r="AR59" s="5" t="str" cm="1">
        <f t="array" ref="AR59">INDEX(_xlfn.TOROW(PixelPatternTable),HEX2DEC(AA59)-$T$1+1)</f>
        <v>80</v>
      </c>
      <c r="AS59" s="5" t="str" cm="1">
        <f t="array" ref="AS59">INDEX(_xlfn.TOROW(PixelPatternTable),HEX2DEC(AB59)-$T$1+1)</f>
        <v>80</v>
      </c>
      <c r="AT59" s="5" t="str" cm="1">
        <f t="array" ref="AT59">INDEX(_xlfn.TOROW(PixelPatternTable),HEX2DEC(AC59)-$T$1+1)</f>
        <v>80</v>
      </c>
      <c r="AU59" s="5" t="str" cm="1">
        <f t="array" ref="AU59">INDEX(_xlfn.TOROW(PixelPatternTable),HEX2DEC(AD59)-$T$1+1)</f>
        <v>80</v>
      </c>
      <c r="AV59" s="5" t="str" cm="1">
        <f t="array" ref="AV59">INDEX(_xlfn.TOROW(PixelPatternTable),HEX2DEC(AE59)-$T$1+1)</f>
        <v>80</v>
      </c>
      <c r="AW59" s="5" t="str" cm="1">
        <f t="array" ref="AW59">INDEX(_xlfn.TOROW(PixelPatternTable),HEX2DEC(AF59)-$T$1+1)</f>
        <v>80</v>
      </c>
      <c r="AX59" s="5" t="str" cm="1">
        <f t="array" ref="AX59">INDEX(_xlfn.TOROW(PixelPatternTable),HEX2DEC(AG59)-$T$1+1)</f>
        <v>80</v>
      </c>
      <c r="AY59" s="5" t="str" cm="1">
        <f t="array" ref="AY59">INDEX(_xlfn.TOROW(PixelPatternTable),HEX2DEC(AH59)-$T$1+1)</f>
        <v>80</v>
      </c>
      <c r="AZ59" s="5" t="str" cm="1">
        <f t="array" ref="AZ59">INDEX(_xlfn.TOROW(PixelPatternTable),HEX2DEC(AI59)-$T$1+1)</f>
        <v>80</v>
      </c>
    </row>
    <row r="60" spans="1:52" x14ac:dyDescent="0.3">
      <c r="A60" s="24" t="str">
        <f t="shared" si="20"/>
        <v>A590</v>
      </c>
      <c r="B60" s="71" t="str">
        <f>pixel_shift_table.asm!C60</f>
        <v>A9</v>
      </c>
      <c r="C60" s="72" t="str">
        <f>pixel_shift_table.asm!D60</f>
        <v>A9</v>
      </c>
      <c r="D60" s="72" t="str">
        <f>pixel_shift_table.asm!E60</f>
        <v>A9</v>
      </c>
      <c r="E60" s="72" t="str">
        <f>pixel_shift_table.asm!F60</f>
        <v>A9</v>
      </c>
      <c r="F60" s="72" t="str">
        <f>pixel_shift_table.asm!G60</f>
        <v>A9</v>
      </c>
      <c r="G60" s="72" t="str">
        <f>pixel_shift_table.asm!H60</f>
        <v>A9</v>
      </c>
      <c r="H60" s="72" t="str">
        <f>pixel_shift_table.asm!I60</f>
        <v>A9</v>
      </c>
      <c r="I60" s="72" t="str">
        <f>pixel_shift_table.asm!J60</f>
        <v>A9</v>
      </c>
      <c r="J60" s="72" t="str">
        <f>pixel_shift_table.asm!K60</f>
        <v>A9</v>
      </c>
      <c r="K60" s="72" t="str">
        <f>pixel_shift_table.asm!L60</f>
        <v>A9</v>
      </c>
      <c r="L60" s="72" t="str">
        <f>pixel_shift_table.asm!M60</f>
        <v>A9</v>
      </c>
      <c r="M60" s="72" t="str">
        <f>pixel_shift_table.asm!N60</f>
        <v>A9</v>
      </c>
      <c r="N60" s="72" t="str">
        <f>pixel_shift_table.asm!O60</f>
        <v>A9</v>
      </c>
      <c r="O60" s="72" t="str">
        <f>pixel_shift_table.asm!P60</f>
        <v>A9</v>
      </c>
      <c r="P60" s="72" t="str">
        <f>pixel_shift_table.asm!Q60</f>
        <v>A9</v>
      </c>
      <c r="Q60" s="72" t="str">
        <f>pixel_shift_table.asm!R60</f>
        <v>A9</v>
      </c>
      <c r="S60">
        <f t="shared" si="62"/>
        <v>144</v>
      </c>
      <c r="T60" s="5" t="str">
        <f t="shared" si="63"/>
        <v>A911</v>
      </c>
      <c r="U60" s="5" t="str">
        <f t="shared" si="64"/>
        <v>A989</v>
      </c>
      <c r="V60" s="5" t="str">
        <f t="shared" si="65"/>
        <v>A94B</v>
      </c>
      <c r="W60" s="5" t="str">
        <f t="shared" si="66"/>
        <v>A999</v>
      </c>
      <c r="X60" s="5" t="str">
        <f t="shared" si="67"/>
        <v>A92D</v>
      </c>
      <c r="Y60" s="5" t="str">
        <f t="shared" si="68"/>
        <v>A9A9</v>
      </c>
      <c r="Z60" s="5" t="str">
        <f t="shared" si="69"/>
        <v>A95B</v>
      </c>
      <c r="AA60" s="5" t="str">
        <f t="shared" si="70"/>
        <v>A9B9</v>
      </c>
      <c r="AB60" s="5" t="str">
        <f t="shared" si="71"/>
        <v>A91F</v>
      </c>
      <c r="AC60" s="5" t="str">
        <f t="shared" si="72"/>
        <v>A9C9</v>
      </c>
      <c r="AD60" s="5" t="str">
        <f t="shared" si="73"/>
        <v>A96B</v>
      </c>
      <c r="AE60" s="5" t="str">
        <f t="shared" si="74"/>
        <v>A9D9</v>
      </c>
      <c r="AF60" s="5" t="str">
        <f t="shared" si="75"/>
        <v>A93D</v>
      </c>
      <c r="AG60" s="5" t="str">
        <f t="shared" si="76"/>
        <v>A9E9</v>
      </c>
      <c r="AH60" s="5" t="str">
        <f t="shared" si="77"/>
        <v>A97B</v>
      </c>
      <c r="AI60" s="5" t="str">
        <f t="shared" si="78"/>
        <v>A9F9</v>
      </c>
      <c r="AK60" s="5" t="str" cm="1">
        <f t="array" ref="AK60">INDEX(_xlfn.TOROW(PixelPatternTable),HEX2DEC(T60)-$T$1+1)</f>
        <v>81</v>
      </c>
      <c r="AL60" s="5" t="str" cm="1">
        <f t="array" ref="AL60">INDEX(_xlfn.TOROW(PixelPatternTable),HEX2DEC(U60)-$T$1+1)</f>
        <v>81</v>
      </c>
      <c r="AM60" s="5" t="str" cm="1">
        <f t="array" ref="AM60">INDEX(_xlfn.TOROW(PixelPatternTable),HEX2DEC(V60)-$T$1+1)</f>
        <v>81</v>
      </c>
      <c r="AN60" s="5" t="str" cm="1">
        <f t="array" ref="AN60">INDEX(_xlfn.TOROW(PixelPatternTable),HEX2DEC(W60)-$T$1+1)</f>
        <v>81</v>
      </c>
      <c r="AO60" s="5" t="str" cm="1">
        <f t="array" ref="AO60">INDEX(_xlfn.TOROW(PixelPatternTable),HEX2DEC(X60)-$T$1+1)</f>
        <v>81</v>
      </c>
      <c r="AP60" s="5" t="str" cm="1">
        <f t="array" ref="AP60">INDEX(_xlfn.TOROW(PixelPatternTable),HEX2DEC(Y60)-$T$1+1)</f>
        <v>81</v>
      </c>
      <c r="AQ60" s="5" t="str" cm="1">
        <f t="array" ref="AQ60">INDEX(_xlfn.TOROW(PixelPatternTable),HEX2DEC(Z60)-$T$1+1)</f>
        <v>81</v>
      </c>
      <c r="AR60" s="5" t="str" cm="1">
        <f t="array" ref="AR60">INDEX(_xlfn.TOROW(PixelPatternTable),HEX2DEC(AA60)-$T$1+1)</f>
        <v>81</v>
      </c>
      <c r="AS60" s="5" t="str" cm="1">
        <f t="array" ref="AS60">INDEX(_xlfn.TOROW(PixelPatternTable),HEX2DEC(AB60)-$T$1+1)</f>
        <v>81</v>
      </c>
      <c r="AT60" s="5" t="str" cm="1">
        <f t="array" ref="AT60">INDEX(_xlfn.TOROW(PixelPatternTable),HEX2DEC(AC60)-$T$1+1)</f>
        <v>81</v>
      </c>
      <c r="AU60" s="5" t="str" cm="1">
        <f t="array" ref="AU60">INDEX(_xlfn.TOROW(PixelPatternTable),HEX2DEC(AD60)-$T$1+1)</f>
        <v>81</v>
      </c>
      <c r="AV60" s="5" t="str" cm="1">
        <f t="array" ref="AV60">INDEX(_xlfn.TOROW(PixelPatternTable),HEX2DEC(AE60)-$T$1+1)</f>
        <v>81</v>
      </c>
      <c r="AW60" s="5" t="str" cm="1">
        <f t="array" ref="AW60">INDEX(_xlfn.TOROW(PixelPatternTable),HEX2DEC(AF60)-$T$1+1)</f>
        <v>81</v>
      </c>
      <c r="AX60" s="5" t="str" cm="1">
        <f t="array" ref="AX60">INDEX(_xlfn.TOROW(PixelPatternTable),HEX2DEC(AG60)-$T$1+1)</f>
        <v>81</v>
      </c>
      <c r="AY60" s="5" t="str" cm="1">
        <f t="array" ref="AY60">INDEX(_xlfn.TOROW(PixelPatternTable),HEX2DEC(AH60)-$T$1+1)</f>
        <v>81</v>
      </c>
      <c r="AZ60" s="5" t="str" cm="1">
        <f t="array" ref="AZ60">INDEX(_xlfn.TOROW(PixelPatternTable),HEX2DEC(AI60)-$T$1+1)</f>
        <v>81</v>
      </c>
    </row>
    <row r="61" spans="1:52" x14ac:dyDescent="0.3">
      <c r="A61" s="5" t="str">
        <f t="shared" si="20"/>
        <v>A5A0</v>
      </c>
      <c r="B61" s="71" t="str">
        <f>pixel_shift_table.asm!C61</f>
        <v>A9</v>
      </c>
      <c r="C61" s="72" t="str">
        <f>pixel_shift_table.asm!D61</f>
        <v>AA</v>
      </c>
      <c r="D61" s="72" t="str">
        <f>pixel_shift_table.asm!E61</f>
        <v>A9</v>
      </c>
      <c r="E61" s="72" t="str">
        <f>pixel_shift_table.asm!F61</f>
        <v>AA</v>
      </c>
      <c r="F61" s="72" t="str">
        <f>pixel_shift_table.asm!G61</f>
        <v>A9</v>
      </c>
      <c r="G61" s="72" t="str">
        <f>pixel_shift_table.asm!H61</f>
        <v>AA</v>
      </c>
      <c r="H61" s="72" t="str">
        <f>pixel_shift_table.asm!I61</f>
        <v>A9</v>
      </c>
      <c r="I61" s="72" t="str">
        <f>pixel_shift_table.asm!J61</f>
        <v>AA</v>
      </c>
      <c r="J61" s="72" t="str">
        <f>pixel_shift_table.asm!K61</f>
        <v>A9</v>
      </c>
      <c r="K61" s="72" t="str">
        <f>pixel_shift_table.asm!L61</f>
        <v>AA</v>
      </c>
      <c r="L61" s="72" t="str">
        <f>pixel_shift_table.asm!M61</f>
        <v>A9</v>
      </c>
      <c r="M61" s="72" t="str">
        <f>pixel_shift_table.asm!N61</f>
        <v>AA</v>
      </c>
      <c r="N61" s="72" t="str">
        <f>pixel_shift_table.asm!O61</f>
        <v>A9</v>
      </c>
      <c r="O61" s="72" t="str">
        <f>pixel_shift_table.asm!P61</f>
        <v>AA</v>
      </c>
      <c r="P61" s="72" t="str">
        <f>pixel_shift_table.asm!Q61</f>
        <v>A9</v>
      </c>
      <c r="Q61" s="72" t="str">
        <f>pixel_shift_table.asm!R61</f>
        <v>AA</v>
      </c>
      <c r="S61">
        <f t="shared" si="62"/>
        <v>160</v>
      </c>
      <c r="T61" s="5" t="str">
        <f t="shared" si="63"/>
        <v>A921</v>
      </c>
      <c r="U61" s="5" t="str">
        <f t="shared" si="64"/>
        <v>AA09</v>
      </c>
      <c r="V61" s="5" t="str">
        <f t="shared" si="65"/>
        <v>A98B</v>
      </c>
      <c r="W61" s="5" t="str">
        <f t="shared" si="66"/>
        <v>AA19</v>
      </c>
      <c r="X61" s="5" t="str">
        <f t="shared" si="67"/>
        <v>A94D</v>
      </c>
      <c r="Y61" s="5" t="str">
        <f t="shared" si="68"/>
        <v>AA29</v>
      </c>
      <c r="Z61" s="5" t="str">
        <f t="shared" si="69"/>
        <v>A99B</v>
      </c>
      <c r="AA61" s="5" t="str">
        <f t="shared" si="70"/>
        <v>AA39</v>
      </c>
      <c r="AB61" s="5" t="str">
        <f t="shared" si="71"/>
        <v>A92F</v>
      </c>
      <c r="AC61" s="5" t="str">
        <f t="shared" si="72"/>
        <v>AA49</v>
      </c>
      <c r="AD61" s="5" t="str">
        <f t="shared" si="73"/>
        <v>A9AB</v>
      </c>
      <c r="AE61" s="5" t="str">
        <f t="shared" si="74"/>
        <v>AA59</v>
      </c>
      <c r="AF61" s="5" t="str">
        <f t="shared" si="75"/>
        <v>A95D</v>
      </c>
      <c r="AG61" s="5" t="str">
        <f t="shared" si="76"/>
        <v>AA69</v>
      </c>
      <c r="AH61" s="5" t="str">
        <f t="shared" si="77"/>
        <v>A9BB</v>
      </c>
      <c r="AI61" s="5" t="str">
        <f t="shared" si="78"/>
        <v>AA79</v>
      </c>
      <c r="AK61" s="5" t="str" cm="1">
        <f t="array" ref="AK61">INDEX(_xlfn.TOROW(PixelPatternTable),HEX2DEC(T61)-$T$1+1)</f>
        <v>82</v>
      </c>
      <c r="AL61" s="5" t="str" cm="1">
        <f t="array" ref="AL61">INDEX(_xlfn.TOROW(PixelPatternTable),HEX2DEC(U61)-$T$1+1)</f>
        <v>82</v>
      </c>
      <c r="AM61" s="5" t="str" cm="1">
        <f t="array" ref="AM61">INDEX(_xlfn.TOROW(PixelPatternTable),HEX2DEC(V61)-$T$1+1)</f>
        <v>82</v>
      </c>
      <c r="AN61" s="5" t="str" cm="1">
        <f t="array" ref="AN61">INDEX(_xlfn.TOROW(PixelPatternTable),HEX2DEC(W61)-$T$1+1)</f>
        <v>82</v>
      </c>
      <c r="AO61" s="5" t="str" cm="1">
        <f t="array" ref="AO61">INDEX(_xlfn.TOROW(PixelPatternTable),HEX2DEC(X61)-$T$1+1)</f>
        <v>82</v>
      </c>
      <c r="AP61" s="5" t="str" cm="1">
        <f t="array" ref="AP61">INDEX(_xlfn.TOROW(PixelPatternTable),HEX2DEC(Y61)-$T$1+1)</f>
        <v>82</v>
      </c>
      <c r="AQ61" s="5" t="str" cm="1">
        <f t="array" ref="AQ61">INDEX(_xlfn.TOROW(PixelPatternTable),HEX2DEC(Z61)-$T$1+1)</f>
        <v>82</v>
      </c>
      <c r="AR61" s="5" t="str" cm="1">
        <f t="array" ref="AR61">INDEX(_xlfn.TOROW(PixelPatternTable),HEX2DEC(AA61)-$T$1+1)</f>
        <v>82</v>
      </c>
      <c r="AS61" s="5" t="str" cm="1">
        <f t="array" ref="AS61">INDEX(_xlfn.TOROW(PixelPatternTable),HEX2DEC(AB61)-$T$1+1)</f>
        <v>82</v>
      </c>
      <c r="AT61" s="5" t="str" cm="1">
        <f t="array" ref="AT61">INDEX(_xlfn.TOROW(PixelPatternTable),HEX2DEC(AC61)-$T$1+1)</f>
        <v>82</v>
      </c>
      <c r="AU61" s="5" t="str" cm="1">
        <f t="array" ref="AU61">INDEX(_xlfn.TOROW(PixelPatternTable),HEX2DEC(AD61)-$T$1+1)</f>
        <v>82</v>
      </c>
      <c r="AV61" s="5" t="str" cm="1">
        <f t="array" ref="AV61">INDEX(_xlfn.TOROW(PixelPatternTable),HEX2DEC(AE61)-$T$1+1)</f>
        <v>82</v>
      </c>
      <c r="AW61" s="5" t="str" cm="1">
        <f t="array" ref="AW61">INDEX(_xlfn.TOROW(PixelPatternTable),HEX2DEC(AF61)-$T$1+1)</f>
        <v>82</v>
      </c>
      <c r="AX61" s="5" t="str" cm="1">
        <f t="array" ref="AX61">INDEX(_xlfn.TOROW(PixelPatternTable),HEX2DEC(AG61)-$T$1+1)</f>
        <v>82</v>
      </c>
      <c r="AY61" s="5" t="str" cm="1">
        <f t="array" ref="AY61">INDEX(_xlfn.TOROW(PixelPatternTable),HEX2DEC(AH61)-$T$1+1)</f>
        <v>82</v>
      </c>
      <c r="AZ61" s="5" t="str" cm="1">
        <f t="array" ref="AZ61">INDEX(_xlfn.TOROW(PixelPatternTable),HEX2DEC(AI61)-$T$1+1)</f>
        <v>82</v>
      </c>
    </row>
    <row r="62" spans="1:52" x14ac:dyDescent="0.3">
      <c r="A62" s="5" t="str">
        <f t="shared" si="20"/>
        <v>A5B0</v>
      </c>
      <c r="B62" s="71" t="str">
        <f>pixel_shift_table.asm!C62</f>
        <v>A9</v>
      </c>
      <c r="C62" s="72" t="str">
        <f>pixel_shift_table.asm!D62</f>
        <v>AA</v>
      </c>
      <c r="D62" s="72" t="str">
        <f>pixel_shift_table.asm!E62</f>
        <v>A9</v>
      </c>
      <c r="E62" s="72" t="str">
        <f>pixel_shift_table.asm!F62</f>
        <v>AA</v>
      </c>
      <c r="F62" s="72" t="str">
        <f>pixel_shift_table.asm!G62</f>
        <v>A9</v>
      </c>
      <c r="G62" s="72" t="str">
        <f>pixel_shift_table.asm!H62</f>
        <v>AA</v>
      </c>
      <c r="H62" s="72" t="str">
        <f>pixel_shift_table.asm!I62</f>
        <v>A9</v>
      </c>
      <c r="I62" s="72" t="str">
        <f>pixel_shift_table.asm!J62</f>
        <v>AA</v>
      </c>
      <c r="J62" s="72" t="str">
        <f>pixel_shift_table.asm!K62</f>
        <v>A9</v>
      </c>
      <c r="K62" s="72" t="str">
        <f>pixel_shift_table.asm!L62</f>
        <v>AA</v>
      </c>
      <c r="L62" s="72" t="str">
        <f>pixel_shift_table.asm!M62</f>
        <v>A9</v>
      </c>
      <c r="M62" s="72" t="str">
        <f>pixel_shift_table.asm!N62</f>
        <v>AA</v>
      </c>
      <c r="N62" s="72" t="str">
        <f>pixel_shift_table.asm!O62</f>
        <v>A9</v>
      </c>
      <c r="O62" s="72" t="str">
        <f>pixel_shift_table.asm!P62</f>
        <v>AA</v>
      </c>
      <c r="P62" s="72" t="str">
        <f>pixel_shift_table.asm!Q62</f>
        <v>A9</v>
      </c>
      <c r="Q62" s="72" t="str">
        <f>pixel_shift_table.asm!R62</f>
        <v>AA</v>
      </c>
      <c r="S62">
        <f t="shared" si="62"/>
        <v>176</v>
      </c>
      <c r="T62" s="5" t="str">
        <f t="shared" si="63"/>
        <v>A931</v>
      </c>
      <c r="U62" s="5" t="str">
        <f t="shared" si="64"/>
        <v>AA89</v>
      </c>
      <c r="V62" s="5" t="str">
        <f t="shared" si="65"/>
        <v>A9CB</v>
      </c>
      <c r="W62" s="5" t="str">
        <f t="shared" si="66"/>
        <v>AA99</v>
      </c>
      <c r="X62" s="5" t="str">
        <f t="shared" si="67"/>
        <v>A96D</v>
      </c>
      <c r="Y62" s="5" t="str">
        <f t="shared" si="68"/>
        <v>AAA9</v>
      </c>
      <c r="Z62" s="5" t="str">
        <f t="shared" si="69"/>
        <v>A9DB</v>
      </c>
      <c r="AA62" s="5" t="str">
        <f t="shared" si="70"/>
        <v>AAB9</v>
      </c>
      <c r="AB62" s="5" t="str">
        <f t="shared" si="71"/>
        <v>A93F</v>
      </c>
      <c r="AC62" s="5" t="str">
        <f t="shared" si="72"/>
        <v>AAC9</v>
      </c>
      <c r="AD62" s="5" t="str">
        <f t="shared" si="73"/>
        <v>A9EB</v>
      </c>
      <c r="AE62" s="5" t="str">
        <f t="shared" si="74"/>
        <v>AAD9</v>
      </c>
      <c r="AF62" s="5" t="str">
        <f t="shared" si="75"/>
        <v>A97D</v>
      </c>
      <c r="AG62" s="5" t="str">
        <f t="shared" si="76"/>
        <v>AAE9</v>
      </c>
      <c r="AH62" s="5" t="str">
        <f t="shared" si="77"/>
        <v>A9FB</v>
      </c>
      <c r="AI62" s="5" t="str">
        <f t="shared" si="78"/>
        <v>AAF9</v>
      </c>
      <c r="AK62" s="5" t="str" cm="1">
        <f t="array" ref="AK62">INDEX(_xlfn.TOROW(PixelPatternTable),HEX2DEC(T62)-$T$1+1)</f>
        <v>83</v>
      </c>
      <c r="AL62" s="5" t="str" cm="1">
        <f t="array" ref="AL62">INDEX(_xlfn.TOROW(PixelPatternTable),HEX2DEC(U62)-$T$1+1)</f>
        <v>83</v>
      </c>
      <c r="AM62" s="5" t="str" cm="1">
        <f t="array" ref="AM62">INDEX(_xlfn.TOROW(PixelPatternTable),HEX2DEC(V62)-$T$1+1)</f>
        <v>83</v>
      </c>
      <c r="AN62" s="5" t="str" cm="1">
        <f t="array" ref="AN62">INDEX(_xlfn.TOROW(PixelPatternTable),HEX2DEC(W62)-$T$1+1)</f>
        <v>83</v>
      </c>
      <c r="AO62" s="5" t="str" cm="1">
        <f t="array" ref="AO62">INDEX(_xlfn.TOROW(PixelPatternTable),HEX2DEC(X62)-$T$1+1)</f>
        <v>83</v>
      </c>
      <c r="AP62" s="5" t="str" cm="1">
        <f t="array" ref="AP62">INDEX(_xlfn.TOROW(PixelPatternTable),HEX2DEC(Y62)-$T$1+1)</f>
        <v>83</v>
      </c>
      <c r="AQ62" s="5" t="str" cm="1">
        <f t="array" ref="AQ62">INDEX(_xlfn.TOROW(PixelPatternTable),HEX2DEC(Z62)-$T$1+1)</f>
        <v>83</v>
      </c>
      <c r="AR62" s="5" t="str" cm="1">
        <f t="array" ref="AR62">INDEX(_xlfn.TOROW(PixelPatternTable),HEX2DEC(AA62)-$T$1+1)</f>
        <v>83</v>
      </c>
      <c r="AS62" s="5" t="str" cm="1">
        <f t="array" ref="AS62">INDEX(_xlfn.TOROW(PixelPatternTable),HEX2DEC(AB62)-$T$1+1)</f>
        <v>83</v>
      </c>
      <c r="AT62" s="5" t="str" cm="1">
        <f t="array" ref="AT62">INDEX(_xlfn.TOROW(PixelPatternTable),HEX2DEC(AC62)-$T$1+1)</f>
        <v>83</v>
      </c>
      <c r="AU62" s="5" t="str" cm="1">
        <f t="array" ref="AU62">INDEX(_xlfn.TOROW(PixelPatternTable),HEX2DEC(AD62)-$T$1+1)</f>
        <v>83</v>
      </c>
      <c r="AV62" s="5" t="str" cm="1">
        <f t="array" ref="AV62">INDEX(_xlfn.TOROW(PixelPatternTable),HEX2DEC(AE62)-$T$1+1)</f>
        <v>83</v>
      </c>
      <c r="AW62" s="5" t="str" cm="1">
        <f t="array" ref="AW62">INDEX(_xlfn.TOROW(PixelPatternTable),HEX2DEC(AF62)-$T$1+1)</f>
        <v>83</v>
      </c>
      <c r="AX62" s="5" t="str" cm="1">
        <f t="array" ref="AX62">INDEX(_xlfn.TOROW(PixelPatternTable),HEX2DEC(AG62)-$T$1+1)</f>
        <v>83</v>
      </c>
      <c r="AY62" s="5" t="str" cm="1">
        <f t="array" ref="AY62">INDEX(_xlfn.TOROW(PixelPatternTable),HEX2DEC(AH62)-$T$1+1)</f>
        <v>83</v>
      </c>
      <c r="AZ62" s="5" t="str" cm="1">
        <f t="array" ref="AZ62">INDEX(_xlfn.TOROW(PixelPatternTable),HEX2DEC(AI62)-$T$1+1)</f>
        <v>83</v>
      </c>
    </row>
    <row r="63" spans="1:52" x14ac:dyDescent="0.3">
      <c r="A63" s="5" t="str">
        <f t="shared" si="20"/>
        <v>A5C0</v>
      </c>
      <c r="B63" s="71" t="str">
        <f>pixel_shift_table.asm!C63</f>
        <v>A9</v>
      </c>
      <c r="C63" s="72" t="str">
        <f>pixel_shift_table.asm!D63</f>
        <v>AB</v>
      </c>
      <c r="D63" s="72" t="str">
        <f>pixel_shift_table.asm!E63</f>
        <v>AA</v>
      </c>
      <c r="E63" s="72" t="str">
        <f>pixel_shift_table.asm!F63</f>
        <v>AB</v>
      </c>
      <c r="F63" s="72" t="str">
        <f>pixel_shift_table.asm!G63</f>
        <v>A9</v>
      </c>
      <c r="G63" s="72" t="str">
        <f>pixel_shift_table.asm!H63</f>
        <v>AB</v>
      </c>
      <c r="H63" s="72" t="str">
        <f>pixel_shift_table.asm!I63</f>
        <v>AA</v>
      </c>
      <c r="I63" s="72" t="str">
        <f>pixel_shift_table.asm!J63</f>
        <v>AB</v>
      </c>
      <c r="J63" s="72" t="str">
        <f>pixel_shift_table.asm!K63</f>
        <v>A9</v>
      </c>
      <c r="K63" s="72" t="str">
        <f>pixel_shift_table.asm!L63</f>
        <v>AB</v>
      </c>
      <c r="L63" s="72" t="str">
        <f>pixel_shift_table.asm!M63</f>
        <v>AA</v>
      </c>
      <c r="M63" s="72" t="str">
        <f>pixel_shift_table.asm!N63</f>
        <v>AB</v>
      </c>
      <c r="N63" s="72" t="str">
        <f>pixel_shift_table.asm!O63</f>
        <v>A9</v>
      </c>
      <c r="O63" s="72" t="str">
        <f>pixel_shift_table.asm!P63</f>
        <v>AB</v>
      </c>
      <c r="P63" s="72" t="str">
        <f>pixel_shift_table.asm!Q63</f>
        <v>AA</v>
      </c>
      <c r="Q63" s="72" t="str">
        <f>pixel_shift_table.asm!R63</f>
        <v>AB</v>
      </c>
      <c r="S63">
        <f t="shared" si="62"/>
        <v>192</v>
      </c>
      <c r="T63" s="5" t="str">
        <f t="shared" si="63"/>
        <v>A941</v>
      </c>
      <c r="U63" s="5" t="str">
        <f t="shared" si="64"/>
        <v>AB09</v>
      </c>
      <c r="V63" s="5" t="str">
        <f t="shared" si="65"/>
        <v>AA0B</v>
      </c>
      <c r="W63" s="5" t="str">
        <f t="shared" si="66"/>
        <v>AB19</v>
      </c>
      <c r="X63" s="5" t="str">
        <f t="shared" si="67"/>
        <v>A98D</v>
      </c>
      <c r="Y63" s="5" t="str">
        <f t="shared" si="68"/>
        <v>AB29</v>
      </c>
      <c r="Z63" s="5" t="str">
        <f t="shared" si="69"/>
        <v>AA1B</v>
      </c>
      <c r="AA63" s="5" t="str">
        <f t="shared" si="70"/>
        <v>AB39</v>
      </c>
      <c r="AB63" s="5" t="str">
        <f t="shared" si="71"/>
        <v>A94F</v>
      </c>
      <c r="AC63" s="5" t="str">
        <f t="shared" si="72"/>
        <v>AB49</v>
      </c>
      <c r="AD63" s="5" t="str">
        <f t="shared" si="73"/>
        <v>AA2B</v>
      </c>
      <c r="AE63" s="5" t="str">
        <f t="shared" si="74"/>
        <v>AB59</v>
      </c>
      <c r="AF63" s="5" t="str">
        <f t="shared" si="75"/>
        <v>A99D</v>
      </c>
      <c r="AG63" s="5" t="str">
        <f t="shared" si="76"/>
        <v>AB69</v>
      </c>
      <c r="AH63" s="5" t="str">
        <f t="shared" si="77"/>
        <v>AA3B</v>
      </c>
      <c r="AI63" s="5" t="str">
        <f t="shared" si="78"/>
        <v>AB79</v>
      </c>
      <c r="AK63" s="5" t="str" cm="1">
        <f t="array" ref="AK63">INDEX(_xlfn.TOROW(PixelPatternTable),HEX2DEC(T63)-$T$1+1)</f>
        <v>84</v>
      </c>
      <c r="AL63" s="5" t="str" cm="1">
        <f t="array" ref="AL63">INDEX(_xlfn.TOROW(PixelPatternTable),HEX2DEC(U63)-$T$1+1)</f>
        <v>84</v>
      </c>
      <c r="AM63" s="5" t="str" cm="1">
        <f t="array" ref="AM63">INDEX(_xlfn.TOROW(PixelPatternTable),HEX2DEC(V63)-$T$1+1)</f>
        <v>84</v>
      </c>
      <c r="AN63" s="5" t="str" cm="1">
        <f t="array" ref="AN63">INDEX(_xlfn.TOROW(PixelPatternTable),HEX2DEC(W63)-$T$1+1)</f>
        <v>84</v>
      </c>
      <c r="AO63" s="5" t="str" cm="1">
        <f t="array" ref="AO63">INDEX(_xlfn.TOROW(PixelPatternTable),HEX2DEC(X63)-$T$1+1)</f>
        <v>84</v>
      </c>
      <c r="AP63" s="5" t="str" cm="1">
        <f t="array" ref="AP63">INDEX(_xlfn.TOROW(PixelPatternTable),HEX2DEC(Y63)-$T$1+1)</f>
        <v>84</v>
      </c>
      <c r="AQ63" s="5" t="str" cm="1">
        <f t="array" ref="AQ63">INDEX(_xlfn.TOROW(PixelPatternTable),HEX2DEC(Z63)-$T$1+1)</f>
        <v>84</v>
      </c>
      <c r="AR63" s="5" t="str" cm="1">
        <f t="array" ref="AR63">INDEX(_xlfn.TOROW(PixelPatternTable),HEX2DEC(AA63)-$T$1+1)</f>
        <v>84</v>
      </c>
      <c r="AS63" s="5" t="str" cm="1">
        <f t="array" ref="AS63">INDEX(_xlfn.TOROW(PixelPatternTable),HEX2DEC(AB63)-$T$1+1)</f>
        <v>84</v>
      </c>
      <c r="AT63" s="5" t="str" cm="1">
        <f t="array" ref="AT63">INDEX(_xlfn.TOROW(PixelPatternTable),HEX2DEC(AC63)-$T$1+1)</f>
        <v>84</v>
      </c>
      <c r="AU63" s="5" t="str" cm="1">
        <f t="array" ref="AU63">INDEX(_xlfn.TOROW(PixelPatternTable),HEX2DEC(AD63)-$T$1+1)</f>
        <v>84</v>
      </c>
      <c r="AV63" s="5" t="str" cm="1">
        <f t="array" ref="AV63">INDEX(_xlfn.TOROW(PixelPatternTable),HEX2DEC(AE63)-$T$1+1)</f>
        <v>84</v>
      </c>
      <c r="AW63" s="5" t="str" cm="1">
        <f t="array" ref="AW63">INDEX(_xlfn.TOROW(PixelPatternTable),HEX2DEC(AF63)-$T$1+1)</f>
        <v>84</v>
      </c>
      <c r="AX63" s="5" t="str" cm="1">
        <f t="array" ref="AX63">INDEX(_xlfn.TOROW(PixelPatternTable),HEX2DEC(AG63)-$T$1+1)</f>
        <v>84</v>
      </c>
      <c r="AY63" s="5" t="str" cm="1">
        <f t="array" ref="AY63">INDEX(_xlfn.TOROW(PixelPatternTable),HEX2DEC(AH63)-$T$1+1)</f>
        <v>84</v>
      </c>
      <c r="AZ63" s="5" t="str" cm="1">
        <f t="array" ref="AZ63">INDEX(_xlfn.TOROW(PixelPatternTable),HEX2DEC(AI63)-$T$1+1)</f>
        <v>84</v>
      </c>
    </row>
    <row r="64" spans="1:52" x14ac:dyDescent="0.3">
      <c r="A64" s="5" t="str">
        <f t="shared" si="20"/>
        <v>A5D0</v>
      </c>
      <c r="B64" s="71" t="str">
        <f>pixel_shift_table.asm!C64</f>
        <v>A9</v>
      </c>
      <c r="C64" s="72" t="str">
        <f>pixel_shift_table.asm!D64</f>
        <v>AB</v>
      </c>
      <c r="D64" s="72" t="str">
        <f>pixel_shift_table.asm!E64</f>
        <v>AA</v>
      </c>
      <c r="E64" s="72" t="str">
        <f>pixel_shift_table.asm!F64</f>
        <v>AB</v>
      </c>
      <c r="F64" s="72" t="str">
        <f>pixel_shift_table.asm!G64</f>
        <v>A9</v>
      </c>
      <c r="G64" s="72" t="str">
        <f>pixel_shift_table.asm!H64</f>
        <v>AB</v>
      </c>
      <c r="H64" s="72" t="str">
        <f>pixel_shift_table.asm!I64</f>
        <v>AA</v>
      </c>
      <c r="I64" s="72" t="str">
        <f>pixel_shift_table.asm!J64</f>
        <v>AB</v>
      </c>
      <c r="J64" s="72" t="str">
        <f>pixel_shift_table.asm!K64</f>
        <v>A9</v>
      </c>
      <c r="K64" s="72" t="str">
        <f>pixel_shift_table.asm!L64</f>
        <v>AB</v>
      </c>
      <c r="L64" s="72" t="str">
        <f>pixel_shift_table.asm!M64</f>
        <v>AA</v>
      </c>
      <c r="M64" s="72" t="str">
        <f>pixel_shift_table.asm!N64</f>
        <v>AB</v>
      </c>
      <c r="N64" s="72" t="str">
        <f>pixel_shift_table.asm!O64</f>
        <v>A9</v>
      </c>
      <c r="O64" s="72" t="str">
        <f>pixel_shift_table.asm!P64</f>
        <v>AB</v>
      </c>
      <c r="P64" s="72" t="str">
        <f>pixel_shift_table.asm!Q64</f>
        <v>AA</v>
      </c>
      <c r="Q64" s="72" t="str">
        <f>pixel_shift_table.asm!R64</f>
        <v>AB</v>
      </c>
      <c r="S64">
        <f t="shared" si="62"/>
        <v>208</v>
      </c>
      <c r="T64" s="5" t="str">
        <f t="shared" si="63"/>
        <v>A951</v>
      </c>
      <c r="U64" s="5" t="str">
        <f t="shared" si="64"/>
        <v>AB89</v>
      </c>
      <c r="V64" s="5" t="str">
        <f t="shared" si="65"/>
        <v>AA4B</v>
      </c>
      <c r="W64" s="5" t="str">
        <f t="shared" si="66"/>
        <v>AB99</v>
      </c>
      <c r="X64" s="5" t="str">
        <f t="shared" si="67"/>
        <v>A9AD</v>
      </c>
      <c r="Y64" s="5" t="str">
        <f t="shared" si="68"/>
        <v>ABA9</v>
      </c>
      <c r="Z64" s="5" t="str">
        <f t="shared" si="69"/>
        <v>AA5B</v>
      </c>
      <c r="AA64" s="5" t="str">
        <f t="shared" si="70"/>
        <v>ABB9</v>
      </c>
      <c r="AB64" s="5" t="str">
        <f t="shared" si="71"/>
        <v>A95F</v>
      </c>
      <c r="AC64" s="5" t="str">
        <f t="shared" si="72"/>
        <v>ABC9</v>
      </c>
      <c r="AD64" s="5" t="str">
        <f t="shared" si="73"/>
        <v>AA6B</v>
      </c>
      <c r="AE64" s="5" t="str">
        <f t="shared" si="74"/>
        <v>ABD9</v>
      </c>
      <c r="AF64" s="5" t="str">
        <f t="shared" si="75"/>
        <v>A9BD</v>
      </c>
      <c r="AG64" s="5" t="str">
        <f t="shared" si="76"/>
        <v>ABE9</v>
      </c>
      <c r="AH64" s="5" t="str">
        <f t="shared" si="77"/>
        <v>AA7B</v>
      </c>
      <c r="AI64" s="5" t="str">
        <f t="shared" si="78"/>
        <v>ABF9</v>
      </c>
      <c r="AK64" s="5" t="str" cm="1">
        <f t="array" ref="AK64">INDEX(_xlfn.TOROW(PixelPatternTable),HEX2DEC(T64)-$T$1+1)</f>
        <v>85</v>
      </c>
      <c r="AL64" s="5" t="str" cm="1">
        <f t="array" ref="AL64">INDEX(_xlfn.TOROW(PixelPatternTable),HEX2DEC(U64)-$T$1+1)</f>
        <v>85</v>
      </c>
      <c r="AM64" s="5" t="str" cm="1">
        <f t="array" ref="AM64">INDEX(_xlfn.TOROW(PixelPatternTable),HEX2DEC(V64)-$T$1+1)</f>
        <v>85</v>
      </c>
      <c r="AN64" s="5" t="str" cm="1">
        <f t="array" ref="AN64">INDEX(_xlfn.TOROW(PixelPatternTable),HEX2DEC(W64)-$T$1+1)</f>
        <v>85</v>
      </c>
      <c r="AO64" s="5" t="str" cm="1">
        <f t="array" ref="AO64">INDEX(_xlfn.TOROW(PixelPatternTable),HEX2DEC(X64)-$T$1+1)</f>
        <v>85</v>
      </c>
      <c r="AP64" s="5" t="str" cm="1">
        <f t="array" ref="AP64">INDEX(_xlfn.TOROW(PixelPatternTable),HEX2DEC(Y64)-$T$1+1)</f>
        <v>85</v>
      </c>
      <c r="AQ64" s="5" t="str" cm="1">
        <f t="array" ref="AQ64">INDEX(_xlfn.TOROW(PixelPatternTable),HEX2DEC(Z64)-$T$1+1)</f>
        <v>85</v>
      </c>
      <c r="AR64" s="5" t="str" cm="1">
        <f t="array" ref="AR64">INDEX(_xlfn.TOROW(PixelPatternTable),HEX2DEC(AA64)-$T$1+1)</f>
        <v>85</v>
      </c>
      <c r="AS64" s="5" t="str" cm="1">
        <f t="array" ref="AS64">INDEX(_xlfn.TOROW(PixelPatternTable),HEX2DEC(AB64)-$T$1+1)</f>
        <v>85</v>
      </c>
      <c r="AT64" s="5" t="str" cm="1">
        <f t="array" ref="AT64">INDEX(_xlfn.TOROW(PixelPatternTable),HEX2DEC(AC64)-$T$1+1)</f>
        <v>85</v>
      </c>
      <c r="AU64" s="5" t="str" cm="1">
        <f t="array" ref="AU64">INDEX(_xlfn.TOROW(PixelPatternTable),HEX2DEC(AD64)-$T$1+1)</f>
        <v>85</v>
      </c>
      <c r="AV64" s="5" t="str" cm="1">
        <f t="array" ref="AV64">INDEX(_xlfn.TOROW(PixelPatternTable),HEX2DEC(AE64)-$T$1+1)</f>
        <v>85</v>
      </c>
      <c r="AW64" s="5" t="str" cm="1">
        <f t="array" ref="AW64">INDEX(_xlfn.TOROW(PixelPatternTable),HEX2DEC(AF64)-$T$1+1)</f>
        <v>85</v>
      </c>
      <c r="AX64" s="5" t="str" cm="1">
        <f t="array" ref="AX64">INDEX(_xlfn.TOROW(PixelPatternTable),HEX2DEC(AG64)-$T$1+1)</f>
        <v>85</v>
      </c>
      <c r="AY64" s="5" t="str" cm="1">
        <f t="array" ref="AY64">INDEX(_xlfn.TOROW(PixelPatternTable),HEX2DEC(AH64)-$T$1+1)</f>
        <v>85</v>
      </c>
      <c r="AZ64" s="5" t="str" cm="1">
        <f t="array" ref="AZ64">INDEX(_xlfn.TOROW(PixelPatternTable),HEX2DEC(AI64)-$T$1+1)</f>
        <v>85</v>
      </c>
    </row>
    <row r="65" spans="1:52" x14ac:dyDescent="0.3">
      <c r="A65" s="5" t="str">
        <f t="shared" si="20"/>
        <v>A5E0</v>
      </c>
      <c r="B65" s="71" t="str">
        <f>pixel_shift_table.asm!C65</f>
        <v>A9</v>
      </c>
      <c r="C65" s="72" t="str">
        <f>pixel_shift_table.asm!D65</f>
        <v>AC</v>
      </c>
      <c r="D65" s="72" t="str">
        <f>pixel_shift_table.asm!E65</f>
        <v>AA</v>
      </c>
      <c r="E65" s="72" t="str">
        <f>pixel_shift_table.asm!F65</f>
        <v>AC</v>
      </c>
      <c r="F65" s="72" t="str">
        <f>pixel_shift_table.asm!G65</f>
        <v>A9</v>
      </c>
      <c r="G65" s="72" t="str">
        <f>pixel_shift_table.asm!H65</f>
        <v>AC</v>
      </c>
      <c r="H65" s="72" t="str">
        <f>pixel_shift_table.asm!I65</f>
        <v>AA</v>
      </c>
      <c r="I65" s="72" t="str">
        <f>pixel_shift_table.asm!J65</f>
        <v>AC</v>
      </c>
      <c r="J65" s="72" t="str">
        <f>pixel_shift_table.asm!K65</f>
        <v>A9</v>
      </c>
      <c r="K65" s="72" t="str">
        <f>pixel_shift_table.asm!L65</f>
        <v>AC</v>
      </c>
      <c r="L65" s="72" t="str">
        <f>pixel_shift_table.asm!M65</f>
        <v>AA</v>
      </c>
      <c r="M65" s="72" t="str">
        <f>pixel_shift_table.asm!N65</f>
        <v>AC</v>
      </c>
      <c r="N65" s="72" t="str">
        <f>pixel_shift_table.asm!O65</f>
        <v>A9</v>
      </c>
      <c r="O65" s="72" t="str">
        <f>pixel_shift_table.asm!P65</f>
        <v>AC</v>
      </c>
      <c r="P65" s="72" t="str">
        <f>pixel_shift_table.asm!Q65</f>
        <v>AA</v>
      </c>
      <c r="Q65" s="72" t="str">
        <f>pixel_shift_table.asm!R65</f>
        <v>AC</v>
      </c>
      <c r="S65">
        <f t="shared" si="62"/>
        <v>224</v>
      </c>
      <c r="T65" s="5" t="str">
        <f t="shared" si="63"/>
        <v>A961</v>
      </c>
      <c r="U65" s="5" t="str">
        <f t="shared" si="64"/>
        <v>AC09</v>
      </c>
      <c r="V65" s="5" t="str">
        <f t="shared" si="65"/>
        <v>AA8B</v>
      </c>
      <c r="W65" s="5" t="str">
        <f t="shared" si="66"/>
        <v>AC19</v>
      </c>
      <c r="X65" s="5" t="str">
        <f t="shared" si="67"/>
        <v>A9CD</v>
      </c>
      <c r="Y65" s="5" t="str">
        <f t="shared" si="68"/>
        <v>AC29</v>
      </c>
      <c r="Z65" s="5" t="str">
        <f t="shared" si="69"/>
        <v>AA9B</v>
      </c>
      <c r="AA65" s="5" t="str">
        <f t="shared" si="70"/>
        <v>AC39</v>
      </c>
      <c r="AB65" s="5" t="str">
        <f t="shared" si="71"/>
        <v>A96F</v>
      </c>
      <c r="AC65" s="5" t="str">
        <f t="shared" si="72"/>
        <v>AC49</v>
      </c>
      <c r="AD65" s="5" t="str">
        <f t="shared" si="73"/>
        <v>AAAB</v>
      </c>
      <c r="AE65" s="5" t="str">
        <f t="shared" si="74"/>
        <v>AC59</v>
      </c>
      <c r="AF65" s="5" t="str">
        <f t="shared" si="75"/>
        <v>A9DD</v>
      </c>
      <c r="AG65" s="5" t="str">
        <f t="shared" si="76"/>
        <v>AC69</v>
      </c>
      <c r="AH65" s="5" t="str">
        <f t="shared" si="77"/>
        <v>AABB</v>
      </c>
      <c r="AI65" s="5" t="str">
        <f t="shared" si="78"/>
        <v>AC79</v>
      </c>
      <c r="AK65" s="5" t="str" cm="1">
        <f t="array" ref="AK65">INDEX(_xlfn.TOROW(PixelPatternTable),HEX2DEC(T65)-$T$1+1)</f>
        <v>86</v>
      </c>
      <c r="AL65" s="5" t="str" cm="1">
        <f t="array" ref="AL65">INDEX(_xlfn.TOROW(PixelPatternTable),HEX2DEC(U65)-$T$1+1)</f>
        <v>86</v>
      </c>
      <c r="AM65" s="5" t="str" cm="1">
        <f t="array" ref="AM65">INDEX(_xlfn.TOROW(PixelPatternTable),HEX2DEC(V65)-$T$1+1)</f>
        <v>86</v>
      </c>
      <c r="AN65" s="5" t="str" cm="1">
        <f t="array" ref="AN65">INDEX(_xlfn.TOROW(PixelPatternTable),HEX2DEC(W65)-$T$1+1)</f>
        <v>86</v>
      </c>
      <c r="AO65" s="5" t="str" cm="1">
        <f t="array" ref="AO65">INDEX(_xlfn.TOROW(PixelPatternTable),HEX2DEC(X65)-$T$1+1)</f>
        <v>86</v>
      </c>
      <c r="AP65" s="5" t="str" cm="1">
        <f t="array" ref="AP65">INDEX(_xlfn.TOROW(PixelPatternTable),HEX2DEC(Y65)-$T$1+1)</f>
        <v>86</v>
      </c>
      <c r="AQ65" s="5" t="str" cm="1">
        <f t="array" ref="AQ65">INDEX(_xlfn.TOROW(PixelPatternTable),HEX2DEC(Z65)-$T$1+1)</f>
        <v>86</v>
      </c>
      <c r="AR65" s="5" t="str" cm="1">
        <f t="array" ref="AR65">INDEX(_xlfn.TOROW(PixelPatternTable),HEX2DEC(AA65)-$T$1+1)</f>
        <v>86</v>
      </c>
      <c r="AS65" s="5" t="str" cm="1">
        <f t="array" ref="AS65">INDEX(_xlfn.TOROW(PixelPatternTable),HEX2DEC(AB65)-$T$1+1)</f>
        <v>86</v>
      </c>
      <c r="AT65" s="5" t="str" cm="1">
        <f t="array" ref="AT65">INDEX(_xlfn.TOROW(PixelPatternTable),HEX2DEC(AC65)-$T$1+1)</f>
        <v>86</v>
      </c>
      <c r="AU65" s="5" t="str" cm="1">
        <f t="array" ref="AU65">INDEX(_xlfn.TOROW(PixelPatternTable),HEX2DEC(AD65)-$T$1+1)</f>
        <v>86</v>
      </c>
      <c r="AV65" s="5" t="str" cm="1">
        <f t="array" ref="AV65">INDEX(_xlfn.TOROW(PixelPatternTable),HEX2DEC(AE65)-$T$1+1)</f>
        <v>86</v>
      </c>
      <c r="AW65" s="5" t="str" cm="1">
        <f t="array" ref="AW65">INDEX(_xlfn.TOROW(PixelPatternTable),HEX2DEC(AF65)-$T$1+1)</f>
        <v>86</v>
      </c>
      <c r="AX65" s="5" t="str" cm="1">
        <f t="array" ref="AX65">INDEX(_xlfn.TOROW(PixelPatternTable),HEX2DEC(AG65)-$T$1+1)</f>
        <v>86</v>
      </c>
      <c r="AY65" s="5" t="str" cm="1">
        <f t="array" ref="AY65">INDEX(_xlfn.TOROW(PixelPatternTable),HEX2DEC(AH65)-$T$1+1)</f>
        <v>86</v>
      </c>
      <c r="AZ65" s="5" t="str" cm="1">
        <f t="array" ref="AZ65">INDEX(_xlfn.TOROW(PixelPatternTable),HEX2DEC(AI65)-$T$1+1)</f>
        <v>86</v>
      </c>
    </row>
    <row r="66" spans="1:52" x14ac:dyDescent="0.3">
      <c r="A66" s="58" t="str">
        <f t="shared" si="20"/>
        <v>A5F0</v>
      </c>
      <c r="B66" s="73" t="str">
        <f>pixel_shift_table.asm!C66</f>
        <v>A9</v>
      </c>
      <c r="C66" s="74" t="str">
        <f>pixel_shift_table.asm!D66</f>
        <v>AC</v>
      </c>
      <c r="D66" s="74" t="str">
        <f>pixel_shift_table.asm!E66</f>
        <v>AA</v>
      </c>
      <c r="E66" s="74" t="str">
        <f>pixel_shift_table.asm!F66</f>
        <v>AC</v>
      </c>
      <c r="F66" s="74" t="str">
        <f>pixel_shift_table.asm!G66</f>
        <v>A9</v>
      </c>
      <c r="G66" s="74" t="str">
        <f>pixel_shift_table.asm!H66</f>
        <v>AC</v>
      </c>
      <c r="H66" s="74" t="str">
        <f>pixel_shift_table.asm!I66</f>
        <v>AA</v>
      </c>
      <c r="I66" s="74" t="str">
        <f>pixel_shift_table.asm!J66</f>
        <v>AC</v>
      </c>
      <c r="J66" s="74" t="str">
        <f>pixel_shift_table.asm!K66</f>
        <v>A9</v>
      </c>
      <c r="K66" s="74" t="str">
        <f>pixel_shift_table.asm!L66</f>
        <v>AC</v>
      </c>
      <c r="L66" s="74" t="str">
        <f>pixel_shift_table.asm!M66</f>
        <v>AA</v>
      </c>
      <c r="M66" s="74" t="str">
        <f>pixel_shift_table.asm!N66</f>
        <v>AC</v>
      </c>
      <c r="N66" s="74" t="str">
        <f>pixel_shift_table.asm!O66</f>
        <v>A9</v>
      </c>
      <c r="O66" s="74" t="str">
        <f>pixel_shift_table.asm!P66</f>
        <v>AC</v>
      </c>
      <c r="P66" s="74" t="str">
        <f>pixel_shift_table.asm!Q66</f>
        <v>AA</v>
      </c>
      <c r="Q66" s="74" t="str">
        <f>pixel_shift_table.asm!R66</f>
        <v>AC</v>
      </c>
      <c r="S66">
        <f t="shared" si="62"/>
        <v>240</v>
      </c>
      <c r="T66" s="5" t="str">
        <f t="shared" si="63"/>
        <v>A971</v>
      </c>
      <c r="U66" s="5" t="str">
        <f t="shared" si="64"/>
        <v>AC89</v>
      </c>
      <c r="V66" s="5" t="str">
        <f t="shared" si="65"/>
        <v>AACB</v>
      </c>
      <c r="W66" s="5" t="str">
        <f t="shared" si="66"/>
        <v>AC99</v>
      </c>
      <c r="X66" s="5" t="str">
        <f t="shared" si="67"/>
        <v>A9ED</v>
      </c>
      <c r="Y66" s="5" t="str">
        <f t="shared" si="68"/>
        <v>ACA9</v>
      </c>
      <c r="Z66" s="5" t="str">
        <f t="shared" si="69"/>
        <v>AADB</v>
      </c>
      <c r="AA66" s="5" t="str">
        <f t="shared" si="70"/>
        <v>ACB9</v>
      </c>
      <c r="AB66" s="5" t="str">
        <f t="shared" si="71"/>
        <v>A97F</v>
      </c>
      <c r="AC66" s="5" t="str">
        <f t="shared" si="72"/>
        <v>ACC9</v>
      </c>
      <c r="AD66" s="5" t="str">
        <f t="shared" si="73"/>
        <v>AAEB</v>
      </c>
      <c r="AE66" s="5" t="str">
        <f t="shared" si="74"/>
        <v>ACD9</v>
      </c>
      <c r="AF66" s="5" t="str">
        <f t="shared" si="75"/>
        <v>A9FD</v>
      </c>
      <c r="AG66" s="5" t="str">
        <f t="shared" si="76"/>
        <v>ACE9</v>
      </c>
      <c r="AH66" s="5" t="str">
        <f t="shared" si="77"/>
        <v>AAFB</v>
      </c>
      <c r="AI66" s="5" t="str">
        <f t="shared" si="78"/>
        <v>ACF9</v>
      </c>
      <c r="AK66" s="5" t="str" cm="1">
        <f t="array" ref="AK66">INDEX(_xlfn.TOROW(PixelPatternTable),HEX2DEC(T66)-$T$1+1)</f>
        <v>87</v>
      </c>
      <c r="AL66" s="5" t="str" cm="1">
        <f t="array" ref="AL66">INDEX(_xlfn.TOROW(PixelPatternTable),HEX2DEC(U66)-$T$1+1)</f>
        <v>87</v>
      </c>
      <c r="AM66" s="5" t="str" cm="1">
        <f t="array" ref="AM66">INDEX(_xlfn.TOROW(PixelPatternTable),HEX2DEC(V66)-$T$1+1)</f>
        <v>87</v>
      </c>
      <c r="AN66" s="5" t="str" cm="1">
        <f t="array" ref="AN66">INDEX(_xlfn.TOROW(PixelPatternTable),HEX2DEC(W66)-$T$1+1)</f>
        <v>87</v>
      </c>
      <c r="AO66" s="5" t="str" cm="1">
        <f t="array" ref="AO66">INDEX(_xlfn.TOROW(PixelPatternTable),HEX2DEC(X66)-$T$1+1)</f>
        <v>87</v>
      </c>
      <c r="AP66" s="5" t="str" cm="1">
        <f t="array" ref="AP66">INDEX(_xlfn.TOROW(PixelPatternTable),HEX2DEC(Y66)-$T$1+1)</f>
        <v>87</v>
      </c>
      <c r="AQ66" s="5" t="str" cm="1">
        <f t="array" ref="AQ66">INDEX(_xlfn.TOROW(PixelPatternTable),HEX2DEC(Z66)-$T$1+1)</f>
        <v>87</v>
      </c>
      <c r="AR66" s="5" t="str" cm="1">
        <f t="array" ref="AR66">INDEX(_xlfn.TOROW(PixelPatternTable),HEX2DEC(AA66)-$T$1+1)</f>
        <v>87</v>
      </c>
      <c r="AS66" s="5" t="str" cm="1">
        <f t="array" ref="AS66">INDEX(_xlfn.TOROW(PixelPatternTable),HEX2DEC(AB66)-$T$1+1)</f>
        <v>87</v>
      </c>
      <c r="AT66" s="5" t="str" cm="1">
        <f t="array" ref="AT66">INDEX(_xlfn.TOROW(PixelPatternTable),HEX2DEC(AC66)-$T$1+1)</f>
        <v>87</v>
      </c>
      <c r="AU66" s="5" t="str" cm="1">
        <f t="array" ref="AU66">INDEX(_xlfn.TOROW(PixelPatternTable),HEX2DEC(AD66)-$T$1+1)</f>
        <v>87</v>
      </c>
      <c r="AV66" s="5" t="str" cm="1">
        <f t="array" ref="AV66">INDEX(_xlfn.TOROW(PixelPatternTable),HEX2DEC(AE66)-$T$1+1)</f>
        <v>87</v>
      </c>
      <c r="AW66" s="5" t="str" cm="1">
        <f t="array" ref="AW66">INDEX(_xlfn.TOROW(PixelPatternTable),HEX2DEC(AF66)-$T$1+1)</f>
        <v>87</v>
      </c>
      <c r="AX66" s="5" t="str" cm="1">
        <f t="array" ref="AX66">INDEX(_xlfn.TOROW(PixelPatternTable),HEX2DEC(AG66)-$T$1+1)</f>
        <v>87</v>
      </c>
      <c r="AY66" s="5" t="str" cm="1">
        <f t="array" ref="AY66">INDEX(_xlfn.TOROW(PixelPatternTable),HEX2DEC(AH66)-$T$1+1)</f>
        <v>87</v>
      </c>
      <c r="AZ66" s="5" t="str" cm="1">
        <f t="array" ref="AZ66">INDEX(_xlfn.TOROW(PixelPatternTable),HEX2DEC(AI66)-$T$1+1)</f>
        <v>87</v>
      </c>
    </row>
    <row r="67" spans="1:52" x14ac:dyDescent="0.3">
      <c r="A67" s="29" t="str">
        <f t="shared" si="20"/>
        <v>A600</v>
      </c>
      <c r="B67" s="69" t="str">
        <f>pixel_shift_table.asm!C67</f>
        <v>00</v>
      </c>
      <c r="C67" s="70" t="str">
        <f>pixel_shift_table.asm!D67</f>
        <v>0A</v>
      </c>
      <c r="D67" s="70" t="str">
        <f>pixel_shift_table.asm!E67</f>
        <v>0C</v>
      </c>
      <c r="E67" s="70" t="str">
        <f>pixel_shift_table.asm!F67</f>
        <v>1A</v>
      </c>
      <c r="F67" s="70" t="str">
        <f>pixel_shift_table.asm!G67</f>
        <v>0E</v>
      </c>
      <c r="G67" s="70" t="str">
        <f>pixel_shift_table.asm!H67</f>
        <v>2A</v>
      </c>
      <c r="H67" s="70" t="str">
        <f>pixel_shift_table.asm!I67</f>
        <v>1C</v>
      </c>
      <c r="I67" s="70" t="str">
        <f>pixel_shift_table.asm!J67</f>
        <v>3A</v>
      </c>
      <c r="J67" s="70" t="str">
        <f>pixel_shift_table.asm!K67</f>
        <v>10</v>
      </c>
      <c r="K67" s="70" t="str">
        <f>pixel_shift_table.asm!L67</f>
        <v>4A</v>
      </c>
      <c r="L67" s="70" t="str">
        <f>pixel_shift_table.asm!M67</f>
        <v>2C</v>
      </c>
      <c r="M67" s="70" t="str">
        <f>pixel_shift_table.asm!N67</f>
        <v>5A</v>
      </c>
      <c r="N67" s="70" t="str">
        <f>pixel_shift_table.asm!O67</f>
        <v>1E</v>
      </c>
      <c r="O67" s="70" t="str">
        <f>pixel_shift_table.asm!P67</f>
        <v>6A</v>
      </c>
      <c r="P67" s="70" t="str">
        <f>pixel_shift_table.asm!Q67</f>
        <v>3C</v>
      </c>
      <c r="Q67" s="70" t="str">
        <f>pixel_shift_table.asm!R67</f>
        <v>7A</v>
      </c>
      <c r="S67">
        <f t="shared" si="62"/>
        <v>0</v>
      </c>
      <c r="T67" s="5" t="str">
        <f t="shared" si="63"/>
        <v>A900</v>
      </c>
      <c r="U67" s="5" t="str">
        <f t="shared" si="64"/>
        <v>A90A</v>
      </c>
      <c r="V67" s="5" t="str">
        <f t="shared" si="65"/>
        <v>A90C</v>
      </c>
      <c r="W67" s="5" t="str">
        <f t="shared" si="66"/>
        <v>A91A</v>
      </c>
      <c r="X67" s="5" t="str">
        <f t="shared" si="67"/>
        <v>A90E</v>
      </c>
      <c r="Y67" s="5" t="str">
        <f t="shared" si="68"/>
        <v>A92A</v>
      </c>
      <c r="Z67" s="5" t="str">
        <f t="shared" si="69"/>
        <v>A91C</v>
      </c>
      <c r="AA67" s="5" t="str">
        <f t="shared" si="70"/>
        <v>A93A</v>
      </c>
      <c r="AB67" s="5" t="str">
        <f t="shared" si="71"/>
        <v>A910</v>
      </c>
      <c r="AC67" s="5" t="str">
        <f t="shared" si="72"/>
        <v>A94A</v>
      </c>
      <c r="AD67" s="5" t="str">
        <f t="shared" si="73"/>
        <v>A92C</v>
      </c>
      <c r="AE67" s="5" t="str">
        <f t="shared" si="74"/>
        <v>A95A</v>
      </c>
      <c r="AF67" s="5" t="str">
        <f t="shared" si="75"/>
        <v>A91E</v>
      </c>
      <c r="AG67" s="5" t="str">
        <f t="shared" si="76"/>
        <v>A96A</v>
      </c>
      <c r="AH67" s="5" t="str">
        <f t="shared" si="77"/>
        <v>A93C</v>
      </c>
      <c r="AI67" s="5" t="str">
        <f t="shared" si="78"/>
        <v>A97A</v>
      </c>
      <c r="AK67" s="5" t="str" cm="1">
        <f t="array" ref="AK67">INDEX(_xlfn.TOROW(PixelPatternTable),HEX2DEC(T67)-$T$1+1)</f>
        <v>80</v>
      </c>
      <c r="AL67" s="5" t="str" cm="1">
        <f t="array" ref="AL67">INDEX(_xlfn.TOROW(PixelPatternTable),HEX2DEC(U67)-$T$1+1)</f>
        <v>90</v>
      </c>
      <c r="AM67" s="5" t="str" cm="1">
        <f t="array" ref="AM67">INDEX(_xlfn.TOROW(PixelPatternTable),HEX2DEC(V67)-$T$1+1)</f>
        <v>A0</v>
      </c>
      <c r="AN67" s="5" t="str" cm="1">
        <f t="array" ref="AN67">INDEX(_xlfn.TOROW(PixelPatternTable),HEX2DEC(W67)-$T$1+1)</f>
        <v>B0</v>
      </c>
      <c r="AO67" s="5" t="str" cm="1">
        <f t="array" ref="AO67">INDEX(_xlfn.TOROW(PixelPatternTable),HEX2DEC(X67)-$T$1+1)</f>
        <v>C0</v>
      </c>
      <c r="AP67" s="5" t="str" cm="1">
        <f t="array" ref="AP67">INDEX(_xlfn.TOROW(PixelPatternTable),HEX2DEC(Y67)-$T$1+1)</f>
        <v>D0</v>
      </c>
      <c r="AQ67" s="5" t="str" cm="1">
        <f t="array" ref="AQ67">INDEX(_xlfn.TOROW(PixelPatternTable),HEX2DEC(Z67)-$T$1+1)</f>
        <v>E0</v>
      </c>
      <c r="AR67" s="5" t="str" cm="1">
        <f t="array" ref="AR67">INDEX(_xlfn.TOROW(PixelPatternTable),HEX2DEC(AA67)-$T$1+1)</f>
        <v>F0</v>
      </c>
      <c r="AS67" s="5" t="str" cm="1">
        <f t="array" ref="AS67">INDEX(_xlfn.TOROW(PixelPatternTable),HEX2DEC(AB67)-$T$1+1)</f>
        <v>80</v>
      </c>
      <c r="AT67" s="5" t="str" cm="1">
        <f t="array" ref="AT67">INDEX(_xlfn.TOROW(PixelPatternTable),HEX2DEC(AC67)-$T$1+1)</f>
        <v>90</v>
      </c>
      <c r="AU67" s="5" t="str" cm="1">
        <f t="array" ref="AU67">INDEX(_xlfn.TOROW(PixelPatternTable),HEX2DEC(AD67)-$T$1+1)</f>
        <v>A0</v>
      </c>
      <c r="AV67" s="5" t="str" cm="1">
        <f t="array" ref="AV67">INDEX(_xlfn.TOROW(PixelPatternTable),HEX2DEC(AE67)-$T$1+1)</f>
        <v>B0</v>
      </c>
      <c r="AW67" s="5" t="str" cm="1">
        <f t="array" ref="AW67">INDEX(_xlfn.TOROW(PixelPatternTable),HEX2DEC(AF67)-$T$1+1)</f>
        <v>C0</v>
      </c>
      <c r="AX67" s="5" t="str" cm="1">
        <f t="array" ref="AX67">INDEX(_xlfn.TOROW(PixelPatternTable),HEX2DEC(AG67)-$T$1+1)</f>
        <v>D0</v>
      </c>
      <c r="AY67" s="5" t="str" cm="1">
        <f t="array" ref="AY67">INDEX(_xlfn.TOROW(PixelPatternTable),HEX2DEC(AH67)-$T$1+1)</f>
        <v>E0</v>
      </c>
      <c r="AZ67" s="5" t="str" cm="1">
        <f t="array" ref="AZ67">INDEX(_xlfn.TOROW(PixelPatternTable),HEX2DEC(AI67)-$T$1+1)</f>
        <v>F0</v>
      </c>
    </row>
    <row r="68" spans="1:52" x14ac:dyDescent="0.3">
      <c r="A68" s="5" t="str">
        <f t="shared" si="20"/>
        <v>A610</v>
      </c>
      <c r="B68" s="71" t="str">
        <f>pixel_shift_table.asm!C68</f>
        <v>20</v>
      </c>
      <c r="C68" s="72" t="str">
        <f>pixel_shift_table.asm!D68</f>
        <v>8A</v>
      </c>
      <c r="D68" s="72" t="str">
        <f>pixel_shift_table.asm!E68</f>
        <v>4C</v>
      </c>
      <c r="E68" s="72" t="str">
        <f>pixel_shift_table.asm!F68</f>
        <v>9A</v>
      </c>
      <c r="F68" s="72" t="str">
        <f>pixel_shift_table.asm!G68</f>
        <v>2E</v>
      </c>
      <c r="G68" s="72" t="str">
        <f>pixel_shift_table.asm!H68</f>
        <v>AA</v>
      </c>
      <c r="H68" s="72" t="str">
        <f>pixel_shift_table.asm!I68</f>
        <v>5C</v>
      </c>
      <c r="I68" s="72" t="str">
        <f>pixel_shift_table.asm!J68</f>
        <v>BA</v>
      </c>
      <c r="J68" s="72" t="str">
        <f>pixel_shift_table.asm!K68</f>
        <v>30</v>
      </c>
      <c r="K68" s="72" t="str">
        <f>pixel_shift_table.asm!L68</f>
        <v>CA</v>
      </c>
      <c r="L68" s="72" t="str">
        <f>pixel_shift_table.asm!M68</f>
        <v>6C</v>
      </c>
      <c r="M68" s="72" t="str">
        <f>pixel_shift_table.asm!N68</f>
        <v>DA</v>
      </c>
      <c r="N68" s="72" t="str">
        <f>pixel_shift_table.asm!O68</f>
        <v>3E</v>
      </c>
      <c r="O68" s="72" t="str">
        <f>pixel_shift_table.asm!P68</f>
        <v>EA</v>
      </c>
      <c r="P68" s="72" t="str">
        <f>pixel_shift_table.asm!Q68</f>
        <v>7C</v>
      </c>
      <c r="Q68" s="72" t="str">
        <f>pixel_shift_table.asm!R68</f>
        <v>FA</v>
      </c>
      <c r="S68">
        <f t="shared" si="62"/>
        <v>16</v>
      </c>
      <c r="T68" s="5" t="str">
        <f t="shared" si="63"/>
        <v>A920</v>
      </c>
      <c r="U68" s="5" t="str">
        <f t="shared" si="64"/>
        <v>A98A</v>
      </c>
      <c r="V68" s="5" t="str">
        <f t="shared" si="65"/>
        <v>A94C</v>
      </c>
      <c r="W68" s="5" t="str">
        <f t="shared" si="66"/>
        <v>A99A</v>
      </c>
      <c r="X68" s="5" t="str">
        <f t="shared" si="67"/>
        <v>A92E</v>
      </c>
      <c r="Y68" s="5" t="str">
        <f t="shared" si="68"/>
        <v>A9AA</v>
      </c>
      <c r="Z68" s="5" t="str">
        <f t="shared" si="69"/>
        <v>A95C</v>
      </c>
      <c r="AA68" s="5" t="str">
        <f t="shared" si="70"/>
        <v>A9BA</v>
      </c>
      <c r="AB68" s="5" t="str">
        <f t="shared" si="71"/>
        <v>A930</v>
      </c>
      <c r="AC68" s="5" t="str">
        <f t="shared" si="72"/>
        <v>A9CA</v>
      </c>
      <c r="AD68" s="5" t="str">
        <f t="shared" si="73"/>
        <v>A96C</v>
      </c>
      <c r="AE68" s="5" t="str">
        <f t="shared" si="74"/>
        <v>A9DA</v>
      </c>
      <c r="AF68" s="5" t="str">
        <f t="shared" si="75"/>
        <v>A93E</v>
      </c>
      <c r="AG68" s="5" t="str">
        <f t="shared" si="76"/>
        <v>A9EA</v>
      </c>
      <c r="AH68" s="5" t="str">
        <f t="shared" si="77"/>
        <v>A97C</v>
      </c>
      <c r="AI68" s="5" t="str">
        <f t="shared" si="78"/>
        <v>A9FA</v>
      </c>
      <c r="AK68" s="5" t="str" cm="1">
        <f t="array" ref="AK68">INDEX(_xlfn.TOROW(PixelPatternTable),HEX2DEC(T68)-$T$1+1)</f>
        <v>80</v>
      </c>
      <c r="AL68" s="5" t="str" cm="1">
        <f t="array" ref="AL68">INDEX(_xlfn.TOROW(PixelPatternTable),HEX2DEC(U68)-$T$1+1)</f>
        <v>90</v>
      </c>
      <c r="AM68" s="5" t="str" cm="1">
        <f t="array" ref="AM68">INDEX(_xlfn.TOROW(PixelPatternTable),HEX2DEC(V68)-$T$1+1)</f>
        <v>A0</v>
      </c>
      <c r="AN68" s="5" t="str" cm="1">
        <f t="array" ref="AN68">INDEX(_xlfn.TOROW(PixelPatternTable),HEX2DEC(W68)-$T$1+1)</f>
        <v>B0</v>
      </c>
      <c r="AO68" s="5" t="str" cm="1">
        <f t="array" ref="AO68">INDEX(_xlfn.TOROW(PixelPatternTable),HEX2DEC(X68)-$T$1+1)</f>
        <v>C0</v>
      </c>
      <c r="AP68" s="5" t="str" cm="1">
        <f t="array" ref="AP68">INDEX(_xlfn.TOROW(PixelPatternTable),HEX2DEC(Y68)-$T$1+1)</f>
        <v>D0</v>
      </c>
      <c r="AQ68" s="5" t="str" cm="1">
        <f t="array" ref="AQ68">INDEX(_xlfn.TOROW(PixelPatternTable),HEX2DEC(Z68)-$T$1+1)</f>
        <v>E0</v>
      </c>
      <c r="AR68" s="5" t="str" cm="1">
        <f t="array" ref="AR68">INDEX(_xlfn.TOROW(PixelPatternTable),HEX2DEC(AA68)-$T$1+1)</f>
        <v>F0</v>
      </c>
      <c r="AS68" s="5" t="str" cm="1">
        <f t="array" ref="AS68">INDEX(_xlfn.TOROW(PixelPatternTable),HEX2DEC(AB68)-$T$1+1)</f>
        <v>80</v>
      </c>
      <c r="AT68" s="5" t="str" cm="1">
        <f t="array" ref="AT68">INDEX(_xlfn.TOROW(PixelPatternTable),HEX2DEC(AC68)-$T$1+1)</f>
        <v>90</v>
      </c>
      <c r="AU68" s="5" t="str" cm="1">
        <f t="array" ref="AU68">INDEX(_xlfn.TOROW(PixelPatternTable),HEX2DEC(AD68)-$T$1+1)</f>
        <v>A0</v>
      </c>
      <c r="AV68" s="5" t="str" cm="1">
        <f t="array" ref="AV68">INDEX(_xlfn.TOROW(PixelPatternTable),HEX2DEC(AE68)-$T$1+1)</f>
        <v>B0</v>
      </c>
      <c r="AW68" s="5" t="str" cm="1">
        <f t="array" ref="AW68">INDEX(_xlfn.TOROW(PixelPatternTable),HEX2DEC(AF68)-$T$1+1)</f>
        <v>C0</v>
      </c>
      <c r="AX68" s="5" t="str" cm="1">
        <f t="array" ref="AX68">INDEX(_xlfn.TOROW(PixelPatternTable),HEX2DEC(AG68)-$T$1+1)</f>
        <v>D0</v>
      </c>
      <c r="AY68" s="5" t="str" cm="1">
        <f t="array" ref="AY68">INDEX(_xlfn.TOROW(PixelPatternTable),HEX2DEC(AH68)-$T$1+1)</f>
        <v>E0</v>
      </c>
      <c r="AZ68" s="5" t="str" cm="1">
        <f t="array" ref="AZ68">INDEX(_xlfn.TOROW(PixelPatternTable),HEX2DEC(AI68)-$T$1+1)</f>
        <v>F0</v>
      </c>
    </row>
    <row r="69" spans="1:52" x14ac:dyDescent="0.3">
      <c r="A69" s="5" t="str">
        <f t="shared" ref="A69:A114" si="79">DEC2HEX(HEX2DEC(A68)+16)</f>
        <v>A620</v>
      </c>
      <c r="B69" s="71" t="str">
        <f>pixel_shift_table.asm!C69</f>
        <v>40</v>
      </c>
      <c r="C69" s="72" t="str">
        <f>pixel_shift_table.asm!D69</f>
        <v>0A</v>
      </c>
      <c r="D69" s="72" t="str">
        <f>pixel_shift_table.asm!E69</f>
        <v>8C</v>
      </c>
      <c r="E69" s="72" t="str">
        <f>pixel_shift_table.asm!F69</f>
        <v>1A</v>
      </c>
      <c r="F69" s="72" t="str">
        <f>pixel_shift_table.asm!G69</f>
        <v>4E</v>
      </c>
      <c r="G69" s="72" t="str">
        <f>pixel_shift_table.asm!H69</f>
        <v>2A</v>
      </c>
      <c r="H69" s="72" t="str">
        <f>pixel_shift_table.asm!I69</f>
        <v>9C</v>
      </c>
      <c r="I69" s="72" t="str">
        <f>pixel_shift_table.asm!J69</f>
        <v>3A</v>
      </c>
      <c r="J69" s="72" t="str">
        <f>pixel_shift_table.asm!K69</f>
        <v>50</v>
      </c>
      <c r="K69" s="72" t="str">
        <f>pixel_shift_table.asm!L69</f>
        <v>4A</v>
      </c>
      <c r="L69" s="72" t="str">
        <f>pixel_shift_table.asm!M69</f>
        <v>AC</v>
      </c>
      <c r="M69" s="72" t="str">
        <f>pixel_shift_table.asm!N69</f>
        <v>5A</v>
      </c>
      <c r="N69" s="72" t="str">
        <f>pixel_shift_table.asm!O69</f>
        <v>5E</v>
      </c>
      <c r="O69" s="72" t="str">
        <f>pixel_shift_table.asm!P69</f>
        <v>6A</v>
      </c>
      <c r="P69" s="72" t="str">
        <f>pixel_shift_table.asm!Q69</f>
        <v>BC</v>
      </c>
      <c r="Q69" s="72" t="str">
        <f>pixel_shift_table.asm!R69</f>
        <v>7A</v>
      </c>
      <c r="S69">
        <f t="shared" si="62"/>
        <v>32</v>
      </c>
      <c r="T69" s="5" t="str">
        <f t="shared" si="63"/>
        <v>A940</v>
      </c>
      <c r="U69" s="5" t="str">
        <f t="shared" si="64"/>
        <v>AA0A</v>
      </c>
      <c r="V69" s="5" t="str">
        <f t="shared" si="65"/>
        <v>A98C</v>
      </c>
      <c r="W69" s="5" t="str">
        <f t="shared" si="66"/>
        <v>AA1A</v>
      </c>
      <c r="X69" s="5" t="str">
        <f t="shared" si="67"/>
        <v>A94E</v>
      </c>
      <c r="Y69" s="5" t="str">
        <f t="shared" si="68"/>
        <v>AA2A</v>
      </c>
      <c r="Z69" s="5" t="str">
        <f t="shared" si="69"/>
        <v>A99C</v>
      </c>
      <c r="AA69" s="5" t="str">
        <f t="shared" si="70"/>
        <v>AA3A</v>
      </c>
      <c r="AB69" s="5" t="str">
        <f t="shared" si="71"/>
        <v>A950</v>
      </c>
      <c r="AC69" s="5" t="str">
        <f t="shared" si="72"/>
        <v>AA4A</v>
      </c>
      <c r="AD69" s="5" t="str">
        <f t="shared" si="73"/>
        <v>A9AC</v>
      </c>
      <c r="AE69" s="5" t="str">
        <f t="shared" si="74"/>
        <v>AA5A</v>
      </c>
      <c r="AF69" s="5" t="str">
        <f t="shared" si="75"/>
        <v>A95E</v>
      </c>
      <c r="AG69" s="5" t="str">
        <f t="shared" si="76"/>
        <v>AA6A</v>
      </c>
      <c r="AH69" s="5" t="str">
        <f t="shared" si="77"/>
        <v>A9BC</v>
      </c>
      <c r="AI69" s="5" t="str">
        <f t="shared" si="78"/>
        <v>AA7A</v>
      </c>
      <c r="AK69" s="5" t="str" cm="1">
        <f t="array" ref="AK69">INDEX(_xlfn.TOROW(PixelPatternTable),HEX2DEC(T69)-$T$1+1)</f>
        <v>80</v>
      </c>
      <c r="AL69" s="5" t="str" cm="1">
        <f t="array" ref="AL69">INDEX(_xlfn.TOROW(PixelPatternTable),HEX2DEC(U69)-$T$1+1)</f>
        <v>90</v>
      </c>
      <c r="AM69" s="5" t="str" cm="1">
        <f t="array" ref="AM69">INDEX(_xlfn.TOROW(PixelPatternTable),HEX2DEC(V69)-$T$1+1)</f>
        <v>A0</v>
      </c>
      <c r="AN69" s="5" t="str" cm="1">
        <f t="array" ref="AN69">INDEX(_xlfn.TOROW(PixelPatternTable),HEX2DEC(W69)-$T$1+1)</f>
        <v>B0</v>
      </c>
      <c r="AO69" s="5" t="str" cm="1">
        <f t="array" ref="AO69">INDEX(_xlfn.TOROW(PixelPatternTable),HEX2DEC(X69)-$T$1+1)</f>
        <v>C0</v>
      </c>
      <c r="AP69" s="5" t="str" cm="1">
        <f t="array" ref="AP69">INDEX(_xlfn.TOROW(PixelPatternTable),HEX2DEC(Y69)-$T$1+1)</f>
        <v>D0</v>
      </c>
      <c r="AQ69" s="5" t="str" cm="1">
        <f t="array" ref="AQ69">INDEX(_xlfn.TOROW(PixelPatternTable),HEX2DEC(Z69)-$T$1+1)</f>
        <v>E0</v>
      </c>
      <c r="AR69" s="5" t="str" cm="1">
        <f t="array" ref="AR69">INDEX(_xlfn.TOROW(PixelPatternTable),HEX2DEC(AA69)-$T$1+1)</f>
        <v>F0</v>
      </c>
      <c r="AS69" s="5" t="str" cm="1">
        <f t="array" ref="AS69">INDEX(_xlfn.TOROW(PixelPatternTable),HEX2DEC(AB69)-$T$1+1)</f>
        <v>80</v>
      </c>
      <c r="AT69" s="5" t="str" cm="1">
        <f t="array" ref="AT69">INDEX(_xlfn.TOROW(PixelPatternTable),HEX2DEC(AC69)-$T$1+1)</f>
        <v>90</v>
      </c>
      <c r="AU69" s="5" t="str" cm="1">
        <f t="array" ref="AU69">INDEX(_xlfn.TOROW(PixelPatternTable),HEX2DEC(AD69)-$T$1+1)</f>
        <v>A0</v>
      </c>
      <c r="AV69" s="5" t="str" cm="1">
        <f t="array" ref="AV69">INDEX(_xlfn.TOROW(PixelPatternTable),HEX2DEC(AE69)-$T$1+1)</f>
        <v>B0</v>
      </c>
      <c r="AW69" s="5" t="str" cm="1">
        <f t="array" ref="AW69">INDEX(_xlfn.TOROW(PixelPatternTable),HEX2DEC(AF69)-$T$1+1)</f>
        <v>C0</v>
      </c>
      <c r="AX69" s="5" t="str" cm="1">
        <f t="array" ref="AX69">INDEX(_xlfn.TOROW(PixelPatternTable),HEX2DEC(AG69)-$T$1+1)</f>
        <v>D0</v>
      </c>
      <c r="AY69" s="5" t="str" cm="1">
        <f t="array" ref="AY69">INDEX(_xlfn.TOROW(PixelPatternTable),HEX2DEC(AH69)-$T$1+1)</f>
        <v>E0</v>
      </c>
      <c r="AZ69" s="5" t="str" cm="1">
        <f t="array" ref="AZ69">INDEX(_xlfn.TOROW(PixelPatternTable),HEX2DEC(AI69)-$T$1+1)</f>
        <v>F0</v>
      </c>
    </row>
    <row r="70" spans="1:52" x14ac:dyDescent="0.3">
      <c r="A70" s="5" t="str">
        <f t="shared" si="79"/>
        <v>A630</v>
      </c>
      <c r="B70" s="71" t="str">
        <f>pixel_shift_table.asm!C70</f>
        <v>60</v>
      </c>
      <c r="C70" s="72" t="str">
        <f>pixel_shift_table.asm!D70</f>
        <v>8A</v>
      </c>
      <c r="D70" s="72" t="str">
        <f>pixel_shift_table.asm!E70</f>
        <v>CC</v>
      </c>
      <c r="E70" s="72" t="str">
        <f>pixel_shift_table.asm!F70</f>
        <v>9A</v>
      </c>
      <c r="F70" s="72" t="str">
        <f>pixel_shift_table.asm!G70</f>
        <v>6E</v>
      </c>
      <c r="G70" s="72" t="str">
        <f>pixel_shift_table.asm!H70</f>
        <v>AA</v>
      </c>
      <c r="H70" s="72" t="str">
        <f>pixel_shift_table.asm!I70</f>
        <v>DC</v>
      </c>
      <c r="I70" s="72" t="str">
        <f>pixel_shift_table.asm!J70</f>
        <v>BA</v>
      </c>
      <c r="J70" s="72" t="str">
        <f>pixel_shift_table.asm!K70</f>
        <v>70</v>
      </c>
      <c r="K70" s="72" t="str">
        <f>pixel_shift_table.asm!L70</f>
        <v>CA</v>
      </c>
      <c r="L70" s="72" t="str">
        <f>pixel_shift_table.asm!M70</f>
        <v>EC</v>
      </c>
      <c r="M70" s="72" t="str">
        <f>pixel_shift_table.asm!N70</f>
        <v>DA</v>
      </c>
      <c r="N70" s="72" t="str">
        <f>pixel_shift_table.asm!O70</f>
        <v>7E</v>
      </c>
      <c r="O70" s="72" t="str">
        <f>pixel_shift_table.asm!P70</f>
        <v>EA</v>
      </c>
      <c r="P70" s="72" t="str">
        <f>pixel_shift_table.asm!Q70</f>
        <v>FC</v>
      </c>
      <c r="Q70" s="72" t="str">
        <f>pixel_shift_table.asm!R70</f>
        <v>FA</v>
      </c>
      <c r="S70">
        <f t="shared" si="62"/>
        <v>48</v>
      </c>
      <c r="T70" s="5" t="str">
        <f t="shared" si="63"/>
        <v>A960</v>
      </c>
      <c r="U70" s="5" t="str">
        <f t="shared" si="64"/>
        <v>AA8A</v>
      </c>
      <c r="V70" s="5" t="str">
        <f t="shared" si="65"/>
        <v>A9CC</v>
      </c>
      <c r="W70" s="5" t="str">
        <f t="shared" si="66"/>
        <v>AA9A</v>
      </c>
      <c r="X70" s="5" t="str">
        <f t="shared" si="67"/>
        <v>A96E</v>
      </c>
      <c r="Y70" s="5" t="str">
        <f t="shared" si="68"/>
        <v>AAAA</v>
      </c>
      <c r="Z70" s="5" t="str">
        <f t="shared" si="69"/>
        <v>A9DC</v>
      </c>
      <c r="AA70" s="5" t="str">
        <f t="shared" si="70"/>
        <v>AABA</v>
      </c>
      <c r="AB70" s="5" t="str">
        <f t="shared" si="71"/>
        <v>A970</v>
      </c>
      <c r="AC70" s="5" t="str">
        <f t="shared" si="72"/>
        <v>AACA</v>
      </c>
      <c r="AD70" s="5" t="str">
        <f t="shared" si="73"/>
        <v>A9EC</v>
      </c>
      <c r="AE70" s="5" t="str">
        <f t="shared" si="74"/>
        <v>AADA</v>
      </c>
      <c r="AF70" s="5" t="str">
        <f t="shared" si="75"/>
        <v>A97E</v>
      </c>
      <c r="AG70" s="5" t="str">
        <f t="shared" si="76"/>
        <v>AAEA</v>
      </c>
      <c r="AH70" s="5" t="str">
        <f t="shared" si="77"/>
        <v>A9FC</v>
      </c>
      <c r="AI70" s="5" t="str">
        <f t="shared" si="78"/>
        <v>AAFA</v>
      </c>
      <c r="AK70" s="5" t="str" cm="1">
        <f t="array" ref="AK70">INDEX(_xlfn.TOROW(PixelPatternTable),HEX2DEC(T70)-$T$1+1)</f>
        <v>80</v>
      </c>
      <c r="AL70" s="5" t="str" cm="1">
        <f t="array" ref="AL70">INDEX(_xlfn.TOROW(PixelPatternTable),HEX2DEC(U70)-$T$1+1)</f>
        <v>90</v>
      </c>
      <c r="AM70" s="5" t="str" cm="1">
        <f t="array" ref="AM70">INDEX(_xlfn.TOROW(PixelPatternTable),HEX2DEC(V70)-$T$1+1)</f>
        <v>A0</v>
      </c>
      <c r="AN70" s="5" t="str" cm="1">
        <f t="array" ref="AN70">INDEX(_xlfn.TOROW(PixelPatternTable),HEX2DEC(W70)-$T$1+1)</f>
        <v>B0</v>
      </c>
      <c r="AO70" s="5" t="str" cm="1">
        <f t="array" ref="AO70">INDEX(_xlfn.TOROW(PixelPatternTable),HEX2DEC(X70)-$T$1+1)</f>
        <v>C0</v>
      </c>
      <c r="AP70" s="5" t="str" cm="1">
        <f t="array" ref="AP70">INDEX(_xlfn.TOROW(PixelPatternTable),HEX2DEC(Y70)-$T$1+1)</f>
        <v>D0</v>
      </c>
      <c r="AQ70" s="5" t="str" cm="1">
        <f t="array" ref="AQ70">INDEX(_xlfn.TOROW(PixelPatternTable),HEX2DEC(Z70)-$T$1+1)</f>
        <v>E0</v>
      </c>
      <c r="AR70" s="5" t="str" cm="1">
        <f t="array" ref="AR70">INDEX(_xlfn.TOROW(PixelPatternTable),HEX2DEC(AA70)-$T$1+1)</f>
        <v>F0</v>
      </c>
      <c r="AS70" s="5" t="str" cm="1">
        <f t="array" ref="AS70">INDEX(_xlfn.TOROW(PixelPatternTable),HEX2DEC(AB70)-$T$1+1)</f>
        <v>80</v>
      </c>
      <c r="AT70" s="5" t="str" cm="1">
        <f t="array" ref="AT70">INDEX(_xlfn.TOROW(PixelPatternTable),HEX2DEC(AC70)-$T$1+1)</f>
        <v>90</v>
      </c>
      <c r="AU70" s="5" t="str" cm="1">
        <f t="array" ref="AU70">INDEX(_xlfn.TOROW(PixelPatternTable),HEX2DEC(AD70)-$T$1+1)</f>
        <v>A0</v>
      </c>
      <c r="AV70" s="5" t="str" cm="1">
        <f t="array" ref="AV70">INDEX(_xlfn.TOROW(PixelPatternTable),HEX2DEC(AE70)-$T$1+1)</f>
        <v>B0</v>
      </c>
      <c r="AW70" s="5" t="str" cm="1">
        <f t="array" ref="AW70">INDEX(_xlfn.TOROW(PixelPatternTable),HEX2DEC(AF70)-$T$1+1)</f>
        <v>C0</v>
      </c>
      <c r="AX70" s="5" t="str" cm="1">
        <f t="array" ref="AX70">INDEX(_xlfn.TOROW(PixelPatternTable),HEX2DEC(AG70)-$T$1+1)</f>
        <v>D0</v>
      </c>
      <c r="AY70" s="5" t="str" cm="1">
        <f t="array" ref="AY70">INDEX(_xlfn.TOROW(PixelPatternTable),HEX2DEC(AH70)-$T$1+1)</f>
        <v>E0</v>
      </c>
      <c r="AZ70" s="5" t="str" cm="1">
        <f t="array" ref="AZ70">INDEX(_xlfn.TOROW(PixelPatternTable),HEX2DEC(AI70)-$T$1+1)</f>
        <v>F0</v>
      </c>
    </row>
    <row r="71" spans="1:52" x14ac:dyDescent="0.3">
      <c r="A71" s="5" t="str">
        <f t="shared" si="79"/>
        <v>A640</v>
      </c>
      <c r="B71" s="71" t="str">
        <f>pixel_shift_table.asm!C71</f>
        <v>80</v>
      </c>
      <c r="C71" s="72" t="str">
        <f>pixel_shift_table.asm!D71</f>
        <v>0A</v>
      </c>
      <c r="D71" s="72" t="str">
        <f>pixel_shift_table.asm!E71</f>
        <v>0C</v>
      </c>
      <c r="E71" s="72" t="str">
        <f>pixel_shift_table.asm!F71</f>
        <v>1A</v>
      </c>
      <c r="F71" s="72" t="str">
        <f>pixel_shift_table.asm!G71</f>
        <v>8E</v>
      </c>
      <c r="G71" s="72" t="str">
        <f>pixel_shift_table.asm!H71</f>
        <v>2A</v>
      </c>
      <c r="H71" s="72" t="str">
        <f>pixel_shift_table.asm!I71</f>
        <v>1C</v>
      </c>
      <c r="I71" s="72" t="str">
        <f>pixel_shift_table.asm!J71</f>
        <v>3A</v>
      </c>
      <c r="J71" s="72" t="str">
        <f>pixel_shift_table.asm!K71</f>
        <v>90</v>
      </c>
      <c r="K71" s="72" t="str">
        <f>pixel_shift_table.asm!L71</f>
        <v>4A</v>
      </c>
      <c r="L71" s="72" t="str">
        <f>pixel_shift_table.asm!M71</f>
        <v>2C</v>
      </c>
      <c r="M71" s="72" t="str">
        <f>pixel_shift_table.asm!N71</f>
        <v>5A</v>
      </c>
      <c r="N71" s="72" t="str">
        <f>pixel_shift_table.asm!O71</f>
        <v>9E</v>
      </c>
      <c r="O71" s="72" t="str">
        <f>pixel_shift_table.asm!P71</f>
        <v>6A</v>
      </c>
      <c r="P71" s="72" t="str">
        <f>pixel_shift_table.asm!Q71</f>
        <v>3C</v>
      </c>
      <c r="Q71" s="72" t="str">
        <f>pixel_shift_table.asm!R71</f>
        <v>7A</v>
      </c>
      <c r="S71">
        <f t="shared" si="62"/>
        <v>64</v>
      </c>
      <c r="T71" s="5" t="str">
        <f t="shared" si="63"/>
        <v>A980</v>
      </c>
      <c r="U71" s="5" t="str">
        <f t="shared" si="64"/>
        <v>AB0A</v>
      </c>
      <c r="V71" s="5" t="str">
        <f t="shared" si="65"/>
        <v>AA0C</v>
      </c>
      <c r="W71" s="5" t="str">
        <f t="shared" si="66"/>
        <v>AB1A</v>
      </c>
      <c r="X71" s="5" t="str">
        <f t="shared" si="67"/>
        <v>A98E</v>
      </c>
      <c r="Y71" s="5" t="str">
        <f t="shared" si="68"/>
        <v>AB2A</v>
      </c>
      <c r="Z71" s="5" t="str">
        <f t="shared" si="69"/>
        <v>AA1C</v>
      </c>
      <c r="AA71" s="5" t="str">
        <f t="shared" si="70"/>
        <v>AB3A</v>
      </c>
      <c r="AB71" s="5" t="str">
        <f t="shared" si="71"/>
        <v>A990</v>
      </c>
      <c r="AC71" s="5" t="str">
        <f t="shared" si="72"/>
        <v>AB4A</v>
      </c>
      <c r="AD71" s="5" t="str">
        <f t="shared" si="73"/>
        <v>AA2C</v>
      </c>
      <c r="AE71" s="5" t="str">
        <f t="shared" si="74"/>
        <v>AB5A</v>
      </c>
      <c r="AF71" s="5" t="str">
        <f t="shared" si="75"/>
        <v>A99E</v>
      </c>
      <c r="AG71" s="5" t="str">
        <f t="shared" si="76"/>
        <v>AB6A</v>
      </c>
      <c r="AH71" s="5" t="str">
        <f t="shared" si="77"/>
        <v>AA3C</v>
      </c>
      <c r="AI71" s="5" t="str">
        <f t="shared" si="78"/>
        <v>AB7A</v>
      </c>
      <c r="AK71" s="5" t="str" cm="1">
        <f t="array" ref="AK71">INDEX(_xlfn.TOROW(PixelPatternTable),HEX2DEC(T71)-$T$1+1)</f>
        <v>80</v>
      </c>
      <c r="AL71" s="5" t="str" cm="1">
        <f t="array" ref="AL71">INDEX(_xlfn.TOROW(PixelPatternTable),HEX2DEC(U71)-$T$1+1)</f>
        <v>90</v>
      </c>
      <c r="AM71" s="5" t="str" cm="1">
        <f t="array" ref="AM71">INDEX(_xlfn.TOROW(PixelPatternTable),HEX2DEC(V71)-$T$1+1)</f>
        <v>A0</v>
      </c>
      <c r="AN71" s="5" t="str" cm="1">
        <f t="array" ref="AN71">INDEX(_xlfn.TOROW(PixelPatternTable),HEX2DEC(W71)-$T$1+1)</f>
        <v>B0</v>
      </c>
      <c r="AO71" s="5" t="str" cm="1">
        <f t="array" ref="AO71">INDEX(_xlfn.TOROW(PixelPatternTable),HEX2DEC(X71)-$T$1+1)</f>
        <v>C0</v>
      </c>
      <c r="AP71" s="5" t="str" cm="1">
        <f t="array" ref="AP71">INDEX(_xlfn.TOROW(PixelPatternTable),HEX2DEC(Y71)-$T$1+1)</f>
        <v>D0</v>
      </c>
      <c r="AQ71" s="5" t="str" cm="1">
        <f t="array" ref="AQ71">INDEX(_xlfn.TOROW(PixelPatternTable),HEX2DEC(Z71)-$T$1+1)</f>
        <v>E0</v>
      </c>
      <c r="AR71" s="5" t="str" cm="1">
        <f t="array" ref="AR71">INDEX(_xlfn.TOROW(PixelPatternTable),HEX2DEC(AA71)-$T$1+1)</f>
        <v>F0</v>
      </c>
      <c r="AS71" s="5" t="str" cm="1">
        <f t="array" ref="AS71">INDEX(_xlfn.TOROW(PixelPatternTable),HEX2DEC(AB71)-$T$1+1)</f>
        <v>80</v>
      </c>
      <c r="AT71" s="5" t="str" cm="1">
        <f t="array" ref="AT71">INDEX(_xlfn.TOROW(PixelPatternTable),HEX2DEC(AC71)-$T$1+1)</f>
        <v>90</v>
      </c>
      <c r="AU71" s="5" t="str" cm="1">
        <f t="array" ref="AU71">INDEX(_xlfn.TOROW(PixelPatternTable),HEX2DEC(AD71)-$T$1+1)</f>
        <v>A0</v>
      </c>
      <c r="AV71" s="5" t="str" cm="1">
        <f t="array" ref="AV71">INDEX(_xlfn.TOROW(PixelPatternTable),HEX2DEC(AE71)-$T$1+1)</f>
        <v>B0</v>
      </c>
      <c r="AW71" s="5" t="str" cm="1">
        <f t="array" ref="AW71">INDEX(_xlfn.TOROW(PixelPatternTable),HEX2DEC(AF71)-$T$1+1)</f>
        <v>C0</v>
      </c>
      <c r="AX71" s="5" t="str" cm="1">
        <f t="array" ref="AX71">INDEX(_xlfn.TOROW(PixelPatternTable),HEX2DEC(AG71)-$T$1+1)</f>
        <v>D0</v>
      </c>
      <c r="AY71" s="5" t="str" cm="1">
        <f t="array" ref="AY71">INDEX(_xlfn.TOROW(PixelPatternTable),HEX2DEC(AH71)-$T$1+1)</f>
        <v>E0</v>
      </c>
      <c r="AZ71" s="5" t="str" cm="1">
        <f t="array" ref="AZ71">INDEX(_xlfn.TOROW(PixelPatternTable),HEX2DEC(AI71)-$T$1+1)</f>
        <v>F0</v>
      </c>
    </row>
    <row r="72" spans="1:52" x14ac:dyDescent="0.3">
      <c r="A72" s="5" t="str">
        <f t="shared" si="79"/>
        <v>A650</v>
      </c>
      <c r="B72" s="71" t="str">
        <f>pixel_shift_table.asm!C72</f>
        <v>A0</v>
      </c>
      <c r="C72" s="72" t="str">
        <f>pixel_shift_table.asm!D72</f>
        <v>8A</v>
      </c>
      <c r="D72" s="72" t="str">
        <f>pixel_shift_table.asm!E72</f>
        <v>4C</v>
      </c>
      <c r="E72" s="72" t="str">
        <f>pixel_shift_table.asm!F72</f>
        <v>9A</v>
      </c>
      <c r="F72" s="72" t="str">
        <f>pixel_shift_table.asm!G72</f>
        <v>AE</v>
      </c>
      <c r="G72" s="72" t="str">
        <f>pixel_shift_table.asm!H72</f>
        <v>AA</v>
      </c>
      <c r="H72" s="72" t="str">
        <f>pixel_shift_table.asm!I72</f>
        <v>5C</v>
      </c>
      <c r="I72" s="72" t="str">
        <f>pixel_shift_table.asm!J72</f>
        <v>BA</v>
      </c>
      <c r="J72" s="72" t="str">
        <f>pixel_shift_table.asm!K72</f>
        <v>B0</v>
      </c>
      <c r="K72" s="72" t="str">
        <f>pixel_shift_table.asm!L72</f>
        <v>CA</v>
      </c>
      <c r="L72" s="72" t="str">
        <f>pixel_shift_table.asm!M72</f>
        <v>6C</v>
      </c>
      <c r="M72" s="72" t="str">
        <f>pixel_shift_table.asm!N72</f>
        <v>DA</v>
      </c>
      <c r="N72" s="72" t="str">
        <f>pixel_shift_table.asm!O72</f>
        <v>BE</v>
      </c>
      <c r="O72" s="72" t="str">
        <f>pixel_shift_table.asm!P72</f>
        <v>EA</v>
      </c>
      <c r="P72" s="72" t="str">
        <f>pixel_shift_table.asm!Q72</f>
        <v>7C</v>
      </c>
      <c r="Q72" s="72" t="str">
        <f>pixel_shift_table.asm!R72</f>
        <v>FA</v>
      </c>
      <c r="S72">
        <f t="shared" si="62"/>
        <v>80</v>
      </c>
      <c r="T72" s="5" t="str">
        <f t="shared" si="63"/>
        <v>A9A0</v>
      </c>
      <c r="U72" s="5" t="str">
        <f t="shared" si="64"/>
        <v>AB8A</v>
      </c>
      <c r="V72" s="5" t="str">
        <f t="shared" si="65"/>
        <v>AA4C</v>
      </c>
      <c r="W72" s="5" t="str">
        <f t="shared" si="66"/>
        <v>AB9A</v>
      </c>
      <c r="X72" s="5" t="str">
        <f t="shared" si="67"/>
        <v>A9AE</v>
      </c>
      <c r="Y72" s="5" t="str">
        <f t="shared" si="68"/>
        <v>ABAA</v>
      </c>
      <c r="Z72" s="5" t="str">
        <f t="shared" si="69"/>
        <v>AA5C</v>
      </c>
      <c r="AA72" s="5" t="str">
        <f t="shared" si="70"/>
        <v>ABBA</v>
      </c>
      <c r="AB72" s="5" t="str">
        <f t="shared" si="71"/>
        <v>A9B0</v>
      </c>
      <c r="AC72" s="5" t="str">
        <f t="shared" si="72"/>
        <v>ABCA</v>
      </c>
      <c r="AD72" s="5" t="str">
        <f t="shared" si="73"/>
        <v>AA6C</v>
      </c>
      <c r="AE72" s="5" t="str">
        <f t="shared" si="74"/>
        <v>ABDA</v>
      </c>
      <c r="AF72" s="5" t="str">
        <f t="shared" si="75"/>
        <v>A9BE</v>
      </c>
      <c r="AG72" s="5" t="str">
        <f t="shared" si="76"/>
        <v>ABEA</v>
      </c>
      <c r="AH72" s="5" t="str">
        <f t="shared" si="77"/>
        <v>AA7C</v>
      </c>
      <c r="AI72" s="5" t="str">
        <f t="shared" si="78"/>
        <v>ABFA</v>
      </c>
      <c r="AK72" s="5" t="str" cm="1">
        <f t="array" ref="AK72">INDEX(_xlfn.TOROW(PixelPatternTable),HEX2DEC(T72)-$T$1+1)</f>
        <v>80</v>
      </c>
      <c r="AL72" s="5" t="str" cm="1">
        <f t="array" ref="AL72">INDEX(_xlfn.TOROW(PixelPatternTable),HEX2DEC(U72)-$T$1+1)</f>
        <v>90</v>
      </c>
      <c r="AM72" s="5" t="str" cm="1">
        <f t="array" ref="AM72">INDEX(_xlfn.TOROW(PixelPatternTable),HEX2DEC(V72)-$T$1+1)</f>
        <v>A0</v>
      </c>
      <c r="AN72" s="5" t="str" cm="1">
        <f t="array" ref="AN72">INDEX(_xlfn.TOROW(PixelPatternTable),HEX2DEC(W72)-$T$1+1)</f>
        <v>B0</v>
      </c>
      <c r="AO72" s="5" t="str" cm="1">
        <f t="array" ref="AO72">INDEX(_xlfn.TOROW(PixelPatternTable),HEX2DEC(X72)-$T$1+1)</f>
        <v>C0</v>
      </c>
      <c r="AP72" s="5" t="str" cm="1">
        <f t="array" ref="AP72">INDEX(_xlfn.TOROW(PixelPatternTable),HEX2DEC(Y72)-$T$1+1)</f>
        <v>D0</v>
      </c>
      <c r="AQ72" s="5" t="str" cm="1">
        <f t="array" ref="AQ72">INDEX(_xlfn.TOROW(PixelPatternTable),HEX2DEC(Z72)-$T$1+1)</f>
        <v>E0</v>
      </c>
      <c r="AR72" s="5" t="str" cm="1">
        <f t="array" ref="AR72">INDEX(_xlfn.TOROW(PixelPatternTable),HEX2DEC(AA72)-$T$1+1)</f>
        <v>F0</v>
      </c>
      <c r="AS72" s="5" t="str" cm="1">
        <f t="array" ref="AS72">INDEX(_xlfn.TOROW(PixelPatternTable),HEX2DEC(AB72)-$T$1+1)</f>
        <v>80</v>
      </c>
      <c r="AT72" s="5" t="str" cm="1">
        <f t="array" ref="AT72">INDEX(_xlfn.TOROW(PixelPatternTable),HEX2DEC(AC72)-$T$1+1)</f>
        <v>90</v>
      </c>
      <c r="AU72" s="5" t="str" cm="1">
        <f t="array" ref="AU72">INDEX(_xlfn.TOROW(PixelPatternTable),HEX2DEC(AD72)-$T$1+1)</f>
        <v>A0</v>
      </c>
      <c r="AV72" s="5" t="str" cm="1">
        <f t="array" ref="AV72">INDEX(_xlfn.TOROW(PixelPatternTable),HEX2DEC(AE72)-$T$1+1)</f>
        <v>B0</v>
      </c>
      <c r="AW72" s="5" t="str" cm="1">
        <f t="array" ref="AW72">INDEX(_xlfn.TOROW(PixelPatternTable),HEX2DEC(AF72)-$T$1+1)</f>
        <v>C0</v>
      </c>
      <c r="AX72" s="5" t="str" cm="1">
        <f t="array" ref="AX72">INDEX(_xlfn.TOROW(PixelPatternTable),HEX2DEC(AG72)-$T$1+1)</f>
        <v>D0</v>
      </c>
      <c r="AY72" s="5" t="str" cm="1">
        <f t="array" ref="AY72">INDEX(_xlfn.TOROW(PixelPatternTable),HEX2DEC(AH72)-$T$1+1)</f>
        <v>E0</v>
      </c>
      <c r="AZ72" s="5" t="str" cm="1">
        <f t="array" ref="AZ72">INDEX(_xlfn.TOROW(PixelPatternTable),HEX2DEC(AI72)-$T$1+1)</f>
        <v>F0</v>
      </c>
    </row>
    <row r="73" spans="1:52" x14ac:dyDescent="0.3">
      <c r="A73" s="5" t="str">
        <f t="shared" si="79"/>
        <v>A660</v>
      </c>
      <c r="B73" s="71" t="str">
        <f>pixel_shift_table.asm!C73</f>
        <v>C0</v>
      </c>
      <c r="C73" s="72" t="str">
        <f>pixel_shift_table.asm!D73</f>
        <v>0A</v>
      </c>
      <c r="D73" s="72" t="str">
        <f>pixel_shift_table.asm!E73</f>
        <v>8C</v>
      </c>
      <c r="E73" s="72" t="str">
        <f>pixel_shift_table.asm!F73</f>
        <v>1A</v>
      </c>
      <c r="F73" s="72" t="str">
        <f>pixel_shift_table.asm!G73</f>
        <v>CE</v>
      </c>
      <c r="G73" s="72" t="str">
        <f>pixel_shift_table.asm!H73</f>
        <v>2A</v>
      </c>
      <c r="H73" s="72" t="str">
        <f>pixel_shift_table.asm!I73</f>
        <v>9C</v>
      </c>
      <c r="I73" s="72" t="str">
        <f>pixel_shift_table.asm!J73</f>
        <v>3A</v>
      </c>
      <c r="J73" s="72" t="str">
        <f>pixel_shift_table.asm!K73</f>
        <v>D0</v>
      </c>
      <c r="K73" s="72" t="str">
        <f>pixel_shift_table.asm!L73</f>
        <v>4A</v>
      </c>
      <c r="L73" s="72" t="str">
        <f>pixel_shift_table.asm!M73</f>
        <v>AC</v>
      </c>
      <c r="M73" s="72" t="str">
        <f>pixel_shift_table.asm!N73</f>
        <v>5A</v>
      </c>
      <c r="N73" s="72" t="str">
        <f>pixel_shift_table.asm!O73</f>
        <v>DE</v>
      </c>
      <c r="O73" s="72" t="str">
        <f>pixel_shift_table.asm!P73</f>
        <v>6A</v>
      </c>
      <c r="P73" s="72" t="str">
        <f>pixel_shift_table.asm!Q73</f>
        <v>BC</v>
      </c>
      <c r="Q73" s="72" t="str">
        <f>pixel_shift_table.asm!R73</f>
        <v>7A</v>
      </c>
      <c r="S73">
        <f t="shared" si="62"/>
        <v>96</v>
      </c>
      <c r="T73" s="5" t="str">
        <f t="shared" si="63"/>
        <v>A9C0</v>
      </c>
      <c r="U73" s="5" t="str">
        <f t="shared" si="64"/>
        <v>AC0A</v>
      </c>
      <c r="V73" s="5" t="str">
        <f t="shared" si="65"/>
        <v>AA8C</v>
      </c>
      <c r="W73" s="5" t="str">
        <f t="shared" si="66"/>
        <v>AC1A</v>
      </c>
      <c r="X73" s="5" t="str">
        <f t="shared" si="67"/>
        <v>A9CE</v>
      </c>
      <c r="Y73" s="5" t="str">
        <f t="shared" si="68"/>
        <v>AC2A</v>
      </c>
      <c r="Z73" s="5" t="str">
        <f t="shared" si="69"/>
        <v>AA9C</v>
      </c>
      <c r="AA73" s="5" t="str">
        <f t="shared" si="70"/>
        <v>AC3A</v>
      </c>
      <c r="AB73" s="5" t="str">
        <f t="shared" si="71"/>
        <v>A9D0</v>
      </c>
      <c r="AC73" s="5" t="str">
        <f t="shared" si="72"/>
        <v>AC4A</v>
      </c>
      <c r="AD73" s="5" t="str">
        <f t="shared" si="73"/>
        <v>AAAC</v>
      </c>
      <c r="AE73" s="5" t="str">
        <f t="shared" si="74"/>
        <v>AC5A</v>
      </c>
      <c r="AF73" s="5" t="str">
        <f t="shared" si="75"/>
        <v>A9DE</v>
      </c>
      <c r="AG73" s="5" t="str">
        <f t="shared" si="76"/>
        <v>AC6A</v>
      </c>
      <c r="AH73" s="5" t="str">
        <f t="shared" si="77"/>
        <v>AABC</v>
      </c>
      <c r="AI73" s="5" t="str">
        <f t="shared" si="78"/>
        <v>AC7A</v>
      </c>
      <c r="AK73" s="5" t="str" cm="1">
        <f t="array" ref="AK73">INDEX(_xlfn.TOROW(PixelPatternTable),HEX2DEC(T73)-$T$1+1)</f>
        <v>80</v>
      </c>
      <c r="AL73" s="5" t="str" cm="1">
        <f t="array" ref="AL73">INDEX(_xlfn.TOROW(PixelPatternTable),HEX2DEC(U73)-$T$1+1)</f>
        <v>90</v>
      </c>
      <c r="AM73" s="5" t="str" cm="1">
        <f t="array" ref="AM73">INDEX(_xlfn.TOROW(PixelPatternTable),HEX2DEC(V73)-$T$1+1)</f>
        <v>A0</v>
      </c>
      <c r="AN73" s="5" t="str" cm="1">
        <f t="array" ref="AN73">INDEX(_xlfn.TOROW(PixelPatternTable),HEX2DEC(W73)-$T$1+1)</f>
        <v>B0</v>
      </c>
      <c r="AO73" s="5" t="str" cm="1">
        <f t="array" ref="AO73">INDEX(_xlfn.TOROW(PixelPatternTable),HEX2DEC(X73)-$T$1+1)</f>
        <v>C0</v>
      </c>
      <c r="AP73" s="5" t="str" cm="1">
        <f t="array" ref="AP73">INDEX(_xlfn.TOROW(PixelPatternTable),HEX2DEC(Y73)-$T$1+1)</f>
        <v>D0</v>
      </c>
      <c r="AQ73" s="5" t="str" cm="1">
        <f t="array" ref="AQ73">INDEX(_xlfn.TOROW(PixelPatternTable),HEX2DEC(Z73)-$T$1+1)</f>
        <v>E0</v>
      </c>
      <c r="AR73" s="5" t="str" cm="1">
        <f t="array" ref="AR73">INDEX(_xlfn.TOROW(PixelPatternTable),HEX2DEC(AA73)-$T$1+1)</f>
        <v>F0</v>
      </c>
      <c r="AS73" s="5" t="str" cm="1">
        <f t="array" ref="AS73">INDEX(_xlfn.TOROW(PixelPatternTable),HEX2DEC(AB73)-$T$1+1)</f>
        <v>80</v>
      </c>
      <c r="AT73" s="5" t="str" cm="1">
        <f t="array" ref="AT73">INDEX(_xlfn.TOROW(PixelPatternTable),HEX2DEC(AC73)-$T$1+1)</f>
        <v>90</v>
      </c>
      <c r="AU73" s="5" t="str" cm="1">
        <f t="array" ref="AU73">INDEX(_xlfn.TOROW(PixelPatternTable),HEX2DEC(AD73)-$T$1+1)</f>
        <v>A0</v>
      </c>
      <c r="AV73" s="5" t="str" cm="1">
        <f t="array" ref="AV73">INDEX(_xlfn.TOROW(PixelPatternTable),HEX2DEC(AE73)-$T$1+1)</f>
        <v>B0</v>
      </c>
      <c r="AW73" s="5" t="str" cm="1">
        <f t="array" ref="AW73">INDEX(_xlfn.TOROW(PixelPatternTable),HEX2DEC(AF73)-$T$1+1)</f>
        <v>C0</v>
      </c>
      <c r="AX73" s="5" t="str" cm="1">
        <f t="array" ref="AX73">INDEX(_xlfn.TOROW(PixelPatternTable),HEX2DEC(AG73)-$T$1+1)</f>
        <v>D0</v>
      </c>
      <c r="AY73" s="5" t="str" cm="1">
        <f t="array" ref="AY73">INDEX(_xlfn.TOROW(PixelPatternTable),HEX2DEC(AH73)-$T$1+1)</f>
        <v>E0</v>
      </c>
      <c r="AZ73" s="5" t="str" cm="1">
        <f t="array" ref="AZ73">INDEX(_xlfn.TOROW(PixelPatternTable),HEX2DEC(AI73)-$T$1+1)</f>
        <v>F0</v>
      </c>
    </row>
    <row r="74" spans="1:52" x14ac:dyDescent="0.3">
      <c r="A74" s="58" t="str">
        <f t="shared" si="79"/>
        <v>A670</v>
      </c>
      <c r="B74" s="73" t="str">
        <f>pixel_shift_table.asm!C74</f>
        <v>E0</v>
      </c>
      <c r="C74" s="74" t="str">
        <f>pixel_shift_table.asm!D74</f>
        <v>8A</v>
      </c>
      <c r="D74" s="74" t="str">
        <f>pixel_shift_table.asm!E74</f>
        <v>CC</v>
      </c>
      <c r="E74" s="74" t="str">
        <f>pixel_shift_table.asm!F74</f>
        <v>9A</v>
      </c>
      <c r="F74" s="74" t="str">
        <f>pixel_shift_table.asm!G74</f>
        <v>EE</v>
      </c>
      <c r="G74" s="74" t="str">
        <f>pixel_shift_table.asm!H74</f>
        <v>AA</v>
      </c>
      <c r="H74" s="74" t="str">
        <f>pixel_shift_table.asm!I74</f>
        <v>DC</v>
      </c>
      <c r="I74" s="74" t="str">
        <f>pixel_shift_table.asm!J74</f>
        <v>BA</v>
      </c>
      <c r="J74" s="74" t="str">
        <f>pixel_shift_table.asm!K74</f>
        <v>F0</v>
      </c>
      <c r="K74" s="74" t="str">
        <f>pixel_shift_table.asm!L74</f>
        <v>CA</v>
      </c>
      <c r="L74" s="74" t="str">
        <f>pixel_shift_table.asm!M74</f>
        <v>EC</v>
      </c>
      <c r="M74" s="74" t="str">
        <f>pixel_shift_table.asm!N74</f>
        <v>DA</v>
      </c>
      <c r="N74" s="74" t="str">
        <f>pixel_shift_table.asm!O74</f>
        <v>FE</v>
      </c>
      <c r="O74" s="74" t="str">
        <f>pixel_shift_table.asm!P74</f>
        <v>EA</v>
      </c>
      <c r="P74" s="74" t="str">
        <f>pixel_shift_table.asm!Q74</f>
        <v>FC</v>
      </c>
      <c r="Q74" s="74" t="str">
        <f>pixel_shift_table.asm!R74</f>
        <v>FA</v>
      </c>
      <c r="S74">
        <f t="shared" si="62"/>
        <v>112</v>
      </c>
      <c r="T74" s="5" t="str">
        <f t="shared" si="63"/>
        <v>A9E0</v>
      </c>
      <c r="U74" s="5" t="str">
        <f t="shared" si="64"/>
        <v>AC8A</v>
      </c>
      <c r="V74" s="5" t="str">
        <f t="shared" si="65"/>
        <v>AACC</v>
      </c>
      <c r="W74" s="5" t="str">
        <f t="shared" si="66"/>
        <v>AC9A</v>
      </c>
      <c r="X74" s="5" t="str">
        <f t="shared" si="67"/>
        <v>A9EE</v>
      </c>
      <c r="Y74" s="5" t="str">
        <f t="shared" si="68"/>
        <v>ACAA</v>
      </c>
      <c r="Z74" s="5" t="str">
        <f t="shared" si="69"/>
        <v>AADC</v>
      </c>
      <c r="AA74" s="5" t="str">
        <f t="shared" si="70"/>
        <v>ACBA</v>
      </c>
      <c r="AB74" s="5" t="str">
        <f t="shared" si="71"/>
        <v>A9F0</v>
      </c>
      <c r="AC74" s="5" t="str">
        <f t="shared" si="72"/>
        <v>ACCA</v>
      </c>
      <c r="AD74" s="5" t="str">
        <f t="shared" si="73"/>
        <v>AAEC</v>
      </c>
      <c r="AE74" s="5" t="str">
        <f t="shared" si="74"/>
        <v>ACDA</v>
      </c>
      <c r="AF74" s="5" t="str">
        <f t="shared" si="75"/>
        <v>A9FE</v>
      </c>
      <c r="AG74" s="5" t="str">
        <f t="shared" si="76"/>
        <v>ACEA</v>
      </c>
      <c r="AH74" s="5" t="str">
        <f t="shared" si="77"/>
        <v>AAFC</v>
      </c>
      <c r="AI74" s="5" t="str">
        <f t="shared" si="78"/>
        <v>ACFA</v>
      </c>
      <c r="AK74" s="5" t="str" cm="1">
        <f t="array" ref="AK74">INDEX(_xlfn.TOROW(PixelPatternTable),HEX2DEC(T74)-$T$1+1)</f>
        <v>80</v>
      </c>
      <c r="AL74" s="5" t="str" cm="1">
        <f t="array" ref="AL74">INDEX(_xlfn.TOROW(PixelPatternTable),HEX2DEC(U74)-$T$1+1)</f>
        <v>90</v>
      </c>
      <c r="AM74" s="5" t="str" cm="1">
        <f t="array" ref="AM74">INDEX(_xlfn.TOROW(PixelPatternTable),HEX2DEC(V74)-$T$1+1)</f>
        <v>A0</v>
      </c>
      <c r="AN74" s="5" t="str" cm="1">
        <f t="array" ref="AN74">INDEX(_xlfn.TOROW(PixelPatternTable),HEX2DEC(W74)-$T$1+1)</f>
        <v>B0</v>
      </c>
      <c r="AO74" s="5" t="str" cm="1">
        <f t="array" ref="AO74">INDEX(_xlfn.TOROW(PixelPatternTable),HEX2DEC(X74)-$T$1+1)</f>
        <v>C0</v>
      </c>
      <c r="AP74" s="5" t="str" cm="1">
        <f t="array" ref="AP74">INDEX(_xlfn.TOROW(PixelPatternTable),HEX2DEC(Y74)-$T$1+1)</f>
        <v>D0</v>
      </c>
      <c r="AQ74" s="5" t="str" cm="1">
        <f t="array" ref="AQ74">INDEX(_xlfn.TOROW(PixelPatternTable),HEX2DEC(Z74)-$T$1+1)</f>
        <v>E0</v>
      </c>
      <c r="AR74" s="5" t="str" cm="1">
        <f t="array" ref="AR74">INDEX(_xlfn.TOROW(PixelPatternTable),HEX2DEC(AA74)-$T$1+1)</f>
        <v>F0</v>
      </c>
      <c r="AS74" s="5" t="str" cm="1">
        <f t="array" ref="AS74">INDEX(_xlfn.TOROW(PixelPatternTable),HEX2DEC(AB74)-$T$1+1)</f>
        <v>80</v>
      </c>
      <c r="AT74" s="5" t="str" cm="1">
        <f t="array" ref="AT74">INDEX(_xlfn.TOROW(PixelPatternTable),HEX2DEC(AC74)-$T$1+1)</f>
        <v>90</v>
      </c>
      <c r="AU74" s="5" t="str" cm="1">
        <f t="array" ref="AU74">INDEX(_xlfn.TOROW(PixelPatternTable),HEX2DEC(AD74)-$T$1+1)</f>
        <v>A0</v>
      </c>
      <c r="AV74" s="5" t="str" cm="1">
        <f t="array" ref="AV74">INDEX(_xlfn.TOROW(PixelPatternTable),HEX2DEC(AE74)-$T$1+1)</f>
        <v>B0</v>
      </c>
      <c r="AW74" s="5" t="str" cm="1">
        <f t="array" ref="AW74">INDEX(_xlfn.TOROW(PixelPatternTable),HEX2DEC(AF74)-$T$1+1)</f>
        <v>C0</v>
      </c>
      <c r="AX74" s="5" t="str" cm="1">
        <f t="array" ref="AX74">INDEX(_xlfn.TOROW(PixelPatternTable),HEX2DEC(AG74)-$T$1+1)</f>
        <v>D0</v>
      </c>
      <c r="AY74" s="5" t="str" cm="1">
        <f t="array" ref="AY74">INDEX(_xlfn.TOROW(PixelPatternTable),HEX2DEC(AH74)-$T$1+1)</f>
        <v>E0</v>
      </c>
      <c r="AZ74" s="5" t="str" cm="1">
        <f t="array" ref="AZ74">INDEX(_xlfn.TOROW(PixelPatternTable),HEX2DEC(AI74)-$T$1+1)</f>
        <v>F0</v>
      </c>
    </row>
    <row r="75" spans="1:52" x14ac:dyDescent="0.3">
      <c r="A75" s="5" t="str">
        <f t="shared" si="79"/>
        <v>A680</v>
      </c>
      <c r="B75" s="69" t="str">
        <f>pixel_shift_table.asm!C75</f>
        <v>A9</v>
      </c>
      <c r="C75" s="70" t="str">
        <f>pixel_shift_table.asm!D75</f>
        <v>A9</v>
      </c>
      <c r="D75" s="70" t="str">
        <f>pixel_shift_table.asm!E75</f>
        <v>A9</v>
      </c>
      <c r="E75" s="70" t="str">
        <f>pixel_shift_table.asm!F75</f>
        <v>A9</v>
      </c>
      <c r="F75" s="70" t="str">
        <f>pixel_shift_table.asm!G75</f>
        <v>A9</v>
      </c>
      <c r="G75" s="70" t="str">
        <f>pixel_shift_table.asm!H75</f>
        <v>A9</v>
      </c>
      <c r="H75" s="70" t="str">
        <f>pixel_shift_table.asm!I75</f>
        <v>A9</v>
      </c>
      <c r="I75" s="70" t="str">
        <f>pixel_shift_table.asm!J75</f>
        <v>A9</v>
      </c>
      <c r="J75" s="70" t="str">
        <f>pixel_shift_table.asm!K75</f>
        <v>A9</v>
      </c>
      <c r="K75" s="70" t="str">
        <f>pixel_shift_table.asm!L75</f>
        <v>A9</v>
      </c>
      <c r="L75" s="70" t="str">
        <f>pixel_shift_table.asm!M75</f>
        <v>A9</v>
      </c>
      <c r="M75" s="70" t="str">
        <f>pixel_shift_table.asm!N75</f>
        <v>A9</v>
      </c>
      <c r="N75" s="70" t="str">
        <f>pixel_shift_table.asm!O75</f>
        <v>A9</v>
      </c>
      <c r="O75" s="70" t="str">
        <f>pixel_shift_table.asm!P75</f>
        <v>A9</v>
      </c>
      <c r="P75" s="70" t="str">
        <f>pixel_shift_table.asm!Q75</f>
        <v>A9</v>
      </c>
      <c r="Q75" s="70" t="str">
        <f>pixel_shift_table.asm!R75</f>
        <v>A9</v>
      </c>
      <c r="S75">
        <f t="shared" si="62"/>
        <v>128</v>
      </c>
      <c r="T75" s="5" t="str">
        <f t="shared" si="63"/>
        <v>A901</v>
      </c>
      <c r="U75" s="5" t="str">
        <f t="shared" si="64"/>
        <v>A90B</v>
      </c>
      <c r="V75" s="5" t="str">
        <f t="shared" si="65"/>
        <v>A90D</v>
      </c>
      <c r="W75" s="5" t="str">
        <f t="shared" si="66"/>
        <v>A91B</v>
      </c>
      <c r="X75" s="5" t="str">
        <f t="shared" si="67"/>
        <v>A90F</v>
      </c>
      <c r="Y75" s="5" t="str">
        <f t="shared" si="68"/>
        <v>A92B</v>
      </c>
      <c r="Z75" s="5" t="str">
        <f t="shared" si="69"/>
        <v>A91D</v>
      </c>
      <c r="AA75" s="5" t="str">
        <f t="shared" si="70"/>
        <v>A93B</v>
      </c>
      <c r="AB75" s="5" t="str">
        <f t="shared" si="71"/>
        <v>A911</v>
      </c>
      <c r="AC75" s="5" t="str">
        <f t="shared" si="72"/>
        <v>A94B</v>
      </c>
      <c r="AD75" s="5" t="str">
        <f t="shared" si="73"/>
        <v>A92D</v>
      </c>
      <c r="AE75" s="5" t="str">
        <f t="shared" si="74"/>
        <v>A95B</v>
      </c>
      <c r="AF75" s="5" t="str">
        <f t="shared" si="75"/>
        <v>A91F</v>
      </c>
      <c r="AG75" s="5" t="str">
        <f t="shared" si="76"/>
        <v>A96B</v>
      </c>
      <c r="AH75" s="5" t="str">
        <f t="shared" si="77"/>
        <v>A93D</v>
      </c>
      <c r="AI75" s="5" t="str">
        <f t="shared" si="78"/>
        <v>A97B</v>
      </c>
      <c r="AK75" s="5" t="str" cm="1">
        <f t="array" ref="AK75">INDEX(_xlfn.TOROW(PixelPatternTable),HEX2DEC(T75)-$T$1+1)</f>
        <v>80</v>
      </c>
      <c r="AL75" s="5" t="str" cm="1">
        <f t="array" ref="AL75">INDEX(_xlfn.TOROW(PixelPatternTable),HEX2DEC(U75)-$T$1+1)</f>
        <v>80</v>
      </c>
      <c r="AM75" s="5" t="str" cm="1">
        <f t="array" ref="AM75">INDEX(_xlfn.TOROW(PixelPatternTable),HEX2DEC(V75)-$T$1+1)</f>
        <v>80</v>
      </c>
      <c r="AN75" s="5" t="str" cm="1">
        <f t="array" ref="AN75">INDEX(_xlfn.TOROW(PixelPatternTable),HEX2DEC(W75)-$T$1+1)</f>
        <v>80</v>
      </c>
      <c r="AO75" s="5" t="str" cm="1">
        <f t="array" ref="AO75">INDEX(_xlfn.TOROW(PixelPatternTable),HEX2DEC(X75)-$T$1+1)</f>
        <v>80</v>
      </c>
      <c r="AP75" s="5" t="str" cm="1">
        <f t="array" ref="AP75">INDEX(_xlfn.TOROW(PixelPatternTable),HEX2DEC(Y75)-$T$1+1)</f>
        <v>80</v>
      </c>
      <c r="AQ75" s="5" t="str" cm="1">
        <f t="array" ref="AQ75">INDEX(_xlfn.TOROW(PixelPatternTable),HEX2DEC(Z75)-$T$1+1)</f>
        <v>80</v>
      </c>
      <c r="AR75" s="5" t="str" cm="1">
        <f t="array" ref="AR75">INDEX(_xlfn.TOROW(PixelPatternTable),HEX2DEC(AA75)-$T$1+1)</f>
        <v>80</v>
      </c>
      <c r="AS75" s="5" t="str" cm="1">
        <f t="array" ref="AS75">INDEX(_xlfn.TOROW(PixelPatternTable),HEX2DEC(AB75)-$T$1+1)</f>
        <v>81</v>
      </c>
      <c r="AT75" s="5" t="str" cm="1">
        <f t="array" ref="AT75">INDEX(_xlfn.TOROW(PixelPatternTable),HEX2DEC(AC75)-$T$1+1)</f>
        <v>81</v>
      </c>
      <c r="AU75" s="5" t="str" cm="1">
        <f t="array" ref="AU75">INDEX(_xlfn.TOROW(PixelPatternTable),HEX2DEC(AD75)-$T$1+1)</f>
        <v>81</v>
      </c>
      <c r="AV75" s="5" t="str" cm="1">
        <f t="array" ref="AV75">INDEX(_xlfn.TOROW(PixelPatternTable),HEX2DEC(AE75)-$T$1+1)</f>
        <v>81</v>
      </c>
      <c r="AW75" s="5" t="str" cm="1">
        <f t="array" ref="AW75">INDEX(_xlfn.TOROW(PixelPatternTable),HEX2DEC(AF75)-$T$1+1)</f>
        <v>81</v>
      </c>
      <c r="AX75" s="5" t="str" cm="1">
        <f t="array" ref="AX75">INDEX(_xlfn.TOROW(PixelPatternTable),HEX2DEC(AG75)-$T$1+1)</f>
        <v>81</v>
      </c>
      <c r="AY75" s="5" t="str" cm="1">
        <f t="array" ref="AY75">INDEX(_xlfn.TOROW(PixelPatternTable),HEX2DEC(AH75)-$T$1+1)</f>
        <v>81</v>
      </c>
      <c r="AZ75" s="5" t="str" cm="1">
        <f t="array" ref="AZ75">INDEX(_xlfn.TOROW(PixelPatternTable),HEX2DEC(AI75)-$T$1+1)</f>
        <v>81</v>
      </c>
    </row>
    <row r="76" spans="1:52" x14ac:dyDescent="0.3">
      <c r="A76" s="5" t="str">
        <f t="shared" si="79"/>
        <v>A690</v>
      </c>
      <c r="B76" s="71" t="str">
        <f>pixel_shift_table.asm!C76</f>
        <v>A9</v>
      </c>
      <c r="C76" s="72" t="str">
        <f>pixel_shift_table.asm!D76</f>
        <v>A9</v>
      </c>
      <c r="D76" s="72" t="str">
        <f>pixel_shift_table.asm!E76</f>
        <v>A9</v>
      </c>
      <c r="E76" s="72" t="str">
        <f>pixel_shift_table.asm!F76</f>
        <v>A9</v>
      </c>
      <c r="F76" s="72" t="str">
        <f>pixel_shift_table.asm!G76</f>
        <v>A9</v>
      </c>
      <c r="G76" s="72" t="str">
        <f>pixel_shift_table.asm!H76</f>
        <v>A9</v>
      </c>
      <c r="H76" s="72" t="str">
        <f>pixel_shift_table.asm!I76</f>
        <v>A9</v>
      </c>
      <c r="I76" s="72" t="str">
        <f>pixel_shift_table.asm!J76</f>
        <v>A9</v>
      </c>
      <c r="J76" s="72" t="str">
        <f>pixel_shift_table.asm!K76</f>
        <v>A9</v>
      </c>
      <c r="K76" s="72" t="str">
        <f>pixel_shift_table.asm!L76</f>
        <v>A9</v>
      </c>
      <c r="L76" s="72" t="str">
        <f>pixel_shift_table.asm!M76</f>
        <v>A9</v>
      </c>
      <c r="M76" s="72" t="str">
        <f>pixel_shift_table.asm!N76</f>
        <v>A9</v>
      </c>
      <c r="N76" s="72" t="str">
        <f>pixel_shift_table.asm!O76</f>
        <v>A9</v>
      </c>
      <c r="O76" s="72" t="str">
        <f>pixel_shift_table.asm!P76</f>
        <v>A9</v>
      </c>
      <c r="P76" s="72" t="str">
        <f>pixel_shift_table.asm!Q76</f>
        <v>A9</v>
      </c>
      <c r="Q76" s="72" t="str">
        <f>pixel_shift_table.asm!R76</f>
        <v>A9</v>
      </c>
      <c r="S76">
        <f t="shared" si="62"/>
        <v>144</v>
      </c>
      <c r="T76" s="5" t="str">
        <f t="shared" si="63"/>
        <v>A921</v>
      </c>
      <c r="U76" s="5" t="str">
        <f t="shared" si="64"/>
        <v>A98B</v>
      </c>
      <c r="V76" s="5" t="str">
        <f t="shared" si="65"/>
        <v>A94D</v>
      </c>
      <c r="W76" s="5" t="str">
        <f t="shared" si="66"/>
        <v>A99B</v>
      </c>
      <c r="X76" s="5" t="str">
        <f t="shared" si="67"/>
        <v>A92F</v>
      </c>
      <c r="Y76" s="5" t="str">
        <f t="shared" si="68"/>
        <v>A9AB</v>
      </c>
      <c r="Z76" s="5" t="str">
        <f t="shared" si="69"/>
        <v>A95D</v>
      </c>
      <c r="AA76" s="5" t="str">
        <f t="shared" si="70"/>
        <v>A9BB</v>
      </c>
      <c r="AB76" s="5" t="str">
        <f t="shared" si="71"/>
        <v>A931</v>
      </c>
      <c r="AC76" s="5" t="str">
        <f t="shared" si="72"/>
        <v>A9CB</v>
      </c>
      <c r="AD76" s="5" t="str">
        <f t="shared" si="73"/>
        <v>A96D</v>
      </c>
      <c r="AE76" s="5" t="str">
        <f t="shared" si="74"/>
        <v>A9DB</v>
      </c>
      <c r="AF76" s="5" t="str">
        <f t="shared" si="75"/>
        <v>A93F</v>
      </c>
      <c r="AG76" s="5" t="str">
        <f t="shared" si="76"/>
        <v>A9EB</v>
      </c>
      <c r="AH76" s="5" t="str">
        <f t="shared" si="77"/>
        <v>A97D</v>
      </c>
      <c r="AI76" s="5" t="str">
        <f t="shared" si="78"/>
        <v>A9FB</v>
      </c>
      <c r="AK76" s="5" t="str" cm="1">
        <f t="array" ref="AK76">INDEX(_xlfn.TOROW(PixelPatternTable),HEX2DEC(T76)-$T$1+1)</f>
        <v>82</v>
      </c>
      <c r="AL76" s="5" t="str" cm="1">
        <f t="array" ref="AL76">INDEX(_xlfn.TOROW(PixelPatternTable),HEX2DEC(U76)-$T$1+1)</f>
        <v>82</v>
      </c>
      <c r="AM76" s="5" t="str" cm="1">
        <f t="array" ref="AM76">INDEX(_xlfn.TOROW(PixelPatternTable),HEX2DEC(V76)-$T$1+1)</f>
        <v>82</v>
      </c>
      <c r="AN76" s="5" t="str" cm="1">
        <f t="array" ref="AN76">INDEX(_xlfn.TOROW(PixelPatternTable),HEX2DEC(W76)-$T$1+1)</f>
        <v>82</v>
      </c>
      <c r="AO76" s="5" t="str" cm="1">
        <f t="array" ref="AO76">INDEX(_xlfn.TOROW(PixelPatternTable),HEX2DEC(X76)-$T$1+1)</f>
        <v>82</v>
      </c>
      <c r="AP76" s="5" t="str" cm="1">
        <f t="array" ref="AP76">INDEX(_xlfn.TOROW(PixelPatternTable),HEX2DEC(Y76)-$T$1+1)</f>
        <v>82</v>
      </c>
      <c r="AQ76" s="5" t="str" cm="1">
        <f t="array" ref="AQ76">INDEX(_xlfn.TOROW(PixelPatternTable),HEX2DEC(Z76)-$T$1+1)</f>
        <v>82</v>
      </c>
      <c r="AR76" s="5" t="str" cm="1">
        <f t="array" ref="AR76">INDEX(_xlfn.TOROW(PixelPatternTable),HEX2DEC(AA76)-$T$1+1)</f>
        <v>82</v>
      </c>
      <c r="AS76" s="5" t="str" cm="1">
        <f t="array" ref="AS76">INDEX(_xlfn.TOROW(PixelPatternTable),HEX2DEC(AB76)-$T$1+1)</f>
        <v>83</v>
      </c>
      <c r="AT76" s="5" t="str" cm="1">
        <f t="array" ref="AT76">INDEX(_xlfn.TOROW(PixelPatternTable),HEX2DEC(AC76)-$T$1+1)</f>
        <v>83</v>
      </c>
      <c r="AU76" s="5" t="str" cm="1">
        <f t="array" ref="AU76">INDEX(_xlfn.TOROW(PixelPatternTable),HEX2DEC(AD76)-$T$1+1)</f>
        <v>83</v>
      </c>
      <c r="AV76" s="5" t="str" cm="1">
        <f t="array" ref="AV76">INDEX(_xlfn.TOROW(PixelPatternTable),HEX2DEC(AE76)-$T$1+1)</f>
        <v>83</v>
      </c>
      <c r="AW76" s="5" t="str" cm="1">
        <f t="array" ref="AW76">INDEX(_xlfn.TOROW(PixelPatternTable),HEX2DEC(AF76)-$T$1+1)</f>
        <v>83</v>
      </c>
      <c r="AX76" s="5" t="str" cm="1">
        <f t="array" ref="AX76">INDEX(_xlfn.TOROW(PixelPatternTable),HEX2DEC(AG76)-$T$1+1)</f>
        <v>83</v>
      </c>
      <c r="AY76" s="5" t="str" cm="1">
        <f t="array" ref="AY76">INDEX(_xlfn.TOROW(PixelPatternTable),HEX2DEC(AH76)-$T$1+1)</f>
        <v>83</v>
      </c>
      <c r="AZ76" s="5" t="str" cm="1">
        <f t="array" ref="AZ76">INDEX(_xlfn.TOROW(PixelPatternTable),HEX2DEC(AI76)-$T$1+1)</f>
        <v>83</v>
      </c>
    </row>
    <row r="77" spans="1:52" x14ac:dyDescent="0.3">
      <c r="A77" s="5" t="str">
        <f t="shared" si="79"/>
        <v>A6A0</v>
      </c>
      <c r="B77" s="71" t="str">
        <f>pixel_shift_table.asm!C77</f>
        <v>A9</v>
      </c>
      <c r="C77" s="72" t="str">
        <f>pixel_shift_table.asm!D77</f>
        <v>AA</v>
      </c>
      <c r="D77" s="72" t="str">
        <f>pixel_shift_table.asm!E77</f>
        <v>A9</v>
      </c>
      <c r="E77" s="72" t="str">
        <f>pixel_shift_table.asm!F77</f>
        <v>AA</v>
      </c>
      <c r="F77" s="72" t="str">
        <f>pixel_shift_table.asm!G77</f>
        <v>A9</v>
      </c>
      <c r="G77" s="72" t="str">
        <f>pixel_shift_table.asm!H77</f>
        <v>AA</v>
      </c>
      <c r="H77" s="72" t="str">
        <f>pixel_shift_table.asm!I77</f>
        <v>A9</v>
      </c>
      <c r="I77" s="72" t="str">
        <f>pixel_shift_table.asm!J77</f>
        <v>AA</v>
      </c>
      <c r="J77" s="72" t="str">
        <f>pixel_shift_table.asm!K77</f>
        <v>A9</v>
      </c>
      <c r="K77" s="72" t="str">
        <f>pixel_shift_table.asm!L77</f>
        <v>AA</v>
      </c>
      <c r="L77" s="72" t="str">
        <f>pixel_shift_table.asm!M77</f>
        <v>A9</v>
      </c>
      <c r="M77" s="72" t="str">
        <f>pixel_shift_table.asm!N77</f>
        <v>AA</v>
      </c>
      <c r="N77" s="72" t="str">
        <f>pixel_shift_table.asm!O77</f>
        <v>A9</v>
      </c>
      <c r="O77" s="72" t="str">
        <f>pixel_shift_table.asm!P77</f>
        <v>AA</v>
      </c>
      <c r="P77" s="72" t="str">
        <f>pixel_shift_table.asm!Q77</f>
        <v>A9</v>
      </c>
      <c r="Q77" s="72" t="str">
        <f>pixel_shift_table.asm!R77</f>
        <v>AA</v>
      </c>
      <c r="S77">
        <f t="shared" si="62"/>
        <v>160</v>
      </c>
      <c r="T77" s="5" t="str">
        <f t="shared" si="63"/>
        <v>A941</v>
      </c>
      <c r="U77" s="5" t="str">
        <f t="shared" si="64"/>
        <v>AA0B</v>
      </c>
      <c r="V77" s="5" t="str">
        <f t="shared" si="65"/>
        <v>A98D</v>
      </c>
      <c r="W77" s="5" t="str">
        <f t="shared" si="66"/>
        <v>AA1B</v>
      </c>
      <c r="X77" s="5" t="str">
        <f t="shared" si="67"/>
        <v>A94F</v>
      </c>
      <c r="Y77" s="5" t="str">
        <f t="shared" si="68"/>
        <v>AA2B</v>
      </c>
      <c r="Z77" s="5" t="str">
        <f t="shared" si="69"/>
        <v>A99D</v>
      </c>
      <c r="AA77" s="5" t="str">
        <f t="shared" si="70"/>
        <v>AA3B</v>
      </c>
      <c r="AB77" s="5" t="str">
        <f t="shared" si="71"/>
        <v>A951</v>
      </c>
      <c r="AC77" s="5" t="str">
        <f t="shared" si="72"/>
        <v>AA4B</v>
      </c>
      <c r="AD77" s="5" t="str">
        <f t="shared" si="73"/>
        <v>A9AD</v>
      </c>
      <c r="AE77" s="5" t="str">
        <f t="shared" si="74"/>
        <v>AA5B</v>
      </c>
      <c r="AF77" s="5" t="str">
        <f t="shared" si="75"/>
        <v>A95F</v>
      </c>
      <c r="AG77" s="5" t="str">
        <f t="shared" si="76"/>
        <v>AA6B</v>
      </c>
      <c r="AH77" s="5" t="str">
        <f t="shared" si="77"/>
        <v>A9BD</v>
      </c>
      <c r="AI77" s="5" t="str">
        <f t="shared" si="78"/>
        <v>AA7B</v>
      </c>
      <c r="AK77" s="5" t="str" cm="1">
        <f t="array" ref="AK77">INDEX(_xlfn.TOROW(PixelPatternTable),HEX2DEC(T77)-$T$1+1)</f>
        <v>84</v>
      </c>
      <c r="AL77" s="5" t="str" cm="1">
        <f t="array" ref="AL77">INDEX(_xlfn.TOROW(PixelPatternTable),HEX2DEC(U77)-$T$1+1)</f>
        <v>84</v>
      </c>
      <c r="AM77" s="5" t="str" cm="1">
        <f t="array" ref="AM77">INDEX(_xlfn.TOROW(PixelPatternTable),HEX2DEC(V77)-$T$1+1)</f>
        <v>84</v>
      </c>
      <c r="AN77" s="5" t="str" cm="1">
        <f t="array" ref="AN77">INDEX(_xlfn.TOROW(PixelPatternTable),HEX2DEC(W77)-$T$1+1)</f>
        <v>84</v>
      </c>
      <c r="AO77" s="5" t="str" cm="1">
        <f t="array" ref="AO77">INDEX(_xlfn.TOROW(PixelPatternTable),HEX2DEC(X77)-$T$1+1)</f>
        <v>84</v>
      </c>
      <c r="AP77" s="5" t="str" cm="1">
        <f t="array" ref="AP77">INDEX(_xlfn.TOROW(PixelPatternTable),HEX2DEC(Y77)-$T$1+1)</f>
        <v>84</v>
      </c>
      <c r="AQ77" s="5" t="str" cm="1">
        <f t="array" ref="AQ77">INDEX(_xlfn.TOROW(PixelPatternTable),HEX2DEC(Z77)-$T$1+1)</f>
        <v>84</v>
      </c>
      <c r="AR77" s="5" t="str" cm="1">
        <f t="array" ref="AR77">INDEX(_xlfn.TOROW(PixelPatternTable),HEX2DEC(AA77)-$T$1+1)</f>
        <v>84</v>
      </c>
      <c r="AS77" s="5" t="str" cm="1">
        <f t="array" ref="AS77">INDEX(_xlfn.TOROW(PixelPatternTable),HEX2DEC(AB77)-$T$1+1)</f>
        <v>85</v>
      </c>
      <c r="AT77" s="5" t="str" cm="1">
        <f t="array" ref="AT77">INDEX(_xlfn.TOROW(PixelPatternTable),HEX2DEC(AC77)-$T$1+1)</f>
        <v>85</v>
      </c>
      <c r="AU77" s="5" t="str" cm="1">
        <f t="array" ref="AU77">INDEX(_xlfn.TOROW(PixelPatternTable),HEX2DEC(AD77)-$T$1+1)</f>
        <v>85</v>
      </c>
      <c r="AV77" s="5" t="str" cm="1">
        <f t="array" ref="AV77">INDEX(_xlfn.TOROW(PixelPatternTable),HEX2DEC(AE77)-$T$1+1)</f>
        <v>85</v>
      </c>
      <c r="AW77" s="5" t="str" cm="1">
        <f t="array" ref="AW77">INDEX(_xlfn.TOROW(PixelPatternTable),HEX2DEC(AF77)-$T$1+1)</f>
        <v>85</v>
      </c>
      <c r="AX77" s="5" t="str" cm="1">
        <f t="array" ref="AX77">INDEX(_xlfn.TOROW(PixelPatternTable),HEX2DEC(AG77)-$T$1+1)</f>
        <v>85</v>
      </c>
      <c r="AY77" s="5" t="str" cm="1">
        <f t="array" ref="AY77">INDEX(_xlfn.TOROW(PixelPatternTable),HEX2DEC(AH77)-$T$1+1)</f>
        <v>85</v>
      </c>
      <c r="AZ77" s="5" t="str" cm="1">
        <f t="array" ref="AZ77">INDEX(_xlfn.TOROW(PixelPatternTable),HEX2DEC(AI77)-$T$1+1)</f>
        <v>85</v>
      </c>
    </row>
    <row r="78" spans="1:52" x14ac:dyDescent="0.3">
      <c r="A78" s="5" t="str">
        <f t="shared" si="79"/>
        <v>A6B0</v>
      </c>
      <c r="B78" s="71" t="str">
        <f>pixel_shift_table.asm!C78</f>
        <v>A9</v>
      </c>
      <c r="C78" s="72" t="str">
        <f>pixel_shift_table.asm!D78</f>
        <v>AA</v>
      </c>
      <c r="D78" s="72" t="str">
        <f>pixel_shift_table.asm!E78</f>
        <v>A9</v>
      </c>
      <c r="E78" s="72" t="str">
        <f>pixel_shift_table.asm!F78</f>
        <v>AA</v>
      </c>
      <c r="F78" s="72" t="str">
        <f>pixel_shift_table.asm!G78</f>
        <v>A9</v>
      </c>
      <c r="G78" s="72" t="str">
        <f>pixel_shift_table.asm!H78</f>
        <v>AA</v>
      </c>
      <c r="H78" s="72" t="str">
        <f>pixel_shift_table.asm!I78</f>
        <v>A9</v>
      </c>
      <c r="I78" s="72" t="str">
        <f>pixel_shift_table.asm!J78</f>
        <v>AA</v>
      </c>
      <c r="J78" s="72" t="str">
        <f>pixel_shift_table.asm!K78</f>
        <v>A9</v>
      </c>
      <c r="K78" s="72" t="str">
        <f>pixel_shift_table.asm!L78</f>
        <v>AA</v>
      </c>
      <c r="L78" s="72" t="str">
        <f>pixel_shift_table.asm!M78</f>
        <v>A9</v>
      </c>
      <c r="M78" s="72" t="str">
        <f>pixel_shift_table.asm!N78</f>
        <v>AA</v>
      </c>
      <c r="N78" s="72" t="str">
        <f>pixel_shift_table.asm!O78</f>
        <v>A9</v>
      </c>
      <c r="O78" s="72" t="str">
        <f>pixel_shift_table.asm!P78</f>
        <v>AA</v>
      </c>
      <c r="P78" s="72" t="str">
        <f>pixel_shift_table.asm!Q78</f>
        <v>A9</v>
      </c>
      <c r="Q78" s="72" t="str">
        <f>pixel_shift_table.asm!R78</f>
        <v>AA</v>
      </c>
      <c r="S78">
        <f t="shared" si="62"/>
        <v>176</v>
      </c>
      <c r="T78" s="5" t="str">
        <f t="shared" si="63"/>
        <v>A961</v>
      </c>
      <c r="U78" s="5" t="str">
        <f t="shared" si="64"/>
        <v>AA8B</v>
      </c>
      <c r="V78" s="5" t="str">
        <f t="shared" si="65"/>
        <v>A9CD</v>
      </c>
      <c r="W78" s="5" t="str">
        <f t="shared" si="66"/>
        <v>AA9B</v>
      </c>
      <c r="X78" s="5" t="str">
        <f t="shared" si="67"/>
        <v>A96F</v>
      </c>
      <c r="Y78" s="5" t="str">
        <f t="shared" si="68"/>
        <v>AAAB</v>
      </c>
      <c r="Z78" s="5" t="str">
        <f t="shared" si="69"/>
        <v>A9DD</v>
      </c>
      <c r="AA78" s="5" t="str">
        <f t="shared" si="70"/>
        <v>AABB</v>
      </c>
      <c r="AB78" s="5" t="str">
        <f t="shared" si="71"/>
        <v>A971</v>
      </c>
      <c r="AC78" s="5" t="str">
        <f t="shared" si="72"/>
        <v>AACB</v>
      </c>
      <c r="AD78" s="5" t="str">
        <f t="shared" si="73"/>
        <v>A9ED</v>
      </c>
      <c r="AE78" s="5" t="str">
        <f t="shared" si="74"/>
        <v>AADB</v>
      </c>
      <c r="AF78" s="5" t="str">
        <f t="shared" si="75"/>
        <v>A97F</v>
      </c>
      <c r="AG78" s="5" t="str">
        <f t="shared" si="76"/>
        <v>AAEB</v>
      </c>
      <c r="AH78" s="5" t="str">
        <f t="shared" si="77"/>
        <v>A9FD</v>
      </c>
      <c r="AI78" s="5" t="str">
        <f t="shared" si="78"/>
        <v>AAFB</v>
      </c>
      <c r="AK78" s="5" t="str" cm="1">
        <f t="array" ref="AK78">INDEX(_xlfn.TOROW(PixelPatternTable),HEX2DEC(T78)-$T$1+1)</f>
        <v>86</v>
      </c>
      <c r="AL78" s="5" t="str" cm="1">
        <f t="array" ref="AL78">INDEX(_xlfn.TOROW(PixelPatternTable),HEX2DEC(U78)-$T$1+1)</f>
        <v>86</v>
      </c>
      <c r="AM78" s="5" t="str" cm="1">
        <f t="array" ref="AM78">INDEX(_xlfn.TOROW(PixelPatternTable),HEX2DEC(V78)-$T$1+1)</f>
        <v>86</v>
      </c>
      <c r="AN78" s="5" t="str" cm="1">
        <f t="array" ref="AN78">INDEX(_xlfn.TOROW(PixelPatternTable),HEX2DEC(W78)-$T$1+1)</f>
        <v>86</v>
      </c>
      <c r="AO78" s="5" t="str" cm="1">
        <f t="array" ref="AO78">INDEX(_xlfn.TOROW(PixelPatternTable),HEX2DEC(X78)-$T$1+1)</f>
        <v>86</v>
      </c>
      <c r="AP78" s="5" t="str" cm="1">
        <f t="array" ref="AP78">INDEX(_xlfn.TOROW(PixelPatternTable),HEX2DEC(Y78)-$T$1+1)</f>
        <v>86</v>
      </c>
      <c r="AQ78" s="5" t="str" cm="1">
        <f t="array" ref="AQ78">INDEX(_xlfn.TOROW(PixelPatternTable),HEX2DEC(Z78)-$T$1+1)</f>
        <v>86</v>
      </c>
      <c r="AR78" s="5" t="str" cm="1">
        <f t="array" ref="AR78">INDEX(_xlfn.TOROW(PixelPatternTable),HEX2DEC(AA78)-$T$1+1)</f>
        <v>86</v>
      </c>
      <c r="AS78" s="5" t="str" cm="1">
        <f t="array" ref="AS78">INDEX(_xlfn.TOROW(PixelPatternTable),HEX2DEC(AB78)-$T$1+1)</f>
        <v>87</v>
      </c>
      <c r="AT78" s="5" t="str" cm="1">
        <f t="array" ref="AT78">INDEX(_xlfn.TOROW(PixelPatternTable),HEX2DEC(AC78)-$T$1+1)</f>
        <v>87</v>
      </c>
      <c r="AU78" s="5" t="str" cm="1">
        <f t="array" ref="AU78">INDEX(_xlfn.TOROW(PixelPatternTable),HEX2DEC(AD78)-$T$1+1)</f>
        <v>87</v>
      </c>
      <c r="AV78" s="5" t="str" cm="1">
        <f t="array" ref="AV78">INDEX(_xlfn.TOROW(PixelPatternTable),HEX2DEC(AE78)-$T$1+1)</f>
        <v>87</v>
      </c>
      <c r="AW78" s="5" t="str" cm="1">
        <f t="array" ref="AW78">INDEX(_xlfn.TOROW(PixelPatternTable),HEX2DEC(AF78)-$T$1+1)</f>
        <v>87</v>
      </c>
      <c r="AX78" s="5" t="str" cm="1">
        <f t="array" ref="AX78">INDEX(_xlfn.TOROW(PixelPatternTable),HEX2DEC(AG78)-$T$1+1)</f>
        <v>87</v>
      </c>
      <c r="AY78" s="5" t="str" cm="1">
        <f t="array" ref="AY78">INDEX(_xlfn.TOROW(PixelPatternTable),HEX2DEC(AH78)-$T$1+1)</f>
        <v>87</v>
      </c>
      <c r="AZ78" s="5" t="str" cm="1">
        <f t="array" ref="AZ78">INDEX(_xlfn.TOROW(PixelPatternTable),HEX2DEC(AI78)-$T$1+1)</f>
        <v>87</v>
      </c>
    </row>
    <row r="79" spans="1:52" x14ac:dyDescent="0.3">
      <c r="A79" s="5" t="str">
        <f t="shared" si="79"/>
        <v>A6C0</v>
      </c>
      <c r="B79" s="71" t="str">
        <f>pixel_shift_table.asm!C79</f>
        <v>A9</v>
      </c>
      <c r="C79" s="72" t="str">
        <f>pixel_shift_table.asm!D79</f>
        <v>AB</v>
      </c>
      <c r="D79" s="72" t="str">
        <f>pixel_shift_table.asm!E79</f>
        <v>AA</v>
      </c>
      <c r="E79" s="72" t="str">
        <f>pixel_shift_table.asm!F79</f>
        <v>AB</v>
      </c>
      <c r="F79" s="72" t="str">
        <f>pixel_shift_table.asm!G79</f>
        <v>A9</v>
      </c>
      <c r="G79" s="72" t="str">
        <f>pixel_shift_table.asm!H79</f>
        <v>AB</v>
      </c>
      <c r="H79" s="72" t="str">
        <f>pixel_shift_table.asm!I79</f>
        <v>AA</v>
      </c>
      <c r="I79" s="72" t="str">
        <f>pixel_shift_table.asm!J79</f>
        <v>AB</v>
      </c>
      <c r="J79" s="72" t="str">
        <f>pixel_shift_table.asm!K79</f>
        <v>A9</v>
      </c>
      <c r="K79" s="72" t="str">
        <f>pixel_shift_table.asm!L79</f>
        <v>AB</v>
      </c>
      <c r="L79" s="72" t="str">
        <f>pixel_shift_table.asm!M79</f>
        <v>AA</v>
      </c>
      <c r="M79" s="72" t="str">
        <f>pixel_shift_table.asm!N79</f>
        <v>AB</v>
      </c>
      <c r="N79" s="72" t="str">
        <f>pixel_shift_table.asm!O79</f>
        <v>A9</v>
      </c>
      <c r="O79" s="72" t="str">
        <f>pixel_shift_table.asm!P79</f>
        <v>AB</v>
      </c>
      <c r="P79" s="72" t="str">
        <f>pixel_shift_table.asm!Q79</f>
        <v>AA</v>
      </c>
      <c r="Q79" s="72" t="str">
        <f>pixel_shift_table.asm!R79</f>
        <v>AB</v>
      </c>
      <c r="S79">
        <f t="shared" si="62"/>
        <v>192</v>
      </c>
      <c r="T79" s="5" t="str">
        <f t="shared" si="63"/>
        <v>A981</v>
      </c>
      <c r="U79" s="5" t="str">
        <f t="shared" si="64"/>
        <v>AB0B</v>
      </c>
      <c r="V79" s="5" t="str">
        <f t="shared" si="65"/>
        <v>AA0D</v>
      </c>
      <c r="W79" s="5" t="str">
        <f t="shared" si="66"/>
        <v>AB1B</v>
      </c>
      <c r="X79" s="5" t="str">
        <f t="shared" si="67"/>
        <v>A98F</v>
      </c>
      <c r="Y79" s="5" t="str">
        <f t="shared" si="68"/>
        <v>AB2B</v>
      </c>
      <c r="Z79" s="5" t="str">
        <f t="shared" si="69"/>
        <v>AA1D</v>
      </c>
      <c r="AA79" s="5" t="str">
        <f t="shared" si="70"/>
        <v>AB3B</v>
      </c>
      <c r="AB79" s="5" t="str">
        <f t="shared" si="71"/>
        <v>A991</v>
      </c>
      <c r="AC79" s="5" t="str">
        <f t="shared" si="72"/>
        <v>AB4B</v>
      </c>
      <c r="AD79" s="5" t="str">
        <f t="shared" si="73"/>
        <v>AA2D</v>
      </c>
      <c r="AE79" s="5" t="str">
        <f t="shared" si="74"/>
        <v>AB5B</v>
      </c>
      <c r="AF79" s="5" t="str">
        <f t="shared" si="75"/>
        <v>A99F</v>
      </c>
      <c r="AG79" s="5" t="str">
        <f t="shared" si="76"/>
        <v>AB6B</v>
      </c>
      <c r="AH79" s="5" t="str">
        <f t="shared" si="77"/>
        <v>AA3D</v>
      </c>
      <c r="AI79" s="5" t="str">
        <f t="shared" si="78"/>
        <v>AB7B</v>
      </c>
      <c r="AK79" s="5" t="str" cm="1">
        <f t="array" ref="AK79">INDEX(_xlfn.TOROW(PixelPatternTable),HEX2DEC(T79)-$T$1+1)</f>
        <v>88</v>
      </c>
      <c r="AL79" s="5" t="str" cm="1">
        <f t="array" ref="AL79">INDEX(_xlfn.TOROW(PixelPatternTable),HEX2DEC(U79)-$T$1+1)</f>
        <v>88</v>
      </c>
      <c r="AM79" s="5" t="str" cm="1">
        <f t="array" ref="AM79">INDEX(_xlfn.TOROW(PixelPatternTable),HEX2DEC(V79)-$T$1+1)</f>
        <v>88</v>
      </c>
      <c r="AN79" s="5" t="str" cm="1">
        <f t="array" ref="AN79">INDEX(_xlfn.TOROW(PixelPatternTable),HEX2DEC(W79)-$T$1+1)</f>
        <v>88</v>
      </c>
      <c r="AO79" s="5" t="str" cm="1">
        <f t="array" ref="AO79">INDEX(_xlfn.TOROW(PixelPatternTable),HEX2DEC(X79)-$T$1+1)</f>
        <v>88</v>
      </c>
      <c r="AP79" s="5" t="str" cm="1">
        <f t="array" ref="AP79">INDEX(_xlfn.TOROW(PixelPatternTable),HEX2DEC(Y79)-$T$1+1)</f>
        <v>88</v>
      </c>
      <c r="AQ79" s="5" t="str" cm="1">
        <f t="array" ref="AQ79">INDEX(_xlfn.TOROW(PixelPatternTable),HEX2DEC(Z79)-$T$1+1)</f>
        <v>88</v>
      </c>
      <c r="AR79" s="5" t="str" cm="1">
        <f t="array" ref="AR79">INDEX(_xlfn.TOROW(PixelPatternTable),HEX2DEC(AA79)-$T$1+1)</f>
        <v>88</v>
      </c>
      <c r="AS79" s="5" t="str" cm="1">
        <f t="array" ref="AS79">INDEX(_xlfn.TOROW(PixelPatternTable),HEX2DEC(AB79)-$T$1+1)</f>
        <v>89</v>
      </c>
      <c r="AT79" s="5" t="str" cm="1">
        <f t="array" ref="AT79">INDEX(_xlfn.TOROW(PixelPatternTable),HEX2DEC(AC79)-$T$1+1)</f>
        <v>89</v>
      </c>
      <c r="AU79" s="5" t="str" cm="1">
        <f t="array" ref="AU79">INDEX(_xlfn.TOROW(PixelPatternTable),HEX2DEC(AD79)-$T$1+1)</f>
        <v>89</v>
      </c>
      <c r="AV79" s="5" t="str" cm="1">
        <f t="array" ref="AV79">INDEX(_xlfn.TOROW(PixelPatternTable),HEX2DEC(AE79)-$T$1+1)</f>
        <v>89</v>
      </c>
      <c r="AW79" s="5" t="str" cm="1">
        <f t="array" ref="AW79">INDEX(_xlfn.TOROW(PixelPatternTable),HEX2DEC(AF79)-$T$1+1)</f>
        <v>89</v>
      </c>
      <c r="AX79" s="5" t="str" cm="1">
        <f t="array" ref="AX79">INDEX(_xlfn.TOROW(PixelPatternTable),HEX2DEC(AG79)-$T$1+1)</f>
        <v>89</v>
      </c>
      <c r="AY79" s="5" t="str" cm="1">
        <f t="array" ref="AY79">INDEX(_xlfn.TOROW(PixelPatternTable),HEX2DEC(AH79)-$T$1+1)</f>
        <v>89</v>
      </c>
      <c r="AZ79" s="5" t="str" cm="1">
        <f t="array" ref="AZ79">INDEX(_xlfn.TOROW(PixelPatternTable),HEX2DEC(AI79)-$T$1+1)</f>
        <v>89</v>
      </c>
    </row>
    <row r="80" spans="1:52" x14ac:dyDescent="0.3">
      <c r="A80" s="5" t="str">
        <f t="shared" si="79"/>
        <v>A6D0</v>
      </c>
      <c r="B80" s="71" t="str">
        <f>pixel_shift_table.asm!C80</f>
        <v>A9</v>
      </c>
      <c r="C80" s="72" t="str">
        <f>pixel_shift_table.asm!D80</f>
        <v>AB</v>
      </c>
      <c r="D80" s="72" t="str">
        <f>pixel_shift_table.asm!E80</f>
        <v>AA</v>
      </c>
      <c r="E80" s="72" t="str">
        <f>pixel_shift_table.asm!F80</f>
        <v>AB</v>
      </c>
      <c r="F80" s="72" t="str">
        <f>pixel_shift_table.asm!G80</f>
        <v>A9</v>
      </c>
      <c r="G80" s="72" t="str">
        <f>pixel_shift_table.asm!H80</f>
        <v>AB</v>
      </c>
      <c r="H80" s="72" t="str">
        <f>pixel_shift_table.asm!I80</f>
        <v>AA</v>
      </c>
      <c r="I80" s="72" t="str">
        <f>pixel_shift_table.asm!J80</f>
        <v>AB</v>
      </c>
      <c r="J80" s="72" t="str">
        <f>pixel_shift_table.asm!K80</f>
        <v>A9</v>
      </c>
      <c r="K80" s="72" t="str">
        <f>pixel_shift_table.asm!L80</f>
        <v>AB</v>
      </c>
      <c r="L80" s="72" t="str">
        <f>pixel_shift_table.asm!M80</f>
        <v>AA</v>
      </c>
      <c r="M80" s="72" t="str">
        <f>pixel_shift_table.asm!N80</f>
        <v>AB</v>
      </c>
      <c r="N80" s="72" t="str">
        <f>pixel_shift_table.asm!O80</f>
        <v>A9</v>
      </c>
      <c r="O80" s="72" t="str">
        <f>pixel_shift_table.asm!P80</f>
        <v>AB</v>
      </c>
      <c r="P80" s="72" t="str">
        <f>pixel_shift_table.asm!Q80</f>
        <v>AA</v>
      </c>
      <c r="Q80" s="72" t="str">
        <f>pixel_shift_table.asm!R80</f>
        <v>AB</v>
      </c>
      <c r="S80">
        <f t="shared" si="62"/>
        <v>208</v>
      </c>
      <c r="T80" s="5" t="str">
        <f t="shared" si="63"/>
        <v>A9A1</v>
      </c>
      <c r="U80" s="5" t="str">
        <f t="shared" si="64"/>
        <v>AB8B</v>
      </c>
      <c r="V80" s="5" t="str">
        <f t="shared" si="65"/>
        <v>AA4D</v>
      </c>
      <c r="W80" s="5" t="str">
        <f t="shared" si="66"/>
        <v>AB9B</v>
      </c>
      <c r="X80" s="5" t="str">
        <f t="shared" si="67"/>
        <v>A9AF</v>
      </c>
      <c r="Y80" s="5" t="str">
        <f t="shared" si="68"/>
        <v>ABAB</v>
      </c>
      <c r="Z80" s="5" t="str">
        <f t="shared" si="69"/>
        <v>AA5D</v>
      </c>
      <c r="AA80" s="5" t="str">
        <f t="shared" si="70"/>
        <v>ABBB</v>
      </c>
      <c r="AB80" s="5" t="str">
        <f t="shared" si="71"/>
        <v>A9B1</v>
      </c>
      <c r="AC80" s="5" t="str">
        <f t="shared" si="72"/>
        <v>ABCB</v>
      </c>
      <c r="AD80" s="5" t="str">
        <f t="shared" si="73"/>
        <v>AA6D</v>
      </c>
      <c r="AE80" s="5" t="str">
        <f t="shared" si="74"/>
        <v>ABDB</v>
      </c>
      <c r="AF80" s="5" t="str">
        <f t="shared" si="75"/>
        <v>A9BF</v>
      </c>
      <c r="AG80" s="5" t="str">
        <f t="shared" si="76"/>
        <v>ABEB</v>
      </c>
      <c r="AH80" s="5" t="str">
        <f t="shared" si="77"/>
        <v>AA7D</v>
      </c>
      <c r="AI80" s="5" t="str">
        <f t="shared" si="78"/>
        <v>ABFB</v>
      </c>
      <c r="AK80" s="5" t="str" cm="1">
        <f t="array" ref="AK80">INDEX(_xlfn.TOROW(PixelPatternTable),HEX2DEC(T80)-$T$1+1)</f>
        <v>8A</v>
      </c>
      <c r="AL80" s="5" t="str" cm="1">
        <f t="array" ref="AL80">INDEX(_xlfn.TOROW(PixelPatternTable),HEX2DEC(U80)-$T$1+1)</f>
        <v>8A</v>
      </c>
      <c r="AM80" s="5" t="str" cm="1">
        <f t="array" ref="AM80">INDEX(_xlfn.TOROW(PixelPatternTable),HEX2DEC(V80)-$T$1+1)</f>
        <v>8A</v>
      </c>
      <c r="AN80" s="5" t="str" cm="1">
        <f t="array" ref="AN80">INDEX(_xlfn.TOROW(PixelPatternTable),HEX2DEC(W80)-$T$1+1)</f>
        <v>8A</v>
      </c>
      <c r="AO80" s="5" t="str" cm="1">
        <f t="array" ref="AO80">INDEX(_xlfn.TOROW(PixelPatternTable),HEX2DEC(X80)-$T$1+1)</f>
        <v>8A</v>
      </c>
      <c r="AP80" s="5" t="str" cm="1">
        <f t="array" ref="AP80">INDEX(_xlfn.TOROW(PixelPatternTable),HEX2DEC(Y80)-$T$1+1)</f>
        <v>8A</v>
      </c>
      <c r="AQ80" s="5" t="str" cm="1">
        <f t="array" ref="AQ80">INDEX(_xlfn.TOROW(PixelPatternTable),HEX2DEC(Z80)-$T$1+1)</f>
        <v>8A</v>
      </c>
      <c r="AR80" s="5" t="str" cm="1">
        <f t="array" ref="AR80">INDEX(_xlfn.TOROW(PixelPatternTable),HEX2DEC(AA80)-$T$1+1)</f>
        <v>8A</v>
      </c>
      <c r="AS80" s="5" t="str" cm="1">
        <f t="array" ref="AS80">INDEX(_xlfn.TOROW(PixelPatternTable),HEX2DEC(AB80)-$T$1+1)</f>
        <v>8B</v>
      </c>
      <c r="AT80" s="5" t="str" cm="1">
        <f t="array" ref="AT80">INDEX(_xlfn.TOROW(PixelPatternTable),HEX2DEC(AC80)-$T$1+1)</f>
        <v>8B</v>
      </c>
      <c r="AU80" s="5" t="str" cm="1">
        <f t="array" ref="AU80">INDEX(_xlfn.TOROW(PixelPatternTable),HEX2DEC(AD80)-$T$1+1)</f>
        <v>8B</v>
      </c>
      <c r="AV80" s="5" t="str" cm="1">
        <f t="array" ref="AV80">INDEX(_xlfn.TOROW(PixelPatternTable),HEX2DEC(AE80)-$T$1+1)</f>
        <v>8B</v>
      </c>
      <c r="AW80" s="5" t="str" cm="1">
        <f t="array" ref="AW80">INDEX(_xlfn.TOROW(PixelPatternTable),HEX2DEC(AF80)-$T$1+1)</f>
        <v>8B</v>
      </c>
      <c r="AX80" s="5" t="str" cm="1">
        <f t="array" ref="AX80">INDEX(_xlfn.TOROW(PixelPatternTable),HEX2DEC(AG80)-$T$1+1)</f>
        <v>8B</v>
      </c>
      <c r="AY80" s="5" t="str" cm="1">
        <f t="array" ref="AY80">INDEX(_xlfn.TOROW(PixelPatternTable),HEX2DEC(AH80)-$T$1+1)</f>
        <v>8B</v>
      </c>
      <c r="AZ80" s="5" t="str" cm="1">
        <f t="array" ref="AZ80">INDEX(_xlfn.TOROW(PixelPatternTable),HEX2DEC(AI80)-$T$1+1)</f>
        <v>8B</v>
      </c>
    </row>
    <row r="81" spans="1:52" x14ac:dyDescent="0.3">
      <c r="A81" s="5" t="str">
        <f t="shared" si="79"/>
        <v>A6E0</v>
      </c>
      <c r="B81" s="71" t="str">
        <f>pixel_shift_table.asm!C81</f>
        <v>A9</v>
      </c>
      <c r="C81" s="72" t="str">
        <f>pixel_shift_table.asm!D81</f>
        <v>AC</v>
      </c>
      <c r="D81" s="72" t="str">
        <f>pixel_shift_table.asm!E81</f>
        <v>AA</v>
      </c>
      <c r="E81" s="72" t="str">
        <f>pixel_shift_table.asm!F81</f>
        <v>AC</v>
      </c>
      <c r="F81" s="72" t="str">
        <f>pixel_shift_table.asm!G81</f>
        <v>A9</v>
      </c>
      <c r="G81" s="72" t="str">
        <f>pixel_shift_table.asm!H81</f>
        <v>AC</v>
      </c>
      <c r="H81" s="72" t="str">
        <f>pixel_shift_table.asm!I81</f>
        <v>AA</v>
      </c>
      <c r="I81" s="72" t="str">
        <f>pixel_shift_table.asm!J81</f>
        <v>AC</v>
      </c>
      <c r="J81" s="72" t="str">
        <f>pixel_shift_table.asm!K81</f>
        <v>A9</v>
      </c>
      <c r="K81" s="72" t="str">
        <f>pixel_shift_table.asm!L81</f>
        <v>AC</v>
      </c>
      <c r="L81" s="72" t="str">
        <f>pixel_shift_table.asm!M81</f>
        <v>AA</v>
      </c>
      <c r="M81" s="72" t="str">
        <f>pixel_shift_table.asm!N81</f>
        <v>AC</v>
      </c>
      <c r="N81" s="72" t="str">
        <f>pixel_shift_table.asm!O81</f>
        <v>A9</v>
      </c>
      <c r="O81" s="72" t="str">
        <f>pixel_shift_table.asm!P81</f>
        <v>AC</v>
      </c>
      <c r="P81" s="72" t="str">
        <f>pixel_shift_table.asm!Q81</f>
        <v>AA</v>
      </c>
      <c r="Q81" s="72" t="str">
        <f>pixel_shift_table.asm!R81</f>
        <v>AC</v>
      </c>
      <c r="S81">
        <f t="shared" si="62"/>
        <v>224</v>
      </c>
      <c r="T81" s="5" t="str">
        <f t="shared" si="63"/>
        <v>A9C1</v>
      </c>
      <c r="U81" s="5" t="str">
        <f t="shared" si="64"/>
        <v>AC0B</v>
      </c>
      <c r="V81" s="5" t="str">
        <f t="shared" si="65"/>
        <v>AA8D</v>
      </c>
      <c r="W81" s="5" t="str">
        <f t="shared" si="66"/>
        <v>AC1B</v>
      </c>
      <c r="X81" s="5" t="str">
        <f t="shared" si="67"/>
        <v>A9CF</v>
      </c>
      <c r="Y81" s="5" t="str">
        <f t="shared" si="68"/>
        <v>AC2B</v>
      </c>
      <c r="Z81" s="5" t="str">
        <f t="shared" si="69"/>
        <v>AA9D</v>
      </c>
      <c r="AA81" s="5" t="str">
        <f t="shared" si="70"/>
        <v>AC3B</v>
      </c>
      <c r="AB81" s="5" t="str">
        <f t="shared" si="71"/>
        <v>A9D1</v>
      </c>
      <c r="AC81" s="5" t="str">
        <f t="shared" si="72"/>
        <v>AC4B</v>
      </c>
      <c r="AD81" s="5" t="str">
        <f t="shared" si="73"/>
        <v>AAAD</v>
      </c>
      <c r="AE81" s="5" t="str">
        <f t="shared" si="74"/>
        <v>AC5B</v>
      </c>
      <c r="AF81" s="5" t="str">
        <f t="shared" si="75"/>
        <v>A9DF</v>
      </c>
      <c r="AG81" s="5" t="str">
        <f t="shared" si="76"/>
        <v>AC6B</v>
      </c>
      <c r="AH81" s="5" t="str">
        <f t="shared" si="77"/>
        <v>AABD</v>
      </c>
      <c r="AI81" s="5" t="str">
        <f t="shared" si="78"/>
        <v>AC7B</v>
      </c>
      <c r="AK81" s="5" t="str" cm="1">
        <f t="array" ref="AK81">INDEX(_xlfn.TOROW(PixelPatternTable),HEX2DEC(T81)-$T$1+1)</f>
        <v>8C</v>
      </c>
      <c r="AL81" s="5" t="str" cm="1">
        <f t="array" ref="AL81">INDEX(_xlfn.TOROW(PixelPatternTable),HEX2DEC(U81)-$T$1+1)</f>
        <v>8C</v>
      </c>
      <c r="AM81" s="5" t="str" cm="1">
        <f t="array" ref="AM81">INDEX(_xlfn.TOROW(PixelPatternTable),HEX2DEC(V81)-$T$1+1)</f>
        <v>8C</v>
      </c>
      <c r="AN81" s="5" t="str" cm="1">
        <f t="array" ref="AN81">INDEX(_xlfn.TOROW(PixelPatternTable),HEX2DEC(W81)-$T$1+1)</f>
        <v>8C</v>
      </c>
      <c r="AO81" s="5" t="str" cm="1">
        <f t="array" ref="AO81">INDEX(_xlfn.TOROW(PixelPatternTable),HEX2DEC(X81)-$T$1+1)</f>
        <v>8C</v>
      </c>
      <c r="AP81" s="5" t="str" cm="1">
        <f t="array" ref="AP81">INDEX(_xlfn.TOROW(PixelPatternTable),HEX2DEC(Y81)-$T$1+1)</f>
        <v>8C</v>
      </c>
      <c r="AQ81" s="5" t="str" cm="1">
        <f t="array" ref="AQ81">INDEX(_xlfn.TOROW(PixelPatternTable),HEX2DEC(Z81)-$T$1+1)</f>
        <v>8C</v>
      </c>
      <c r="AR81" s="5" t="str" cm="1">
        <f t="array" ref="AR81">INDEX(_xlfn.TOROW(PixelPatternTable),HEX2DEC(AA81)-$T$1+1)</f>
        <v>8C</v>
      </c>
      <c r="AS81" s="5" t="str" cm="1">
        <f t="array" ref="AS81">INDEX(_xlfn.TOROW(PixelPatternTable),HEX2DEC(AB81)-$T$1+1)</f>
        <v>8D</v>
      </c>
      <c r="AT81" s="5" t="str" cm="1">
        <f t="array" ref="AT81">INDEX(_xlfn.TOROW(PixelPatternTable),HEX2DEC(AC81)-$T$1+1)</f>
        <v>8D</v>
      </c>
      <c r="AU81" s="5" t="str" cm="1">
        <f t="array" ref="AU81">INDEX(_xlfn.TOROW(PixelPatternTable),HEX2DEC(AD81)-$T$1+1)</f>
        <v>8D</v>
      </c>
      <c r="AV81" s="5" t="str" cm="1">
        <f t="array" ref="AV81">INDEX(_xlfn.TOROW(PixelPatternTable),HEX2DEC(AE81)-$T$1+1)</f>
        <v>8D</v>
      </c>
      <c r="AW81" s="5" t="str" cm="1">
        <f t="array" ref="AW81">INDEX(_xlfn.TOROW(PixelPatternTable),HEX2DEC(AF81)-$T$1+1)</f>
        <v>8D</v>
      </c>
      <c r="AX81" s="5" t="str" cm="1">
        <f t="array" ref="AX81">INDEX(_xlfn.TOROW(PixelPatternTable),HEX2DEC(AG81)-$T$1+1)</f>
        <v>8D</v>
      </c>
      <c r="AY81" s="5" t="str" cm="1">
        <f t="array" ref="AY81">INDEX(_xlfn.TOROW(PixelPatternTable),HEX2DEC(AH81)-$T$1+1)</f>
        <v>8D</v>
      </c>
      <c r="AZ81" s="5" t="str" cm="1">
        <f t="array" ref="AZ81">INDEX(_xlfn.TOROW(PixelPatternTable),HEX2DEC(AI81)-$T$1+1)</f>
        <v>8D</v>
      </c>
    </row>
    <row r="82" spans="1:52" x14ac:dyDescent="0.3">
      <c r="A82" s="58" t="str">
        <f t="shared" si="79"/>
        <v>A6F0</v>
      </c>
      <c r="B82" s="73" t="str">
        <f>pixel_shift_table.asm!C82</f>
        <v>A9</v>
      </c>
      <c r="C82" s="74" t="str">
        <f>pixel_shift_table.asm!D82</f>
        <v>AC</v>
      </c>
      <c r="D82" s="74" t="str">
        <f>pixel_shift_table.asm!E82</f>
        <v>AA</v>
      </c>
      <c r="E82" s="74" t="str">
        <f>pixel_shift_table.asm!F82</f>
        <v>AC</v>
      </c>
      <c r="F82" s="74" t="str">
        <f>pixel_shift_table.asm!G82</f>
        <v>A9</v>
      </c>
      <c r="G82" s="74" t="str">
        <f>pixel_shift_table.asm!H82</f>
        <v>AC</v>
      </c>
      <c r="H82" s="74" t="str">
        <f>pixel_shift_table.asm!I82</f>
        <v>AA</v>
      </c>
      <c r="I82" s="74" t="str">
        <f>pixel_shift_table.asm!J82</f>
        <v>AC</v>
      </c>
      <c r="J82" s="74" t="str">
        <f>pixel_shift_table.asm!K82</f>
        <v>A9</v>
      </c>
      <c r="K82" s="74" t="str">
        <f>pixel_shift_table.asm!L82</f>
        <v>AC</v>
      </c>
      <c r="L82" s="74" t="str">
        <f>pixel_shift_table.asm!M82</f>
        <v>AA</v>
      </c>
      <c r="M82" s="74" t="str">
        <f>pixel_shift_table.asm!N82</f>
        <v>AC</v>
      </c>
      <c r="N82" s="74" t="str">
        <f>pixel_shift_table.asm!O82</f>
        <v>A9</v>
      </c>
      <c r="O82" s="74" t="str">
        <f>pixel_shift_table.asm!P82</f>
        <v>AC</v>
      </c>
      <c r="P82" s="74" t="str">
        <f>pixel_shift_table.asm!Q82</f>
        <v>AA</v>
      </c>
      <c r="Q82" s="74" t="str">
        <f>pixel_shift_table.asm!R82</f>
        <v>AC</v>
      </c>
      <c r="S82">
        <f t="shared" si="62"/>
        <v>240</v>
      </c>
      <c r="T82" s="5" t="str">
        <f t="shared" si="63"/>
        <v>A9E1</v>
      </c>
      <c r="U82" s="5" t="str">
        <f t="shared" si="64"/>
        <v>AC8B</v>
      </c>
      <c r="V82" s="5" t="str">
        <f t="shared" si="65"/>
        <v>AACD</v>
      </c>
      <c r="W82" s="5" t="str">
        <f t="shared" si="66"/>
        <v>AC9B</v>
      </c>
      <c r="X82" s="5" t="str">
        <f t="shared" si="67"/>
        <v>A9EF</v>
      </c>
      <c r="Y82" s="5" t="str">
        <f t="shared" si="68"/>
        <v>ACAB</v>
      </c>
      <c r="Z82" s="5" t="str">
        <f t="shared" si="69"/>
        <v>AADD</v>
      </c>
      <c r="AA82" s="5" t="str">
        <f t="shared" si="70"/>
        <v>ACBB</v>
      </c>
      <c r="AB82" s="5" t="str">
        <f t="shared" si="71"/>
        <v>A9F1</v>
      </c>
      <c r="AC82" s="5" t="str">
        <f t="shared" si="72"/>
        <v>ACCB</v>
      </c>
      <c r="AD82" s="5" t="str">
        <f t="shared" si="73"/>
        <v>AAED</v>
      </c>
      <c r="AE82" s="5" t="str">
        <f t="shared" si="74"/>
        <v>ACDB</v>
      </c>
      <c r="AF82" s="5" t="str">
        <f t="shared" si="75"/>
        <v>A9FF</v>
      </c>
      <c r="AG82" s="5" t="str">
        <f t="shared" si="76"/>
        <v>ACEB</v>
      </c>
      <c r="AH82" s="5" t="str">
        <f t="shared" si="77"/>
        <v>AAFD</v>
      </c>
      <c r="AI82" s="5" t="str">
        <f t="shared" si="78"/>
        <v>ACFB</v>
      </c>
      <c r="AK82" s="5" t="str" cm="1">
        <f t="array" ref="AK82">INDEX(_xlfn.TOROW(PixelPatternTable),HEX2DEC(T82)-$T$1+1)</f>
        <v>8E</v>
      </c>
      <c r="AL82" s="5" t="str" cm="1">
        <f t="array" ref="AL82">INDEX(_xlfn.TOROW(PixelPatternTable),HEX2DEC(U82)-$T$1+1)</f>
        <v>8E</v>
      </c>
      <c r="AM82" s="5" t="str" cm="1">
        <f t="array" ref="AM82">INDEX(_xlfn.TOROW(PixelPatternTable),HEX2DEC(V82)-$T$1+1)</f>
        <v>8E</v>
      </c>
      <c r="AN82" s="5" t="str" cm="1">
        <f t="array" ref="AN82">INDEX(_xlfn.TOROW(PixelPatternTable),HEX2DEC(W82)-$T$1+1)</f>
        <v>8E</v>
      </c>
      <c r="AO82" s="5" t="str" cm="1">
        <f t="array" ref="AO82">INDEX(_xlfn.TOROW(PixelPatternTable),HEX2DEC(X82)-$T$1+1)</f>
        <v>8E</v>
      </c>
      <c r="AP82" s="5" t="str" cm="1">
        <f t="array" ref="AP82">INDEX(_xlfn.TOROW(PixelPatternTable),HEX2DEC(Y82)-$T$1+1)</f>
        <v>8E</v>
      </c>
      <c r="AQ82" s="5" t="str" cm="1">
        <f t="array" ref="AQ82">INDEX(_xlfn.TOROW(PixelPatternTable),HEX2DEC(Z82)-$T$1+1)</f>
        <v>8E</v>
      </c>
      <c r="AR82" s="5" t="str" cm="1">
        <f t="array" ref="AR82">INDEX(_xlfn.TOROW(PixelPatternTable),HEX2DEC(AA82)-$T$1+1)</f>
        <v>8E</v>
      </c>
      <c r="AS82" s="5" t="str" cm="1">
        <f t="array" ref="AS82">INDEX(_xlfn.TOROW(PixelPatternTable),HEX2DEC(AB82)-$T$1+1)</f>
        <v>8F</v>
      </c>
      <c r="AT82" s="5" t="str" cm="1">
        <f t="array" ref="AT82">INDEX(_xlfn.TOROW(PixelPatternTable),HEX2DEC(AC82)-$T$1+1)</f>
        <v>8F</v>
      </c>
      <c r="AU82" s="5" t="str" cm="1">
        <f t="array" ref="AU82">INDEX(_xlfn.TOROW(PixelPatternTable),HEX2DEC(AD82)-$T$1+1)</f>
        <v>8F</v>
      </c>
      <c r="AV82" s="5" t="str" cm="1">
        <f t="array" ref="AV82">INDEX(_xlfn.TOROW(PixelPatternTable),HEX2DEC(AE82)-$T$1+1)</f>
        <v>8F</v>
      </c>
      <c r="AW82" s="5" t="str" cm="1">
        <f t="array" ref="AW82">INDEX(_xlfn.TOROW(PixelPatternTable),HEX2DEC(AF82)-$T$1+1)</f>
        <v>8F</v>
      </c>
      <c r="AX82" s="5" t="str" cm="1">
        <f t="array" ref="AX82">INDEX(_xlfn.TOROW(PixelPatternTable),HEX2DEC(AG82)-$T$1+1)</f>
        <v>8F</v>
      </c>
      <c r="AY82" s="5" t="str" cm="1">
        <f t="array" ref="AY82">INDEX(_xlfn.TOROW(PixelPatternTable),HEX2DEC(AH82)-$T$1+1)</f>
        <v>8F</v>
      </c>
      <c r="AZ82" s="5" t="str" cm="1">
        <f t="array" ref="AZ82">INDEX(_xlfn.TOROW(PixelPatternTable),HEX2DEC(AI82)-$T$1+1)</f>
        <v>8F</v>
      </c>
    </row>
    <row r="83" spans="1:52" x14ac:dyDescent="0.3">
      <c r="A83" s="29" t="str">
        <f t="shared" si="79"/>
        <v>A700</v>
      </c>
      <c r="B83" s="69" t="str">
        <f>pixel_shift_table.asm!C83</f>
        <v>00</v>
      </c>
      <c r="C83" s="70" t="str">
        <f>pixel_shift_table.asm!D83</f>
        <v>0C</v>
      </c>
      <c r="D83" s="70" t="str">
        <f>pixel_shift_table.asm!E83</f>
        <v>0E</v>
      </c>
      <c r="E83" s="70" t="str">
        <f>pixel_shift_table.asm!F83</f>
        <v>1C</v>
      </c>
      <c r="F83" s="70" t="str">
        <f>pixel_shift_table.asm!G83</f>
        <v>10</v>
      </c>
      <c r="G83" s="70" t="str">
        <f>pixel_shift_table.asm!H83</f>
        <v>2C</v>
      </c>
      <c r="H83" s="70" t="str">
        <f>pixel_shift_table.asm!I83</f>
        <v>1E</v>
      </c>
      <c r="I83" s="70" t="str">
        <f>pixel_shift_table.asm!J83</f>
        <v>3C</v>
      </c>
      <c r="J83" s="70" t="str">
        <f>pixel_shift_table.asm!K83</f>
        <v>20</v>
      </c>
      <c r="K83" s="70" t="str">
        <f>pixel_shift_table.asm!L83</f>
        <v>4C</v>
      </c>
      <c r="L83" s="70" t="str">
        <f>pixel_shift_table.asm!M83</f>
        <v>2E</v>
      </c>
      <c r="M83" s="70" t="str">
        <f>pixel_shift_table.asm!N83</f>
        <v>5C</v>
      </c>
      <c r="N83" s="70" t="str">
        <f>pixel_shift_table.asm!O83</f>
        <v>30</v>
      </c>
      <c r="O83" s="70" t="str">
        <f>pixel_shift_table.asm!P83</f>
        <v>6C</v>
      </c>
      <c r="P83" s="70" t="str">
        <f>pixel_shift_table.asm!Q83</f>
        <v>3E</v>
      </c>
      <c r="Q83" s="70" t="str">
        <f>pixel_shift_table.asm!R83</f>
        <v>7C</v>
      </c>
      <c r="S83">
        <f t="shared" si="62"/>
        <v>0</v>
      </c>
      <c r="T83" s="5" t="str">
        <f t="shared" si="63"/>
        <v>A900</v>
      </c>
      <c r="U83" s="5" t="str">
        <f t="shared" si="64"/>
        <v>A90C</v>
      </c>
      <c r="V83" s="5" t="str">
        <f t="shared" si="65"/>
        <v>A90E</v>
      </c>
      <c r="W83" s="5" t="str">
        <f t="shared" si="66"/>
        <v>A91C</v>
      </c>
      <c r="X83" s="5" t="str">
        <f t="shared" si="67"/>
        <v>A910</v>
      </c>
      <c r="Y83" s="5" t="str">
        <f t="shared" si="68"/>
        <v>A92C</v>
      </c>
      <c r="Z83" s="5" t="str">
        <f t="shared" si="69"/>
        <v>A91E</v>
      </c>
      <c r="AA83" s="5" t="str">
        <f t="shared" si="70"/>
        <v>A93C</v>
      </c>
      <c r="AB83" s="5" t="str">
        <f t="shared" si="71"/>
        <v>A920</v>
      </c>
      <c r="AC83" s="5" t="str">
        <f t="shared" si="72"/>
        <v>A94C</v>
      </c>
      <c r="AD83" s="5" t="str">
        <f t="shared" si="73"/>
        <v>A92E</v>
      </c>
      <c r="AE83" s="5" t="str">
        <f t="shared" si="74"/>
        <v>A95C</v>
      </c>
      <c r="AF83" s="5" t="str">
        <f t="shared" si="75"/>
        <v>A930</v>
      </c>
      <c r="AG83" s="5" t="str">
        <f t="shared" si="76"/>
        <v>A96C</v>
      </c>
      <c r="AH83" s="5" t="str">
        <f t="shared" si="77"/>
        <v>A93E</v>
      </c>
      <c r="AI83" s="5" t="str">
        <f t="shared" si="78"/>
        <v>A97C</v>
      </c>
      <c r="AK83" s="5" t="str" cm="1">
        <f t="array" ref="AK83">INDEX(_xlfn.TOROW(PixelPatternTable),HEX2DEC(T83)-$T$1+1)</f>
        <v>80</v>
      </c>
      <c r="AL83" s="5" t="str" cm="1">
        <f t="array" ref="AL83">INDEX(_xlfn.TOROW(PixelPatternTable),HEX2DEC(U83)-$T$1+1)</f>
        <v>A0</v>
      </c>
      <c r="AM83" s="5" t="str" cm="1">
        <f t="array" ref="AM83">INDEX(_xlfn.TOROW(PixelPatternTable),HEX2DEC(V83)-$T$1+1)</f>
        <v>C0</v>
      </c>
      <c r="AN83" s="5" t="str" cm="1">
        <f t="array" ref="AN83">INDEX(_xlfn.TOROW(PixelPatternTable),HEX2DEC(W83)-$T$1+1)</f>
        <v>E0</v>
      </c>
      <c r="AO83" s="5" t="str" cm="1">
        <f t="array" ref="AO83">INDEX(_xlfn.TOROW(PixelPatternTable),HEX2DEC(X83)-$T$1+1)</f>
        <v>80</v>
      </c>
      <c r="AP83" s="5" t="str" cm="1">
        <f t="array" ref="AP83">INDEX(_xlfn.TOROW(PixelPatternTable),HEX2DEC(Y83)-$T$1+1)</f>
        <v>A0</v>
      </c>
      <c r="AQ83" s="5" t="str" cm="1">
        <f t="array" ref="AQ83">INDEX(_xlfn.TOROW(PixelPatternTable),HEX2DEC(Z83)-$T$1+1)</f>
        <v>C0</v>
      </c>
      <c r="AR83" s="5" t="str" cm="1">
        <f t="array" ref="AR83">INDEX(_xlfn.TOROW(PixelPatternTable),HEX2DEC(AA83)-$T$1+1)</f>
        <v>E0</v>
      </c>
      <c r="AS83" s="5" t="str" cm="1">
        <f t="array" ref="AS83">INDEX(_xlfn.TOROW(PixelPatternTable),HEX2DEC(AB83)-$T$1+1)</f>
        <v>80</v>
      </c>
      <c r="AT83" s="5" t="str" cm="1">
        <f t="array" ref="AT83">INDEX(_xlfn.TOROW(PixelPatternTable),HEX2DEC(AC83)-$T$1+1)</f>
        <v>A0</v>
      </c>
      <c r="AU83" s="5" t="str" cm="1">
        <f t="array" ref="AU83">INDEX(_xlfn.TOROW(PixelPatternTable),HEX2DEC(AD83)-$T$1+1)</f>
        <v>C0</v>
      </c>
      <c r="AV83" s="5" t="str" cm="1">
        <f t="array" ref="AV83">INDEX(_xlfn.TOROW(PixelPatternTable),HEX2DEC(AE83)-$T$1+1)</f>
        <v>E0</v>
      </c>
      <c r="AW83" s="5" t="str" cm="1">
        <f t="array" ref="AW83">INDEX(_xlfn.TOROW(PixelPatternTable),HEX2DEC(AF83)-$T$1+1)</f>
        <v>80</v>
      </c>
      <c r="AX83" s="5" t="str" cm="1">
        <f t="array" ref="AX83">INDEX(_xlfn.TOROW(PixelPatternTable),HEX2DEC(AG83)-$T$1+1)</f>
        <v>A0</v>
      </c>
      <c r="AY83" s="5" t="str" cm="1">
        <f t="array" ref="AY83">INDEX(_xlfn.TOROW(PixelPatternTable),HEX2DEC(AH83)-$T$1+1)</f>
        <v>C0</v>
      </c>
      <c r="AZ83" s="5" t="str" cm="1">
        <f t="array" ref="AZ83">INDEX(_xlfn.TOROW(PixelPatternTable),HEX2DEC(AI83)-$T$1+1)</f>
        <v>E0</v>
      </c>
    </row>
    <row r="84" spans="1:52" x14ac:dyDescent="0.3">
      <c r="A84" s="5" t="str">
        <f t="shared" si="79"/>
        <v>A710</v>
      </c>
      <c r="B84" s="71" t="str">
        <f>pixel_shift_table.asm!C84</f>
        <v>40</v>
      </c>
      <c r="C84" s="72" t="str">
        <f>pixel_shift_table.asm!D84</f>
        <v>8C</v>
      </c>
      <c r="D84" s="72" t="str">
        <f>pixel_shift_table.asm!E84</f>
        <v>4E</v>
      </c>
      <c r="E84" s="72" t="str">
        <f>pixel_shift_table.asm!F84</f>
        <v>9C</v>
      </c>
      <c r="F84" s="72" t="str">
        <f>pixel_shift_table.asm!G84</f>
        <v>50</v>
      </c>
      <c r="G84" s="72" t="str">
        <f>pixel_shift_table.asm!H84</f>
        <v>AC</v>
      </c>
      <c r="H84" s="72" t="str">
        <f>pixel_shift_table.asm!I84</f>
        <v>5E</v>
      </c>
      <c r="I84" s="72" t="str">
        <f>pixel_shift_table.asm!J84</f>
        <v>BC</v>
      </c>
      <c r="J84" s="72" t="str">
        <f>pixel_shift_table.asm!K84</f>
        <v>60</v>
      </c>
      <c r="K84" s="72" t="str">
        <f>pixel_shift_table.asm!L84</f>
        <v>CC</v>
      </c>
      <c r="L84" s="72" t="str">
        <f>pixel_shift_table.asm!M84</f>
        <v>6E</v>
      </c>
      <c r="M84" s="72" t="str">
        <f>pixel_shift_table.asm!N84</f>
        <v>DC</v>
      </c>
      <c r="N84" s="72" t="str">
        <f>pixel_shift_table.asm!O84</f>
        <v>70</v>
      </c>
      <c r="O84" s="72" t="str">
        <f>pixel_shift_table.asm!P84</f>
        <v>EC</v>
      </c>
      <c r="P84" s="72" t="str">
        <f>pixel_shift_table.asm!Q84</f>
        <v>7E</v>
      </c>
      <c r="Q84" s="72" t="str">
        <f>pixel_shift_table.asm!R84</f>
        <v>FC</v>
      </c>
      <c r="S84">
        <f t="shared" si="62"/>
        <v>16</v>
      </c>
      <c r="T84" s="5" t="str">
        <f t="shared" si="63"/>
        <v>A940</v>
      </c>
      <c r="U84" s="5" t="str">
        <f t="shared" si="64"/>
        <v>A98C</v>
      </c>
      <c r="V84" s="5" t="str">
        <f t="shared" si="65"/>
        <v>A94E</v>
      </c>
      <c r="W84" s="5" t="str">
        <f t="shared" si="66"/>
        <v>A99C</v>
      </c>
      <c r="X84" s="5" t="str">
        <f t="shared" si="67"/>
        <v>A950</v>
      </c>
      <c r="Y84" s="5" t="str">
        <f t="shared" si="68"/>
        <v>A9AC</v>
      </c>
      <c r="Z84" s="5" t="str">
        <f t="shared" si="69"/>
        <v>A95E</v>
      </c>
      <c r="AA84" s="5" t="str">
        <f t="shared" si="70"/>
        <v>A9BC</v>
      </c>
      <c r="AB84" s="5" t="str">
        <f t="shared" si="71"/>
        <v>A960</v>
      </c>
      <c r="AC84" s="5" t="str">
        <f t="shared" si="72"/>
        <v>A9CC</v>
      </c>
      <c r="AD84" s="5" t="str">
        <f t="shared" si="73"/>
        <v>A96E</v>
      </c>
      <c r="AE84" s="5" t="str">
        <f t="shared" si="74"/>
        <v>A9DC</v>
      </c>
      <c r="AF84" s="5" t="str">
        <f t="shared" si="75"/>
        <v>A970</v>
      </c>
      <c r="AG84" s="5" t="str">
        <f t="shared" si="76"/>
        <v>A9EC</v>
      </c>
      <c r="AH84" s="5" t="str">
        <f t="shared" si="77"/>
        <v>A97E</v>
      </c>
      <c r="AI84" s="5" t="str">
        <f t="shared" si="78"/>
        <v>A9FC</v>
      </c>
      <c r="AK84" s="5" t="str" cm="1">
        <f t="array" ref="AK84">INDEX(_xlfn.TOROW(PixelPatternTable),HEX2DEC(T84)-$T$1+1)</f>
        <v>80</v>
      </c>
      <c r="AL84" s="5" t="str" cm="1">
        <f t="array" ref="AL84">INDEX(_xlfn.TOROW(PixelPatternTable),HEX2DEC(U84)-$T$1+1)</f>
        <v>A0</v>
      </c>
      <c r="AM84" s="5" t="str" cm="1">
        <f t="array" ref="AM84">INDEX(_xlfn.TOROW(PixelPatternTable),HEX2DEC(V84)-$T$1+1)</f>
        <v>C0</v>
      </c>
      <c r="AN84" s="5" t="str" cm="1">
        <f t="array" ref="AN84">INDEX(_xlfn.TOROW(PixelPatternTable),HEX2DEC(W84)-$T$1+1)</f>
        <v>E0</v>
      </c>
      <c r="AO84" s="5" t="str" cm="1">
        <f t="array" ref="AO84">INDEX(_xlfn.TOROW(PixelPatternTable),HEX2DEC(X84)-$T$1+1)</f>
        <v>80</v>
      </c>
      <c r="AP84" s="5" t="str" cm="1">
        <f t="array" ref="AP84">INDEX(_xlfn.TOROW(PixelPatternTable),HEX2DEC(Y84)-$T$1+1)</f>
        <v>A0</v>
      </c>
      <c r="AQ84" s="5" t="str" cm="1">
        <f t="array" ref="AQ84">INDEX(_xlfn.TOROW(PixelPatternTable),HEX2DEC(Z84)-$T$1+1)</f>
        <v>C0</v>
      </c>
      <c r="AR84" s="5" t="str" cm="1">
        <f t="array" ref="AR84">INDEX(_xlfn.TOROW(PixelPatternTable),HEX2DEC(AA84)-$T$1+1)</f>
        <v>E0</v>
      </c>
      <c r="AS84" s="5" t="str" cm="1">
        <f t="array" ref="AS84">INDEX(_xlfn.TOROW(PixelPatternTable),HEX2DEC(AB84)-$T$1+1)</f>
        <v>80</v>
      </c>
      <c r="AT84" s="5" t="str" cm="1">
        <f t="array" ref="AT84">INDEX(_xlfn.TOROW(PixelPatternTable),HEX2DEC(AC84)-$T$1+1)</f>
        <v>A0</v>
      </c>
      <c r="AU84" s="5" t="str" cm="1">
        <f t="array" ref="AU84">INDEX(_xlfn.TOROW(PixelPatternTable),HEX2DEC(AD84)-$T$1+1)</f>
        <v>C0</v>
      </c>
      <c r="AV84" s="5" t="str" cm="1">
        <f t="array" ref="AV84">INDEX(_xlfn.TOROW(PixelPatternTable),HEX2DEC(AE84)-$T$1+1)</f>
        <v>E0</v>
      </c>
      <c r="AW84" s="5" t="str" cm="1">
        <f t="array" ref="AW84">INDEX(_xlfn.TOROW(PixelPatternTable),HEX2DEC(AF84)-$T$1+1)</f>
        <v>80</v>
      </c>
      <c r="AX84" s="5" t="str" cm="1">
        <f t="array" ref="AX84">INDEX(_xlfn.TOROW(PixelPatternTable),HEX2DEC(AG84)-$T$1+1)</f>
        <v>A0</v>
      </c>
      <c r="AY84" s="5" t="str" cm="1">
        <f t="array" ref="AY84">INDEX(_xlfn.TOROW(PixelPatternTable),HEX2DEC(AH84)-$T$1+1)</f>
        <v>C0</v>
      </c>
      <c r="AZ84" s="5" t="str" cm="1">
        <f t="array" ref="AZ84">INDEX(_xlfn.TOROW(PixelPatternTable),HEX2DEC(AI84)-$T$1+1)</f>
        <v>E0</v>
      </c>
    </row>
    <row r="85" spans="1:52" x14ac:dyDescent="0.3">
      <c r="A85" s="5" t="str">
        <f t="shared" si="79"/>
        <v>A720</v>
      </c>
      <c r="B85" s="71" t="str">
        <f>pixel_shift_table.asm!C85</f>
        <v>80</v>
      </c>
      <c r="C85" s="72" t="str">
        <f>pixel_shift_table.asm!D85</f>
        <v>0C</v>
      </c>
      <c r="D85" s="72" t="str">
        <f>pixel_shift_table.asm!E85</f>
        <v>8E</v>
      </c>
      <c r="E85" s="72" t="str">
        <f>pixel_shift_table.asm!F85</f>
        <v>1C</v>
      </c>
      <c r="F85" s="72" t="str">
        <f>pixel_shift_table.asm!G85</f>
        <v>90</v>
      </c>
      <c r="G85" s="72" t="str">
        <f>pixel_shift_table.asm!H85</f>
        <v>2C</v>
      </c>
      <c r="H85" s="72" t="str">
        <f>pixel_shift_table.asm!I85</f>
        <v>9E</v>
      </c>
      <c r="I85" s="72" t="str">
        <f>pixel_shift_table.asm!J85</f>
        <v>3C</v>
      </c>
      <c r="J85" s="72" t="str">
        <f>pixel_shift_table.asm!K85</f>
        <v>A0</v>
      </c>
      <c r="K85" s="72" t="str">
        <f>pixel_shift_table.asm!L85</f>
        <v>4C</v>
      </c>
      <c r="L85" s="72" t="str">
        <f>pixel_shift_table.asm!M85</f>
        <v>AE</v>
      </c>
      <c r="M85" s="72" t="str">
        <f>pixel_shift_table.asm!N85</f>
        <v>5C</v>
      </c>
      <c r="N85" s="72" t="str">
        <f>pixel_shift_table.asm!O85</f>
        <v>B0</v>
      </c>
      <c r="O85" s="72" t="str">
        <f>pixel_shift_table.asm!P85</f>
        <v>6C</v>
      </c>
      <c r="P85" s="72" t="str">
        <f>pixel_shift_table.asm!Q85</f>
        <v>BE</v>
      </c>
      <c r="Q85" s="72" t="str">
        <f>pixel_shift_table.asm!R85</f>
        <v>7C</v>
      </c>
      <c r="S85">
        <f t="shared" si="62"/>
        <v>32</v>
      </c>
      <c r="T85" s="5" t="str">
        <f t="shared" si="63"/>
        <v>A980</v>
      </c>
      <c r="U85" s="5" t="str">
        <f t="shared" si="64"/>
        <v>AA0C</v>
      </c>
      <c r="V85" s="5" t="str">
        <f t="shared" si="65"/>
        <v>A98E</v>
      </c>
      <c r="W85" s="5" t="str">
        <f t="shared" si="66"/>
        <v>AA1C</v>
      </c>
      <c r="X85" s="5" t="str">
        <f t="shared" si="67"/>
        <v>A990</v>
      </c>
      <c r="Y85" s="5" t="str">
        <f t="shared" si="68"/>
        <v>AA2C</v>
      </c>
      <c r="Z85" s="5" t="str">
        <f t="shared" si="69"/>
        <v>A99E</v>
      </c>
      <c r="AA85" s="5" t="str">
        <f t="shared" si="70"/>
        <v>AA3C</v>
      </c>
      <c r="AB85" s="5" t="str">
        <f t="shared" si="71"/>
        <v>A9A0</v>
      </c>
      <c r="AC85" s="5" t="str">
        <f t="shared" si="72"/>
        <v>AA4C</v>
      </c>
      <c r="AD85" s="5" t="str">
        <f t="shared" si="73"/>
        <v>A9AE</v>
      </c>
      <c r="AE85" s="5" t="str">
        <f t="shared" si="74"/>
        <v>AA5C</v>
      </c>
      <c r="AF85" s="5" t="str">
        <f t="shared" si="75"/>
        <v>A9B0</v>
      </c>
      <c r="AG85" s="5" t="str">
        <f t="shared" si="76"/>
        <v>AA6C</v>
      </c>
      <c r="AH85" s="5" t="str">
        <f t="shared" si="77"/>
        <v>A9BE</v>
      </c>
      <c r="AI85" s="5" t="str">
        <f t="shared" si="78"/>
        <v>AA7C</v>
      </c>
      <c r="AK85" s="5" t="str" cm="1">
        <f t="array" ref="AK85">INDEX(_xlfn.TOROW(PixelPatternTable),HEX2DEC(T85)-$T$1+1)</f>
        <v>80</v>
      </c>
      <c r="AL85" s="5" t="str" cm="1">
        <f t="array" ref="AL85">INDEX(_xlfn.TOROW(PixelPatternTable),HEX2DEC(U85)-$T$1+1)</f>
        <v>A0</v>
      </c>
      <c r="AM85" s="5" t="str" cm="1">
        <f t="array" ref="AM85">INDEX(_xlfn.TOROW(PixelPatternTable),HEX2DEC(V85)-$T$1+1)</f>
        <v>C0</v>
      </c>
      <c r="AN85" s="5" t="str" cm="1">
        <f t="array" ref="AN85">INDEX(_xlfn.TOROW(PixelPatternTable),HEX2DEC(W85)-$T$1+1)</f>
        <v>E0</v>
      </c>
      <c r="AO85" s="5" t="str" cm="1">
        <f t="array" ref="AO85">INDEX(_xlfn.TOROW(PixelPatternTable),HEX2DEC(X85)-$T$1+1)</f>
        <v>80</v>
      </c>
      <c r="AP85" s="5" t="str" cm="1">
        <f t="array" ref="AP85">INDEX(_xlfn.TOROW(PixelPatternTable),HEX2DEC(Y85)-$T$1+1)</f>
        <v>A0</v>
      </c>
      <c r="AQ85" s="5" t="str" cm="1">
        <f t="array" ref="AQ85">INDEX(_xlfn.TOROW(PixelPatternTable),HEX2DEC(Z85)-$T$1+1)</f>
        <v>C0</v>
      </c>
      <c r="AR85" s="5" t="str" cm="1">
        <f t="array" ref="AR85">INDEX(_xlfn.TOROW(PixelPatternTable),HEX2DEC(AA85)-$T$1+1)</f>
        <v>E0</v>
      </c>
      <c r="AS85" s="5" t="str" cm="1">
        <f t="array" ref="AS85">INDEX(_xlfn.TOROW(PixelPatternTable),HEX2DEC(AB85)-$T$1+1)</f>
        <v>80</v>
      </c>
      <c r="AT85" s="5" t="str" cm="1">
        <f t="array" ref="AT85">INDEX(_xlfn.TOROW(PixelPatternTable),HEX2DEC(AC85)-$T$1+1)</f>
        <v>A0</v>
      </c>
      <c r="AU85" s="5" t="str" cm="1">
        <f t="array" ref="AU85">INDEX(_xlfn.TOROW(PixelPatternTable),HEX2DEC(AD85)-$T$1+1)</f>
        <v>C0</v>
      </c>
      <c r="AV85" s="5" t="str" cm="1">
        <f t="array" ref="AV85">INDEX(_xlfn.TOROW(PixelPatternTable),HEX2DEC(AE85)-$T$1+1)</f>
        <v>E0</v>
      </c>
      <c r="AW85" s="5" t="str" cm="1">
        <f t="array" ref="AW85">INDEX(_xlfn.TOROW(PixelPatternTable),HEX2DEC(AF85)-$T$1+1)</f>
        <v>80</v>
      </c>
      <c r="AX85" s="5" t="str" cm="1">
        <f t="array" ref="AX85">INDEX(_xlfn.TOROW(PixelPatternTable),HEX2DEC(AG85)-$T$1+1)</f>
        <v>A0</v>
      </c>
      <c r="AY85" s="5" t="str" cm="1">
        <f t="array" ref="AY85">INDEX(_xlfn.TOROW(PixelPatternTable),HEX2DEC(AH85)-$T$1+1)</f>
        <v>C0</v>
      </c>
      <c r="AZ85" s="5" t="str" cm="1">
        <f t="array" ref="AZ85">INDEX(_xlfn.TOROW(PixelPatternTable),HEX2DEC(AI85)-$T$1+1)</f>
        <v>E0</v>
      </c>
    </row>
    <row r="86" spans="1:52" x14ac:dyDescent="0.3">
      <c r="A86" s="5" t="str">
        <f t="shared" si="79"/>
        <v>A730</v>
      </c>
      <c r="B86" s="71" t="str">
        <f>pixel_shift_table.asm!C86</f>
        <v>C0</v>
      </c>
      <c r="C86" s="72" t="str">
        <f>pixel_shift_table.asm!D86</f>
        <v>8C</v>
      </c>
      <c r="D86" s="72" t="str">
        <f>pixel_shift_table.asm!E86</f>
        <v>CE</v>
      </c>
      <c r="E86" s="72" t="str">
        <f>pixel_shift_table.asm!F86</f>
        <v>9C</v>
      </c>
      <c r="F86" s="72" t="str">
        <f>pixel_shift_table.asm!G86</f>
        <v>D0</v>
      </c>
      <c r="G86" s="72" t="str">
        <f>pixel_shift_table.asm!H86</f>
        <v>AC</v>
      </c>
      <c r="H86" s="72" t="str">
        <f>pixel_shift_table.asm!I86</f>
        <v>DE</v>
      </c>
      <c r="I86" s="72" t="str">
        <f>pixel_shift_table.asm!J86</f>
        <v>BC</v>
      </c>
      <c r="J86" s="72" t="str">
        <f>pixel_shift_table.asm!K86</f>
        <v>E0</v>
      </c>
      <c r="K86" s="72" t="str">
        <f>pixel_shift_table.asm!L86</f>
        <v>CC</v>
      </c>
      <c r="L86" s="72" t="str">
        <f>pixel_shift_table.asm!M86</f>
        <v>EE</v>
      </c>
      <c r="M86" s="72" t="str">
        <f>pixel_shift_table.asm!N86</f>
        <v>DC</v>
      </c>
      <c r="N86" s="72" t="str">
        <f>pixel_shift_table.asm!O86</f>
        <v>F0</v>
      </c>
      <c r="O86" s="72" t="str">
        <f>pixel_shift_table.asm!P86</f>
        <v>EC</v>
      </c>
      <c r="P86" s="72" t="str">
        <f>pixel_shift_table.asm!Q86</f>
        <v>FE</v>
      </c>
      <c r="Q86" s="72" t="str">
        <f>pixel_shift_table.asm!R86</f>
        <v>FC</v>
      </c>
      <c r="S86">
        <f t="shared" ref="S86:S114" si="80">IF(RIGHT(A86,2)="00",0,S85+16)</f>
        <v>48</v>
      </c>
      <c r="T86" s="5" t="str">
        <f t="shared" ref="T86:T114" si="81">IF($S86&lt;128,B94&amp;B86,DEC2HEX(HEX2DEC(T78)+1,4))</f>
        <v>A9C0</v>
      </c>
      <c r="U86" s="5" t="str">
        <f t="shared" ref="U86:U114" si="82">IF($S86&lt;128,C94&amp;C86,DEC2HEX(HEX2DEC(U78)+1,4))</f>
        <v>AA8C</v>
      </c>
      <c r="V86" s="5" t="str">
        <f t="shared" ref="V86:V114" si="83">IF($S86&lt;128,D94&amp;D86,DEC2HEX(HEX2DEC(V78)+1,4))</f>
        <v>A9CE</v>
      </c>
      <c r="W86" s="5" t="str">
        <f t="shared" ref="W86:W114" si="84">IF($S86&lt;128,E94&amp;E86,DEC2HEX(HEX2DEC(W78)+1,4))</f>
        <v>AA9C</v>
      </c>
      <c r="X86" s="5" t="str">
        <f t="shared" ref="X86:X114" si="85">IF($S86&lt;128,F94&amp;F86,DEC2HEX(HEX2DEC(X78)+1,4))</f>
        <v>A9D0</v>
      </c>
      <c r="Y86" s="5" t="str">
        <f t="shared" ref="Y86:Y114" si="86">IF($S86&lt;128,G94&amp;G86,DEC2HEX(HEX2DEC(Y78)+1,4))</f>
        <v>AAAC</v>
      </c>
      <c r="Z86" s="5" t="str">
        <f t="shared" ref="Z86:Z114" si="87">IF($S86&lt;128,H94&amp;H86,DEC2HEX(HEX2DEC(Z78)+1,4))</f>
        <v>A9DE</v>
      </c>
      <c r="AA86" s="5" t="str">
        <f t="shared" ref="AA86:AA114" si="88">IF($S86&lt;128,I94&amp;I86,DEC2HEX(HEX2DEC(AA78)+1,4))</f>
        <v>AABC</v>
      </c>
      <c r="AB86" s="5" t="str">
        <f t="shared" ref="AB86:AB114" si="89">IF($S86&lt;128,J94&amp;J86,DEC2HEX(HEX2DEC(AB78)+1,4))</f>
        <v>A9E0</v>
      </c>
      <c r="AC86" s="5" t="str">
        <f t="shared" ref="AC86:AC114" si="90">IF($S86&lt;128,K94&amp;K86,DEC2HEX(HEX2DEC(AC78)+1,4))</f>
        <v>AACC</v>
      </c>
      <c r="AD86" s="5" t="str">
        <f t="shared" ref="AD86:AD114" si="91">IF($S86&lt;128,L94&amp;L86,DEC2HEX(HEX2DEC(AD78)+1,4))</f>
        <v>A9EE</v>
      </c>
      <c r="AE86" s="5" t="str">
        <f t="shared" ref="AE86:AE114" si="92">IF($S86&lt;128,M94&amp;M86,DEC2HEX(HEX2DEC(AE78)+1,4))</f>
        <v>AADC</v>
      </c>
      <c r="AF86" s="5" t="str">
        <f t="shared" ref="AF86:AF114" si="93">IF($S86&lt;128,N94&amp;N86,DEC2HEX(HEX2DEC(AF78)+1,4))</f>
        <v>A9F0</v>
      </c>
      <c r="AG86" s="5" t="str">
        <f t="shared" ref="AG86:AG114" si="94">IF($S86&lt;128,O94&amp;O86,DEC2HEX(HEX2DEC(AG78)+1,4))</f>
        <v>AAEC</v>
      </c>
      <c r="AH86" s="5" t="str">
        <f t="shared" ref="AH86:AH114" si="95">IF($S86&lt;128,P94&amp;P86,DEC2HEX(HEX2DEC(AH78)+1,4))</f>
        <v>A9FE</v>
      </c>
      <c r="AI86" s="5" t="str">
        <f t="shared" ref="AI86:AI114" si="96">IF($S86&lt;128,Q94&amp;Q86,DEC2HEX(HEX2DEC(AI78)+1,4))</f>
        <v>AAFC</v>
      </c>
      <c r="AK86" s="5" t="str" cm="1">
        <f t="array" ref="AK86">INDEX(_xlfn.TOROW(PixelPatternTable),HEX2DEC(T86)-$T$1+1)</f>
        <v>80</v>
      </c>
      <c r="AL86" s="5" t="str" cm="1">
        <f t="array" ref="AL86">INDEX(_xlfn.TOROW(PixelPatternTable),HEX2DEC(U86)-$T$1+1)</f>
        <v>A0</v>
      </c>
      <c r="AM86" s="5" t="str" cm="1">
        <f t="array" ref="AM86">INDEX(_xlfn.TOROW(PixelPatternTable),HEX2DEC(V86)-$T$1+1)</f>
        <v>C0</v>
      </c>
      <c r="AN86" s="5" t="str" cm="1">
        <f t="array" ref="AN86">INDEX(_xlfn.TOROW(PixelPatternTable),HEX2DEC(W86)-$T$1+1)</f>
        <v>E0</v>
      </c>
      <c r="AO86" s="5" t="str" cm="1">
        <f t="array" ref="AO86">INDEX(_xlfn.TOROW(PixelPatternTable),HEX2DEC(X86)-$T$1+1)</f>
        <v>80</v>
      </c>
      <c r="AP86" s="5" t="str" cm="1">
        <f t="array" ref="AP86">INDEX(_xlfn.TOROW(PixelPatternTable),HEX2DEC(Y86)-$T$1+1)</f>
        <v>A0</v>
      </c>
      <c r="AQ86" s="5" t="str" cm="1">
        <f t="array" ref="AQ86">INDEX(_xlfn.TOROW(PixelPatternTable),HEX2DEC(Z86)-$T$1+1)</f>
        <v>C0</v>
      </c>
      <c r="AR86" s="5" t="str" cm="1">
        <f t="array" ref="AR86">INDEX(_xlfn.TOROW(PixelPatternTable),HEX2DEC(AA86)-$T$1+1)</f>
        <v>E0</v>
      </c>
      <c r="AS86" s="5" t="str" cm="1">
        <f t="array" ref="AS86">INDEX(_xlfn.TOROW(PixelPatternTable),HEX2DEC(AB86)-$T$1+1)</f>
        <v>80</v>
      </c>
      <c r="AT86" s="5" t="str" cm="1">
        <f t="array" ref="AT86">INDEX(_xlfn.TOROW(PixelPatternTable),HEX2DEC(AC86)-$T$1+1)</f>
        <v>A0</v>
      </c>
      <c r="AU86" s="5" t="str" cm="1">
        <f t="array" ref="AU86">INDEX(_xlfn.TOROW(PixelPatternTable),HEX2DEC(AD86)-$T$1+1)</f>
        <v>C0</v>
      </c>
      <c r="AV86" s="5" t="str" cm="1">
        <f t="array" ref="AV86">INDEX(_xlfn.TOROW(PixelPatternTable),HEX2DEC(AE86)-$T$1+1)</f>
        <v>E0</v>
      </c>
      <c r="AW86" s="5" t="str" cm="1">
        <f t="array" ref="AW86">INDEX(_xlfn.TOROW(PixelPatternTable),HEX2DEC(AF86)-$T$1+1)</f>
        <v>80</v>
      </c>
      <c r="AX86" s="5" t="str" cm="1">
        <f t="array" ref="AX86">INDEX(_xlfn.TOROW(PixelPatternTable),HEX2DEC(AG86)-$T$1+1)</f>
        <v>A0</v>
      </c>
      <c r="AY86" s="5" t="str" cm="1">
        <f t="array" ref="AY86">INDEX(_xlfn.TOROW(PixelPatternTable),HEX2DEC(AH86)-$T$1+1)</f>
        <v>C0</v>
      </c>
      <c r="AZ86" s="5" t="str" cm="1">
        <f t="array" ref="AZ86">INDEX(_xlfn.TOROW(PixelPatternTable),HEX2DEC(AI86)-$T$1+1)</f>
        <v>E0</v>
      </c>
    </row>
    <row r="87" spans="1:52" x14ac:dyDescent="0.3">
      <c r="A87" s="5" t="str">
        <f t="shared" si="79"/>
        <v>A740</v>
      </c>
      <c r="B87" s="71" t="str">
        <f>pixel_shift_table.asm!C87</f>
        <v>00</v>
      </c>
      <c r="C87" s="72" t="str">
        <f>pixel_shift_table.asm!D87</f>
        <v>0C</v>
      </c>
      <c r="D87" s="72" t="str">
        <f>pixel_shift_table.asm!E87</f>
        <v>0E</v>
      </c>
      <c r="E87" s="72" t="str">
        <f>pixel_shift_table.asm!F87</f>
        <v>1C</v>
      </c>
      <c r="F87" s="72" t="str">
        <f>pixel_shift_table.asm!G87</f>
        <v>10</v>
      </c>
      <c r="G87" s="72" t="str">
        <f>pixel_shift_table.asm!H87</f>
        <v>2C</v>
      </c>
      <c r="H87" s="72" t="str">
        <f>pixel_shift_table.asm!I87</f>
        <v>1E</v>
      </c>
      <c r="I87" s="72" t="str">
        <f>pixel_shift_table.asm!J87</f>
        <v>3C</v>
      </c>
      <c r="J87" s="72" t="str">
        <f>pixel_shift_table.asm!K87</f>
        <v>20</v>
      </c>
      <c r="K87" s="72" t="str">
        <f>pixel_shift_table.asm!L87</f>
        <v>4C</v>
      </c>
      <c r="L87" s="72" t="str">
        <f>pixel_shift_table.asm!M87</f>
        <v>2E</v>
      </c>
      <c r="M87" s="72" t="str">
        <f>pixel_shift_table.asm!N87</f>
        <v>5C</v>
      </c>
      <c r="N87" s="72" t="str">
        <f>pixel_shift_table.asm!O87</f>
        <v>30</v>
      </c>
      <c r="O87" s="72" t="str">
        <f>pixel_shift_table.asm!P87</f>
        <v>6C</v>
      </c>
      <c r="P87" s="72" t="str">
        <f>pixel_shift_table.asm!Q87</f>
        <v>3E</v>
      </c>
      <c r="Q87" s="72" t="str">
        <f>pixel_shift_table.asm!R87</f>
        <v>7C</v>
      </c>
      <c r="S87">
        <f t="shared" si="80"/>
        <v>64</v>
      </c>
      <c r="T87" s="5" t="str">
        <f t="shared" si="81"/>
        <v>AA00</v>
      </c>
      <c r="U87" s="5" t="str">
        <f t="shared" si="82"/>
        <v>AB0C</v>
      </c>
      <c r="V87" s="5" t="str">
        <f t="shared" si="83"/>
        <v>AA0E</v>
      </c>
      <c r="W87" s="5" t="str">
        <f t="shared" si="84"/>
        <v>AB1C</v>
      </c>
      <c r="X87" s="5" t="str">
        <f t="shared" si="85"/>
        <v>AA10</v>
      </c>
      <c r="Y87" s="5" t="str">
        <f t="shared" si="86"/>
        <v>AB2C</v>
      </c>
      <c r="Z87" s="5" t="str">
        <f t="shared" si="87"/>
        <v>AA1E</v>
      </c>
      <c r="AA87" s="5" t="str">
        <f t="shared" si="88"/>
        <v>AB3C</v>
      </c>
      <c r="AB87" s="5" t="str">
        <f t="shared" si="89"/>
        <v>AA20</v>
      </c>
      <c r="AC87" s="5" t="str">
        <f t="shared" si="90"/>
        <v>AB4C</v>
      </c>
      <c r="AD87" s="5" t="str">
        <f t="shared" si="91"/>
        <v>AA2E</v>
      </c>
      <c r="AE87" s="5" t="str">
        <f t="shared" si="92"/>
        <v>AB5C</v>
      </c>
      <c r="AF87" s="5" t="str">
        <f t="shared" si="93"/>
        <v>AA30</v>
      </c>
      <c r="AG87" s="5" t="str">
        <f t="shared" si="94"/>
        <v>AB6C</v>
      </c>
      <c r="AH87" s="5" t="str">
        <f t="shared" si="95"/>
        <v>AA3E</v>
      </c>
      <c r="AI87" s="5" t="str">
        <f t="shared" si="96"/>
        <v>AB7C</v>
      </c>
      <c r="AK87" s="5" t="str" cm="1">
        <f t="array" ref="AK87">INDEX(_xlfn.TOROW(PixelPatternTable),HEX2DEC(T87)-$T$1+1)</f>
        <v>80</v>
      </c>
      <c r="AL87" s="5" t="str" cm="1">
        <f t="array" ref="AL87">INDEX(_xlfn.TOROW(PixelPatternTable),HEX2DEC(U87)-$T$1+1)</f>
        <v>A0</v>
      </c>
      <c r="AM87" s="5" t="str" cm="1">
        <f t="array" ref="AM87">INDEX(_xlfn.TOROW(PixelPatternTable),HEX2DEC(V87)-$T$1+1)</f>
        <v>C0</v>
      </c>
      <c r="AN87" s="5" t="str" cm="1">
        <f t="array" ref="AN87">INDEX(_xlfn.TOROW(PixelPatternTable),HEX2DEC(W87)-$T$1+1)</f>
        <v>E0</v>
      </c>
      <c r="AO87" s="5" t="str" cm="1">
        <f t="array" ref="AO87">INDEX(_xlfn.TOROW(PixelPatternTable),HEX2DEC(X87)-$T$1+1)</f>
        <v>80</v>
      </c>
      <c r="AP87" s="5" t="str" cm="1">
        <f t="array" ref="AP87">INDEX(_xlfn.TOROW(PixelPatternTable),HEX2DEC(Y87)-$T$1+1)</f>
        <v>A0</v>
      </c>
      <c r="AQ87" s="5" t="str" cm="1">
        <f t="array" ref="AQ87">INDEX(_xlfn.TOROW(PixelPatternTable),HEX2DEC(Z87)-$T$1+1)</f>
        <v>C0</v>
      </c>
      <c r="AR87" s="5" t="str" cm="1">
        <f t="array" ref="AR87">INDEX(_xlfn.TOROW(PixelPatternTable),HEX2DEC(AA87)-$T$1+1)</f>
        <v>E0</v>
      </c>
      <c r="AS87" s="5" t="str" cm="1">
        <f t="array" ref="AS87">INDEX(_xlfn.TOROW(PixelPatternTable),HEX2DEC(AB87)-$T$1+1)</f>
        <v>80</v>
      </c>
      <c r="AT87" s="5" t="str" cm="1">
        <f t="array" ref="AT87">INDEX(_xlfn.TOROW(PixelPatternTable),HEX2DEC(AC87)-$T$1+1)</f>
        <v>A0</v>
      </c>
      <c r="AU87" s="5" t="str" cm="1">
        <f t="array" ref="AU87">INDEX(_xlfn.TOROW(PixelPatternTable),HEX2DEC(AD87)-$T$1+1)</f>
        <v>C0</v>
      </c>
      <c r="AV87" s="5" t="str" cm="1">
        <f t="array" ref="AV87">INDEX(_xlfn.TOROW(PixelPatternTable),HEX2DEC(AE87)-$T$1+1)</f>
        <v>E0</v>
      </c>
      <c r="AW87" s="5" t="str" cm="1">
        <f t="array" ref="AW87">INDEX(_xlfn.TOROW(PixelPatternTable),HEX2DEC(AF87)-$T$1+1)</f>
        <v>80</v>
      </c>
      <c r="AX87" s="5" t="str" cm="1">
        <f t="array" ref="AX87">INDEX(_xlfn.TOROW(PixelPatternTable),HEX2DEC(AG87)-$T$1+1)</f>
        <v>A0</v>
      </c>
      <c r="AY87" s="5" t="str" cm="1">
        <f t="array" ref="AY87">INDEX(_xlfn.TOROW(PixelPatternTable),HEX2DEC(AH87)-$T$1+1)</f>
        <v>C0</v>
      </c>
      <c r="AZ87" s="5" t="str" cm="1">
        <f t="array" ref="AZ87">INDEX(_xlfn.TOROW(PixelPatternTable),HEX2DEC(AI87)-$T$1+1)</f>
        <v>E0</v>
      </c>
    </row>
    <row r="88" spans="1:52" x14ac:dyDescent="0.3">
      <c r="A88" s="5" t="str">
        <f t="shared" si="79"/>
        <v>A750</v>
      </c>
      <c r="B88" s="71" t="str">
        <f>pixel_shift_table.asm!C88</f>
        <v>40</v>
      </c>
      <c r="C88" s="72" t="str">
        <f>pixel_shift_table.asm!D88</f>
        <v>8C</v>
      </c>
      <c r="D88" s="72" t="str">
        <f>pixel_shift_table.asm!E88</f>
        <v>4E</v>
      </c>
      <c r="E88" s="72" t="str">
        <f>pixel_shift_table.asm!F88</f>
        <v>9C</v>
      </c>
      <c r="F88" s="72" t="str">
        <f>pixel_shift_table.asm!G88</f>
        <v>50</v>
      </c>
      <c r="G88" s="72" t="str">
        <f>pixel_shift_table.asm!H88</f>
        <v>AC</v>
      </c>
      <c r="H88" s="72" t="str">
        <f>pixel_shift_table.asm!I88</f>
        <v>5E</v>
      </c>
      <c r="I88" s="72" t="str">
        <f>pixel_shift_table.asm!J88</f>
        <v>BC</v>
      </c>
      <c r="J88" s="72" t="str">
        <f>pixel_shift_table.asm!K88</f>
        <v>60</v>
      </c>
      <c r="K88" s="72" t="str">
        <f>pixel_shift_table.asm!L88</f>
        <v>CC</v>
      </c>
      <c r="L88" s="72" t="str">
        <f>pixel_shift_table.asm!M88</f>
        <v>6E</v>
      </c>
      <c r="M88" s="72" t="str">
        <f>pixel_shift_table.asm!N88</f>
        <v>DC</v>
      </c>
      <c r="N88" s="72" t="str">
        <f>pixel_shift_table.asm!O88</f>
        <v>70</v>
      </c>
      <c r="O88" s="72" t="str">
        <f>pixel_shift_table.asm!P88</f>
        <v>EC</v>
      </c>
      <c r="P88" s="72" t="str">
        <f>pixel_shift_table.asm!Q88</f>
        <v>7E</v>
      </c>
      <c r="Q88" s="72" t="str">
        <f>pixel_shift_table.asm!R88</f>
        <v>FC</v>
      </c>
      <c r="S88">
        <f t="shared" si="80"/>
        <v>80</v>
      </c>
      <c r="T88" s="5" t="str">
        <f t="shared" si="81"/>
        <v>AA40</v>
      </c>
      <c r="U88" s="5" t="str">
        <f t="shared" si="82"/>
        <v>AB8C</v>
      </c>
      <c r="V88" s="5" t="str">
        <f t="shared" si="83"/>
        <v>AA4E</v>
      </c>
      <c r="W88" s="5" t="str">
        <f t="shared" si="84"/>
        <v>AB9C</v>
      </c>
      <c r="X88" s="5" t="str">
        <f t="shared" si="85"/>
        <v>AA50</v>
      </c>
      <c r="Y88" s="5" t="str">
        <f t="shared" si="86"/>
        <v>ABAC</v>
      </c>
      <c r="Z88" s="5" t="str">
        <f t="shared" si="87"/>
        <v>AA5E</v>
      </c>
      <c r="AA88" s="5" t="str">
        <f t="shared" si="88"/>
        <v>ABBC</v>
      </c>
      <c r="AB88" s="5" t="str">
        <f t="shared" si="89"/>
        <v>AA60</v>
      </c>
      <c r="AC88" s="5" t="str">
        <f t="shared" si="90"/>
        <v>ABCC</v>
      </c>
      <c r="AD88" s="5" t="str">
        <f t="shared" si="91"/>
        <v>AA6E</v>
      </c>
      <c r="AE88" s="5" t="str">
        <f t="shared" si="92"/>
        <v>ABDC</v>
      </c>
      <c r="AF88" s="5" t="str">
        <f t="shared" si="93"/>
        <v>AA70</v>
      </c>
      <c r="AG88" s="5" t="str">
        <f t="shared" si="94"/>
        <v>ABEC</v>
      </c>
      <c r="AH88" s="5" t="str">
        <f t="shared" si="95"/>
        <v>AA7E</v>
      </c>
      <c r="AI88" s="5" t="str">
        <f t="shared" si="96"/>
        <v>ABFC</v>
      </c>
      <c r="AK88" s="5" t="str" cm="1">
        <f t="array" ref="AK88">INDEX(_xlfn.TOROW(PixelPatternTable),HEX2DEC(T88)-$T$1+1)</f>
        <v>80</v>
      </c>
      <c r="AL88" s="5" t="str" cm="1">
        <f t="array" ref="AL88">INDEX(_xlfn.TOROW(PixelPatternTable),HEX2DEC(U88)-$T$1+1)</f>
        <v>A0</v>
      </c>
      <c r="AM88" s="5" t="str" cm="1">
        <f t="array" ref="AM88">INDEX(_xlfn.TOROW(PixelPatternTable),HEX2DEC(V88)-$T$1+1)</f>
        <v>C0</v>
      </c>
      <c r="AN88" s="5" t="str" cm="1">
        <f t="array" ref="AN88">INDEX(_xlfn.TOROW(PixelPatternTable),HEX2DEC(W88)-$T$1+1)</f>
        <v>E0</v>
      </c>
      <c r="AO88" s="5" t="str" cm="1">
        <f t="array" ref="AO88">INDEX(_xlfn.TOROW(PixelPatternTable),HEX2DEC(X88)-$T$1+1)</f>
        <v>80</v>
      </c>
      <c r="AP88" s="5" t="str" cm="1">
        <f t="array" ref="AP88">INDEX(_xlfn.TOROW(PixelPatternTable),HEX2DEC(Y88)-$T$1+1)</f>
        <v>A0</v>
      </c>
      <c r="AQ88" s="5" t="str" cm="1">
        <f t="array" ref="AQ88">INDEX(_xlfn.TOROW(PixelPatternTable),HEX2DEC(Z88)-$T$1+1)</f>
        <v>C0</v>
      </c>
      <c r="AR88" s="5" t="str" cm="1">
        <f t="array" ref="AR88">INDEX(_xlfn.TOROW(PixelPatternTable),HEX2DEC(AA88)-$T$1+1)</f>
        <v>E0</v>
      </c>
      <c r="AS88" s="5" t="str" cm="1">
        <f t="array" ref="AS88">INDEX(_xlfn.TOROW(PixelPatternTable),HEX2DEC(AB88)-$T$1+1)</f>
        <v>80</v>
      </c>
      <c r="AT88" s="5" t="str" cm="1">
        <f t="array" ref="AT88">INDEX(_xlfn.TOROW(PixelPatternTable),HEX2DEC(AC88)-$T$1+1)</f>
        <v>A0</v>
      </c>
      <c r="AU88" s="5" t="str" cm="1">
        <f t="array" ref="AU88">INDEX(_xlfn.TOROW(PixelPatternTable),HEX2DEC(AD88)-$T$1+1)</f>
        <v>C0</v>
      </c>
      <c r="AV88" s="5" t="str" cm="1">
        <f t="array" ref="AV88">INDEX(_xlfn.TOROW(PixelPatternTable),HEX2DEC(AE88)-$T$1+1)</f>
        <v>E0</v>
      </c>
      <c r="AW88" s="5" t="str" cm="1">
        <f t="array" ref="AW88">INDEX(_xlfn.TOROW(PixelPatternTable),HEX2DEC(AF88)-$T$1+1)</f>
        <v>80</v>
      </c>
      <c r="AX88" s="5" t="str" cm="1">
        <f t="array" ref="AX88">INDEX(_xlfn.TOROW(PixelPatternTable),HEX2DEC(AG88)-$T$1+1)</f>
        <v>A0</v>
      </c>
      <c r="AY88" s="5" t="str" cm="1">
        <f t="array" ref="AY88">INDEX(_xlfn.TOROW(PixelPatternTable),HEX2DEC(AH88)-$T$1+1)</f>
        <v>C0</v>
      </c>
      <c r="AZ88" s="5" t="str" cm="1">
        <f t="array" ref="AZ88">INDEX(_xlfn.TOROW(PixelPatternTable),HEX2DEC(AI88)-$T$1+1)</f>
        <v>E0</v>
      </c>
    </row>
    <row r="89" spans="1:52" x14ac:dyDescent="0.3">
      <c r="A89" s="5" t="str">
        <f t="shared" si="79"/>
        <v>A760</v>
      </c>
      <c r="B89" s="71" t="str">
        <f>pixel_shift_table.asm!C89</f>
        <v>80</v>
      </c>
      <c r="C89" s="72" t="str">
        <f>pixel_shift_table.asm!D89</f>
        <v>0C</v>
      </c>
      <c r="D89" s="72" t="str">
        <f>pixel_shift_table.asm!E89</f>
        <v>8E</v>
      </c>
      <c r="E89" s="72" t="str">
        <f>pixel_shift_table.asm!F89</f>
        <v>1C</v>
      </c>
      <c r="F89" s="72" t="str">
        <f>pixel_shift_table.asm!G89</f>
        <v>90</v>
      </c>
      <c r="G89" s="72" t="str">
        <f>pixel_shift_table.asm!H89</f>
        <v>2C</v>
      </c>
      <c r="H89" s="72" t="str">
        <f>pixel_shift_table.asm!I89</f>
        <v>9E</v>
      </c>
      <c r="I89" s="72" t="str">
        <f>pixel_shift_table.asm!J89</f>
        <v>3C</v>
      </c>
      <c r="J89" s="72" t="str">
        <f>pixel_shift_table.asm!K89</f>
        <v>A0</v>
      </c>
      <c r="K89" s="72" t="str">
        <f>pixel_shift_table.asm!L89</f>
        <v>4C</v>
      </c>
      <c r="L89" s="72" t="str">
        <f>pixel_shift_table.asm!M89</f>
        <v>AE</v>
      </c>
      <c r="M89" s="72" t="str">
        <f>pixel_shift_table.asm!N89</f>
        <v>5C</v>
      </c>
      <c r="N89" s="72" t="str">
        <f>pixel_shift_table.asm!O89</f>
        <v>B0</v>
      </c>
      <c r="O89" s="72" t="str">
        <f>pixel_shift_table.asm!P89</f>
        <v>6C</v>
      </c>
      <c r="P89" s="72" t="str">
        <f>pixel_shift_table.asm!Q89</f>
        <v>BE</v>
      </c>
      <c r="Q89" s="72" t="str">
        <f>pixel_shift_table.asm!R89</f>
        <v>7C</v>
      </c>
      <c r="S89">
        <f t="shared" si="80"/>
        <v>96</v>
      </c>
      <c r="T89" s="5" t="str">
        <f t="shared" si="81"/>
        <v>AA80</v>
      </c>
      <c r="U89" s="5" t="str">
        <f t="shared" si="82"/>
        <v>AC0C</v>
      </c>
      <c r="V89" s="5" t="str">
        <f t="shared" si="83"/>
        <v>AA8E</v>
      </c>
      <c r="W89" s="5" t="str">
        <f t="shared" si="84"/>
        <v>AC1C</v>
      </c>
      <c r="X89" s="5" t="str">
        <f t="shared" si="85"/>
        <v>AA90</v>
      </c>
      <c r="Y89" s="5" t="str">
        <f t="shared" si="86"/>
        <v>AC2C</v>
      </c>
      <c r="Z89" s="5" t="str">
        <f t="shared" si="87"/>
        <v>AA9E</v>
      </c>
      <c r="AA89" s="5" t="str">
        <f t="shared" si="88"/>
        <v>AC3C</v>
      </c>
      <c r="AB89" s="5" t="str">
        <f t="shared" si="89"/>
        <v>AAA0</v>
      </c>
      <c r="AC89" s="5" t="str">
        <f t="shared" si="90"/>
        <v>AC4C</v>
      </c>
      <c r="AD89" s="5" t="str">
        <f t="shared" si="91"/>
        <v>AAAE</v>
      </c>
      <c r="AE89" s="5" t="str">
        <f t="shared" si="92"/>
        <v>AC5C</v>
      </c>
      <c r="AF89" s="5" t="str">
        <f t="shared" si="93"/>
        <v>AAB0</v>
      </c>
      <c r="AG89" s="5" t="str">
        <f t="shared" si="94"/>
        <v>AC6C</v>
      </c>
      <c r="AH89" s="5" t="str">
        <f t="shared" si="95"/>
        <v>AABE</v>
      </c>
      <c r="AI89" s="5" t="str">
        <f t="shared" si="96"/>
        <v>AC7C</v>
      </c>
      <c r="AK89" s="5" t="str" cm="1">
        <f t="array" ref="AK89">INDEX(_xlfn.TOROW(PixelPatternTable),HEX2DEC(T89)-$T$1+1)</f>
        <v>80</v>
      </c>
      <c r="AL89" s="5" t="str" cm="1">
        <f t="array" ref="AL89">INDEX(_xlfn.TOROW(PixelPatternTable),HEX2DEC(U89)-$T$1+1)</f>
        <v>A0</v>
      </c>
      <c r="AM89" s="5" t="str" cm="1">
        <f t="array" ref="AM89">INDEX(_xlfn.TOROW(PixelPatternTable),HEX2DEC(V89)-$T$1+1)</f>
        <v>C0</v>
      </c>
      <c r="AN89" s="5" t="str" cm="1">
        <f t="array" ref="AN89">INDEX(_xlfn.TOROW(PixelPatternTable),HEX2DEC(W89)-$T$1+1)</f>
        <v>E0</v>
      </c>
      <c r="AO89" s="5" t="str" cm="1">
        <f t="array" ref="AO89">INDEX(_xlfn.TOROW(PixelPatternTable),HEX2DEC(X89)-$T$1+1)</f>
        <v>80</v>
      </c>
      <c r="AP89" s="5" t="str" cm="1">
        <f t="array" ref="AP89">INDEX(_xlfn.TOROW(PixelPatternTable),HEX2DEC(Y89)-$T$1+1)</f>
        <v>A0</v>
      </c>
      <c r="AQ89" s="5" t="str" cm="1">
        <f t="array" ref="AQ89">INDEX(_xlfn.TOROW(PixelPatternTable),HEX2DEC(Z89)-$T$1+1)</f>
        <v>C0</v>
      </c>
      <c r="AR89" s="5" t="str" cm="1">
        <f t="array" ref="AR89">INDEX(_xlfn.TOROW(PixelPatternTable),HEX2DEC(AA89)-$T$1+1)</f>
        <v>E0</v>
      </c>
      <c r="AS89" s="5" t="str" cm="1">
        <f t="array" ref="AS89">INDEX(_xlfn.TOROW(PixelPatternTable),HEX2DEC(AB89)-$T$1+1)</f>
        <v>80</v>
      </c>
      <c r="AT89" s="5" t="str" cm="1">
        <f t="array" ref="AT89">INDEX(_xlfn.TOROW(PixelPatternTable),HEX2DEC(AC89)-$T$1+1)</f>
        <v>A0</v>
      </c>
      <c r="AU89" s="5" t="str" cm="1">
        <f t="array" ref="AU89">INDEX(_xlfn.TOROW(PixelPatternTable),HEX2DEC(AD89)-$T$1+1)</f>
        <v>C0</v>
      </c>
      <c r="AV89" s="5" t="str" cm="1">
        <f t="array" ref="AV89">INDEX(_xlfn.TOROW(PixelPatternTable),HEX2DEC(AE89)-$T$1+1)</f>
        <v>E0</v>
      </c>
      <c r="AW89" s="5" t="str" cm="1">
        <f t="array" ref="AW89">INDEX(_xlfn.TOROW(PixelPatternTable),HEX2DEC(AF89)-$T$1+1)</f>
        <v>80</v>
      </c>
      <c r="AX89" s="5" t="str" cm="1">
        <f t="array" ref="AX89">INDEX(_xlfn.TOROW(PixelPatternTable),HEX2DEC(AG89)-$T$1+1)</f>
        <v>A0</v>
      </c>
      <c r="AY89" s="5" t="str" cm="1">
        <f t="array" ref="AY89">INDEX(_xlfn.TOROW(PixelPatternTable),HEX2DEC(AH89)-$T$1+1)</f>
        <v>C0</v>
      </c>
      <c r="AZ89" s="5" t="str" cm="1">
        <f t="array" ref="AZ89">INDEX(_xlfn.TOROW(PixelPatternTable),HEX2DEC(AI89)-$T$1+1)</f>
        <v>E0</v>
      </c>
    </row>
    <row r="90" spans="1:52" x14ac:dyDescent="0.3">
      <c r="A90" s="58" t="str">
        <f t="shared" si="79"/>
        <v>A770</v>
      </c>
      <c r="B90" s="73" t="str">
        <f>pixel_shift_table.asm!C90</f>
        <v>C0</v>
      </c>
      <c r="C90" s="74" t="str">
        <f>pixel_shift_table.asm!D90</f>
        <v>8C</v>
      </c>
      <c r="D90" s="74" t="str">
        <f>pixel_shift_table.asm!E90</f>
        <v>CE</v>
      </c>
      <c r="E90" s="74" t="str">
        <f>pixel_shift_table.asm!F90</f>
        <v>9C</v>
      </c>
      <c r="F90" s="74" t="str">
        <f>pixel_shift_table.asm!G90</f>
        <v>D0</v>
      </c>
      <c r="G90" s="74" t="str">
        <f>pixel_shift_table.asm!H90</f>
        <v>AC</v>
      </c>
      <c r="H90" s="74" t="str">
        <f>pixel_shift_table.asm!I90</f>
        <v>DE</v>
      </c>
      <c r="I90" s="74" t="str">
        <f>pixel_shift_table.asm!J90</f>
        <v>BC</v>
      </c>
      <c r="J90" s="74" t="str">
        <f>pixel_shift_table.asm!K90</f>
        <v>E0</v>
      </c>
      <c r="K90" s="74" t="str">
        <f>pixel_shift_table.asm!L90</f>
        <v>CC</v>
      </c>
      <c r="L90" s="74" t="str">
        <f>pixel_shift_table.asm!M90</f>
        <v>EE</v>
      </c>
      <c r="M90" s="74" t="str">
        <f>pixel_shift_table.asm!N90</f>
        <v>DC</v>
      </c>
      <c r="N90" s="74" t="str">
        <f>pixel_shift_table.asm!O90</f>
        <v>F0</v>
      </c>
      <c r="O90" s="74" t="str">
        <f>pixel_shift_table.asm!P90</f>
        <v>EC</v>
      </c>
      <c r="P90" s="74" t="str">
        <f>pixel_shift_table.asm!Q90</f>
        <v>FE</v>
      </c>
      <c r="Q90" s="74" t="str">
        <f>pixel_shift_table.asm!R90</f>
        <v>FC</v>
      </c>
      <c r="S90">
        <f t="shared" si="80"/>
        <v>112</v>
      </c>
      <c r="T90" s="5" t="str">
        <f t="shared" si="81"/>
        <v>AAC0</v>
      </c>
      <c r="U90" s="5" t="str">
        <f t="shared" si="82"/>
        <v>AC8C</v>
      </c>
      <c r="V90" s="5" t="str">
        <f t="shared" si="83"/>
        <v>AACE</v>
      </c>
      <c r="W90" s="5" t="str">
        <f t="shared" si="84"/>
        <v>AC9C</v>
      </c>
      <c r="X90" s="5" t="str">
        <f t="shared" si="85"/>
        <v>AAD0</v>
      </c>
      <c r="Y90" s="5" t="str">
        <f t="shared" si="86"/>
        <v>ACAC</v>
      </c>
      <c r="Z90" s="5" t="str">
        <f t="shared" si="87"/>
        <v>AADE</v>
      </c>
      <c r="AA90" s="5" t="str">
        <f t="shared" si="88"/>
        <v>ACBC</v>
      </c>
      <c r="AB90" s="5" t="str">
        <f t="shared" si="89"/>
        <v>AAE0</v>
      </c>
      <c r="AC90" s="5" t="str">
        <f t="shared" si="90"/>
        <v>ACCC</v>
      </c>
      <c r="AD90" s="5" t="str">
        <f t="shared" si="91"/>
        <v>AAEE</v>
      </c>
      <c r="AE90" s="5" t="str">
        <f t="shared" si="92"/>
        <v>ACDC</v>
      </c>
      <c r="AF90" s="5" t="str">
        <f t="shared" si="93"/>
        <v>AAF0</v>
      </c>
      <c r="AG90" s="5" t="str">
        <f t="shared" si="94"/>
        <v>ACEC</v>
      </c>
      <c r="AH90" s="5" t="str">
        <f t="shared" si="95"/>
        <v>AAFE</v>
      </c>
      <c r="AI90" s="5" t="str">
        <f t="shared" si="96"/>
        <v>ACFC</v>
      </c>
      <c r="AK90" s="5" t="str" cm="1">
        <f t="array" ref="AK90">INDEX(_xlfn.TOROW(PixelPatternTable),HEX2DEC(T90)-$T$1+1)</f>
        <v>80</v>
      </c>
      <c r="AL90" s="5" t="str" cm="1">
        <f t="array" ref="AL90">INDEX(_xlfn.TOROW(PixelPatternTable),HEX2DEC(U90)-$T$1+1)</f>
        <v>A0</v>
      </c>
      <c r="AM90" s="5" t="str" cm="1">
        <f t="array" ref="AM90">INDEX(_xlfn.TOROW(PixelPatternTable),HEX2DEC(V90)-$T$1+1)</f>
        <v>C0</v>
      </c>
      <c r="AN90" s="5" t="str" cm="1">
        <f t="array" ref="AN90">INDEX(_xlfn.TOROW(PixelPatternTable),HEX2DEC(W90)-$T$1+1)</f>
        <v>E0</v>
      </c>
      <c r="AO90" s="5" t="str" cm="1">
        <f t="array" ref="AO90">INDEX(_xlfn.TOROW(PixelPatternTable),HEX2DEC(X90)-$T$1+1)</f>
        <v>80</v>
      </c>
      <c r="AP90" s="5" t="str" cm="1">
        <f t="array" ref="AP90">INDEX(_xlfn.TOROW(PixelPatternTable),HEX2DEC(Y90)-$T$1+1)</f>
        <v>A0</v>
      </c>
      <c r="AQ90" s="5" t="str" cm="1">
        <f t="array" ref="AQ90">INDEX(_xlfn.TOROW(PixelPatternTable),HEX2DEC(Z90)-$T$1+1)</f>
        <v>C0</v>
      </c>
      <c r="AR90" s="5" t="str" cm="1">
        <f t="array" ref="AR90">INDEX(_xlfn.TOROW(PixelPatternTable),HEX2DEC(AA90)-$T$1+1)</f>
        <v>E0</v>
      </c>
      <c r="AS90" s="5" t="str" cm="1">
        <f t="array" ref="AS90">INDEX(_xlfn.TOROW(PixelPatternTable),HEX2DEC(AB90)-$T$1+1)</f>
        <v>80</v>
      </c>
      <c r="AT90" s="5" t="str" cm="1">
        <f t="array" ref="AT90">INDEX(_xlfn.TOROW(PixelPatternTable),HEX2DEC(AC90)-$T$1+1)</f>
        <v>A0</v>
      </c>
      <c r="AU90" s="5" t="str" cm="1">
        <f t="array" ref="AU90">INDEX(_xlfn.TOROW(PixelPatternTable),HEX2DEC(AD90)-$T$1+1)</f>
        <v>C0</v>
      </c>
      <c r="AV90" s="5" t="str" cm="1">
        <f t="array" ref="AV90">INDEX(_xlfn.TOROW(PixelPatternTable),HEX2DEC(AE90)-$T$1+1)</f>
        <v>E0</v>
      </c>
      <c r="AW90" s="5" t="str" cm="1">
        <f t="array" ref="AW90">INDEX(_xlfn.TOROW(PixelPatternTable),HEX2DEC(AF90)-$T$1+1)</f>
        <v>80</v>
      </c>
      <c r="AX90" s="5" t="str" cm="1">
        <f t="array" ref="AX90">INDEX(_xlfn.TOROW(PixelPatternTable),HEX2DEC(AG90)-$T$1+1)</f>
        <v>A0</v>
      </c>
      <c r="AY90" s="5" t="str" cm="1">
        <f t="array" ref="AY90">INDEX(_xlfn.TOROW(PixelPatternTable),HEX2DEC(AH90)-$T$1+1)</f>
        <v>C0</v>
      </c>
      <c r="AZ90" s="5" t="str" cm="1">
        <f t="array" ref="AZ90">INDEX(_xlfn.TOROW(PixelPatternTable),HEX2DEC(AI90)-$T$1+1)</f>
        <v>E0</v>
      </c>
    </row>
    <row r="91" spans="1:52" x14ac:dyDescent="0.3">
      <c r="A91" s="5" t="str">
        <f t="shared" si="79"/>
        <v>A780</v>
      </c>
      <c r="B91" s="69" t="str">
        <f>pixel_shift_table.asm!C91</f>
        <v>A9</v>
      </c>
      <c r="C91" s="70" t="str">
        <f>pixel_shift_table.asm!D91</f>
        <v>A9</v>
      </c>
      <c r="D91" s="70" t="str">
        <f>pixel_shift_table.asm!E91</f>
        <v>A9</v>
      </c>
      <c r="E91" s="70" t="str">
        <f>pixel_shift_table.asm!F91</f>
        <v>A9</v>
      </c>
      <c r="F91" s="70" t="str">
        <f>pixel_shift_table.asm!G91</f>
        <v>A9</v>
      </c>
      <c r="G91" s="70" t="str">
        <f>pixel_shift_table.asm!H91</f>
        <v>A9</v>
      </c>
      <c r="H91" s="70" t="str">
        <f>pixel_shift_table.asm!I91</f>
        <v>A9</v>
      </c>
      <c r="I91" s="70" t="str">
        <f>pixel_shift_table.asm!J91</f>
        <v>A9</v>
      </c>
      <c r="J91" s="70" t="str">
        <f>pixel_shift_table.asm!K91</f>
        <v>A9</v>
      </c>
      <c r="K91" s="70" t="str">
        <f>pixel_shift_table.asm!L91</f>
        <v>A9</v>
      </c>
      <c r="L91" s="70" t="str">
        <f>pixel_shift_table.asm!M91</f>
        <v>A9</v>
      </c>
      <c r="M91" s="70" t="str">
        <f>pixel_shift_table.asm!N91</f>
        <v>A9</v>
      </c>
      <c r="N91" s="70" t="str">
        <f>pixel_shift_table.asm!O91</f>
        <v>A9</v>
      </c>
      <c r="O91" s="70" t="str">
        <f>pixel_shift_table.asm!P91</f>
        <v>A9</v>
      </c>
      <c r="P91" s="70" t="str">
        <f>pixel_shift_table.asm!Q91</f>
        <v>A9</v>
      </c>
      <c r="Q91" s="70" t="str">
        <f>pixel_shift_table.asm!R91</f>
        <v>A9</v>
      </c>
      <c r="S91">
        <f t="shared" si="80"/>
        <v>128</v>
      </c>
      <c r="T91" s="5" t="str">
        <f t="shared" si="81"/>
        <v>A901</v>
      </c>
      <c r="U91" s="5" t="str">
        <f t="shared" si="82"/>
        <v>A90D</v>
      </c>
      <c r="V91" s="5" t="str">
        <f t="shared" si="83"/>
        <v>A90F</v>
      </c>
      <c r="W91" s="5" t="str">
        <f t="shared" si="84"/>
        <v>A91D</v>
      </c>
      <c r="X91" s="5" t="str">
        <f t="shared" si="85"/>
        <v>A911</v>
      </c>
      <c r="Y91" s="5" t="str">
        <f t="shared" si="86"/>
        <v>A92D</v>
      </c>
      <c r="Z91" s="5" t="str">
        <f t="shared" si="87"/>
        <v>A91F</v>
      </c>
      <c r="AA91" s="5" t="str">
        <f t="shared" si="88"/>
        <v>A93D</v>
      </c>
      <c r="AB91" s="5" t="str">
        <f t="shared" si="89"/>
        <v>A921</v>
      </c>
      <c r="AC91" s="5" t="str">
        <f t="shared" si="90"/>
        <v>A94D</v>
      </c>
      <c r="AD91" s="5" t="str">
        <f t="shared" si="91"/>
        <v>A92F</v>
      </c>
      <c r="AE91" s="5" t="str">
        <f t="shared" si="92"/>
        <v>A95D</v>
      </c>
      <c r="AF91" s="5" t="str">
        <f t="shared" si="93"/>
        <v>A931</v>
      </c>
      <c r="AG91" s="5" t="str">
        <f t="shared" si="94"/>
        <v>A96D</v>
      </c>
      <c r="AH91" s="5" t="str">
        <f t="shared" si="95"/>
        <v>A93F</v>
      </c>
      <c r="AI91" s="5" t="str">
        <f t="shared" si="96"/>
        <v>A97D</v>
      </c>
      <c r="AK91" s="5" t="str" cm="1">
        <f t="array" ref="AK91">INDEX(_xlfn.TOROW(PixelPatternTable),HEX2DEC(T91)-$T$1+1)</f>
        <v>80</v>
      </c>
      <c r="AL91" s="5" t="str" cm="1">
        <f t="array" ref="AL91">INDEX(_xlfn.TOROW(PixelPatternTable),HEX2DEC(U91)-$T$1+1)</f>
        <v>80</v>
      </c>
      <c r="AM91" s="5" t="str" cm="1">
        <f t="array" ref="AM91">INDEX(_xlfn.TOROW(PixelPatternTable),HEX2DEC(V91)-$T$1+1)</f>
        <v>80</v>
      </c>
      <c r="AN91" s="5" t="str" cm="1">
        <f t="array" ref="AN91">INDEX(_xlfn.TOROW(PixelPatternTable),HEX2DEC(W91)-$T$1+1)</f>
        <v>80</v>
      </c>
      <c r="AO91" s="5" t="str" cm="1">
        <f t="array" ref="AO91">INDEX(_xlfn.TOROW(PixelPatternTable),HEX2DEC(X91)-$T$1+1)</f>
        <v>81</v>
      </c>
      <c r="AP91" s="5" t="str" cm="1">
        <f t="array" ref="AP91">INDEX(_xlfn.TOROW(PixelPatternTable),HEX2DEC(Y91)-$T$1+1)</f>
        <v>81</v>
      </c>
      <c r="AQ91" s="5" t="str" cm="1">
        <f t="array" ref="AQ91">INDEX(_xlfn.TOROW(PixelPatternTable),HEX2DEC(Z91)-$T$1+1)</f>
        <v>81</v>
      </c>
      <c r="AR91" s="5" t="str" cm="1">
        <f t="array" ref="AR91">INDEX(_xlfn.TOROW(PixelPatternTable),HEX2DEC(AA91)-$T$1+1)</f>
        <v>81</v>
      </c>
      <c r="AS91" s="5" t="str" cm="1">
        <f t="array" ref="AS91">INDEX(_xlfn.TOROW(PixelPatternTable),HEX2DEC(AB91)-$T$1+1)</f>
        <v>82</v>
      </c>
      <c r="AT91" s="5" t="str" cm="1">
        <f t="array" ref="AT91">INDEX(_xlfn.TOROW(PixelPatternTable),HEX2DEC(AC91)-$T$1+1)</f>
        <v>82</v>
      </c>
      <c r="AU91" s="5" t="str" cm="1">
        <f t="array" ref="AU91">INDEX(_xlfn.TOROW(PixelPatternTable),HEX2DEC(AD91)-$T$1+1)</f>
        <v>82</v>
      </c>
      <c r="AV91" s="5" t="str" cm="1">
        <f t="array" ref="AV91">INDEX(_xlfn.TOROW(PixelPatternTable),HEX2DEC(AE91)-$T$1+1)</f>
        <v>82</v>
      </c>
      <c r="AW91" s="5" t="str" cm="1">
        <f t="array" ref="AW91">INDEX(_xlfn.TOROW(PixelPatternTable),HEX2DEC(AF91)-$T$1+1)</f>
        <v>83</v>
      </c>
      <c r="AX91" s="5" t="str" cm="1">
        <f t="array" ref="AX91">INDEX(_xlfn.TOROW(PixelPatternTable),HEX2DEC(AG91)-$T$1+1)</f>
        <v>83</v>
      </c>
      <c r="AY91" s="5" t="str" cm="1">
        <f t="array" ref="AY91">INDEX(_xlfn.TOROW(PixelPatternTable),HEX2DEC(AH91)-$T$1+1)</f>
        <v>83</v>
      </c>
      <c r="AZ91" s="5" t="str" cm="1">
        <f t="array" ref="AZ91">INDEX(_xlfn.TOROW(PixelPatternTable),HEX2DEC(AI91)-$T$1+1)</f>
        <v>83</v>
      </c>
    </row>
    <row r="92" spans="1:52" x14ac:dyDescent="0.3">
      <c r="A92" s="5" t="str">
        <f t="shared" si="79"/>
        <v>A790</v>
      </c>
      <c r="B92" s="71" t="str">
        <f>pixel_shift_table.asm!C92</f>
        <v>A9</v>
      </c>
      <c r="C92" s="72" t="str">
        <f>pixel_shift_table.asm!D92</f>
        <v>A9</v>
      </c>
      <c r="D92" s="72" t="str">
        <f>pixel_shift_table.asm!E92</f>
        <v>A9</v>
      </c>
      <c r="E92" s="72" t="str">
        <f>pixel_shift_table.asm!F92</f>
        <v>A9</v>
      </c>
      <c r="F92" s="72" t="str">
        <f>pixel_shift_table.asm!G92</f>
        <v>A9</v>
      </c>
      <c r="G92" s="72" t="str">
        <f>pixel_shift_table.asm!H92</f>
        <v>A9</v>
      </c>
      <c r="H92" s="72" t="str">
        <f>pixel_shift_table.asm!I92</f>
        <v>A9</v>
      </c>
      <c r="I92" s="72" t="str">
        <f>pixel_shift_table.asm!J92</f>
        <v>A9</v>
      </c>
      <c r="J92" s="72" t="str">
        <f>pixel_shift_table.asm!K92</f>
        <v>A9</v>
      </c>
      <c r="K92" s="72" t="str">
        <f>pixel_shift_table.asm!L92</f>
        <v>A9</v>
      </c>
      <c r="L92" s="72" t="str">
        <f>pixel_shift_table.asm!M92</f>
        <v>A9</v>
      </c>
      <c r="M92" s="72" t="str">
        <f>pixel_shift_table.asm!N92</f>
        <v>A9</v>
      </c>
      <c r="N92" s="72" t="str">
        <f>pixel_shift_table.asm!O92</f>
        <v>A9</v>
      </c>
      <c r="O92" s="72" t="str">
        <f>pixel_shift_table.asm!P92</f>
        <v>A9</v>
      </c>
      <c r="P92" s="72" t="str">
        <f>pixel_shift_table.asm!Q92</f>
        <v>A9</v>
      </c>
      <c r="Q92" s="72" t="str">
        <f>pixel_shift_table.asm!R92</f>
        <v>A9</v>
      </c>
      <c r="S92">
        <f t="shared" si="80"/>
        <v>144</v>
      </c>
      <c r="T92" s="5" t="str">
        <f t="shared" si="81"/>
        <v>A941</v>
      </c>
      <c r="U92" s="5" t="str">
        <f t="shared" si="82"/>
        <v>A98D</v>
      </c>
      <c r="V92" s="5" t="str">
        <f t="shared" si="83"/>
        <v>A94F</v>
      </c>
      <c r="W92" s="5" t="str">
        <f t="shared" si="84"/>
        <v>A99D</v>
      </c>
      <c r="X92" s="5" t="str">
        <f t="shared" si="85"/>
        <v>A951</v>
      </c>
      <c r="Y92" s="5" t="str">
        <f t="shared" si="86"/>
        <v>A9AD</v>
      </c>
      <c r="Z92" s="5" t="str">
        <f t="shared" si="87"/>
        <v>A95F</v>
      </c>
      <c r="AA92" s="5" t="str">
        <f t="shared" si="88"/>
        <v>A9BD</v>
      </c>
      <c r="AB92" s="5" t="str">
        <f t="shared" si="89"/>
        <v>A961</v>
      </c>
      <c r="AC92" s="5" t="str">
        <f t="shared" si="90"/>
        <v>A9CD</v>
      </c>
      <c r="AD92" s="5" t="str">
        <f t="shared" si="91"/>
        <v>A96F</v>
      </c>
      <c r="AE92" s="5" t="str">
        <f t="shared" si="92"/>
        <v>A9DD</v>
      </c>
      <c r="AF92" s="5" t="str">
        <f t="shared" si="93"/>
        <v>A971</v>
      </c>
      <c r="AG92" s="5" t="str">
        <f t="shared" si="94"/>
        <v>A9ED</v>
      </c>
      <c r="AH92" s="5" t="str">
        <f t="shared" si="95"/>
        <v>A97F</v>
      </c>
      <c r="AI92" s="5" t="str">
        <f t="shared" si="96"/>
        <v>A9FD</v>
      </c>
      <c r="AK92" s="5" t="str" cm="1">
        <f t="array" ref="AK92">INDEX(_xlfn.TOROW(PixelPatternTable),HEX2DEC(T92)-$T$1+1)</f>
        <v>84</v>
      </c>
      <c r="AL92" s="5" t="str" cm="1">
        <f t="array" ref="AL92">INDEX(_xlfn.TOROW(PixelPatternTable),HEX2DEC(U92)-$T$1+1)</f>
        <v>84</v>
      </c>
      <c r="AM92" s="5" t="str" cm="1">
        <f t="array" ref="AM92">INDEX(_xlfn.TOROW(PixelPatternTable),HEX2DEC(V92)-$T$1+1)</f>
        <v>84</v>
      </c>
      <c r="AN92" s="5" t="str" cm="1">
        <f t="array" ref="AN92">INDEX(_xlfn.TOROW(PixelPatternTable),HEX2DEC(W92)-$T$1+1)</f>
        <v>84</v>
      </c>
      <c r="AO92" s="5" t="str" cm="1">
        <f t="array" ref="AO92">INDEX(_xlfn.TOROW(PixelPatternTable),HEX2DEC(X92)-$T$1+1)</f>
        <v>85</v>
      </c>
      <c r="AP92" s="5" t="str" cm="1">
        <f t="array" ref="AP92">INDEX(_xlfn.TOROW(PixelPatternTable),HEX2DEC(Y92)-$T$1+1)</f>
        <v>85</v>
      </c>
      <c r="AQ92" s="5" t="str" cm="1">
        <f t="array" ref="AQ92">INDEX(_xlfn.TOROW(PixelPatternTable),HEX2DEC(Z92)-$T$1+1)</f>
        <v>85</v>
      </c>
      <c r="AR92" s="5" t="str" cm="1">
        <f t="array" ref="AR92">INDEX(_xlfn.TOROW(PixelPatternTable),HEX2DEC(AA92)-$T$1+1)</f>
        <v>85</v>
      </c>
      <c r="AS92" s="5" t="str" cm="1">
        <f t="array" ref="AS92">INDEX(_xlfn.TOROW(PixelPatternTable),HEX2DEC(AB92)-$T$1+1)</f>
        <v>86</v>
      </c>
      <c r="AT92" s="5" t="str" cm="1">
        <f t="array" ref="AT92">INDEX(_xlfn.TOROW(PixelPatternTable),HEX2DEC(AC92)-$T$1+1)</f>
        <v>86</v>
      </c>
      <c r="AU92" s="5" t="str" cm="1">
        <f t="array" ref="AU92">INDEX(_xlfn.TOROW(PixelPatternTable),HEX2DEC(AD92)-$T$1+1)</f>
        <v>86</v>
      </c>
      <c r="AV92" s="5" t="str" cm="1">
        <f t="array" ref="AV92">INDEX(_xlfn.TOROW(PixelPatternTable),HEX2DEC(AE92)-$T$1+1)</f>
        <v>86</v>
      </c>
      <c r="AW92" s="5" t="str" cm="1">
        <f t="array" ref="AW92">INDEX(_xlfn.TOROW(PixelPatternTable),HEX2DEC(AF92)-$T$1+1)</f>
        <v>87</v>
      </c>
      <c r="AX92" s="5" t="str" cm="1">
        <f t="array" ref="AX92">INDEX(_xlfn.TOROW(PixelPatternTable),HEX2DEC(AG92)-$T$1+1)</f>
        <v>87</v>
      </c>
      <c r="AY92" s="5" t="str" cm="1">
        <f t="array" ref="AY92">INDEX(_xlfn.TOROW(PixelPatternTable),HEX2DEC(AH92)-$T$1+1)</f>
        <v>87</v>
      </c>
      <c r="AZ92" s="5" t="str" cm="1">
        <f t="array" ref="AZ92">INDEX(_xlfn.TOROW(PixelPatternTable),HEX2DEC(AI92)-$T$1+1)</f>
        <v>87</v>
      </c>
    </row>
    <row r="93" spans="1:52" x14ac:dyDescent="0.3">
      <c r="A93" s="5" t="str">
        <f t="shared" si="79"/>
        <v>A7A0</v>
      </c>
      <c r="B93" s="71" t="str">
        <f>pixel_shift_table.asm!C93</f>
        <v>A9</v>
      </c>
      <c r="C93" s="72" t="str">
        <f>pixel_shift_table.asm!D93</f>
        <v>AA</v>
      </c>
      <c r="D93" s="72" t="str">
        <f>pixel_shift_table.asm!E93</f>
        <v>A9</v>
      </c>
      <c r="E93" s="72" t="str">
        <f>pixel_shift_table.asm!F93</f>
        <v>AA</v>
      </c>
      <c r="F93" s="72" t="str">
        <f>pixel_shift_table.asm!G93</f>
        <v>A9</v>
      </c>
      <c r="G93" s="72" t="str">
        <f>pixel_shift_table.asm!H93</f>
        <v>AA</v>
      </c>
      <c r="H93" s="72" t="str">
        <f>pixel_shift_table.asm!I93</f>
        <v>A9</v>
      </c>
      <c r="I93" s="72" t="str">
        <f>pixel_shift_table.asm!J93</f>
        <v>AA</v>
      </c>
      <c r="J93" s="72" t="str">
        <f>pixel_shift_table.asm!K93</f>
        <v>A9</v>
      </c>
      <c r="K93" s="72" t="str">
        <f>pixel_shift_table.asm!L93</f>
        <v>AA</v>
      </c>
      <c r="L93" s="72" t="str">
        <f>pixel_shift_table.asm!M93</f>
        <v>A9</v>
      </c>
      <c r="M93" s="72" t="str">
        <f>pixel_shift_table.asm!N93</f>
        <v>AA</v>
      </c>
      <c r="N93" s="72" t="str">
        <f>pixel_shift_table.asm!O93</f>
        <v>A9</v>
      </c>
      <c r="O93" s="72" t="str">
        <f>pixel_shift_table.asm!P93</f>
        <v>AA</v>
      </c>
      <c r="P93" s="72" t="str">
        <f>pixel_shift_table.asm!Q93</f>
        <v>A9</v>
      </c>
      <c r="Q93" s="72" t="str">
        <f>pixel_shift_table.asm!R93</f>
        <v>AA</v>
      </c>
      <c r="S93">
        <f t="shared" si="80"/>
        <v>160</v>
      </c>
      <c r="T93" s="5" t="str">
        <f t="shared" si="81"/>
        <v>A981</v>
      </c>
      <c r="U93" s="5" t="str">
        <f t="shared" si="82"/>
        <v>AA0D</v>
      </c>
      <c r="V93" s="5" t="str">
        <f t="shared" si="83"/>
        <v>A98F</v>
      </c>
      <c r="W93" s="5" t="str">
        <f t="shared" si="84"/>
        <v>AA1D</v>
      </c>
      <c r="X93" s="5" t="str">
        <f t="shared" si="85"/>
        <v>A991</v>
      </c>
      <c r="Y93" s="5" t="str">
        <f t="shared" si="86"/>
        <v>AA2D</v>
      </c>
      <c r="Z93" s="5" t="str">
        <f t="shared" si="87"/>
        <v>A99F</v>
      </c>
      <c r="AA93" s="5" t="str">
        <f t="shared" si="88"/>
        <v>AA3D</v>
      </c>
      <c r="AB93" s="5" t="str">
        <f t="shared" si="89"/>
        <v>A9A1</v>
      </c>
      <c r="AC93" s="5" t="str">
        <f t="shared" si="90"/>
        <v>AA4D</v>
      </c>
      <c r="AD93" s="5" t="str">
        <f t="shared" si="91"/>
        <v>A9AF</v>
      </c>
      <c r="AE93" s="5" t="str">
        <f t="shared" si="92"/>
        <v>AA5D</v>
      </c>
      <c r="AF93" s="5" t="str">
        <f t="shared" si="93"/>
        <v>A9B1</v>
      </c>
      <c r="AG93" s="5" t="str">
        <f t="shared" si="94"/>
        <v>AA6D</v>
      </c>
      <c r="AH93" s="5" t="str">
        <f t="shared" si="95"/>
        <v>A9BF</v>
      </c>
      <c r="AI93" s="5" t="str">
        <f t="shared" si="96"/>
        <v>AA7D</v>
      </c>
      <c r="AK93" s="5" t="str" cm="1">
        <f t="array" ref="AK93">INDEX(_xlfn.TOROW(PixelPatternTable),HEX2DEC(T93)-$T$1+1)</f>
        <v>88</v>
      </c>
      <c r="AL93" s="5" t="str" cm="1">
        <f t="array" ref="AL93">INDEX(_xlfn.TOROW(PixelPatternTable),HEX2DEC(U93)-$T$1+1)</f>
        <v>88</v>
      </c>
      <c r="AM93" s="5" t="str" cm="1">
        <f t="array" ref="AM93">INDEX(_xlfn.TOROW(PixelPatternTable),HEX2DEC(V93)-$T$1+1)</f>
        <v>88</v>
      </c>
      <c r="AN93" s="5" t="str" cm="1">
        <f t="array" ref="AN93">INDEX(_xlfn.TOROW(PixelPatternTable),HEX2DEC(W93)-$T$1+1)</f>
        <v>88</v>
      </c>
      <c r="AO93" s="5" t="str" cm="1">
        <f t="array" ref="AO93">INDEX(_xlfn.TOROW(PixelPatternTable),HEX2DEC(X93)-$T$1+1)</f>
        <v>89</v>
      </c>
      <c r="AP93" s="5" t="str" cm="1">
        <f t="array" ref="AP93">INDEX(_xlfn.TOROW(PixelPatternTable),HEX2DEC(Y93)-$T$1+1)</f>
        <v>89</v>
      </c>
      <c r="AQ93" s="5" t="str" cm="1">
        <f t="array" ref="AQ93">INDEX(_xlfn.TOROW(PixelPatternTable),HEX2DEC(Z93)-$T$1+1)</f>
        <v>89</v>
      </c>
      <c r="AR93" s="5" t="str" cm="1">
        <f t="array" ref="AR93">INDEX(_xlfn.TOROW(PixelPatternTable),HEX2DEC(AA93)-$T$1+1)</f>
        <v>89</v>
      </c>
      <c r="AS93" s="5" t="str" cm="1">
        <f t="array" ref="AS93">INDEX(_xlfn.TOROW(PixelPatternTable),HEX2DEC(AB93)-$T$1+1)</f>
        <v>8A</v>
      </c>
      <c r="AT93" s="5" t="str" cm="1">
        <f t="array" ref="AT93">INDEX(_xlfn.TOROW(PixelPatternTable),HEX2DEC(AC93)-$T$1+1)</f>
        <v>8A</v>
      </c>
      <c r="AU93" s="5" t="str" cm="1">
        <f t="array" ref="AU93">INDEX(_xlfn.TOROW(PixelPatternTable),HEX2DEC(AD93)-$T$1+1)</f>
        <v>8A</v>
      </c>
      <c r="AV93" s="5" t="str" cm="1">
        <f t="array" ref="AV93">INDEX(_xlfn.TOROW(PixelPatternTable),HEX2DEC(AE93)-$T$1+1)</f>
        <v>8A</v>
      </c>
      <c r="AW93" s="5" t="str" cm="1">
        <f t="array" ref="AW93">INDEX(_xlfn.TOROW(PixelPatternTable),HEX2DEC(AF93)-$T$1+1)</f>
        <v>8B</v>
      </c>
      <c r="AX93" s="5" t="str" cm="1">
        <f t="array" ref="AX93">INDEX(_xlfn.TOROW(PixelPatternTable),HEX2DEC(AG93)-$T$1+1)</f>
        <v>8B</v>
      </c>
      <c r="AY93" s="5" t="str" cm="1">
        <f t="array" ref="AY93">INDEX(_xlfn.TOROW(PixelPatternTable),HEX2DEC(AH93)-$T$1+1)</f>
        <v>8B</v>
      </c>
      <c r="AZ93" s="5" t="str" cm="1">
        <f t="array" ref="AZ93">INDEX(_xlfn.TOROW(PixelPatternTable),HEX2DEC(AI93)-$T$1+1)</f>
        <v>8B</v>
      </c>
    </row>
    <row r="94" spans="1:52" x14ac:dyDescent="0.3">
      <c r="A94" s="5" t="str">
        <f t="shared" si="79"/>
        <v>A7B0</v>
      </c>
      <c r="B94" s="71" t="str">
        <f>pixel_shift_table.asm!C94</f>
        <v>A9</v>
      </c>
      <c r="C94" s="72" t="str">
        <f>pixel_shift_table.asm!D94</f>
        <v>AA</v>
      </c>
      <c r="D94" s="72" t="str">
        <f>pixel_shift_table.asm!E94</f>
        <v>A9</v>
      </c>
      <c r="E94" s="72" t="str">
        <f>pixel_shift_table.asm!F94</f>
        <v>AA</v>
      </c>
      <c r="F94" s="72" t="str">
        <f>pixel_shift_table.asm!G94</f>
        <v>A9</v>
      </c>
      <c r="G94" s="72" t="str">
        <f>pixel_shift_table.asm!H94</f>
        <v>AA</v>
      </c>
      <c r="H94" s="72" t="str">
        <f>pixel_shift_table.asm!I94</f>
        <v>A9</v>
      </c>
      <c r="I94" s="72" t="str">
        <f>pixel_shift_table.asm!J94</f>
        <v>AA</v>
      </c>
      <c r="J94" s="72" t="str">
        <f>pixel_shift_table.asm!K94</f>
        <v>A9</v>
      </c>
      <c r="K94" s="72" t="str">
        <f>pixel_shift_table.asm!L94</f>
        <v>AA</v>
      </c>
      <c r="L94" s="72" t="str">
        <f>pixel_shift_table.asm!M94</f>
        <v>A9</v>
      </c>
      <c r="M94" s="72" t="str">
        <f>pixel_shift_table.asm!N94</f>
        <v>AA</v>
      </c>
      <c r="N94" s="72" t="str">
        <f>pixel_shift_table.asm!O94</f>
        <v>A9</v>
      </c>
      <c r="O94" s="72" t="str">
        <f>pixel_shift_table.asm!P94</f>
        <v>AA</v>
      </c>
      <c r="P94" s="72" t="str">
        <f>pixel_shift_table.asm!Q94</f>
        <v>A9</v>
      </c>
      <c r="Q94" s="72" t="str">
        <f>pixel_shift_table.asm!R94</f>
        <v>AA</v>
      </c>
      <c r="S94">
        <f t="shared" si="80"/>
        <v>176</v>
      </c>
      <c r="T94" s="5" t="str">
        <f t="shared" si="81"/>
        <v>A9C1</v>
      </c>
      <c r="U94" s="5" t="str">
        <f t="shared" si="82"/>
        <v>AA8D</v>
      </c>
      <c r="V94" s="5" t="str">
        <f t="shared" si="83"/>
        <v>A9CF</v>
      </c>
      <c r="W94" s="5" t="str">
        <f t="shared" si="84"/>
        <v>AA9D</v>
      </c>
      <c r="X94" s="5" t="str">
        <f t="shared" si="85"/>
        <v>A9D1</v>
      </c>
      <c r="Y94" s="5" t="str">
        <f t="shared" si="86"/>
        <v>AAAD</v>
      </c>
      <c r="Z94" s="5" t="str">
        <f t="shared" si="87"/>
        <v>A9DF</v>
      </c>
      <c r="AA94" s="5" t="str">
        <f t="shared" si="88"/>
        <v>AABD</v>
      </c>
      <c r="AB94" s="5" t="str">
        <f t="shared" si="89"/>
        <v>A9E1</v>
      </c>
      <c r="AC94" s="5" t="str">
        <f t="shared" si="90"/>
        <v>AACD</v>
      </c>
      <c r="AD94" s="5" t="str">
        <f t="shared" si="91"/>
        <v>A9EF</v>
      </c>
      <c r="AE94" s="5" t="str">
        <f t="shared" si="92"/>
        <v>AADD</v>
      </c>
      <c r="AF94" s="5" t="str">
        <f t="shared" si="93"/>
        <v>A9F1</v>
      </c>
      <c r="AG94" s="5" t="str">
        <f t="shared" si="94"/>
        <v>AAED</v>
      </c>
      <c r="AH94" s="5" t="str">
        <f t="shared" si="95"/>
        <v>A9FF</v>
      </c>
      <c r="AI94" s="5" t="str">
        <f t="shared" si="96"/>
        <v>AAFD</v>
      </c>
      <c r="AK94" s="5" t="str" cm="1">
        <f t="array" ref="AK94">INDEX(_xlfn.TOROW(PixelPatternTable),HEX2DEC(T94)-$T$1+1)</f>
        <v>8C</v>
      </c>
      <c r="AL94" s="5" t="str" cm="1">
        <f t="array" ref="AL94">INDEX(_xlfn.TOROW(PixelPatternTable),HEX2DEC(U94)-$T$1+1)</f>
        <v>8C</v>
      </c>
      <c r="AM94" s="5" t="str" cm="1">
        <f t="array" ref="AM94">INDEX(_xlfn.TOROW(PixelPatternTable),HEX2DEC(V94)-$T$1+1)</f>
        <v>8C</v>
      </c>
      <c r="AN94" s="5" t="str" cm="1">
        <f t="array" ref="AN94">INDEX(_xlfn.TOROW(PixelPatternTable),HEX2DEC(W94)-$T$1+1)</f>
        <v>8C</v>
      </c>
      <c r="AO94" s="5" t="str" cm="1">
        <f t="array" ref="AO94">INDEX(_xlfn.TOROW(PixelPatternTable),HEX2DEC(X94)-$T$1+1)</f>
        <v>8D</v>
      </c>
      <c r="AP94" s="5" t="str" cm="1">
        <f t="array" ref="AP94">INDEX(_xlfn.TOROW(PixelPatternTable),HEX2DEC(Y94)-$T$1+1)</f>
        <v>8D</v>
      </c>
      <c r="AQ94" s="5" t="str" cm="1">
        <f t="array" ref="AQ94">INDEX(_xlfn.TOROW(PixelPatternTable),HEX2DEC(Z94)-$T$1+1)</f>
        <v>8D</v>
      </c>
      <c r="AR94" s="5" t="str" cm="1">
        <f t="array" ref="AR94">INDEX(_xlfn.TOROW(PixelPatternTable),HEX2DEC(AA94)-$T$1+1)</f>
        <v>8D</v>
      </c>
      <c r="AS94" s="5" t="str" cm="1">
        <f t="array" ref="AS94">INDEX(_xlfn.TOROW(PixelPatternTable),HEX2DEC(AB94)-$T$1+1)</f>
        <v>8E</v>
      </c>
      <c r="AT94" s="5" t="str" cm="1">
        <f t="array" ref="AT94">INDEX(_xlfn.TOROW(PixelPatternTable),HEX2DEC(AC94)-$T$1+1)</f>
        <v>8E</v>
      </c>
      <c r="AU94" s="5" t="str" cm="1">
        <f t="array" ref="AU94">INDEX(_xlfn.TOROW(PixelPatternTable),HEX2DEC(AD94)-$T$1+1)</f>
        <v>8E</v>
      </c>
      <c r="AV94" s="5" t="str" cm="1">
        <f t="array" ref="AV94">INDEX(_xlfn.TOROW(PixelPatternTable),HEX2DEC(AE94)-$T$1+1)</f>
        <v>8E</v>
      </c>
      <c r="AW94" s="5" t="str" cm="1">
        <f t="array" ref="AW94">INDEX(_xlfn.TOROW(PixelPatternTable),HEX2DEC(AF94)-$T$1+1)</f>
        <v>8F</v>
      </c>
      <c r="AX94" s="5" t="str" cm="1">
        <f t="array" ref="AX94">INDEX(_xlfn.TOROW(PixelPatternTable),HEX2DEC(AG94)-$T$1+1)</f>
        <v>8F</v>
      </c>
      <c r="AY94" s="5" t="str" cm="1">
        <f t="array" ref="AY94">INDEX(_xlfn.TOROW(PixelPatternTable),HEX2DEC(AH94)-$T$1+1)</f>
        <v>8F</v>
      </c>
      <c r="AZ94" s="5" t="str" cm="1">
        <f t="array" ref="AZ94">INDEX(_xlfn.TOROW(PixelPatternTable),HEX2DEC(AI94)-$T$1+1)</f>
        <v>8F</v>
      </c>
    </row>
    <row r="95" spans="1:52" x14ac:dyDescent="0.3">
      <c r="A95" s="5" t="str">
        <f t="shared" si="79"/>
        <v>A7C0</v>
      </c>
      <c r="B95" s="71" t="str">
        <f>pixel_shift_table.asm!C95</f>
        <v>AA</v>
      </c>
      <c r="C95" s="72" t="str">
        <f>pixel_shift_table.asm!D95</f>
        <v>AB</v>
      </c>
      <c r="D95" s="72" t="str">
        <f>pixel_shift_table.asm!E95</f>
        <v>AA</v>
      </c>
      <c r="E95" s="72" t="str">
        <f>pixel_shift_table.asm!F95</f>
        <v>AB</v>
      </c>
      <c r="F95" s="72" t="str">
        <f>pixel_shift_table.asm!G95</f>
        <v>AA</v>
      </c>
      <c r="G95" s="72" t="str">
        <f>pixel_shift_table.asm!H95</f>
        <v>AB</v>
      </c>
      <c r="H95" s="72" t="str">
        <f>pixel_shift_table.asm!I95</f>
        <v>AA</v>
      </c>
      <c r="I95" s="72" t="str">
        <f>pixel_shift_table.asm!J95</f>
        <v>AB</v>
      </c>
      <c r="J95" s="72" t="str">
        <f>pixel_shift_table.asm!K95</f>
        <v>AA</v>
      </c>
      <c r="K95" s="72" t="str">
        <f>pixel_shift_table.asm!L95</f>
        <v>AB</v>
      </c>
      <c r="L95" s="72" t="str">
        <f>pixel_shift_table.asm!M95</f>
        <v>AA</v>
      </c>
      <c r="M95" s="72" t="str">
        <f>pixel_shift_table.asm!N95</f>
        <v>AB</v>
      </c>
      <c r="N95" s="72" t="str">
        <f>pixel_shift_table.asm!O95</f>
        <v>AA</v>
      </c>
      <c r="O95" s="72" t="str">
        <f>pixel_shift_table.asm!P95</f>
        <v>AB</v>
      </c>
      <c r="P95" s="72" t="str">
        <f>pixel_shift_table.asm!Q95</f>
        <v>AA</v>
      </c>
      <c r="Q95" s="72" t="str">
        <f>pixel_shift_table.asm!R95</f>
        <v>AB</v>
      </c>
      <c r="S95">
        <f t="shared" si="80"/>
        <v>192</v>
      </c>
      <c r="T95" s="5" t="str">
        <f t="shared" si="81"/>
        <v>AA01</v>
      </c>
      <c r="U95" s="5" t="str">
        <f t="shared" si="82"/>
        <v>AB0D</v>
      </c>
      <c r="V95" s="5" t="str">
        <f t="shared" si="83"/>
        <v>AA0F</v>
      </c>
      <c r="W95" s="5" t="str">
        <f t="shared" si="84"/>
        <v>AB1D</v>
      </c>
      <c r="X95" s="5" t="str">
        <f t="shared" si="85"/>
        <v>AA11</v>
      </c>
      <c r="Y95" s="5" t="str">
        <f t="shared" si="86"/>
        <v>AB2D</v>
      </c>
      <c r="Z95" s="5" t="str">
        <f t="shared" si="87"/>
        <v>AA1F</v>
      </c>
      <c r="AA95" s="5" t="str">
        <f t="shared" si="88"/>
        <v>AB3D</v>
      </c>
      <c r="AB95" s="5" t="str">
        <f t="shared" si="89"/>
        <v>AA21</v>
      </c>
      <c r="AC95" s="5" t="str">
        <f t="shared" si="90"/>
        <v>AB4D</v>
      </c>
      <c r="AD95" s="5" t="str">
        <f t="shared" si="91"/>
        <v>AA2F</v>
      </c>
      <c r="AE95" s="5" t="str">
        <f t="shared" si="92"/>
        <v>AB5D</v>
      </c>
      <c r="AF95" s="5" t="str">
        <f t="shared" si="93"/>
        <v>AA31</v>
      </c>
      <c r="AG95" s="5" t="str">
        <f t="shared" si="94"/>
        <v>AB6D</v>
      </c>
      <c r="AH95" s="5" t="str">
        <f t="shared" si="95"/>
        <v>AA3F</v>
      </c>
      <c r="AI95" s="5" t="str">
        <f t="shared" si="96"/>
        <v>AB7D</v>
      </c>
      <c r="AK95" s="5" t="str" cm="1">
        <f t="array" ref="AK95">INDEX(_xlfn.TOROW(PixelPatternTable),HEX2DEC(T95)-$T$1+1)</f>
        <v>90</v>
      </c>
      <c r="AL95" s="5" t="str" cm="1">
        <f t="array" ref="AL95">INDEX(_xlfn.TOROW(PixelPatternTable),HEX2DEC(U95)-$T$1+1)</f>
        <v>90</v>
      </c>
      <c r="AM95" s="5" t="str" cm="1">
        <f t="array" ref="AM95">INDEX(_xlfn.TOROW(PixelPatternTable),HEX2DEC(V95)-$T$1+1)</f>
        <v>90</v>
      </c>
      <c r="AN95" s="5" t="str" cm="1">
        <f t="array" ref="AN95">INDEX(_xlfn.TOROW(PixelPatternTable),HEX2DEC(W95)-$T$1+1)</f>
        <v>90</v>
      </c>
      <c r="AO95" s="5" t="str" cm="1">
        <f t="array" ref="AO95">INDEX(_xlfn.TOROW(PixelPatternTable),HEX2DEC(X95)-$T$1+1)</f>
        <v>91</v>
      </c>
      <c r="AP95" s="5" t="str" cm="1">
        <f t="array" ref="AP95">INDEX(_xlfn.TOROW(PixelPatternTable),HEX2DEC(Y95)-$T$1+1)</f>
        <v>91</v>
      </c>
      <c r="AQ95" s="5" t="str" cm="1">
        <f t="array" ref="AQ95">INDEX(_xlfn.TOROW(PixelPatternTable),HEX2DEC(Z95)-$T$1+1)</f>
        <v>91</v>
      </c>
      <c r="AR95" s="5" t="str" cm="1">
        <f t="array" ref="AR95">INDEX(_xlfn.TOROW(PixelPatternTable),HEX2DEC(AA95)-$T$1+1)</f>
        <v>91</v>
      </c>
      <c r="AS95" s="5" t="str" cm="1">
        <f t="array" ref="AS95">INDEX(_xlfn.TOROW(PixelPatternTable),HEX2DEC(AB95)-$T$1+1)</f>
        <v>92</v>
      </c>
      <c r="AT95" s="5" t="str" cm="1">
        <f t="array" ref="AT95">INDEX(_xlfn.TOROW(PixelPatternTable),HEX2DEC(AC95)-$T$1+1)</f>
        <v>92</v>
      </c>
      <c r="AU95" s="5" t="str" cm="1">
        <f t="array" ref="AU95">INDEX(_xlfn.TOROW(PixelPatternTable),HEX2DEC(AD95)-$T$1+1)</f>
        <v>92</v>
      </c>
      <c r="AV95" s="5" t="str" cm="1">
        <f t="array" ref="AV95">INDEX(_xlfn.TOROW(PixelPatternTable),HEX2DEC(AE95)-$T$1+1)</f>
        <v>92</v>
      </c>
      <c r="AW95" s="5" t="str" cm="1">
        <f t="array" ref="AW95">INDEX(_xlfn.TOROW(PixelPatternTable),HEX2DEC(AF95)-$T$1+1)</f>
        <v>93</v>
      </c>
      <c r="AX95" s="5" t="str" cm="1">
        <f t="array" ref="AX95">INDEX(_xlfn.TOROW(PixelPatternTable),HEX2DEC(AG95)-$T$1+1)</f>
        <v>93</v>
      </c>
      <c r="AY95" s="5" t="str" cm="1">
        <f t="array" ref="AY95">INDEX(_xlfn.TOROW(PixelPatternTable),HEX2DEC(AH95)-$T$1+1)</f>
        <v>93</v>
      </c>
      <c r="AZ95" s="5" t="str" cm="1">
        <f t="array" ref="AZ95">INDEX(_xlfn.TOROW(PixelPatternTable),HEX2DEC(AI95)-$T$1+1)</f>
        <v>93</v>
      </c>
    </row>
    <row r="96" spans="1:52" x14ac:dyDescent="0.3">
      <c r="A96" s="5" t="str">
        <f t="shared" si="79"/>
        <v>A7D0</v>
      </c>
      <c r="B96" s="71" t="str">
        <f>pixel_shift_table.asm!C96</f>
        <v>AA</v>
      </c>
      <c r="C96" s="72" t="str">
        <f>pixel_shift_table.asm!D96</f>
        <v>AB</v>
      </c>
      <c r="D96" s="72" t="str">
        <f>pixel_shift_table.asm!E96</f>
        <v>AA</v>
      </c>
      <c r="E96" s="72" t="str">
        <f>pixel_shift_table.asm!F96</f>
        <v>AB</v>
      </c>
      <c r="F96" s="72" t="str">
        <f>pixel_shift_table.asm!G96</f>
        <v>AA</v>
      </c>
      <c r="G96" s="72" t="str">
        <f>pixel_shift_table.asm!H96</f>
        <v>AB</v>
      </c>
      <c r="H96" s="72" t="str">
        <f>pixel_shift_table.asm!I96</f>
        <v>AA</v>
      </c>
      <c r="I96" s="72" t="str">
        <f>pixel_shift_table.asm!J96</f>
        <v>AB</v>
      </c>
      <c r="J96" s="72" t="str">
        <f>pixel_shift_table.asm!K96</f>
        <v>AA</v>
      </c>
      <c r="K96" s="72" t="str">
        <f>pixel_shift_table.asm!L96</f>
        <v>AB</v>
      </c>
      <c r="L96" s="72" t="str">
        <f>pixel_shift_table.asm!M96</f>
        <v>AA</v>
      </c>
      <c r="M96" s="72" t="str">
        <f>pixel_shift_table.asm!N96</f>
        <v>AB</v>
      </c>
      <c r="N96" s="72" t="str">
        <f>pixel_shift_table.asm!O96</f>
        <v>AA</v>
      </c>
      <c r="O96" s="72" t="str">
        <f>pixel_shift_table.asm!P96</f>
        <v>AB</v>
      </c>
      <c r="P96" s="72" t="str">
        <f>pixel_shift_table.asm!Q96</f>
        <v>AA</v>
      </c>
      <c r="Q96" s="72" t="str">
        <f>pixel_shift_table.asm!R96</f>
        <v>AB</v>
      </c>
      <c r="S96">
        <f t="shared" si="80"/>
        <v>208</v>
      </c>
      <c r="T96" s="5" t="str">
        <f t="shared" si="81"/>
        <v>AA41</v>
      </c>
      <c r="U96" s="5" t="str">
        <f t="shared" si="82"/>
        <v>AB8D</v>
      </c>
      <c r="V96" s="5" t="str">
        <f t="shared" si="83"/>
        <v>AA4F</v>
      </c>
      <c r="W96" s="5" t="str">
        <f t="shared" si="84"/>
        <v>AB9D</v>
      </c>
      <c r="X96" s="5" t="str">
        <f t="shared" si="85"/>
        <v>AA51</v>
      </c>
      <c r="Y96" s="5" t="str">
        <f t="shared" si="86"/>
        <v>ABAD</v>
      </c>
      <c r="Z96" s="5" t="str">
        <f t="shared" si="87"/>
        <v>AA5F</v>
      </c>
      <c r="AA96" s="5" t="str">
        <f t="shared" si="88"/>
        <v>ABBD</v>
      </c>
      <c r="AB96" s="5" t="str">
        <f t="shared" si="89"/>
        <v>AA61</v>
      </c>
      <c r="AC96" s="5" t="str">
        <f t="shared" si="90"/>
        <v>ABCD</v>
      </c>
      <c r="AD96" s="5" t="str">
        <f t="shared" si="91"/>
        <v>AA6F</v>
      </c>
      <c r="AE96" s="5" t="str">
        <f t="shared" si="92"/>
        <v>ABDD</v>
      </c>
      <c r="AF96" s="5" t="str">
        <f t="shared" si="93"/>
        <v>AA71</v>
      </c>
      <c r="AG96" s="5" t="str">
        <f t="shared" si="94"/>
        <v>ABED</v>
      </c>
      <c r="AH96" s="5" t="str">
        <f t="shared" si="95"/>
        <v>AA7F</v>
      </c>
      <c r="AI96" s="5" t="str">
        <f t="shared" si="96"/>
        <v>ABFD</v>
      </c>
      <c r="AK96" s="5" t="str" cm="1">
        <f t="array" ref="AK96">INDEX(_xlfn.TOROW(PixelPatternTable),HEX2DEC(T96)-$T$1+1)</f>
        <v>94</v>
      </c>
      <c r="AL96" s="5" t="str" cm="1">
        <f t="array" ref="AL96">INDEX(_xlfn.TOROW(PixelPatternTable),HEX2DEC(U96)-$T$1+1)</f>
        <v>94</v>
      </c>
      <c r="AM96" s="5" t="str" cm="1">
        <f t="array" ref="AM96">INDEX(_xlfn.TOROW(PixelPatternTable),HEX2DEC(V96)-$T$1+1)</f>
        <v>94</v>
      </c>
      <c r="AN96" s="5" t="str" cm="1">
        <f t="array" ref="AN96">INDEX(_xlfn.TOROW(PixelPatternTable),HEX2DEC(W96)-$T$1+1)</f>
        <v>94</v>
      </c>
      <c r="AO96" s="5" t="str" cm="1">
        <f t="array" ref="AO96">INDEX(_xlfn.TOROW(PixelPatternTable),HEX2DEC(X96)-$T$1+1)</f>
        <v>95</v>
      </c>
      <c r="AP96" s="5" t="str" cm="1">
        <f t="array" ref="AP96">INDEX(_xlfn.TOROW(PixelPatternTable),HEX2DEC(Y96)-$T$1+1)</f>
        <v>95</v>
      </c>
      <c r="AQ96" s="5" t="str" cm="1">
        <f t="array" ref="AQ96">INDEX(_xlfn.TOROW(PixelPatternTable),HEX2DEC(Z96)-$T$1+1)</f>
        <v>95</v>
      </c>
      <c r="AR96" s="5" t="str" cm="1">
        <f t="array" ref="AR96">INDEX(_xlfn.TOROW(PixelPatternTable),HEX2DEC(AA96)-$T$1+1)</f>
        <v>95</v>
      </c>
      <c r="AS96" s="5" t="str" cm="1">
        <f t="array" ref="AS96">INDEX(_xlfn.TOROW(PixelPatternTable),HEX2DEC(AB96)-$T$1+1)</f>
        <v>96</v>
      </c>
      <c r="AT96" s="5" t="str" cm="1">
        <f t="array" ref="AT96">INDEX(_xlfn.TOROW(PixelPatternTable),HEX2DEC(AC96)-$T$1+1)</f>
        <v>96</v>
      </c>
      <c r="AU96" s="5" t="str" cm="1">
        <f t="array" ref="AU96">INDEX(_xlfn.TOROW(PixelPatternTable),HEX2DEC(AD96)-$T$1+1)</f>
        <v>96</v>
      </c>
      <c r="AV96" s="5" t="str" cm="1">
        <f t="array" ref="AV96">INDEX(_xlfn.TOROW(PixelPatternTable),HEX2DEC(AE96)-$T$1+1)</f>
        <v>96</v>
      </c>
      <c r="AW96" s="5" t="str" cm="1">
        <f t="array" ref="AW96">INDEX(_xlfn.TOROW(PixelPatternTable),HEX2DEC(AF96)-$T$1+1)</f>
        <v>97</v>
      </c>
      <c r="AX96" s="5" t="str" cm="1">
        <f t="array" ref="AX96">INDEX(_xlfn.TOROW(PixelPatternTable),HEX2DEC(AG96)-$T$1+1)</f>
        <v>97</v>
      </c>
      <c r="AY96" s="5" t="str" cm="1">
        <f t="array" ref="AY96">INDEX(_xlfn.TOROW(PixelPatternTable),HEX2DEC(AH96)-$T$1+1)</f>
        <v>97</v>
      </c>
      <c r="AZ96" s="5" t="str" cm="1">
        <f t="array" ref="AZ96">INDEX(_xlfn.TOROW(PixelPatternTable),HEX2DEC(AI96)-$T$1+1)</f>
        <v>97</v>
      </c>
    </row>
    <row r="97" spans="1:52" x14ac:dyDescent="0.3">
      <c r="A97" s="5" t="str">
        <f t="shared" si="79"/>
        <v>A7E0</v>
      </c>
      <c r="B97" s="71" t="str">
        <f>pixel_shift_table.asm!C97</f>
        <v>AA</v>
      </c>
      <c r="C97" s="72" t="str">
        <f>pixel_shift_table.asm!D97</f>
        <v>AC</v>
      </c>
      <c r="D97" s="72" t="str">
        <f>pixel_shift_table.asm!E97</f>
        <v>AA</v>
      </c>
      <c r="E97" s="72" t="str">
        <f>pixel_shift_table.asm!F97</f>
        <v>AC</v>
      </c>
      <c r="F97" s="72" t="str">
        <f>pixel_shift_table.asm!G97</f>
        <v>AA</v>
      </c>
      <c r="G97" s="72" t="str">
        <f>pixel_shift_table.asm!H97</f>
        <v>AC</v>
      </c>
      <c r="H97" s="72" t="str">
        <f>pixel_shift_table.asm!I97</f>
        <v>AA</v>
      </c>
      <c r="I97" s="72" t="str">
        <f>pixel_shift_table.asm!J97</f>
        <v>AC</v>
      </c>
      <c r="J97" s="72" t="str">
        <f>pixel_shift_table.asm!K97</f>
        <v>AA</v>
      </c>
      <c r="K97" s="72" t="str">
        <f>pixel_shift_table.asm!L97</f>
        <v>AC</v>
      </c>
      <c r="L97" s="72" t="str">
        <f>pixel_shift_table.asm!M97</f>
        <v>AA</v>
      </c>
      <c r="M97" s="72" t="str">
        <f>pixel_shift_table.asm!N97</f>
        <v>AC</v>
      </c>
      <c r="N97" s="72" t="str">
        <f>pixel_shift_table.asm!O97</f>
        <v>AA</v>
      </c>
      <c r="O97" s="72" t="str">
        <f>pixel_shift_table.asm!P97</f>
        <v>AC</v>
      </c>
      <c r="P97" s="72" t="str">
        <f>pixel_shift_table.asm!Q97</f>
        <v>AA</v>
      </c>
      <c r="Q97" s="72" t="str">
        <f>pixel_shift_table.asm!R97</f>
        <v>AC</v>
      </c>
      <c r="S97">
        <f t="shared" si="80"/>
        <v>224</v>
      </c>
      <c r="T97" s="5" t="str">
        <f t="shared" si="81"/>
        <v>AA81</v>
      </c>
      <c r="U97" s="5" t="str">
        <f t="shared" si="82"/>
        <v>AC0D</v>
      </c>
      <c r="V97" s="5" t="str">
        <f t="shared" si="83"/>
        <v>AA8F</v>
      </c>
      <c r="W97" s="5" t="str">
        <f t="shared" si="84"/>
        <v>AC1D</v>
      </c>
      <c r="X97" s="5" t="str">
        <f t="shared" si="85"/>
        <v>AA91</v>
      </c>
      <c r="Y97" s="5" t="str">
        <f t="shared" si="86"/>
        <v>AC2D</v>
      </c>
      <c r="Z97" s="5" t="str">
        <f t="shared" si="87"/>
        <v>AA9F</v>
      </c>
      <c r="AA97" s="5" t="str">
        <f t="shared" si="88"/>
        <v>AC3D</v>
      </c>
      <c r="AB97" s="5" t="str">
        <f t="shared" si="89"/>
        <v>AAA1</v>
      </c>
      <c r="AC97" s="5" t="str">
        <f t="shared" si="90"/>
        <v>AC4D</v>
      </c>
      <c r="AD97" s="5" t="str">
        <f t="shared" si="91"/>
        <v>AAAF</v>
      </c>
      <c r="AE97" s="5" t="str">
        <f t="shared" si="92"/>
        <v>AC5D</v>
      </c>
      <c r="AF97" s="5" t="str">
        <f t="shared" si="93"/>
        <v>AAB1</v>
      </c>
      <c r="AG97" s="5" t="str">
        <f t="shared" si="94"/>
        <v>AC6D</v>
      </c>
      <c r="AH97" s="5" t="str">
        <f t="shared" si="95"/>
        <v>AABF</v>
      </c>
      <c r="AI97" s="5" t="str">
        <f t="shared" si="96"/>
        <v>AC7D</v>
      </c>
      <c r="AK97" s="5" t="str" cm="1">
        <f t="array" ref="AK97">INDEX(_xlfn.TOROW(PixelPatternTable),HEX2DEC(T97)-$T$1+1)</f>
        <v>98</v>
      </c>
      <c r="AL97" s="5" t="str" cm="1">
        <f t="array" ref="AL97">INDEX(_xlfn.TOROW(PixelPatternTable),HEX2DEC(U97)-$T$1+1)</f>
        <v>98</v>
      </c>
      <c r="AM97" s="5" t="str" cm="1">
        <f t="array" ref="AM97">INDEX(_xlfn.TOROW(PixelPatternTable),HEX2DEC(V97)-$T$1+1)</f>
        <v>98</v>
      </c>
      <c r="AN97" s="5" t="str" cm="1">
        <f t="array" ref="AN97">INDEX(_xlfn.TOROW(PixelPatternTable),HEX2DEC(W97)-$T$1+1)</f>
        <v>98</v>
      </c>
      <c r="AO97" s="5" t="str" cm="1">
        <f t="array" ref="AO97">INDEX(_xlfn.TOROW(PixelPatternTable),HEX2DEC(X97)-$T$1+1)</f>
        <v>99</v>
      </c>
      <c r="AP97" s="5" t="str" cm="1">
        <f t="array" ref="AP97">INDEX(_xlfn.TOROW(PixelPatternTable),HEX2DEC(Y97)-$T$1+1)</f>
        <v>99</v>
      </c>
      <c r="AQ97" s="5" t="str" cm="1">
        <f t="array" ref="AQ97">INDEX(_xlfn.TOROW(PixelPatternTable),HEX2DEC(Z97)-$T$1+1)</f>
        <v>99</v>
      </c>
      <c r="AR97" s="5" t="str" cm="1">
        <f t="array" ref="AR97">INDEX(_xlfn.TOROW(PixelPatternTable),HEX2DEC(AA97)-$T$1+1)</f>
        <v>99</v>
      </c>
      <c r="AS97" s="5" t="str" cm="1">
        <f t="array" ref="AS97">INDEX(_xlfn.TOROW(PixelPatternTable),HEX2DEC(AB97)-$T$1+1)</f>
        <v>9A</v>
      </c>
      <c r="AT97" s="5" t="str" cm="1">
        <f t="array" ref="AT97">INDEX(_xlfn.TOROW(PixelPatternTable),HEX2DEC(AC97)-$T$1+1)</f>
        <v>9A</v>
      </c>
      <c r="AU97" s="5" t="str" cm="1">
        <f t="array" ref="AU97">INDEX(_xlfn.TOROW(PixelPatternTable),HEX2DEC(AD97)-$T$1+1)</f>
        <v>9A</v>
      </c>
      <c r="AV97" s="5" t="str" cm="1">
        <f t="array" ref="AV97">INDEX(_xlfn.TOROW(PixelPatternTable),HEX2DEC(AE97)-$T$1+1)</f>
        <v>9A</v>
      </c>
      <c r="AW97" s="5" t="str" cm="1">
        <f t="array" ref="AW97">INDEX(_xlfn.TOROW(PixelPatternTable),HEX2DEC(AF97)-$T$1+1)</f>
        <v>9B</v>
      </c>
      <c r="AX97" s="5" t="str" cm="1">
        <f t="array" ref="AX97">INDEX(_xlfn.TOROW(PixelPatternTable),HEX2DEC(AG97)-$T$1+1)</f>
        <v>9B</v>
      </c>
      <c r="AY97" s="5" t="str" cm="1">
        <f t="array" ref="AY97">INDEX(_xlfn.TOROW(PixelPatternTable),HEX2DEC(AH97)-$T$1+1)</f>
        <v>9B</v>
      </c>
      <c r="AZ97" s="5" t="str" cm="1">
        <f t="array" ref="AZ97">INDEX(_xlfn.TOROW(PixelPatternTable),HEX2DEC(AI97)-$T$1+1)</f>
        <v>9B</v>
      </c>
    </row>
    <row r="98" spans="1:52" x14ac:dyDescent="0.3">
      <c r="A98" s="58" t="str">
        <f t="shared" si="79"/>
        <v>A7F0</v>
      </c>
      <c r="B98" s="73" t="str">
        <f>pixel_shift_table.asm!C98</f>
        <v>AA</v>
      </c>
      <c r="C98" s="74" t="str">
        <f>pixel_shift_table.asm!D98</f>
        <v>AC</v>
      </c>
      <c r="D98" s="74" t="str">
        <f>pixel_shift_table.asm!E98</f>
        <v>AA</v>
      </c>
      <c r="E98" s="74" t="str">
        <f>pixel_shift_table.asm!F98</f>
        <v>AC</v>
      </c>
      <c r="F98" s="74" t="str">
        <f>pixel_shift_table.asm!G98</f>
        <v>AA</v>
      </c>
      <c r="G98" s="74" t="str">
        <f>pixel_shift_table.asm!H98</f>
        <v>AC</v>
      </c>
      <c r="H98" s="74" t="str">
        <f>pixel_shift_table.asm!I98</f>
        <v>AA</v>
      </c>
      <c r="I98" s="74" t="str">
        <f>pixel_shift_table.asm!J98</f>
        <v>AC</v>
      </c>
      <c r="J98" s="74" t="str">
        <f>pixel_shift_table.asm!K98</f>
        <v>AA</v>
      </c>
      <c r="K98" s="74" t="str">
        <f>pixel_shift_table.asm!L98</f>
        <v>AC</v>
      </c>
      <c r="L98" s="74" t="str">
        <f>pixel_shift_table.asm!M98</f>
        <v>AA</v>
      </c>
      <c r="M98" s="74" t="str">
        <f>pixel_shift_table.asm!N98</f>
        <v>AC</v>
      </c>
      <c r="N98" s="74" t="str">
        <f>pixel_shift_table.asm!O98</f>
        <v>AA</v>
      </c>
      <c r="O98" s="74" t="str">
        <f>pixel_shift_table.asm!P98</f>
        <v>AC</v>
      </c>
      <c r="P98" s="74" t="str">
        <f>pixel_shift_table.asm!Q98</f>
        <v>AA</v>
      </c>
      <c r="Q98" s="74" t="str">
        <f>pixel_shift_table.asm!R98</f>
        <v>AC</v>
      </c>
      <c r="S98">
        <f t="shared" si="80"/>
        <v>240</v>
      </c>
      <c r="T98" s="5" t="str">
        <f t="shared" si="81"/>
        <v>AAC1</v>
      </c>
      <c r="U98" s="5" t="str">
        <f t="shared" si="82"/>
        <v>AC8D</v>
      </c>
      <c r="V98" s="5" t="str">
        <f t="shared" si="83"/>
        <v>AACF</v>
      </c>
      <c r="W98" s="5" t="str">
        <f t="shared" si="84"/>
        <v>AC9D</v>
      </c>
      <c r="X98" s="5" t="str">
        <f t="shared" si="85"/>
        <v>AAD1</v>
      </c>
      <c r="Y98" s="5" t="str">
        <f t="shared" si="86"/>
        <v>ACAD</v>
      </c>
      <c r="Z98" s="5" t="str">
        <f t="shared" si="87"/>
        <v>AADF</v>
      </c>
      <c r="AA98" s="5" t="str">
        <f t="shared" si="88"/>
        <v>ACBD</v>
      </c>
      <c r="AB98" s="5" t="str">
        <f t="shared" si="89"/>
        <v>AAE1</v>
      </c>
      <c r="AC98" s="5" t="str">
        <f t="shared" si="90"/>
        <v>ACCD</v>
      </c>
      <c r="AD98" s="5" t="str">
        <f t="shared" si="91"/>
        <v>AAEF</v>
      </c>
      <c r="AE98" s="5" t="str">
        <f t="shared" si="92"/>
        <v>ACDD</v>
      </c>
      <c r="AF98" s="5" t="str">
        <f t="shared" si="93"/>
        <v>AAF1</v>
      </c>
      <c r="AG98" s="5" t="str">
        <f t="shared" si="94"/>
        <v>ACED</v>
      </c>
      <c r="AH98" s="5" t="str">
        <f t="shared" si="95"/>
        <v>AAFF</v>
      </c>
      <c r="AI98" s="5" t="str">
        <f t="shared" si="96"/>
        <v>ACFD</v>
      </c>
      <c r="AK98" s="5" t="str" cm="1">
        <f t="array" ref="AK98">INDEX(_xlfn.TOROW(PixelPatternTable),HEX2DEC(T98)-$T$1+1)</f>
        <v>9C</v>
      </c>
      <c r="AL98" s="5" t="str" cm="1">
        <f t="array" ref="AL98">INDEX(_xlfn.TOROW(PixelPatternTable),HEX2DEC(U98)-$T$1+1)</f>
        <v>9C</v>
      </c>
      <c r="AM98" s="5" t="str" cm="1">
        <f t="array" ref="AM98">INDEX(_xlfn.TOROW(PixelPatternTable),HEX2DEC(V98)-$T$1+1)</f>
        <v>9C</v>
      </c>
      <c r="AN98" s="5" t="str" cm="1">
        <f t="array" ref="AN98">INDEX(_xlfn.TOROW(PixelPatternTable),HEX2DEC(W98)-$T$1+1)</f>
        <v>9C</v>
      </c>
      <c r="AO98" s="5" t="str" cm="1">
        <f t="array" ref="AO98">INDEX(_xlfn.TOROW(PixelPatternTable),HEX2DEC(X98)-$T$1+1)</f>
        <v>9D</v>
      </c>
      <c r="AP98" s="5" t="str" cm="1">
        <f t="array" ref="AP98">INDEX(_xlfn.TOROW(PixelPatternTable),HEX2DEC(Y98)-$T$1+1)</f>
        <v>9D</v>
      </c>
      <c r="AQ98" s="5" t="str" cm="1">
        <f t="array" ref="AQ98">INDEX(_xlfn.TOROW(PixelPatternTable),HEX2DEC(Z98)-$T$1+1)</f>
        <v>9D</v>
      </c>
      <c r="AR98" s="5" t="str" cm="1">
        <f t="array" ref="AR98">INDEX(_xlfn.TOROW(PixelPatternTable),HEX2DEC(AA98)-$T$1+1)</f>
        <v>9D</v>
      </c>
      <c r="AS98" s="5" t="str" cm="1">
        <f t="array" ref="AS98">INDEX(_xlfn.TOROW(PixelPatternTable),HEX2DEC(AB98)-$T$1+1)</f>
        <v>9E</v>
      </c>
      <c r="AT98" s="5" t="str" cm="1">
        <f t="array" ref="AT98">INDEX(_xlfn.TOROW(PixelPatternTable),HEX2DEC(AC98)-$T$1+1)</f>
        <v>9E</v>
      </c>
      <c r="AU98" s="5" t="str" cm="1">
        <f t="array" ref="AU98">INDEX(_xlfn.TOROW(PixelPatternTable),HEX2DEC(AD98)-$T$1+1)</f>
        <v>9E</v>
      </c>
      <c r="AV98" s="5" t="str" cm="1">
        <f t="array" ref="AV98">INDEX(_xlfn.TOROW(PixelPatternTable),HEX2DEC(AE98)-$T$1+1)</f>
        <v>9E</v>
      </c>
      <c r="AW98" s="5" t="str" cm="1">
        <f t="array" ref="AW98">INDEX(_xlfn.TOROW(PixelPatternTable),HEX2DEC(AF98)-$T$1+1)</f>
        <v>9F</v>
      </c>
      <c r="AX98" s="5" t="str" cm="1">
        <f t="array" ref="AX98">INDEX(_xlfn.TOROW(PixelPatternTable),HEX2DEC(AG98)-$T$1+1)</f>
        <v>9F</v>
      </c>
      <c r="AY98" s="5" t="str" cm="1">
        <f t="array" ref="AY98">INDEX(_xlfn.TOROW(PixelPatternTable),HEX2DEC(AH98)-$T$1+1)</f>
        <v>9F</v>
      </c>
      <c r="AZ98" s="5" t="str" cm="1">
        <f t="array" ref="AZ98">INDEX(_xlfn.TOROW(PixelPatternTable),HEX2DEC(AI98)-$T$1+1)</f>
        <v>9F</v>
      </c>
    </row>
    <row r="99" spans="1:52" x14ac:dyDescent="0.3">
      <c r="A99" s="29" t="str">
        <f t="shared" si="79"/>
        <v>A800</v>
      </c>
      <c r="B99" s="69" t="str">
        <f>pixel_shift_table.asm!C99</f>
        <v>00</v>
      </c>
      <c r="C99" s="70" t="str">
        <f>pixel_shift_table.asm!D99</f>
        <v>0E</v>
      </c>
      <c r="D99" s="70" t="str">
        <f>pixel_shift_table.asm!E99</f>
        <v>10</v>
      </c>
      <c r="E99" s="70" t="str">
        <f>pixel_shift_table.asm!F99</f>
        <v>1E</v>
      </c>
      <c r="F99" s="70" t="str">
        <f>pixel_shift_table.asm!G99</f>
        <v>20</v>
      </c>
      <c r="G99" s="70" t="str">
        <f>pixel_shift_table.asm!H99</f>
        <v>2E</v>
      </c>
      <c r="H99" s="70" t="str">
        <f>pixel_shift_table.asm!I99</f>
        <v>30</v>
      </c>
      <c r="I99" s="70" t="str">
        <f>pixel_shift_table.asm!J99</f>
        <v>3E</v>
      </c>
      <c r="J99" s="70" t="str">
        <f>pixel_shift_table.asm!K99</f>
        <v>40</v>
      </c>
      <c r="K99" s="70" t="str">
        <f>pixel_shift_table.asm!L99</f>
        <v>4E</v>
      </c>
      <c r="L99" s="70" t="str">
        <f>pixel_shift_table.asm!M99</f>
        <v>50</v>
      </c>
      <c r="M99" s="70" t="str">
        <f>pixel_shift_table.asm!N99</f>
        <v>5E</v>
      </c>
      <c r="N99" s="70" t="str">
        <f>pixel_shift_table.asm!O99</f>
        <v>60</v>
      </c>
      <c r="O99" s="70" t="str">
        <f>pixel_shift_table.asm!P99</f>
        <v>6E</v>
      </c>
      <c r="P99" s="70" t="str">
        <f>pixel_shift_table.asm!Q99</f>
        <v>70</v>
      </c>
      <c r="Q99" s="70" t="str">
        <f>pixel_shift_table.asm!R99</f>
        <v>7E</v>
      </c>
      <c r="S99">
        <f t="shared" si="80"/>
        <v>0</v>
      </c>
      <c r="T99" s="5" t="str">
        <f t="shared" si="81"/>
        <v>A900</v>
      </c>
      <c r="U99" s="5" t="str">
        <f t="shared" si="82"/>
        <v>A90E</v>
      </c>
      <c r="V99" s="5" t="str">
        <f t="shared" si="83"/>
        <v>A910</v>
      </c>
      <c r="W99" s="5" t="str">
        <f t="shared" si="84"/>
        <v>A91E</v>
      </c>
      <c r="X99" s="5" t="str">
        <f t="shared" si="85"/>
        <v>A920</v>
      </c>
      <c r="Y99" s="5" t="str">
        <f t="shared" si="86"/>
        <v>A92E</v>
      </c>
      <c r="Z99" s="5" t="str">
        <f t="shared" si="87"/>
        <v>A930</v>
      </c>
      <c r="AA99" s="5" t="str">
        <f t="shared" si="88"/>
        <v>A93E</v>
      </c>
      <c r="AB99" s="5" t="str">
        <f t="shared" si="89"/>
        <v>A940</v>
      </c>
      <c r="AC99" s="5" t="str">
        <f t="shared" si="90"/>
        <v>A94E</v>
      </c>
      <c r="AD99" s="5" t="str">
        <f t="shared" si="91"/>
        <v>A950</v>
      </c>
      <c r="AE99" s="5" t="str">
        <f t="shared" si="92"/>
        <v>A95E</v>
      </c>
      <c r="AF99" s="5" t="str">
        <f t="shared" si="93"/>
        <v>A960</v>
      </c>
      <c r="AG99" s="5" t="str">
        <f t="shared" si="94"/>
        <v>A96E</v>
      </c>
      <c r="AH99" s="5" t="str">
        <f t="shared" si="95"/>
        <v>A970</v>
      </c>
      <c r="AI99" s="5" t="str">
        <f t="shared" si="96"/>
        <v>A97E</v>
      </c>
      <c r="AK99" s="5" t="str" cm="1">
        <f t="array" ref="AK99">INDEX(_xlfn.TOROW(PixelPatternTable),HEX2DEC(T99)-$T$1+1)</f>
        <v>80</v>
      </c>
      <c r="AL99" s="5" t="str" cm="1">
        <f t="array" ref="AL99">INDEX(_xlfn.TOROW(PixelPatternTable),HEX2DEC(U99)-$T$1+1)</f>
        <v>C0</v>
      </c>
      <c r="AM99" s="5" t="str" cm="1">
        <f t="array" ref="AM99">INDEX(_xlfn.TOROW(PixelPatternTable),HEX2DEC(V99)-$T$1+1)</f>
        <v>80</v>
      </c>
      <c r="AN99" s="5" t="str" cm="1">
        <f t="array" ref="AN99">INDEX(_xlfn.TOROW(PixelPatternTable),HEX2DEC(W99)-$T$1+1)</f>
        <v>C0</v>
      </c>
      <c r="AO99" s="5" t="str" cm="1">
        <f t="array" ref="AO99">INDEX(_xlfn.TOROW(PixelPatternTable),HEX2DEC(X99)-$T$1+1)</f>
        <v>80</v>
      </c>
      <c r="AP99" s="5" t="str" cm="1">
        <f t="array" ref="AP99">INDEX(_xlfn.TOROW(PixelPatternTable),HEX2DEC(Y99)-$T$1+1)</f>
        <v>C0</v>
      </c>
      <c r="AQ99" s="5" t="str" cm="1">
        <f t="array" ref="AQ99">INDEX(_xlfn.TOROW(PixelPatternTable),HEX2DEC(Z99)-$T$1+1)</f>
        <v>80</v>
      </c>
      <c r="AR99" s="5" t="str" cm="1">
        <f t="array" ref="AR99">INDEX(_xlfn.TOROW(PixelPatternTable),HEX2DEC(AA99)-$T$1+1)</f>
        <v>C0</v>
      </c>
      <c r="AS99" s="5" t="str" cm="1">
        <f t="array" ref="AS99">INDEX(_xlfn.TOROW(PixelPatternTable),HEX2DEC(AB99)-$T$1+1)</f>
        <v>80</v>
      </c>
      <c r="AT99" s="5" t="str" cm="1">
        <f t="array" ref="AT99">INDEX(_xlfn.TOROW(PixelPatternTable),HEX2DEC(AC99)-$T$1+1)</f>
        <v>C0</v>
      </c>
      <c r="AU99" s="5" t="str" cm="1">
        <f t="array" ref="AU99">INDEX(_xlfn.TOROW(PixelPatternTable),HEX2DEC(AD99)-$T$1+1)</f>
        <v>80</v>
      </c>
      <c r="AV99" s="5" t="str" cm="1">
        <f t="array" ref="AV99">INDEX(_xlfn.TOROW(PixelPatternTable),HEX2DEC(AE99)-$T$1+1)</f>
        <v>C0</v>
      </c>
      <c r="AW99" s="5" t="str" cm="1">
        <f t="array" ref="AW99">INDEX(_xlfn.TOROW(PixelPatternTable),HEX2DEC(AF99)-$T$1+1)</f>
        <v>80</v>
      </c>
      <c r="AX99" s="5" t="str" cm="1">
        <f t="array" ref="AX99">INDEX(_xlfn.TOROW(PixelPatternTable),HEX2DEC(AG99)-$T$1+1)</f>
        <v>C0</v>
      </c>
      <c r="AY99" s="5" t="str" cm="1">
        <f t="array" ref="AY99">INDEX(_xlfn.TOROW(PixelPatternTable),HEX2DEC(AH99)-$T$1+1)</f>
        <v>80</v>
      </c>
      <c r="AZ99" s="5" t="str" cm="1">
        <f t="array" ref="AZ99">INDEX(_xlfn.TOROW(PixelPatternTable),HEX2DEC(AI99)-$T$1+1)</f>
        <v>C0</v>
      </c>
    </row>
    <row r="100" spans="1:52" x14ac:dyDescent="0.3">
      <c r="A100" s="5" t="str">
        <f t="shared" si="79"/>
        <v>A810</v>
      </c>
      <c r="B100" s="71" t="str">
        <f>pixel_shift_table.asm!C100</f>
        <v>80</v>
      </c>
      <c r="C100" s="72" t="str">
        <f>pixel_shift_table.asm!D100</f>
        <v>8E</v>
      </c>
      <c r="D100" s="72" t="str">
        <f>pixel_shift_table.asm!E100</f>
        <v>90</v>
      </c>
      <c r="E100" s="72" t="str">
        <f>pixel_shift_table.asm!F100</f>
        <v>9E</v>
      </c>
      <c r="F100" s="72" t="str">
        <f>pixel_shift_table.asm!G100</f>
        <v>A0</v>
      </c>
      <c r="G100" s="72" t="str">
        <f>pixel_shift_table.asm!H100</f>
        <v>AE</v>
      </c>
      <c r="H100" s="72" t="str">
        <f>pixel_shift_table.asm!I100</f>
        <v>B0</v>
      </c>
      <c r="I100" s="72" t="str">
        <f>pixel_shift_table.asm!J100</f>
        <v>BE</v>
      </c>
      <c r="J100" s="72" t="str">
        <f>pixel_shift_table.asm!K100</f>
        <v>C0</v>
      </c>
      <c r="K100" s="72" t="str">
        <f>pixel_shift_table.asm!L100</f>
        <v>CE</v>
      </c>
      <c r="L100" s="72" t="str">
        <f>pixel_shift_table.asm!M100</f>
        <v>D0</v>
      </c>
      <c r="M100" s="72" t="str">
        <f>pixel_shift_table.asm!N100</f>
        <v>DE</v>
      </c>
      <c r="N100" s="72" t="str">
        <f>pixel_shift_table.asm!O100</f>
        <v>E0</v>
      </c>
      <c r="O100" s="72" t="str">
        <f>pixel_shift_table.asm!P100</f>
        <v>EE</v>
      </c>
      <c r="P100" s="72" t="str">
        <f>pixel_shift_table.asm!Q100</f>
        <v>F0</v>
      </c>
      <c r="Q100" s="72" t="str">
        <f>pixel_shift_table.asm!R100</f>
        <v>FE</v>
      </c>
      <c r="S100">
        <f t="shared" si="80"/>
        <v>16</v>
      </c>
      <c r="T100" s="5" t="str">
        <f t="shared" si="81"/>
        <v>A980</v>
      </c>
      <c r="U100" s="5" t="str">
        <f t="shared" si="82"/>
        <v>A98E</v>
      </c>
      <c r="V100" s="5" t="str">
        <f t="shared" si="83"/>
        <v>A990</v>
      </c>
      <c r="W100" s="5" t="str">
        <f t="shared" si="84"/>
        <v>A99E</v>
      </c>
      <c r="X100" s="5" t="str">
        <f t="shared" si="85"/>
        <v>A9A0</v>
      </c>
      <c r="Y100" s="5" t="str">
        <f t="shared" si="86"/>
        <v>A9AE</v>
      </c>
      <c r="Z100" s="5" t="str">
        <f t="shared" si="87"/>
        <v>A9B0</v>
      </c>
      <c r="AA100" s="5" t="str">
        <f t="shared" si="88"/>
        <v>A9BE</v>
      </c>
      <c r="AB100" s="5" t="str">
        <f t="shared" si="89"/>
        <v>A9C0</v>
      </c>
      <c r="AC100" s="5" t="str">
        <f t="shared" si="90"/>
        <v>A9CE</v>
      </c>
      <c r="AD100" s="5" t="str">
        <f t="shared" si="91"/>
        <v>A9D0</v>
      </c>
      <c r="AE100" s="5" t="str">
        <f t="shared" si="92"/>
        <v>A9DE</v>
      </c>
      <c r="AF100" s="5" t="str">
        <f t="shared" si="93"/>
        <v>A9E0</v>
      </c>
      <c r="AG100" s="5" t="str">
        <f t="shared" si="94"/>
        <v>A9EE</v>
      </c>
      <c r="AH100" s="5" t="str">
        <f t="shared" si="95"/>
        <v>A9F0</v>
      </c>
      <c r="AI100" s="5" t="str">
        <f t="shared" si="96"/>
        <v>A9FE</v>
      </c>
      <c r="AK100" s="5" t="str" cm="1">
        <f t="array" ref="AK100">INDEX(_xlfn.TOROW(PixelPatternTable),HEX2DEC(T100)-$T$1+1)</f>
        <v>80</v>
      </c>
      <c r="AL100" s="5" t="str" cm="1">
        <f t="array" ref="AL100">INDEX(_xlfn.TOROW(PixelPatternTable),HEX2DEC(U100)-$T$1+1)</f>
        <v>C0</v>
      </c>
      <c r="AM100" s="5" t="str" cm="1">
        <f t="array" ref="AM100">INDEX(_xlfn.TOROW(PixelPatternTable),HEX2DEC(V100)-$T$1+1)</f>
        <v>80</v>
      </c>
      <c r="AN100" s="5" t="str" cm="1">
        <f t="array" ref="AN100">INDEX(_xlfn.TOROW(PixelPatternTable),HEX2DEC(W100)-$T$1+1)</f>
        <v>C0</v>
      </c>
      <c r="AO100" s="5" t="str" cm="1">
        <f t="array" ref="AO100">INDEX(_xlfn.TOROW(PixelPatternTable),HEX2DEC(X100)-$T$1+1)</f>
        <v>80</v>
      </c>
      <c r="AP100" s="5" t="str" cm="1">
        <f t="array" ref="AP100">INDEX(_xlfn.TOROW(PixelPatternTable),HEX2DEC(Y100)-$T$1+1)</f>
        <v>C0</v>
      </c>
      <c r="AQ100" s="5" t="str" cm="1">
        <f t="array" ref="AQ100">INDEX(_xlfn.TOROW(PixelPatternTable),HEX2DEC(Z100)-$T$1+1)</f>
        <v>80</v>
      </c>
      <c r="AR100" s="5" t="str" cm="1">
        <f t="array" ref="AR100">INDEX(_xlfn.TOROW(PixelPatternTable),HEX2DEC(AA100)-$T$1+1)</f>
        <v>C0</v>
      </c>
      <c r="AS100" s="5" t="str" cm="1">
        <f t="array" ref="AS100">INDEX(_xlfn.TOROW(PixelPatternTable),HEX2DEC(AB100)-$T$1+1)</f>
        <v>80</v>
      </c>
      <c r="AT100" s="5" t="str" cm="1">
        <f t="array" ref="AT100">INDEX(_xlfn.TOROW(PixelPatternTable),HEX2DEC(AC100)-$T$1+1)</f>
        <v>C0</v>
      </c>
      <c r="AU100" s="5" t="str" cm="1">
        <f t="array" ref="AU100">INDEX(_xlfn.TOROW(PixelPatternTable),HEX2DEC(AD100)-$T$1+1)</f>
        <v>80</v>
      </c>
      <c r="AV100" s="5" t="str" cm="1">
        <f t="array" ref="AV100">INDEX(_xlfn.TOROW(PixelPatternTable),HEX2DEC(AE100)-$T$1+1)</f>
        <v>C0</v>
      </c>
      <c r="AW100" s="5" t="str" cm="1">
        <f t="array" ref="AW100">INDEX(_xlfn.TOROW(PixelPatternTable),HEX2DEC(AF100)-$T$1+1)</f>
        <v>80</v>
      </c>
      <c r="AX100" s="5" t="str" cm="1">
        <f t="array" ref="AX100">INDEX(_xlfn.TOROW(PixelPatternTable),HEX2DEC(AG100)-$T$1+1)</f>
        <v>C0</v>
      </c>
      <c r="AY100" s="5" t="str" cm="1">
        <f t="array" ref="AY100">INDEX(_xlfn.TOROW(PixelPatternTable),HEX2DEC(AH100)-$T$1+1)</f>
        <v>80</v>
      </c>
      <c r="AZ100" s="5" t="str" cm="1">
        <f t="array" ref="AZ100">INDEX(_xlfn.TOROW(PixelPatternTable),HEX2DEC(AI100)-$T$1+1)</f>
        <v>C0</v>
      </c>
    </row>
    <row r="101" spans="1:52" x14ac:dyDescent="0.3">
      <c r="A101" s="5" t="str">
        <f t="shared" si="79"/>
        <v>A820</v>
      </c>
      <c r="B101" s="71" t="str">
        <f>pixel_shift_table.asm!C101</f>
        <v>00</v>
      </c>
      <c r="C101" s="72" t="str">
        <f>pixel_shift_table.asm!D101</f>
        <v>0E</v>
      </c>
      <c r="D101" s="72" t="str">
        <f>pixel_shift_table.asm!E101</f>
        <v>10</v>
      </c>
      <c r="E101" s="72" t="str">
        <f>pixel_shift_table.asm!F101</f>
        <v>1E</v>
      </c>
      <c r="F101" s="72" t="str">
        <f>pixel_shift_table.asm!G101</f>
        <v>20</v>
      </c>
      <c r="G101" s="72" t="str">
        <f>pixel_shift_table.asm!H101</f>
        <v>2E</v>
      </c>
      <c r="H101" s="72" t="str">
        <f>pixel_shift_table.asm!I101</f>
        <v>30</v>
      </c>
      <c r="I101" s="72" t="str">
        <f>pixel_shift_table.asm!J101</f>
        <v>3E</v>
      </c>
      <c r="J101" s="72" t="str">
        <f>pixel_shift_table.asm!K101</f>
        <v>40</v>
      </c>
      <c r="K101" s="72" t="str">
        <f>pixel_shift_table.asm!L101</f>
        <v>4E</v>
      </c>
      <c r="L101" s="72" t="str">
        <f>pixel_shift_table.asm!M101</f>
        <v>50</v>
      </c>
      <c r="M101" s="72" t="str">
        <f>pixel_shift_table.asm!N101</f>
        <v>5E</v>
      </c>
      <c r="N101" s="72" t="str">
        <f>pixel_shift_table.asm!O101</f>
        <v>60</v>
      </c>
      <c r="O101" s="72" t="str">
        <f>pixel_shift_table.asm!P101</f>
        <v>6E</v>
      </c>
      <c r="P101" s="72" t="str">
        <f>pixel_shift_table.asm!Q101</f>
        <v>70</v>
      </c>
      <c r="Q101" s="72" t="str">
        <f>pixel_shift_table.asm!R101</f>
        <v>7E</v>
      </c>
      <c r="S101">
        <f t="shared" si="80"/>
        <v>32</v>
      </c>
      <c r="T101" s="5" t="str">
        <f t="shared" si="81"/>
        <v>AA00</v>
      </c>
      <c r="U101" s="5" t="str">
        <f t="shared" si="82"/>
        <v>AA0E</v>
      </c>
      <c r="V101" s="5" t="str">
        <f t="shared" si="83"/>
        <v>AA10</v>
      </c>
      <c r="W101" s="5" t="str">
        <f t="shared" si="84"/>
        <v>AA1E</v>
      </c>
      <c r="X101" s="5" t="str">
        <f t="shared" si="85"/>
        <v>AA20</v>
      </c>
      <c r="Y101" s="5" t="str">
        <f t="shared" si="86"/>
        <v>AA2E</v>
      </c>
      <c r="Z101" s="5" t="str">
        <f t="shared" si="87"/>
        <v>AA30</v>
      </c>
      <c r="AA101" s="5" t="str">
        <f t="shared" si="88"/>
        <v>AA3E</v>
      </c>
      <c r="AB101" s="5" t="str">
        <f t="shared" si="89"/>
        <v>AA40</v>
      </c>
      <c r="AC101" s="5" t="str">
        <f t="shared" si="90"/>
        <v>AA4E</v>
      </c>
      <c r="AD101" s="5" t="str">
        <f t="shared" si="91"/>
        <v>AA50</v>
      </c>
      <c r="AE101" s="5" t="str">
        <f t="shared" si="92"/>
        <v>AA5E</v>
      </c>
      <c r="AF101" s="5" t="str">
        <f t="shared" si="93"/>
        <v>AA60</v>
      </c>
      <c r="AG101" s="5" t="str">
        <f t="shared" si="94"/>
        <v>AA6E</v>
      </c>
      <c r="AH101" s="5" t="str">
        <f t="shared" si="95"/>
        <v>AA70</v>
      </c>
      <c r="AI101" s="5" t="str">
        <f t="shared" si="96"/>
        <v>AA7E</v>
      </c>
      <c r="AK101" s="5" t="str" cm="1">
        <f t="array" ref="AK101">INDEX(_xlfn.TOROW(PixelPatternTable),HEX2DEC(T101)-$T$1+1)</f>
        <v>80</v>
      </c>
      <c r="AL101" s="5" t="str" cm="1">
        <f t="array" ref="AL101">INDEX(_xlfn.TOROW(PixelPatternTable),HEX2DEC(U101)-$T$1+1)</f>
        <v>C0</v>
      </c>
      <c r="AM101" s="5" t="str" cm="1">
        <f t="array" ref="AM101">INDEX(_xlfn.TOROW(PixelPatternTable),HEX2DEC(V101)-$T$1+1)</f>
        <v>80</v>
      </c>
      <c r="AN101" s="5" t="str" cm="1">
        <f t="array" ref="AN101">INDEX(_xlfn.TOROW(PixelPatternTable),HEX2DEC(W101)-$T$1+1)</f>
        <v>C0</v>
      </c>
      <c r="AO101" s="5" t="str" cm="1">
        <f t="array" ref="AO101">INDEX(_xlfn.TOROW(PixelPatternTable),HEX2DEC(X101)-$T$1+1)</f>
        <v>80</v>
      </c>
      <c r="AP101" s="5" t="str" cm="1">
        <f t="array" ref="AP101">INDEX(_xlfn.TOROW(PixelPatternTable),HEX2DEC(Y101)-$T$1+1)</f>
        <v>C0</v>
      </c>
      <c r="AQ101" s="5" t="str" cm="1">
        <f t="array" ref="AQ101">INDEX(_xlfn.TOROW(PixelPatternTable),HEX2DEC(Z101)-$T$1+1)</f>
        <v>80</v>
      </c>
      <c r="AR101" s="5" t="str" cm="1">
        <f t="array" ref="AR101">INDEX(_xlfn.TOROW(PixelPatternTable),HEX2DEC(AA101)-$T$1+1)</f>
        <v>C0</v>
      </c>
      <c r="AS101" s="5" t="str" cm="1">
        <f t="array" ref="AS101">INDEX(_xlfn.TOROW(PixelPatternTable),HEX2DEC(AB101)-$T$1+1)</f>
        <v>80</v>
      </c>
      <c r="AT101" s="5" t="str" cm="1">
        <f t="array" ref="AT101">INDEX(_xlfn.TOROW(PixelPatternTable),HEX2DEC(AC101)-$T$1+1)</f>
        <v>C0</v>
      </c>
      <c r="AU101" s="5" t="str" cm="1">
        <f t="array" ref="AU101">INDEX(_xlfn.TOROW(PixelPatternTable),HEX2DEC(AD101)-$T$1+1)</f>
        <v>80</v>
      </c>
      <c r="AV101" s="5" t="str" cm="1">
        <f t="array" ref="AV101">INDEX(_xlfn.TOROW(PixelPatternTable),HEX2DEC(AE101)-$T$1+1)</f>
        <v>C0</v>
      </c>
      <c r="AW101" s="5" t="str" cm="1">
        <f t="array" ref="AW101">INDEX(_xlfn.TOROW(PixelPatternTable),HEX2DEC(AF101)-$T$1+1)</f>
        <v>80</v>
      </c>
      <c r="AX101" s="5" t="str" cm="1">
        <f t="array" ref="AX101">INDEX(_xlfn.TOROW(PixelPatternTable),HEX2DEC(AG101)-$T$1+1)</f>
        <v>C0</v>
      </c>
      <c r="AY101" s="5" t="str" cm="1">
        <f t="array" ref="AY101">INDEX(_xlfn.TOROW(PixelPatternTable),HEX2DEC(AH101)-$T$1+1)</f>
        <v>80</v>
      </c>
      <c r="AZ101" s="5" t="str" cm="1">
        <f t="array" ref="AZ101">INDEX(_xlfn.TOROW(PixelPatternTable),HEX2DEC(AI101)-$T$1+1)</f>
        <v>C0</v>
      </c>
    </row>
    <row r="102" spans="1:52" x14ac:dyDescent="0.3">
      <c r="A102" s="5" t="str">
        <f t="shared" si="79"/>
        <v>A830</v>
      </c>
      <c r="B102" s="71" t="str">
        <f>pixel_shift_table.asm!C102</f>
        <v>80</v>
      </c>
      <c r="C102" s="72" t="str">
        <f>pixel_shift_table.asm!D102</f>
        <v>8E</v>
      </c>
      <c r="D102" s="72" t="str">
        <f>pixel_shift_table.asm!E102</f>
        <v>90</v>
      </c>
      <c r="E102" s="72" t="str">
        <f>pixel_shift_table.asm!F102</f>
        <v>9E</v>
      </c>
      <c r="F102" s="72" t="str">
        <f>pixel_shift_table.asm!G102</f>
        <v>A0</v>
      </c>
      <c r="G102" s="72" t="str">
        <f>pixel_shift_table.asm!H102</f>
        <v>AE</v>
      </c>
      <c r="H102" s="72" t="str">
        <f>pixel_shift_table.asm!I102</f>
        <v>B0</v>
      </c>
      <c r="I102" s="72" t="str">
        <f>pixel_shift_table.asm!J102</f>
        <v>BE</v>
      </c>
      <c r="J102" s="72" t="str">
        <f>pixel_shift_table.asm!K102</f>
        <v>C0</v>
      </c>
      <c r="K102" s="72" t="str">
        <f>pixel_shift_table.asm!L102</f>
        <v>CE</v>
      </c>
      <c r="L102" s="72" t="str">
        <f>pixel_shift_table.asm!M102</f>
        <v>D0</v>
      </c>
      <c r="M102" s="72" t="str">
        <f>pixel_shift_table.asm!N102</f>
        <v>DE</v>
      </c>
      <c r="N102" s="72" t="str">
        <f>pixel_shift_table.asm!O102</f>
        <v>E0</v>
      </c>
      <c r="O102" s="72" t="str">
        <f>pixel_shift_table.asm!P102</f>
        <v>EE</v>
      </c>
      <c r="P102" s="72" t="str">
        <f>pixel_shift_table.asm!Q102</f>
        <v>F0</v>
      </c>
      <c r="Q102" s="72" t="str">
        <f>pixel_shift_table.asm!R102</f>
        <v>FE</v>
      </c>
      <c r="S102">
        <f t="shared" si="80"/>
        <v>48</v>
      </c>
      <c r="T102" s="5" t="str">
        <f t="shared" si="81"/>
        <v>AA80</v>
      </c>
      <c r="U102" s="5" t="str">
        <f t="shared" si="82"/>
        <v>AA8E</v>
      </c>
      <c r="V102" s="5" t="str">
        <f t="shared" si="83"/>
        <v>AA90</v>
      </c>
      <c r="W102" s="5" t="str">
        <f t="shared" si="84"/>
        <v>AA9E</v>
      </c>
      <c r="X102" s="5" t="str">
        <f t="shared" si="85"/>
        <v>AAA0</v>
      </c>
      <c r="Y102" s="5" t="str">
        <f t="shared" si="86"/>
        <v>AAAE</v>
      </c>
      <c r="Z102" s="5" t="str">
        <f t="shared" si="87"/>
        <v>AAB0</v>
      </c>
      <c r="AA102" s="5" t="str">
        <f t="shared" si="88"/>
        <v>AABE</v>
      </c>
      <c r="AB102" s="5" t="str">
        <f t="shared" si="89"/>
        <v>AAC0</v>
      </c>
      <c r="AC102" s="5" t="str">
        <f t="shared" si="90"/>
        <v>AACE</v>
      </c>
      <c r="AD102" s="5" t="str">
        <f t="shared" si="91"/>
        <v>AAD0</v>
      </c>
      <c r="AE102" s="5" t="str">
        <f t="shared" si="92"/>
        <v>AADE</v>
      </c>
      <c r="AF102" s="5" t="str">
        <f t="shared" si="93"/>
        <v>AAE0</v>
      </c>
      <c r="AG102" s="5" t="str">
        <f t="shared" si="94"/>
        <v>AAEE</v>
      </c>
      <c r="AH102" s="5" t="str">
        <f t="shared" si="95"/>
        <v>AAF0</v>
      </c>
      <c r="AI102" s="5" t="str">
        <f t="shared" si="96"/>
        <v>AAFE</v>
      </c>
      <c r="AK102" s="5" t="str" cm="1">
        <f t="array" ref="AK102">INDEX(_xlfn.TOROW(PixelPatternTable),HEX2DEC(T102)-$T$1+1)</f>
        <v>80</v>
      </c>
      <c r="AL102" s="5" t="str" cm="1">
        <f t="array" ref="AL102">INDEX(_xlfn.TOROW(PixelPatternTable),HEX2DEC(U102)-$T$1+1)</f>
        <v>C0</v>
      </c>
      <c r="AM102" s="5" t="str" cm="1">
        <f t="array" ref="AM102">INDEX(_xlfn.TOROW(PixelPatternTable),HEX2DEC(V102)-$T$1+1)</f>
        <v>80</v>
      </c>
      <c r="AN102" s="5" t="str" cm="1">
        <f t="array" ref="AN102">INDEX(_xlfn.TOROW(PixelPatternTable),HEX2DEC(W102)-$T$1+1)</f>
        <v>C0</v>
      </c>
      <c r="AO102" s="5" t="str" cm="1">
        <f t="array" ref="AO102">INDEX(_xlfn.TOROW(PixelPatternTable),HEX2DEC(X102)-$T$1+1)</f>
        <v>80</v>
      </c>
      <c r="AP102" s="5" t="str" cm="1">
        <f t="array" ref="AP102">INDEX(_xlfn.TOROW(PixelPatternTable),HEX2DEC(Y102)-$T$1+1)</f>
        <v>C0</v>
      </c>
      <c r="AQ102" s="5" t="str" cm="1">
        <f t="array" ref="AQ102">INDEX(_xlfn.TOROW(PixelPatternTable),HEX2DEC(Z102)-$T$1+1)</f>
        <v>80</v>
      </c>
      <c r="AR102" s="5" t="str" cm="1">
        <f t="array" ref="AR102">INDEX(_xlfn.TOROW(PixelPatternTable),HEX2DEC(AA102)-$T$1+1)</f>
        <v>C0</v>
      </c>
      <c r="AS102" s="5" t="str" cm="1">
        <f t="array" ref="AS102">INDEX(_xlfn.TOROW(PixelPatternTable),HEX2DEC(AB102)-$T$1+1)</f>
        <v>80</v>
      </c>
      <c r="AT102" s="5" t="str" cm="1">
        <f t="array" ref="AT102">INDEX(_xlfn.TOROW(PixelPatternTable),HEX2DEC(AC102)-$T$1+1)</f>
        <v>C0</v>
      </c>
      <c r="AU102" s="5" t="str" cm="1">
        <f t="array" ref="AU102">INDEX(_xlfn.TOROW(PixelPatternTable),HEX2DEC(AD102)-$T$1+1)</f>
        <v>80</v>
      </c>
      <c r="AV102" s="5" t="str" cm="1">
        <f t="array" ref="AV102">INDEX(_xlfn.TOROW(PixelPatternTable),HEX2DEC(AE102)-$T$1+1)</f>
        <v>C0</v>
      </c>
      <c r="AW102" s="5" t="str" cm="1">
        <f t="array" ref="AW102">INDEX(_xlfn.TOROW(PixelPatternTable),HEX2DEC(AF102)-$T$1+1)</f>
        <v>80</v>
      </c>
      <c r="AX102" s="5" t="str" cm="1">
        <f t="array" ref="AX102">INDEX(_xlfn.TOROW(PixelPatternTable),HEX2DEC(AG102)-$T$1+1)</f>
        <v>C0</v>
      </c>
      <c r="AY102" s="5" t="str" cm="1">
        <f t="array" ref="AY102">INDEX(_xlfn.TOROW(PixelPatternTable),HEX2DEC(AH102)-$T$1+1)</f>
        <v>80</v>
      </c>
      <c r="AZ102" s="5" t="str" cm="1">
        <f t="array" ref="AZ102">INDEX(_xlfn.TOROW(PixelPatternTable),HEX2DEC(AI102)-$T$1+1)</f>
        <v>C0</v>
      </c>
    </row>
    <row r="103" spans="1:52" x14ac:dyDescent="0.3">
      <c r="A103" s="5" t="str">
        <f t="shared" si="79"/>
        <v>A840</v>
      </c>
      <c r="B103" s="71" t="str">
        <f>pixel_shift_table.asm!C103</f>
        <v>00</v>
      </c>
      <c r="C103" s="72" t="str">
        <f>pixel_shift_table.asm!D103</f>
        <v>0E</v>
      </c>
      <c r="D103" s="72" t="str">
        <f>pixel_shift_table.asm!E103</f>
        <v>10</v>
      </c>
      <c r="E103" s="72" t="str">
        <f>pixel_shift_table.asm!F103</f>
        <v>1E</v>
      </c>
      <c r="F103" s="72" t="str">
        <f>pixel_shift_table.asm!G103</f>
        <v>20</v>
      </c>
      <c r="G103" s="72" t="str">
        <f>pixel_shift_table.asm!H103</f>
        <v>2E</v>
      </c>
      <c r="H103" s="72" t="str">
        <f>pixel_shift_table.asm!I103</f>
        <v>30</v>
      </c>
      <c r="I103" s="72" t="str">
        <f>pixel_shift_table.asm!J103</f>
        <v>3E</v>
      </c>
      <c r="J103" s="72" t="str">
        <f>pixel_shift_table.asm!K103</f>
        <v>40</v>
      </c>
      <c r="K103" s="72" t="str">
        <f>pixel_shift_table.asm!L103</f>
        <v>4E</v>
      </c>
      <c r="L103" s="72" t="str">
        <f>pixel_shift_table.asm!M103</f>
        <v>50</v>
      </c>
      <c r="M103" s="72" t="str">
        <f>pixel_shift_table.asm!N103</f>
        <v>5E</v>
      </c>
      <c r="N103" s="72" t="str">
        <f>pixel_shift_table.asm!O103</f>
        <v>60</v>
      </c>
      <c r="O103" s="72" t="str">
        <f>pixel_shift_table.asm!P103</f>
        <v>6E</v>
      </c>
      <c r="P103" s="72" t="str">
        <f>pixel_shift_table.asm!Q103</f>
        <v>70</v>
      </c>
      <c r="Q103" s="72" t="str">
        <f>pixel_shift_table.asm!R103</f>
        <v>7E</v>
      </c>
      <c r="S103">
        <f t="shared" si="80"/>
        <v>64</v>
      </c>
      <c r="T103" s="5" t="str">
        <f t="shared" si="81"/>
        <v>AB00</v>
      </c>
      <c r="U103" s="5" t="str">
        <f t="shared" si="82"/>
        <v>AB0E</v>
      </c>
      <c r="V103" s="5" t="str">
        <f t="shared" si="83"/>
        <v>AB10</v>
      </c>
      <c r="W103" s="5" t="str">
        <f t="shared" si="84"/>
        <v>AB1E</v>
      </c>
      <c r="X103" s="5" t="str">
        <f t="shared" si="85"/>
        <v>AB20</v>
      </c>
      <c r="Y103" s="5" t="str">
        <f t="shared" si="86"/>
        <v>AB2E</v>
      </c>
      <c r="Z103" s="5" t="str">
        <f t="shared" si="87"/>
        <v>AB30</v>
      </c>
      <c r="AA103" s="5" t="str">
        <f t="shared" si="88"/>
        <v>AB3E</v>
      </c>
      <c r="AB103" s="5" t="str">
        <f t="shared" si="89"/>
        <v>AB40</v>
      </c>
      <c r="AC103" s="5" t="str">
        <f t="shared" si="90"/>
        <v>AB4E</v>
      </c>
      <c r="AD103" s="5" t="str">
        <f t="shared" si="91"/>
        <v>AB50</v>
      </c>
      <c r="AE103" s="5" t="str">
        <f t="shared" si="92"/>
        <v>AB5E</v>
      </c>
      <c r="AF103" s="5" t="str">
        <f t="shared" si="93"/>
        <v>AB60</v>
      </c>
      <c r="AG103" s="5" t="str">
        <f t="shared" si="94"/>
        <v>AB6E</v>
      </c>
      <c r="AH103" s="5" t="str">
        <f t="shared" si="95"/>
        <v>AB70</v>
      </c>
      <c r="AI103" s="5" t="str">
        <f t="shared" si="96"/>
        <v>AB7E</v>
      </c>
      <c r="AK103" s="5" t="str" cm="1">
        <f t="array" ref="AK103">INDEX(_xlfn.TOROW(PixelPatternTable),HEX2DEC(T103)-$T$1+1)</f>
        <v>80</v>
      </c>
      <c r="AL103" s="5" t="str" cm="1">
        <f t="array" ref="AL103">INDEX(_xlfn.TOROW(PixelPatternTable),HEX2DEC(U103)-$T$1+1)</f>
        <v>C0</v>
      </c>
      <c r="AM103" s="5" t="str" cm="1">
        <f t="array" ref="AM103">INDEX(_xlfn.TOROW(PixelPatternTable),HEX2DEC(V103)-$T$1+1)</f>
        <v>80</v>
      </c>
      <c r="AN103" s="5" t="str" cm="1">
        <f t="array" ref="AN103">INDEX(_xlfn.TOROW(PixelPatternTable),HEX2DEC(W103)-$T$1+1)</f>
        <v>C0</v>
      </c>
      <c r="AO103" s="5" t="str" cm="1">
        <f t="array" ref="AO103">INDEX(_xlfn.TOROW(PixelPatternTable),HEX2DEC(X103)-$T$1+1)</f>
        <v>80</v>
      </c>
      <c r="AP103" s="5" t="str" cm="1">
        <f t="array" ref="AP103">INDEX(_xlfn.TOROW(PixelPatternTable),HEX2DEC(Y103)-$T$1+1)</f>
        <v>C0</v>
      </c>
      <c r="AQ103" s="5" t="str" cm="1">
        <f t="array" ref="AQ103">INDEX(_xlfn.TOROW(PixelPatternTable),HEX2DEC(Z103)-$T$1+1)</f>
        <v>80</v>
      </c>
      <c r="AR103" s="5" t="str" cm="1">
        <f t="array" ref="AR103">INDEX(_xlfn.TOROW(PixelPatternTable),HEX2DEC(AA103)-$T$1+1)</f>
        <v>C0</v>
      </c>
      <c r="AS103" s="5" t="str" cm="1">
        <f t="array" ref="AS103">INDEX(_xlfn.TOROW(PixelPatternTable),HEX2DEC(AB103)-$T$1+1)</f>
        <v>80</v>
      </c>
      <c r="AT103" s="5" t="str" cm="1">
        <f t="array" ref="AT103">INDEX(_xlfn.TOROW(PixelPatternTable),HEX2DEC(AC103)-$T$1+1)</f>
        <v>C0</v>
      </c>
      <c r="AU103" s="5" t="str" cm="1">
        <f t="array" ref="AU103">INDEX(_xlfn.TOROW(PixelPatternTable),HEX2DEC(AD103)-$T$1+1)</f>
        <v>80</v>
      </c>
      <c r="AV103" s="5" t="str" cm="1">
        <f t="array" ref="AV103">INDEX(_xlfn.TOROW(PixelPatternTable),HEX2DEC(AE103)-$T$1+1)</f>
        <v>C0</v>
      </c>
      <c r="AW103" s="5" t="str" cm="1">
        <f t="array" ref="AW103">INDEX(_xlfn.TOROW(PixelPatternTable),HEX2DEC(AF103)-$T$1+1)</f>
        <v>80</v>
      </c>
      <c r="AX103" s="5" t="str" cm="1">
        <f t="array" ref="AX103">INDEX(_xlfn.TOROW(PixelPatternTable),HEX2DEC(AG103)-$T$1+1)</f>
        <v>C0</v>
      </c>
      <c r="AY103" s="5" t="str" cm="1">
        <f t="array" ref="AY103">INDEX(_xlfn.TOROW(PixelPatternTable),HEX2DEC(AH103)-$T$1+1)</f>
        <v>80</v>
      </c>
      <c r="AZ103" s="5" t="str" cm="1">
        <f t="array" ref="AZ103">INDEX(_xlfn.TOROW(PixelPatternTable),HEX2DEC(AI103)-$T$1+1)</f>
        <v>C0</v>
      </c>
    </row>
    <row r="104" spans="1:52" x14ac:dyDescent="0.3">
      <c r="A104" s="5" t="str">
        <f t="shared" si="79"/>
        <v>A850</v>
      </c>
      <c r="B104" s="71" t="str">
        <f>pixel_shift_table.asm!C104</f>
        <v>80</v>
      </c>
      <c r="C104" s="72" t="str">
        <f>pixel_shift_table.asm!D104</f>
        <v>8E</v>
      </c>
      <c r="D104" s="72" t="str">
        <f>pixel_shift_table.asm!E104</f>
        <v>90</v>
      </c>
      <c r="E104" s="72" t="str">
        <f>pixel_shift_table.asm!F104</f>
        <v>9E</v>
      </c>
      <c r="F104" s="72" t="str">
        <f>pixel_shift_table.asm!G104</f>
        <v>A0</v>
      </c>
      <c r="G104" s="72" t="str">
        <f>pixel_shift_table.asm!H104</f>
        <v>AE</v>
      </c>
      <c r="H104" s="72" t="str">
        <f>pixel_shift_table.asm!I104</f>
        <v>B0</v>
      </c>
      <c r="I104" s="72" t="str">
        <f>pixel_shift_table.asm!J104</f>
        <v>BE</v>
      </c>
      <c r="J104" s="72" t="str">
        <f>pixel_shift_table.asm!K104</f>
        <v>C0</v>
      </c>
      <c r="K104" s="72" t="str">
        <f>pixel_shift_table.asm!L104</f>
        <v>CE</v>
      </c>
      <c r="L104" s="72" t="str">
        <f>pixel_shift_table.asm!M104</f>
        <v>D0</v>
      </c>
      <c r="M104" s="72" t="str">
        <f>pixel_shift_table.asm!N104</f>
        <v>DE</v>
      </c>
      <c r="N104" s="72" t="str">
        <f>pixel_shift_table.asm!O104</f>
        <v>E0</v>
      </c>
      <c r="O104" s="72" t="str">
        <f>pixel_shift_table.asm!P104</f>
        <v>EE</v>
      </c>
      <c r="P104" s="72" t="str">
        <f>pixel_shift_table.asm!Q104</f>
        <v>F0</v>
      </c>
      <c r="Q104" s="72" t="str">
        <f>pixel_shift_table.asm!R104</f>
        <v>FE</v>
      </c>
      <c r="S104">
        <f t="shared" si="80"/>
        <v>80</v>
      </c>
      <c r="T104" s="5" t="str">
        <f t="shared" si="81"/>
        <v>AB80</v>
      </c>
      <c r="U104" s="5" t="str">
        <f t="shared" si="82"/>
        <v>AB8E</v>
      </c>
      <c r="V104" s="5" t="str">
        <f t="shared" si="83"/>
        <v>AB90</v>
      </c>
      <c r="W104" s="5" t="str">
        <f t="shared" si="84"/>
        <v>AB9E</v>
      </c>
      <c r="X104" s="5" t="str">
        <f t="shared" si="85"/>
        <v>ABA0</v>
      </c>
      <c r="Y104" s="5" t="str">
        <f t="shared" si="86"/>
        <v>ABAE</v>
      </c>
      <c r="Z104" s="5" t="str">
        <f t="shared" si="87"/>
        <v>ABB0</v>
      </c>
      <c r="AA104" s="5" t="str">
        <f t="shared" si="88"/>
        <v>ABBE</v>
      </c>
      <c r="AB104" s="5" t="str">
        <f t="shared" si="89"/>
        <v>ABC0</v>
      </c>
      <c r="AC104" s="5" t="str">
        <f t="shared" si="90"/>
        <v>ABCE</v>
      </c>
      <c r="AD104" s="5" t="str">
        <f t="shared" si="91"/>
        <v>ABD0</v>
      </c>
      <c r="AE104" s="5" t="str">
        <f t="shared" si="92"/>
        <v>ABDE</v>
      </c>
      <c r="AF104" s="5" t="str">
        <f t="shared" si="93"/>
        <v>ABE0</v>
      </c>
      <c r="AG104" s="5" t="str">
        <f t="shared" si="94"/>
        <v>ABEE</v>
      </c>
      <c r="AH104" s="5" t="str">
        <f t="shared" si="95"/>
        <v>ABF0</v>
      </c>
      <c r="AI104" s="5" t="str">
        <f t="shared" si="96"/>
        <v>ABFE</v>
      </c>
      <c r="AK104" s="5" t="str" cm="1">
        <f t="array" ref="AK104">INDEX(_xlfn.TOROW(PixelPatternTable),HEX2DEC(T104)-$T$1+1)</f>
        <v>80</v>
      </c>
      <c r="AL104" s="5" t="str" cm="1">
        <f t="array" ref="AL104">INDEX(_xlfn.TOROW(PixelPatternTable),HEX2DEC(U104)-$T$1+1)</f>
        <v>C0</v>
      </c>
      <c r="AM104" s="5" t="str" cm="1">
        <f t="array" ref="AM104">INDEX(_xlfn.TOROW(PixelPatternTable),HEX2DEC(V104)-$T$1+1)</f>
        <v>80</v>
      </c>
      <c r="AN104" s="5" t="str" cm="1">
        <f t="array" ref="AN104">INDEX(_xlfn.TOROW(PixelPatternTable),HEX2DEC(W104)-$T$1+1)</f>
        <v>C0</v>
      </c>
      <c r="AO104" s="5" t="str" cm="1">
        <f t="array" ref="AO104">INDEX(_xlfn.TOROW(PixelPatternTable),HEX2DEC(X104)-$T$1+1)</f>
        <v>80</v>
      </c>
      <c r="AP104" s="5" t="str" cm="1">
        <f t="array" ref="AP104">INDEX(_xlfn.TOROW(PixelPatternTable),HEX2DEC(Y104)-$T$1+1)</f>
        <v>C0</v>
      </c>
      <c r="AQ104" s="5" t="str" cm="1">
        <f t="array" ref="AQ104">INDEX(_xlfn.TOROW(PixelPatternTable),HEX2DEC(Z104)-$T$1+1)</f>
        <v>80</v>
      </c>
      <c r="AR104" s="5" t="str" cm="1">
        <f t="array" ref="AR104">INDEX(_xlfn.TOROW(PixelPatternTable),HEX2DEC(AA104)-$T$1+1)</f>
        <v>C0</v>
      </c>
      <c r="AS104" s="5" t="str" cm="1">
        <f t="array" ref="AS104">INDEX(_xlfn.TOROW(PixelPatternTable),HEX2DEC(AB104)-$T$1+1)</f>
        <v>80</v>
      </c>
      <c r="AT104" s="5" t="str" cm="1">
        <f t="array" ref="AT104">INDEX(_xlfn.TOROW(PixelPatternTable),HEX2DEC(AC104)-$T$1+1)</f>
        <v>C0</v>
      </c>
      <c r="AU104" s="5" t="str" cm="1">
        <f t="array" ref="AU104">INDEX(_xlfn.TOROW(PixelPatternTable),HEX2DEC(AD104)-$T$1+1)</f>
        <v>80</v>
      </c>
      <c r="AV104" s="5" t="str" cm="1">
        <f t="array" ref="AV104">INDEX(_xlfn.TOROW(PixelPatternTable),HEX2DEC(AE104)-$T$1+1)</f>
        <v>C0</v>
      </c>
      <c r="AW104" s="5" t="str" cm="1">
        <f t="array" ref="AW104">INDEX(_xlfn.TOROW(PixelPatternTable),HEX2DEC(AF104)-$T$1+1)</f>
        <v>80</v>
      </c>
      <c r="AX104" s="5" t="str" cm="1">
        <f t="array" ref="AX104">INDEX(_xlfn.TOROW(PixelPatternTable),HEX2DEC(AG104)-$T$1+1)</f>
        <v>C0</v>
      </c>
      <c r="AY104" s="5" t="str" cm="1">
        <f t="array" ref="AY104">INDEX(_xlfn.TOROW(PixelPatternTable),HEX2DEC(AH104)-$T$1+1)</f>
        <v>80</v>
      </c>
      <c r="AZ104" s="5" t="str" cm="1">
        <f t="array" ref="AZ104">INDEX(_xlfn.TOROW(PixelPatternTable),HEX2DEC(AI104)-$T$1+1)</f>
        <v>C0</v>
      </c>
    </row>
    <row r="105" spans="1:52" x14ac:dyDescent="0.3">
      <c r="A105" s="5" t="str">
        <f t="shared" si="79"/>
        <v>A860</v>
      </c>
      <c r="B105" s="71" t="str">
        <f>pixel_shift_table.asm!C105</f>
        <v>00</v>
      </c>
      <c r="C105" s="72" t="str">
        <f>pixel_shift_table.asm!D105</f>
        <v>0E</v>
      </c>
      <c r="D105" s="72" t="str">
        <f>pixel_shift_table.asm!E105</f>
        <v>10</v>
      </c>
      <c r="E105" s="72" t="str">
        <f>pixel_shift_table.asm!F105</f>
        <v>1E</v>
      </c>
      <c r="F105" s="72" t="str">
        <f>pixel_shift_table.asm!G105</f>
        <v>20</v>
      </c>
      <c r="G105" s="72" t="str">
        <f>pixel_shift_table.asm!H105</f>
        <v>2E</v>
      </c>
      <c r="H105" s="72" t="str">
        <f>pixel_shift_table.asm!I105</f>
        <v>30</v>
      </c>
      <c r="I105" s="72" t="str">
        <f>pixel_shift_table.asm!J105</f>
        <v>3E</v>
      </c>
      <c r="J105" s="72" t="str">
        <f>pixel_shift_table.asm!K105</f>
        <v>40</v>
      </c>
      <c r="K105" s="72" t="str">
        <f>pixel_shift_table.asm!L105</f>
        <v>4E</v>
      </c>
      <c r="L105" s="72" t="str">
        <f>pixel_shift_table.asm!M105</f>
        <v>50</v>
      </c>
      <c r="M105" s="72" t="str">
        <f>pixel_shift_table.asm!N105</f>
        <v>5E</v>
      </c>
      <c r="N105" s="72" t="str">
        <f>pixel_shift_table.asm!O105</f>
        <v>60</v>
      </c>
      <c r="O105" s="72" t="str">
        <f>pixel_shift_table.asm!P105</f>
        <v>6E</v>
      </c>
      <c r="P105" s="72" t="str">
        <f>pixel_shift_table.asm!Q105</f>
        <v>70</v>
      </c>
      <c r="Q105" s="72" t="str">
        <f>pixel_shift_table.asm!R105</f>
        <v>7E</v>
      </c>
      <c r="S105">
        <f t="shared" si="80"/>
        <v>96</v>
      </c>
      <c r="T105" s="5" t="str">
        <f t="shared" si="81"/>
        <v>AC00</v>
      </c>
      <c r="U105" s="5" t="str">
        <f t="shared" si="82"/>
        <v>AC0E</v>
      </c>
      <c r="V105" s="5" t="str">
        <f t="shared" si="83"/>
        <v>AC10</v>
      </c>
      <c r="W105" s="5" t="str">
        <f t="shared" si="84"/>
        <v>AC1E</v>
      </c>
      <c r="X105" s="5" t="str">
        <f t="shared" si="85"/>
        <v>AC20</v>
      </c>
      <c r="Y105" s="5" t="str">
        <f t="shared" si="86"/>
        <v>AC2E</v>
      </c>
      <c r="Z105" s="5" t="str">
        <f t="shared" si="87"/>
        <v>AC30</v>
      </c>
      <c r="AA105" s="5" t="str">
        <f t="shared" si="88"/>
        <v>AC3E</v>
      </c>
      <c r="AB105" s="5" t="str">
        <f t="shared" si="89"/>
        <v>AC40</v>
      </c>
      <c r="AC105" s="5" t="str">
        <f t="shared" si="90"/>
        <v>AC4E</v>
      </c>
      <c r="AD105" s="5" t="str">
        <f t="shared" si="91"/>
        <v>AC50</v>
      </c>
      <c r="AE105" s="5" t="str">
        <f t="shared" si="92"/>
        <v>AC5E</v>
      </c>
      <c r="AF105" s="5" t="str">
        <f t="shared" si="93"/>
        <v>AC60</v>
      </c>
      <c r="AG105" s="5" t="str">
        <f t="shared" si="94"/>
        <v>AC6E</v>
      </c>
      <c r="AH105" s="5" t="str">
        <f t="shared" si="95"/>
        <v>AC70</v>
      </c>
      <c r="AI105" s="5" t="str">
        <f t="shared" si="96"/>
        <v>AC7E</v>
      </c>
      <c r="AK105" s="5" t="str" cm="1">
        <f t="array" ref="AK105">INDEX(_xlfn.TOROW(PixelPatternTable),HEX2DEC(T105)-$T$1+1)</f>
        <v>80</v>
      </c>
      <c r="AL105" s="5" t="str" cm="1">
        <f t="array" ref="AL105">INDEX(_xlfn.TOROW(PixelPatternTable),HEX2DEC(U105)-$T$1+1)</f>
        <v>C0</v>
      </c>
      <c r="AM105" s="5" t="str" cm="1">
        <f t="array" ref="AM105">INDEX(_xlfn.TOROW(PixelPatternTable),HEX2DEC(V105)-$T$1+1)</f>
        <v>80</v>
      </c>
      <c r="AN105" s="5" t="str" cm="1">
        <f t="array" ref="AN105">INDEX(_xlfn.TOROW(PixelPatternTable),HEX2DEC(W105)-$T$1+1)</f>
        <v>C0</v>
      </c>
      <c r="AO105" s="5" t="str" cm="1">
        <f t="array" ref="AO105">INDEX(_xlfn.TOROW(PixelPatternTable),HEX2DEC(X105)-$T$1+1)</f>
        <v>80</v>
      </c>
      <c r="AP105" s="5" t="str" cm="1">
        <f t="array" ref="AP105">INDEX(_xlfn.TOROW(PixelPatternTable),HEX2DEC(Y105)-$T$1+1)</f>
        <v>C0</v>
      </c>
      <c r="AQ105" s="5" t="str" cm="1">
        <f t="array" ref="AQ105">INDEX(_xlfn.TOROW(PixelPatternTable),HEX2DEC(Z105)-$T$1+1)</f>
        <v>80</v>
      </c>
      <c r="AR105" s="5" t="str" cm="1">
        <f t="array" ref="AR105">INDEX(_xlfn.TOROW(PixelPatternTable),HEX2DEC(AA105)-$T$1+1)</f>
        <v>C0</v>
      </c>
      <c r="AS105" s="5" t="str" cm="1">
        <f t="array" ref="AS105">INDEX(_xlfn.TOROW(PixelPatternTable),HEX2DEC(AB105)-$T$1+1)</f>
        <v>80</v>
      </c>
      <c r="AT105" s="5" t="str" cm="1">
        <f t="array" ref="AT105">INDEX(_xlfn.TOROW(PixelPatternTable),HEX2DEC(AC105)-$T$1+1)</f>
        <v>C0</v>
      </c>
      <c r="AU105" s="5" t="str" cm="1">
        <f t="array" ref="AU105">INDEX(_xlfn.TOROW(PixelPatternTable),HEX2DEC(AD105)-$T$1+1)</f>
        <v>80</v>
      </c>
      <c r="AV105" s="5" t="str" cm="1">
        <f t="array" ref="AV105">INDEX(_xlfn.TOROW(PixelPatternTable),HEX2DEC(AE105)-$T$1+1)</f>
        <v>C0</v>
      </c>
      <c r="AW105" s="5" t="str" cm="1">
        <f t="array" ref="AW105">INDEX(_xlfn.TOROW(PixelPatternTable),HEX2DEC(AF105)-$T$1+1)</f>
        <v>80</v>
      </c>
      <c r="AX105" s="5" t="str" cm="1">
        <f t="array" ref="AX105">INDEX(_xlfn.TOROW(PixelPatternTable),HEX2DEC(AG105)-$T$1+1)</f>
        <v>C0</v>
      </c>
      <c r="AY105" s="5" t="str" cm="1">
        <f t="array" ref="AY105">INDEX(_xlfn.TOROW(PixelPatternTable),HEX2DEC(AH105)-$T$1+1)</f>
        <v>80</v>
      </c>
      <c r="AZ105" s="5" t="str" cm="1">
        <f t="array" ref="AZ105">INDEX(_xlfn.TOROW(PixelPatternTable),HEX2DEC(AI105)-$T$1+1)</f>
        <v>C0</v>
      </c>
    </row>
    <row r="106" spans="1:52" x14ac:dyDescent="0.3">
      <c r="A106" s="58" t="str">
        <f t="shared" si="79"/>
        <v>A870</v>
      </c>
      <c r="B106" s="73" t="str">
        <f>pixel_shift_table.asm!C106</f>
        <v>80</v>
      </c>
      <c r="C106" s="74" t="str">
        <f>pixel_shift_table.asm!D106</f>
        <v>8E</v>
      </c>
      <c r="D106" s="74" t="str">
        <f>pixel_shift_table.asm!E106</f>
        <v>90</v>
      </c>
      <c r="E106" s="74" t="str">
        <f>pixel_shift_table.asm!F106</f>
        <v>9E</v>
      </c>
      <c r="F106" s="74" t="str">
        <f>pixel_shift_table.asm!G106</f>
        <v>A0</v>
      </c>
      <c r="G106" s="74" t="str">
        <f>pixel_shift_table.asm!H106</f>
        <v>AE</v>
      </c>
      <c r="H106" s="74" t="str">
        <f>pixel_shift_table.asm!I106</f>
        <v>B0</v>
      </c>
      <c r="I106" s="74" t="str">
        <f>pixel_shift_table.asm!J106</f>
        <v>BE</v>
      </c>
      <c r="J106" s="74" t="str">
        <f>pixel_shift_table.asm!K106</f>
        <v>C0</v>
      </c>
      <c r="K106" s="74" t="str">
        <f>pixel_shift_table.asm!L106</f>
        <v>CE</v>
      </c>
      <c r="L106" s="74" t="str">
        <f>pixel_shift_table.asm!M106</f>
        <v>D0</v>
      </c>
      <c r="M106" s="74" t="str">
        <f>pixel_shift_table.asm!N106</f>
        <v>DE</v>
      </c>
      <c r="N106" s="74" t="str">
        <f>pixel_shift_table.asm!O106</f>
        <v>E0</v>
      </c>
      <c r="O106" s="74" t="str">
        <f>pixel_shift_table.asm!P106</f>
        <v>EE</v>
      </c>
      <c r="P106" s="74" t="str">
        <f>pixel_shift_table.asm!Q106</f>
        <v>F0</v>
      </c>
      <c r="Q106" s="74" t="str">
        <f>pixel_shift_table.asm!R106</f>
        <v>FE</v>
      </c>
      <c r="S106">
        <f t="shared" si="80"/>
        <v>112</v>
      </c>
      <c r="T106" s="5" t="str">
        <f t="shared" si="81"/>
        <v>AC80</v>
      </c>
      <c r="U106" s="5" t="str">
        <f t="shared" si="82"/>
        <v>AC8E</v>
      </c>
      <c r="V106" s="5" t="str">
        <f t="shared" si="83"/>
        <v>AC90</v>
      </c>
      <c r="W106" s="5" t="str">
        <f t="shared" si="84"/>
        <v>AC9E</v>
      </c>
      <c r="X106" s="5" t="str">
        <f t="shared" si="85"/>
        <v>ACA0</v>
      </c>
      <c r="Y106" s="5" t="str">
        <f t="shared" si="86"/>
        <v>ACAE</v>
      </c>
      <c r="Z106" s="5" t="str">
        <f t="shared" si="87"/>
        <v>ACB0</v>
      </c>
      <c r="AA106" s="5" t="str">
        <f t="shared" si="88"/>
        <v>ACBE</v>
      </c>
      <c r="AB106" s="5" t="str">
        <f t="shared" si="89"/>
        <v>ACC0</v>
      </c>
      <c r="AC106" s="5" t="str">
        <f t="shared" si="90"/>
        <v>ACCE</v>
      </c>
      <c r="AD106" s="5" t="str">
        <f t="shared" si="91"/>
        <v>ACD0</v>
      </c>
      <c r="AE106" s="5" t="str">
        <f t="shared" si="92"/>
        <v>ACDE</v>
      </c>
      <c r="AF106" s="5" t="str">
        <f t="shared" si="93"/>
        <v>ACE0</v>
      </c>
      <c r="AG106" s="5" t="str">
        <f t="shared" si="94"/>
        <v>ACEE</v>
      </c>
      <c r="AH106" s="5" t="str">
        <f t="shared" si="95"/>
        <v>ACF0</v>
      </c>
      <c r="AI106" s="5" t="str">
        <f t="shared" si="96"/>
        <v>ACFE</v>
      </c>
      <c r="AK106" s="5" t="str" cm="1">
        <f t="array" ref="AK106">INDEX(_xlfn.TOROW(PixelPatternTable),HEX2DEC(T106)-$T$1+1)</f>
        <v>80</v>
      </c>
      <c r="AL106" s="5" t="str" cm="1">
        <f t="array" ref="AL106">INDEX(_xlfn.TOROW(PixelPatternTable),HEX2DEC(U106)-$T$1+1)</f>
        <v>C0</v>
      </c>
      <c r="AM106" s="5" t="str" cm="1">
        <f t="array" ref="AM106">INDEX(_xlfn.TOROW(PixelPatternTable),HEX2DEC(V106)-$T$1+1)</f>
        <v>80</v>
      </c>
      <c r="AN106" s="5" t="str" cm="1">
        <f t="array" ref="AN106">INDEX(_xlfn.TOROW(PixelPatternTable),HEX2DEC(W106)-$T$1+1)</f>
        <v>C0</v>
      </c>
      <c r="AO106" s="5" t="str" cm="1">
        <f t="array" ref="AO106">INDEX(_xlfn.TOROW(PixelPatternTable),HEX2DEC(X106)-$T$1+1)</f>
        <v>80</v>
      </c>
      <c r="AP106" s="5" t="str" cm="1">
        <f t="array" ref="AP106">INDEX(_xlfn.TOROW(PixelPatternTable),HEX2DEC(Y106)-$T$1+1)</f>
        <v>C0</v>
      </c>
      <c r="AQ106" s="5" t="str" cm="1">
        <f t="array" ref="AQ106">INDEX(_xlfn.TOROW(PixelPatternTable),HEX2DEC(Z106)-$T$1+1)</f>
        <v>80</v>
      </c>
      <c r="AR106" s="5" t="str" cm="1">
        <f t="array" ref="AR106">INDEX(_xlfn.TOROW(PixelPatternTable),HEX2DEC(AA106)-$T$1+1)</f>
        <v>C0</v>
      </c>
      <c r="AS106" s="5" t="str" cm="1">
        <f t="array" ref="AS106">INDEX(_xlfn.TOROW(PixelPatternTable),HEX2DEC(AB106)-$T$1+1)</f>
        <v>80</v>
      </c>
      <c r="AT106" s="5" t="str" cm="1">
        <f t="array" ref="AT106">INDEX(_xlfn.TOROW(PixelPatternTable),HEX2DEC(AC106)-$T$1+1)</f>
        <v>C0</v>
      </c>
      <c r="AU106" s="5" t="str" cm="1">
        <f t="array" ref="AU106">INDEX(_xlfn.TOROW(PixelPatternTable),HEX2DEC(AD106)-$T$1+1)</f>
        <v>80</v>
      </c>
      <c r="AV106" s="5" t="str" cm="1">
        <f t="array" ref="AV106">INDEX(_xlfn.TOROW(PixelPatternTable),HEX2DEC(AE106)-$T$1+1)</f>
        <v>C0</v>
      </c>
      <c r="AW106" s="5" t="str" cm="1">
        <f t="array" ref="AW106">INDEX(_xlfn.TOROW(PixelPatternTable),HEX2DEC(AF106)-$T$1+1)</f>
        <v>80</v>
      </c>
      <c r="AX106" s="5" t="str" cm="1">
        <f t="array" ref="AX106">INDEX(_xlfn.TOROW(PixelPatternTable),HEX2DEC(AG106)-$T$1+1)</f>
        <v>C0</v>
      </c>
      <c r="AY106" s="5" t="str" cm="1">
        <f t="array" ref="AY106">INDEX(_xlfn.TOROW(PixelPatternTable),HEX2DEC(AH106)-$T$1+1)</f>
        <v>80</v>
      </c>
      <c r="AZ106" s="5" t="str" cm="1">
        <f t="array" ref="AZ106">INDEX(_xlfn.TOROW(PixelPatternTable),HEX2DEC(AI106)-$T$1+1)</f>
        <v>C0</v>
      </c>
    </row>
    <row r="107" spans="1:52" x14ac:dyDescent="0.3">
      <c r="A107" s="5" t="str">
        <f t="shared" si="79"/>
        <v>A880</v>
      </c>
      <c r="B107" s="69" t="str">
        <f>pixel_shift_table.asm!C107</f>
        <v>A9</v>
      </c>
      <c r="C107" s="70" t="str">
        <f>pixel_shift_table.asm!D107</f>
        <v>A9</v>
      </c>
      <c r="D107" s="70" t="str">
        <f>pixel_shift_table.asm!E107</f>
        <v>A9</v>
      </c>
      <c r="E107" s="70" t="str">
        <f>pixel_shift_table.asm!F107</f>
        <v>A9</v>
      </c>
      <c r="F107" s="70" t="str">
        <f>pixel_shift_table.asm!G107</f>
        <v>A9</v>
      </c>
      <c r="G107" s="70" t="str">
        <f>pixel_shift_table.asm!H107</f>
        <v>A9</v>
      </c>
      <c r="H107" s="70" t="str">
        <f>pixel_shift_table.asm!I107</f>
        <v>A9</v>
      </c>
      <c r="I107" s="70" t="str">
        <f>pixel_shift_table.asm!J107</f>
        <v>A9</v>
      </c>
      <c r="J107" s="70" t="str">
        <f>pixel_shift_table.asm!K107</f>
        <v>A9</v>
      </c>
      <c r="K107" s="70" t="str">
        <f>pixel_shift_table.asm!L107</f>
        <v>A9</v>
      </c>
      <c r="L107" s="70" t="str">
        <f>pixel_shift_table.asm!M107</f>
        <v>A9</v>
      </c>
      <c r="M107" s="70" t="str">
        <f>pixel_shift_table.asm!N107</f>
        <v>A9</v>
      </c>
      <c r="N107" s="70" t="str">
        <f>pixel_shift_table.asm!O107</f>
        <v>A9</v>
      </c>
      <c r="O107" s="70" t="str">
        <f>pixel_shift_table.asm!P107</f>
        <v>A9</v>
      </c>
      <c r="P107" s="70" t="str">
        <f>pixel_shift_table.asm!Q107</f>
        <v>A9</v>
      </c>
      <c r="Q107" s="70" t="str">
        <f>pixel_shift_table.asm!R107</f>
        <v>A9</v>
      </c>
      <c r="S107">
        <f t="shared" si="80"/>
        <v>128</v>
      </c>
      <c r="T107" s="5" t="str">
        <f t="shared" si="81"/>
        <v>A901</v>
      </c>
      <c r="U107" s="5" t="str">
        <f t="shared" si="82"/>
        <v>A90F</v>
      </c>
      <c r="V107" s="5" t="str">
        <f t="shared" si="83"/>
        <v>A911</v>
      </c>
      <c r="W107" s="5" t="str">
        <f t="shared" si="84"/>
        <v>A91F</v>
      </c>
      <c r="X107" s="5" t="str">
        <f t="shared" si="85"/>
        <v>A921</v>
      </c>
      <c r="Y107" s="5" t="str">
        <f t="shared" si="86"/>
        <v>A92F</v>
      </c>
      <c r="Z107" s="5" t="str">
        <f t="shared" si="87"/>
        <v>A931</v>
      </c>
      <c r="AA107" s="5" t="str">
        <f t="shared" si="88"/>
        <v>A93F</v>
      </c>
      <c r="AB107" s="5" t="str">
        <f t="shared" si="89"/>
        <v>A941</v>
      </c>
      <c r="AC107" s="5" t="str">
        <f t="shared" si="90"/>
        <v>A94F</v>
      </c>
      <c r="AD107" s="5" t="str">
        <f t="shared" si="91"/>
        <v>A951</v>
      </c>
      <c r="AE107" s="5" t="str">
        <f t="shared" si="92"/>
        <v>A95F</v>
      </c>
      <c r="AF107" s="5" t="str">
        <f t="shared" si="93"/>
        <v>A961</v>
      </c>
      <c r="AG107" s="5" t="str">
        <f t="shared" si="94"/>
        <v>A96F</v>
      </c>
      <c r="AH107" s="5" t="str">
        <f t="shared" si="95"/>
        <v>A971</v>
      </c>
      <c r="AI107" s="5" t="str">
        <f t="shared" si="96"/>
        <v>A97F</v>
      </c>
      <c r="AK107" s="5" t="str" cm="1">
        <f t="array" ref="AK107">INDEX(_xlfn.TOROW(PixelPatternTable),HEX2DEC(T107)-$T$1+1)</f>
        <v>80</v>
      </c>
      <c r="AL107" s="5" t="str" cm="1">
        <f t="array" ref="AL107">INDEX(_xlfn.TOROW(PixelPatternTable),HEX2DEC(U107)-$T$1+1)</f>
        <v>80</v>
      </c>
      <c r="AM107" s="5" t="str" cm="1">
        <f t="array" ref="AM107">INDEX(_xlfn.TOROW(PixelPatternTable),HEX2DEC(V107)-$T$1+1)</f>
        <v>81</v>
      </c>
      <c r="AN107" s="5" t="str" cm="1">
        <f t="array" ref="AN107">INDEX(_xlfn.TOROW(PixelPatternTable),HEX2DEC(W107)-$T$1+1)</f>
        <v>81</v>
      </c>
      <c r="AO107" s="5" t="str" cm="1">
        <f t="array" ref="AO107">INDEX(_xlfn.TOROW(PixelPatternTable),HEX2DEC(X107)-$T$1+1)</f>
        <v>82</v>
      </c>
      <c r="AP107" s="5" t="str" cm="1">
        <f t="array" ref="AP107">INDEX(_xlfn.TOROW(PixelPatternTable),HEX2DEC(Y107)-$T$1+1)</f>
        <v>82</v>
      </c>
      <c r="AQ107" s="5" t="str" cm="1">
        <f t="array" ref="AQ107">INDEX(_xlfn.TOROW(PixelPatternTable),HEX2DEC(Z107)-$T$1+1)</f>
        <v>83</v>
      </c>
      <c r="AR107" s="5" t="str" cm="1">
        <f t="array" ref="AR107">INDEX(_xlfn.TOROW(PixelPatternTable),HEX2DEC(AA107)-$T$1+1)</f>
        <v>83</v>
      </c>
      <c r="AS107" s="5" t="str" cm="1">
        <f t="array" ref="AS107">INDEX(_xlfn.TOROW(PixelPatternTable),HEX2DEC(AB107)-$T$1+1)</f>
        <v>84</v>
      </c>
      <c r="AT107" s="5" t="str" cm="1">
        <f t="array" ref="AT107">INDEX(_xlfn.TOROW(PixelPatternTable),HEX2DEC(AC107)-$T$1+1)</f>
        <v>84</v>
      </c>
      <c r="AU107" s="5" t="str" cm="1">
        <f t="array" ref="AU107">INDEX(_xlfn.TOROW(PixelPatternTable),HEX2DEC(AD107)-$T$1+1)</f>
        <v>85</v>
      </c>
      <c r="AV107" s="5" t="str" cm="1">
        <f t="array" ref="AV107">INDEX(_xlfn.TOROW(PixelPatternTable),HEX2DEC(AE107)-$T$1+1)</f>
        <v>85</v>
      </c>
      <c r="AW107" s="5" t="str" cm="1">
        <f t="array" ref="AW107">INDEX(_xlfn.TOROW(PixelPatternTable),HEX2DEC(AF107)-$T$1+1)</f>
        <v>86</v>
      </c>
      <c r="AX107" s="5" t="str" cm="1">
        <f t="array" ref="AX107">INDEX(_xlfn.TOROW(PixelPatternTable),HEX2DEC(AG107)-$T$1+1)</f>
        <v>86</v>
      </c>
      <c r="AY107" s="5" t="str" cm="1">
        <f t="array" ref="AY107">INDEX(_xlfn.TOROW(PixelPatternTable),HEX2DEC(AH107)-$T$1+1)</f>
        <v>87</v>
      </c>
      <c r="AZ107" s="5" t="str" cm="1">
        <f t="array" ref="AZ107">INDEX(_xlfn.TOROW(PixelPatternTable),HEX2DEC(AI107)-$T$1+1)</f>
        <v>87</v>
      </c>
    </row>
    <row r="108" spans="1:52" x14ac:dyDescent="0.3">
      <c r="A108" s="5" t="str">
        <f t="shared" si="79"/>
        <v>A890</v>
      </c>
      <c r="B108" s="71" t="str">
        <f>pixel_shift_table.asm!C108</f>
        <v>A9</v>
      </c>
      <c r="C108" s="72" t="str">
        <f>pixel_shift_table.asm!D108</f>
        <v>A9</v>
      </c>
      <c r="D108" s="72" t="str">
        <f>pixel_shift_table.asm!E108</f>
        <v>A9</v>
      </c>
      <c r="E108" s="72" t="str">
        <f>pixel_shift_table.asm!F108</f>
        <v>A9</v>
      </c>
      <c r="F108" s="72" t="str">
        <f>pixel_shift_table.asm!G108</f>
        <v>A9</v>
      </c>
      <c r="G108" s="72" t="str">
        <f>pixel_shift_table.asm!H108</f>
        <v>A9</v>
      </c>
      <c r="H108" s="72" t="str">
        <f>pixel_shift_table.asm!I108</f>
        <v>A9</v>
      </c>
      <c r="I108" s="72" t="str">
        <f>pixel_shift_table.asm!J108</f>
        <v>A9</v>
      </c>
      <c r="J108" s="72" t="str">
        <f>pixel_shift_table.asm!K108</f>
        <v>A9</v>
      </c>
      <c r="K108" s="72" t="str">
        <f>pixel_shift_table.asm!L108</f>
        <v>A9</v>
      </c>
      <c r="L108" s="72" t="str">
        <f>pixel_shift_table.asm!M108</f>
        <v>A9</v>
      </c>
      <c r="M108" s="72" t="str">
        <f>pixel_shift_table.asm!N108</f>
        <v>A9</v>
      </c>
      <c r="N108" s="72" t="str">
        <f>pixel_shift_table.asm!O108</f>
        <v>A9</v>
      </c>
      <c r="O108" s="72" t="str">
        <f>pixel_shift_table.asm!P108</f>
        <v>A9</v>
      </c>
      <c r="P108" s="72" t="str">
        <f>pixel_shift_table.asm!Q108</f>
        <v>A9</v>
      </c>
      <c r="Q108" s="72" t="str">
        <f>pixel_shift_table.asm!R108</f>
        <v>A9</v>
      </c>
      <c r="S108">
        <f t="shared" si="80"/>
        <v>144</v>
      </c>
      <c r="T108" s="5" t="str">
        <f t="shared" si="81"/>
        <v>A981</v>
      </c>
      <c r="U108" s="5" t="str">
        <f t="shared" si="82"/>
        <v>A98F</v>
      </c>
      <c r="V108" s="5" t="str">
        <f t="shared" si="83"/>
        <v>A991</v>
      </c>
      <c r="W108" s="5" t="str">
        <f t="shared" si="84"/>
        <v>A99F</v>
      </c>
      <c r="X108" s="5" t="str">
        <f t="shared" si="85"/>
        <v>A9A1</v>
      </c>
      <c r="Y108" s="5" t="str">
        <f t="shared" si="86"/>
        <v>A9AF</v>
      </c>
      <c r="Z108" s="5" t="str">
        <f t="shared" si="87"/>
        <v>A9B1</v>
      </c>
      <c r="AA108" s="5" t="str">
        <f t="shared" si="88"/>
        <v>A9BF</v>
      </c>
      <c r="AB108" s="5" t="str">
        <f t="shared" si="89"/>
        <v>A9C1</v>
      </c>
      <c r="AC108" s="5" t="str">
        <f t="shared" si="90"/>
        <v>A9CF</v>
      </c>
      <c r="AD108" s="5" t="str">
        <f t="shared" si="91"/>
        <v>A9D1</v>
      </c>
      <c r="AE108" s="5" t="str">
        <f t="shared" si="92"/>
        <v>A9DF</v>
      </c>
      <c r="AF108" s="5" t="str">
        <f t="shared" si="93"/>
        <v>A9E1</v>
      </c>
      <c r="AG108" s="5" t="str">
        <f t="shared" si="94"/>
        <v>A9EF</v>
      </c>
      <c r="AH108" s="5" t="str">
        <f t="shared" si="95"/>
        <v>A9F1</v>
      </c>
      <c r="AI108" s="5" t="str">
        <f t="shared" si="96"/>
        <v>A9FF</v>
      </c>
      <c r="AK108" s="5" t="str" cm="1">
        <f t="array" ref="AK108">INDEX(_xlfn.TOROW(PixelPatternTable),HEX2DEC(T108)-$T$1+1)</f>
        <v>88</v>
      </c>
      <c r="AL108" s="5" t="str" cm="1">
        <f t="array" ref="AL108">INDEX(_xlfn.TOROW(PixelPatternTable),HEX2DEC(U108)-$T$1+1)</f>
        <v>88</v>
      </c>
      <c r="AM108" s="5" t="str" cm="1">
        <f t="array" ref="AM108">INDEX(_xlfn.TOROW(PixelPatternTable),HEX2DEC(V108)-$T$1+1)</f>
        <v>89</v>
      </c>
      <c r="AN108" s="5" t="str" cm="1">
        <f t="array" ref="AN108">INDEX(_xlfn.TOROW(PixelPatternTable),HEX2DEC(W108)-$T$1+1)</f>
        <v>89</v>
      </c>
      <c r="AO108" s="5" t="str" cm="1">
        <f t="array" ref="AO108">INDEX(_xlfn.TOROW(PixelPatternTable),HEX2DEC(X108)-$T$1+1)</f>
        <v>8A</v>
      </c>
      <c r="AP108" s="5" t="str" cm="1">
        <f t="array" ref="AP108">INDEX(_xlfn.TOROW(PixelPatternTable),HEX2DEC(Y108)-$T$1+1)</f>
        <v>8A</v>
      </c>
      <c r="AQ108" s="5" t="str" cm="1">
        <f t="array" ref="AQ108">INDEX(_xlfn.TOROW(PixelPatternTable),HEX2DEC(Z108)-$T$1+1)</f>
        <v>8B</v>
      </c>
      <c r="AR108" s="5" t="str" cm="1">
        <f t="array" ref="AR108">INDEX(_xlfn.TOROW(PixelPatternTable),HEX2DEC(AA108)-$T$1+1)</f>
        <v>8B</v>
      </c>
      <c r="AS108" s="5" t="str" cm="1">
        <f t="array" ref="AS108">INDEX(_xlfn.TOROW(PixelPatternTable),HEX2DEC(AB108)-$T$1+1)</f>
        <v>8C</v>
      </c>
      <c r="AT108" s="5" t="str" cm="1">
        <f t="array" ref="AT108">INDEX(_xlfn.TOROW(PixelPatternTable),HEX2DEC(AC108)-$T$1+1)</f>
        <v>8C</v>
      </c>
      <c r="AU108" s="5" t="str" cm="1">
        <f t="array" ref="AU108">INDEX(_xlfn.TOROW(PixelPatternTable),HEX2DEC(AD108)-$T$1+1)</f>
        <v>8D</v>
      </c>
      <c r="AV108" s="5" t="str" cm="1">
        <f t="array" ref="AV108">INDEX(_xlfn.TOROW(PixelPatternTable),HEX2DEC(AE108)-$T$1+1)</f>
        <v>8D</v>
      </c>
      <c r="AW108" s="5" t="str" cm="1">
        <f t="array" ref="AW108">INDEX(_xlfn.TOROW(PixelPatternTable),HEX2DEC(AF108)-$T$1+1)</f>
        <v>8E</v>
      </c>
      <c r="AX108" s="5" t="str" cm="1">
        <f t="array" ref="AX108">INDEX(_xlfn.TOROW(PixelPatternTable),HEX2DEC(AG108)-$T$1+1)</f>
        <v>8E</v>
      </c>
      <c r="AY108" s="5" t="str" cm="1">
        <f t="array" ref="AY108">INDEX(_xlfn.TOROW(PixelPatternTable),HEX2DEC(AH108)-$T$1+1)</f>
        <v>8F</v>
      </c>
      <c r="AZ108" s="5" t="str" cm="1">
        <f t="array" ref="AZ108">INDEX(_xlfn.TOROW(PixelPatternTable),HEX2DEC(AI108)-$T$1+1)</f>
        <v>8F</v>
      </c>
    </row>
    <row r="109" spans="1:52" x14ac:dyDescent="0.3">
      <c r="A109" s="5" t="str">
        <f t="shared" si="79"/>
        <v>A8A0</v>
      </c>
      <c r="B109" s="71" t="str">
        <f>pixel_shift_table.asm!C109</f>
        <v>AA</v>
      </c>
      <c r="C109" s="72" t="str">
        <f>pixel_shift_table.asm!D109</f>
        <v>AA</v>
      </c>
      <c r="D109" s="72" t="str">
        <f>pixel_shift_table.asm!E109</f>
        <v>AA</v>
      </c>
      <c r="E109" s="72" t="str">
        <f>pixel_shift_table.asm!F109</f>
        <v>AA</v>
      </c>
      <c r="F109" s="72" t="str">
        <f>pixel_shift_table.asm!G109</f>
        <v>AA</v>
      </c>
      <c r="G109" s="72" t="str">
        <f>pixel_shift_table.asm!H109</f>
        <v>AA</v>
      </c>
      <c r="H109" s="72" t="str">
        <f>pixel_shift_table.asm!I109</f>
        <v>AA</v>
      </c>
      <c r="I109" s="72" t="str">
        <f>pixel_shift_table.asm!J109</f>
        <v>AA</v>
      </c>
      <c r="J109" s="72" t="str">
        <f>pixel_shift_table.asm!K109</f>
        <v>AA</v>
      </c>
      <c r="K109" s="72" t="str">
        <f>pixel_shift_table.asm!L109</f>
        <v>AA</v>
      </c>
      <c r="L109" s="72" t="str">
        <f>pixel_shift_table.asm!M109</f>
        <v>AA</v>
      </c>
      <c r="M109" s="72" t="str">
        <f>pixel_shift_table.asm!N109</f>
        <v>AA</v>
      </c>
      <c r="N109" s="72" t="str">
        <f>pixel_shift_table.asm!O109</f>
        <v>AA</v>
      </c>
      <c r="O109" s="72" t="str">
        <f>pixel_shift_table.asm!P109</f>
        <v>AA</v>
      </c>
      <c r="P109" s="72" t="str">
        <f>pixel_shift_table.asm!Q109</f>
        <v>AA</v>
      </c>
      <c r="Q109" s="72" t="str">
        <f>pixel_shift_table.asm!R109</f>
        <v>AA</v>
      </c>
      <c r="S109">
        <f t="shared" si="80"/>
        <v>160</v>
      </c>
      <c r="T109" s="5" t="str">
        <f t="shared" si="81"/>
        <v>AA01</v>
      </c>
      <c r="U109" s="5" t="str">
        <f t="shared" si="82"/>
        <v>AA0F</v>
      </c>
      <c r="V109" s="5" t="str">
        <f t="shared" si="83"/>
        <v>AA11</v>
      </c>
      <c r="W109" s="5" t="str">
        <f t="shared" si="84"/>
        <v>AA1F</v>
      </c>
      <c r="X109" s="5" t="str">
        <f t="shared" si="85"/>
        <v>AA21</v>
      </c>
      <c r="Y109" s="5" t="str">
        <f t="shared" si="86"/>
        <v>AA2F</v>
      </c>
      <c r="Z109" s="5" t="str">
        <f t="shared" si="87"/>
        <v>AA31</v>
      </c>
      <c r="AA109" s="5" t="str">
        <f t="shared" si="88"/>
        <v>AA3F</v>
      </c>
      <c r="AB109" s="5" t="str">
        <f t="shared" si="89"/>
        <v>AA41</v>
      </c>
      <c r="AC109" s="5" t="str">
        <f t="shared" si="90"/>
        <v>AA4F</v>
      </c>
      <c r="AD109" s="5" t="str">
        <f t="shared" si="91"/>
        <v>AA51</v>
      </c>
      <c r="AE109" s="5" t="str">
        <f t="shared" si="92"/>
        <v>AA5F</v>
      </c>
      <c r="AF109" s="5" t="str">
        <f t="shared" si="93"/>
        <v>AA61</v>
      </c>
      <c r="AG109" s="5" t="str">
        <f t="shared" si="94"/>
        <v>AA6F</v>
      </c>
      <c r="AH109" s="5" t="str">
        <f t="shared" si="95"/>
        <v>AA71</v>
      </c>
      <c r="AI109" s="5" t="str">
        <f t="shared" si="96"/>
        <v>AA7F</v>
      </c>
      <c r="AK109" s="5" t="str" cm="1">
        <f t="array" ref="AK109">INDEX(_xlfn.TOROW(PixelPatternTable),HEX2DEC(T109)-$T$1+1)</f>
        <v>90</v>
      </c>
      <c r="AL109" s="5" t="str" cm="1">
        <f t="array" ref="AL109">INDEX(_xlfn.TOROW(PixelPatternTable),HEX2DEC(U109)-$T$1+1)</f>
        <v>90</v>
      </c>
      <c r="AM109" s="5" t="str" cm="1">
        <f t="array" ref="AM109">INDEX(_xlfn.TOROW(PixelPatternTable),HEX2DEC(V109)-$T$1+1)</f>
        <v>91</v>
      </c>
      <c r="AN109" s="5" t="str" cm="1">
        <f t="array" ref="AN109">INDEX(_xlfn.TOROW(PixelPatternTable),HEX2DEC(W109)-$T$1+1)</f>
        <v>91</v>
      </c>
      <c r="AO109" s="5" t="str" cm="1">
        <f t="array" ref="AO109">INDEX(_xlfn.TOROW(PixelPatternTable),HEX2DEC(X109)-$T$1+1)</f>
        <v>92</v>
      </c>
      <c r="AP109" s="5" t="str" cm="1">
        <f t="array" ref="AP109">INDEX(_xlfn.TOROW(PixelPatternTable),HEX2DEC(Y109)-$T$1+1)</f>
        <v>92</v>
      </c>
      <c r="AQ109" s="5" t="str" cm="1">
        <f t="array" ref="AQ109">INDEX(_xlfn.TOROW(PixelPatternTable),HEX2DEC(Z109)-$T$1+1)</f>
        <v>93</v>
      </c>
      <c r="AR109" s="5" t="str" cm="1">
        <f t="array" ref="AR109">INDEX(_xlfn.TOROW(PixelPatternTable),HEX2DEC(AA109)-$T$1+1)</f>
        <v>93</v>
      </c>
      <c r="AS109" s="5" t="str" cm="1">
        <f t="array" ref="AS109">INDEX(_xlfn.TOROW(PixelPatternTable),HEX2DEC(AB109)-$T$1+1)</f>
        <v>94</v>
      </c>
      <c r="AT109" s="5" t="str" cm="1">
        <f t="array" ref="AT109">INDEX(_xlfn.TOROW(PixelPatternTable),HEX2DEC(AC109)-$T$1+1)</f>
        <v>94</v>
      </c>
      <c r="AU109" s="5" t="str" cm="1">
        <f t="array" ref="AU109">INDEX(_xlfn.TOROW(PixelPatternTable),HEX2DEC(AD109)-$T$1+1)</f>
        <v>95</v>
      </c>
      <c r="AV109" s="5" t="str" cm="1">
        <f t="array" ref="AV109">INDEX(_xlfn.TOROW(PixelPatternTable),HEX2DEC(AE109)-$T$1+1)</f>
        <v>95</v>
      </c>
      <c r="AW109" s="5" t="str" cm="1">
        <f t="array" ref="AW109">INDEX(_xlfn.TOROW(PixelPatternTable),HEX2DEC(AF109)-$T$1+1)</f>
        <v>96</v>
      </c>
      <c r="AX109" s="5" t="str" cm="1">
        <f t="array" ref="AX109">INDEX(_xlfn.TOROW(PixelPatternTable),HEX2DEC(AG109)-$T$1+1)</f>
        <v>96</v>
      </c>
      <c r="AY109" s="5" t="str" cm="1">
        <f t="array" ref="AY109">INDEX(_xlfn.TOROW(PixelPatternTable),HEX2DEC(AH109)-$T$1+1)</f>
        <v>97</v>
      </c>
      <c r="AZ109" s="5" t="str" cm="1">
        <f t="array" ref="AZ109">INDEX(_xlfn.TOROW(PixelPatternTable),HEX2DEC(AI109)-$T$1+1)</f>
        <v>97</v>
      </c>
    </row>
    <row r="110" spans="1:52" x14ac:dyDescent="0.3">
      <c r="A110" s="5" t="str">
        <f t="shared" si="79"/>
        <v>A8B0</v>
      </c>
      <c r="B110" s="71" t="str">
        <f>pixel_shift_table.asm!C110</f>
        <v>AA</v>
      </c>
      <c r="C110" s="72" t="str">
        <f>pixel_shift_table.asm!D110</f>
        <v>AA</v>
      </c>
      <c r="D110" s="72" t="str">
        <f>pixel_shift_table.asm!E110</f>
        <v>AA</v>
      </c>
      <c r="E110" s="72" t="str">
        <f>pixel_shift_table.asm!F110</f>
        <v>AA</v>
      </c>
      <c r="F110" s="72" t="str">
        <f>pixel_shift_table.asm!G110</f>
        <v>AA</v>
      </c>
      <c r="G110" s="72" t="str">
        <f>pixel_shift_table.asm!H110</f>
        <v>AA</v>
      </c>
      <c r="H110" s="72" t="str">
        <f>pixel_shift_table.asm!I110</f>
        <v>AA</v>
      </c>
      <c r="I110" s="72" t="str">
        <f>pixel_shift_table.asm!J110</f>
        <v>AA</v>
      </c>
      <c r="J110" s="72" t="str">
        <f>pixel_shift_table.asm!K110</f>
        <v>AA</v>
      </c>
      <c r="K110" s="72" t="str">
        <f>pixel_shift_table.asm!L110</f>
        <v>AA</v>
      </c>
      <c r="L110" s="72" t="str">
        <f>pixel_shift_table.asm!M110</f>
        <v>AA</v>
      </c>
      <c r="M110" s="72" t="str">
        <f>pixel_shift_table.asm!N110</f>
        <v>AA</v>
      </c>
      <c r="N110" s="72" t="str">
        <f>pixel_shift_table.asm!O110</f>
        <v>AA</v>
      </c>
      <c r="O110" s="72" t="str">
        <f>pixel_shift_table.asm!P110</f>
        <v>AA</v>
      </c>
      <c r="P110" s="72" t="str">
        <f>pixel_shift_table.asm!Q110</f>
        <v>AA</v>
      </c>
      <c r="Q110" s="72" t="str">
        <f>pixel_shift_table.asm!R110</f>
        <v>AA</v>
      </c>
      <c r="S110">
        <f t="shared" si="80"/>
        <v>176</v>
      </c>
      <c r="T110" s="5" t="str">
        <f t="shared" si="81"/>
        <v>AA81</v>
      </c>
      <c r="U110" s="5" t="str">
        <f t="shared" si="82"/>
        <v>AA8F</v>
      </c>
      <c r="V110" s="5" t="str">
        <f t="shared" si="83"/>
        <v>AA91</v>
      </c>
      <c r="W110" s="5" t="str">
        <f t="shared" si="84"/>
        <v>AA9F</v>
      </c>
      <c r="X110" s="5" t="str">
        <f t="shared" si="85"/>
        <v>AAA1</v>
      </c>
      <c r="Y110" s="5" t="str">
        <f t="shared" si="86"/>
        <v>AAAF</v>
      </c>
      <c r="Z110" s="5" t="str">
        <f t="shared" si="87"/>
        <v>AAB1</v>
      </c>
      <c r="AA110" s="5" t="str">
        <f t="shared" si="88"/>
        <v>AABF</v>
      </c>
      <c r="AB110" s="5" t="str">
        <f t="shared" si="89"/>
        <v>AAC1</v>
      </c>
      <c r="AC110" s="5" t="str">
        <f t="shared" si="90"/>
        <v>AACF</v>
      </c>
      <c r="AD110" s="5" t="str">
        <f t="shared" si="91"/>
        <v>AAD1</v>
      </c>
      <c r="AE110" s="5" t="str">
        <f t="shared" si="92"/>
        <v>AADF</v>
      </c>
      <c r="AF110" s="5" t="str">
        <f t="shared" si="93"/>
        <v>AAE1</v>
      </c>
      <c r="AG110" s="5" t="str">
        <f t="shared" si="94"/>
        <v>AAEF</v>
      </c>
      <c r="AH110" s="5" t="str">
        <f t="shared" si="95"/>
        <v>AAF1</v>
      </c>
      <c r="AI110" s="5" t="str">
        <f t="shared" si="96"/>
        <v>AAFF</v>
      </c>
      <c r="AK110" s="5" t="str" cm="1">
        <f t="array" ref="AK110">INDEX(_xlfn.TOROW(PixelPatternTable),HEX2DEC(T110)-$T$1+1)</f>
        <v>98</v>
      </c>
      <c r="AL110" s="5" t="str" cm="1">
        <f t="array" ref="AL110">INDEX(_xlfn.TOROW(PixelPatternTable),HEX2DEC(U110)-$T$1+1)</f>
        <v>98</v>
      </c>
      <c r="AM110" s="5" t="str" cm="1">
        <f t="array" ref="AM110">INDEX(_xlfn.TOROW(PixelPatternTable),HEX2DEC(V110)-$T$1+1)</f>
        <v>99</v>
      </c>
      <c r="AN110" s="5" t="str" cm="1">
        <f t="array" ref="AN110">INDEX(_xlfn.TOROW(PixelPatternTable),HEX2DEC(W110)-$T$1+1)</f>
        <v>99</v>
      </c>
      <c r="AO110" s="5" t="str" cm="1">
        <f t="array" ref="AO110">INDEX(_xlfn.TOROW(PixelPatternTable),HEX2DEC(X110)-$T$1+1)</f>
        <v>9A</v>
      </c>
      <c r="AP110" s="5" t="str" cm="1">
        <f t="array" ref="AP110">INDEX(_xlfn.TOROW(PixelPatternTable),HEX2DEC(Y110)-$T$1+1)</f>
        <v>9A</v>
      </c>
      <c r="AQ110" s="5" t="str" cm="1">
        <f t="array" ref="AQ110">INDEX(_xlfn.TOROW(PixelPatternTable),HEX2DEC(Z110)-$T$1+1)</f>
        <v>9B</v>
      </c>
      <c r="AR110" s="5" t="str" cm="1">
        <f t="array" ref="AR110">INDEX(_xlfn.TOROW(PixelPatternTable),HEX2DEC(AA110)-$T$1+1)</f>
        <v>9B</v>
      </c>
      <c r="AS110" s="5" t="str" cm="1">
        <f t="array" ref="AS110">INDEX(_xlfn.TOROW(PixelPatternTable),HEX2DEC(AB110)-$T$1+1)</f>
        <v>9C</v>
      </c>
      <c r="AT110" s="5" t="str" cm="1">
        <f t="array" ref="AT110">INDEX(_xlfn.TOROW(PixelPatternTable),HEX2DEC(AC110)-$T$1+1)</f>
        <v>9C</v>
      </c>
      <c r="AU110" s="5" t="str" cm="1">
        <f t="array" ref="AU110">INDEX(_xlfn.TOROW(PixelPatternTable),HEX2DEC(AD110)-$T$1+1)</f>
        <v>9D</v>
      </c>
      <c r="AV110" s="5" t="str" cm="1">
        <f t="array" ref="AV110">INDEX(_xlfn.TOROW(PixelPatternTable),HEX2DEC(AE110)-$T$1+1)</f>
        <v>9D</v>
      </c>
      <c r="AW110" s="5" t="str" cm="1">
        <f t="array" ref="AW110">INDEX(_xlfn.TOROW(PixelPatternTable),HEX2DEC(AF110)-$T$1+1)</f>
        <v>9E</v>
      </c>
      <c r="AX110" s="5" t="str" cm="1">
        <f t="array" ref="AX110">INDEX(_xlfn.TOROW(PixelPatternTable),HEX2DEC(AG110)-$T$1+1)</f>
        <v>9E</v>
      </c>
      <c r="AY110" s="5" t="str" cm="1">
        <f t="array" ref="AY110">INDEX(_xlfn.TOROW(PixelPatternTable),HEX2DEC(AH110)-$T$1+1)</f>
        <v>9F</v>
      </c>
      <c r="AZ110" s="5" t="str" cm="1">
        <f t="array" ref="AZ110">INDEX(_xlfn.TOROW(PixelPatternTable),HEX2DEC(AI110)-$T$1+1)</f>
        <v>9F</v>
      </c>
    </row>
    <row r="111" spans="1:52" x14ac:dyDescent="0.3">
      <c r="A111" s="5" t="str">
        <f t="shared" si="79"/>
        <v>A8C0</v>
      </c>
      <c r="B111" s="71" t="str">
        <f>pixel_shift_table.asm!C111</f>
        <v>AB</v>
      </c>
      <c r="C111" s="72" t="str">
        <f>pixel_shift_table.asm!D111</f>
        <v>AB</v>
      </c>
      <c r="D111" s="72" t="str">
        <f>pixel_shift_table.asm!E111</f>
        <v>AB</v>
      </c>
      <c r="E111" s="72" t="str">
        <f>pixel_shift_table.asm!F111</f>
        <v>AB</v>
      </c>
      <c r="F111" s="72" t="str">
        <f>pixel_shift_table.asm!G111</f>
        <v>AB</v>
      </c>
      <c r="G111" s="72" t="str">
        <f>pixel_shift_table.asm!H111</f>
        <v>AB</v>
      </c>
      <c r="H111" s="72" t="str">
        <f>pixel_shift_table.asm!I111</f>
        <v>AB</v>
      </c>
      <c r="I111" s="72" t="str">
        <f>pixel_shift_table.asm!J111</f>
        <v>AB</v>
      </c>
      <c r="J111" s="72" t="str">
        <f>pixel_shift_table.asm!K111</f>
        <v>AB</v>
      </c>
      <c r="K111" s="72" t="str">
        <f>pixel_shift_table.asm!L111</f>
        <v>AB</v>
      </c>
      <c r="L111" s="72" t="str">
        <f>pixel_shift_table.asm!M111</f>
        <v>AB</v>
      </c>
      <c r="M111" s="72" t="str">
        <f>pixel_shift_table.asm!N111</f>
        <v>AB</v>
      </c>
      <c r="N111" s="72" t="str">
        <f>pixel_shift_table.asm!O111</f>
        <v>AB</v>
      </c>
      <c r="O111" s="72" t="str">
        <f>pixel_shift_table.asm!P111</f>
        <v>AB</v>
      </c>
      <c r="P111" s="72" t="str">
        <f>pixel_shift_table.asm!Q111</f>
        <v>AB</v>
      </c>
      <c r="Q111" s="72" t="str">
        <f>pixel_shift_table.asm!R111</f>
        <v>AB</v>
      </c>
      <c r="S111">
        <f t="shared" si="80"/>
        <v>192</v>
      </c>
      <c r="T111" s="5" t="str">
        <f t="shared" si="81"/>
        <v>AB01</v>
      </c>
      <c r="U111" s="5" t="str">
        <f t="shared" si="82"/>
        <v>AB0F</v>
      </c>
      <c r="V111" s="5" t="str">
        <f t="shared" si="83"/>
        <v>AB11</v>
      </c>
      <c r="W111" s="5" t="str">
        <f t="shared" si="84"/>
        <v>AB1F</v>
      </c>
      <c r="X111" s="5" t="str">
        <f t="shared" si="85"/>
        <v>AB21</v>
      </c>
      <c r="Y111" s="5" t="str">
        <f t="shared" si="86"/>
        <v>AB2F</v>
      </c>
      <c r="Z111" s="5" t="str">
        <f t="shared" si="87"/>
        <v>AB31</v>
      </c>
      <c r="AA111" s="5" t="str">
        <f t="shared" si="88"/>
        <v>AB3F</v>
      </c>
      <c r="AB111" s="5" t="str">
        <f t="shared" si="89"/>
        <v>AB41</v>
      </c>
      <c r="AC111" s="5" t="str">
        <f t="shared" si="90"/>
        <v>AB4F</v>
      </c>
      <c r="AD111" s="5" t="str">
        <f t="shared" si="91"/>
        <v>AB51</v>
      </c>
      <c r="AE111" s="5" t="str">
        <f t="shared" si="92"/>
        <v>AB5F</v>
      </c>
      <c r="AF111" s="5" t="str">
        <f t="shared" si="93"/>
        <v>AB61</v>
      </c>
      <c r="AG111" s="5" t="str">
        <f t="shared" si="94"/>
        <v>AB6F</v>
      </c>
      <c r="AH111" s="5" t="str">
        <f t="shared" si="95"/>
        <v>AB71</v>
      </c>
      <c r="AI111" s="5" t="str">
        <f t="shared" si="96"/>
        <v>AB7F</v>
      </c>
      <c r="AK111" s="5" t="str" cm="1">
        <f t="array" ref="AK111">INDEX(_xlfn.TOROW(PixelPatternTable),HEX2DEC(T111)-$T$1+1)</f>
        <v>A0</v>
      </c>
      <c r="AL111" s="5" t="str" cm="1">
        <f t="array" ref="AL111">INDEX(_xlfn.TOROW(PixelPatternTable),HEX2DEC(U111)-$T$1+1)</f>
        <v>A0</v>
      </c>
      <c r="AM111" s="5" t="str" cm="1">
        <f t="array" ref="AM111">INDEX(_xlfn.TOROW(PixelPatternTable),HEX2DEC(V111)-$T$1+1)</f>
        <v>A1</v>
      </c>
      <c r="AN111" s="5" t="str" cm="1">
        <f t="array" ref="AN111">INDEX(_xlfn.TOROW(PixelPatternTable),HEX2DEC(W111)-$T$1+1)</f>
        <v>A1</v>
      </c>
      <c r="AO111" s="5" t="str" cm="1">
        <f t="array" ref="AO111">INDEX(_xlfn.TOROW(PixelPatternTable),HEX2DEC(X111)-$T$1+1)</f>
        <v>A2</v>
      </c>
      <c r="AP111" s="5" t="str" cm="1">
        <f t="array" ref="AP111">INDEX(_xlfn.TOROW(PixelPatternTable),HEX2DEC(Y111)-$T$1+1)</f>
        <v>A2</v>
      </c>
      <c r="AQ111" s="5" t="str" cm="1">
        <f t="array" ref="AQ111">INDEX(_xlfn.TOROW(PixelPatternTable),HEX2DEC(Z111)-$T$1+1)</f>
        <v>A3</v>
      </c>
      <c r="AR111" s="5" t="str" cm="1">
        <f t="array" ref="AR111">INDEX(_xlfn.TOROW(PixelPatternTable),HEX2DEC(AA111)-$T$1+1)</f>
        <v>A3</v>
      </c>
      <c r="AS111" s="5" t="str" cm="1">
        <f t="array" ref="AS111">INDEX(_xlfn.TOROW(PixelPatternTable),HEX2DEC(AB111)-$T$1+1)</f>
        <v>A4</v>
      </c>
      <c r="AT111" s="5" t="str" cm="1">
        <f t="array" ref="AT111">INDEX(_xlfn.TOROW(PixelPatternTable),HEX2DEC(AC111)-$T$1+1)</f>
        <v>A4</v>
      </c>
      <c r="AU111" s="5" t="str" cm="1">
        <f t="array" ref="AU111">INDEX(_xlfn.TOROW(PixelPatternTable),HEX2DEC(AD111)-$T$1+1)</f>
        <v>A5</v>
      </c>
      <c r="AV111" s="5" t="str" cm="1">
        <f t="array" ref="AV111">INDEX(_xlfn.TOROW(PixelPatternTable),HEX2DEC(AE111)-$T$1+1)</f>
        <v>A5</v>
      </c>
      <c r="AW111" s="5" t="str" cm="1">
        <f t="array" ref="AW111">INDEX(_xlfn.TOROW(PixelPatternTable),HEX2DEC(AF111)-$T$1+1)</f>
        <v>A6</v>
      </c>
      <c r="AX111" s="5" t="str" cm="1">
        <f t="array" ref="AX111">INDEX(_xlfn.TOROW(PixelPatternTable),HEX2DEC(AG111)-$T$1+1)</f>
        <v>A6</v>
      </c>
      <c r="AY111" s="5" t="str" cm="1">
        <f t="array" ref="AY111">INDEX(_xlfn.TOROW(PixelPatternTable),HEX2DEC(AH111)-$T$1+1)</f>
        <v>A7</v>
      </c>
      <c r="AZ111" s="5" t="str" cm="1">
        <f t="array" ref="AZ111">INDEX(_xlfn.TOROW(PixelPatternTable),HEX2DEC(AI111)-$T$1+1)</f>
        <v>A7</v>
      </c>
    </row>
    <row r="112" spans="1:52" x14ac:dyDescent="0.3">
      <c r="A112" s="5" t="str">
        <f t="shared" si="79"/>
        <v>A8D0</v>
      </c>
      <c r="B112" s="71" t="str">
        <f>pixel_shift_table.asm!C112</f>
        <v>AB</v>
      </c>
      <c r="C112" s="72" t="str">
        <f>pixel_shift_table.asm!D112</f>
        <v>AB</v>
      </c>
      <c r="D112" s="72" t="str">
        <f>pixel_shift_table.asm!E112</f>
        <v>AB</v>
      </c>
      <c r="E112" s="72" t="str">
        <f>pixel_shift_table.asm!F112</f>
        <v>AB</v>
      </c>
      <c r="F112" s="72" t="str">
        <f>pixel_shift_table.asm!G112</f>
        <v>AB</v>
      </c>
      <c r="G112" s="72" t="str">
        <f>pixel_shift_table.asm!H112</f>
        <v>AB</v>
      </c>
      <c r="H112" s="72" t="str">
        <f>pixel_shift_table.asm!I112</f>
        <v>AB</v>
      </c>
      <c r="I112" s="72" t="str">
        <f>pixel_shift_table.asm!J112</f>
        <v>AB</v>
      </c>
      <c r="J112" s="72" t="str">
        <f>pixel_shift_table.asm!K112</f>
        <v>AB</v>
      </c>
      <c r="K112" s="72" t="str">
        <f>pixel_shift_table.asm!L112</f>
        <v>AB</v>
      </c>
      <c r="L112" s="72" t="str">
        <f>pixel_shift_table.asm!M112</f>
        <v>AB</v>
      </c>
      <c r="M112" s="72" t="str">
        <f>pixel_shift_table.asm!N112</f>
        <v>AB</v>
      </c>
      <c r="N112" s="72" t="str">
        <f>pixel_shift_table.asm!O112</f>
        <v>AB</v>
      </c>
      <c r="O112" s="72" t="str">
        <f>pixel_shift_table.asm!P112</f>
        <v>AB</v>
      </c>
      <c r="P112" s="72" t="str">
        <f>pixel_shift_table.asm!Q112</f>
        <v>AB</v>
      </c>
      <c r="Q112" s="72" t="str">
        <f>pixel_shift_table.asm!R112</f>
        <v>AB</v>
      </c>
      <c r="S112">
        <f t="shared" si="80"/>
        <v>208</v>
      </c>
      <c r="T112" s="5" t="str">
        <f t="shared" si="81"/>
        <v>AB81</v>
      </c>
      <c r="U112" s="5" t="str">
        <f t="shared" si="82"/>
        <v>AB8F</v>
      </c>
      <c r="V112" s="5" t="str">
        <f t="shared" si="83"/>
        <v>AB91</v>
      </c>
      <c r="W112" s="5" t="str">
        <f t="shared" si="84"/>
        <v>AB9F</v>
      </c>
      <c r="X112" s="5" t="str">
        <f t="shared" si="85"/>
        <v>ABA1</v>
      </c>
      <c r="Y112" s="5" t="str">
        <f t="shared" si="86"/>
        <v>ABAF</v>
      </c>
      <c r="Z112" s="5" t="str">
        <f t="shared" si="87"/>
        <v>ABB1</v>
      </c>
      <c r="AA112" s="5" t="str">
        <f t="shared" si="88"/>
        <v>ABBF</v>
      </c>
      <c r="AB112" s="5" t="str">
        <f t="shared" si="89"/>
        <v>ABC1</v>
      </c>
      <c r="AC112" s="5" t="str">
        <f t="shared" si="90"/>
        <v>ABCF</v>
      </c>
      <c r="AD112" s="5" t="str">
        <f t="shared" si="91"/>
        <v>ABD1</v>
      </c>
      <c r="AE112" s="5" t="str">
        <f t="shared" si="92"/>
        <v>ABDF</v>
      </c>
      <c r="AF112" s="5" t="str">
        <f t="shared" si="93"/>
        <v>ABE1</v>
      </c>
      <c r="AG112" s="5" t="str">
        <f t="shared" si="94"/>
        <v>ABEF</v>
      </c>
      <c r="AH112" s="5" t="str">
        <f t="shared" si="95"/>
        <v>ABF1</v>
      </c>
      <c r="AI112" s="5" t="str">
        <f t="shared" si="96"/>
        <v>ABFF</v>
      </c>
      <c r="AK112" s="5" t="str" cm="1">
        <f t="array" ref="AK112">INDEX(_xlfn.TOROW(PixelPatternTable),HEX2DEC(T112)-$T$1+1)</f>
        <v>A8</v>
      </c>
      <c r="AL112" s="5" t="str" cm="1">
        <f t="array" ref="AL112">INDEX(_xlfn.TOROW(PixelPatternTable),HEX2DEC(U112)-$T$1+1)</f>
        <v>A8</v>
      </c>
      <c r="AM112" s="5" t="str" cm="1">
        <f t="array" ref="AM112">INDEX(_xlfn.TOROW(PixelPatternTable),HEX2DEC(V112)-$T$1+1)</f>
        <v>A9</v>
      </c>
      <c r="AN112" s="5" t="str" cm="1">
        <f t="array" ref="AN112">INDEX(_xlfn.TOROW(PixelPatternTable),HEX2DEC(W112)-$T$1+1)</f>
        <v>A9</v>
      </c>
      <c r="AO112" s="5" t="str" cm="1">
        <f t="array" ref="AO112">INDEX(_xlfn.TOROW(PixelPatternTable),HEX2DEC(X112)-$T$1+1)</f>
        <v>AA</v>
      </c>
      <c r="AP112" s="5" t="str" cm="1">
        <f t="array" ref="AP112">INDEX(_xlfn.TOROW(PixelPatternTable),HEX2DEC(Y112)-$T$1+1)</f>
        <v>AA</v>
      </c>
      <c r="AQ112" s="5" t="str" cm="1">
        <f t="array" ref="AQ112">INDEX(_xlfn.TOROW(PixelPatternTable),HEX2DEC(Z112)-$T$1+1)</f>
        <v>AB</v>
      </c>
      <c r="AR112" s="5" t="str" cm="1">
        <f t="array" ref="AR112">INDEX(_xlfn.TOROW(PixelPatternTable),HEX2DEC(AA112)-$T$1+1)</f>
        <v>AB</v>
      </c>
      <c r="AS112" s="5" t="str" cm="1">
        <f t="array" ref="AS112">INDEX(_xlfn.TOROW(PixelPatternTable),HEX2DEC(AB112)-$T$1+1)</f>
        <v>AC</v>
      </c>
      <c r="AT112" s="5" t="str" cm="1">
        <f t="array" ref="AT112">INDEX(_xlfn.TOROW(PixelPatternTable),HEX2DEC(AC112)-$T$1+1)</f>
        <v>AC</v>
      </c>
      <c r="AU112" s="5" t="str" cm="1">
        <f t="array" ref="AU112">INDEX(_xlfn.TOROW(PixelPatternTable),HEX2DEC(AD112)-$T$1+1)</f>
        <v>AD</v>
      </c>
      <c r="AV112" s="5" t="str" cm="1">
        <f t="array" ref="AV112">INDEX(_xlfn.TOROW(PixelPatternTable),HEX2DEC(AE112)-$T$1+1)</f>
        <v>AD</v>
      </c>
      <c r="AW112" s="5" t="str" cm="1">
        <f t="array" ref="AW112">INDEX(_xlfn.TOROW(PixelPatternTable),HEX2DEC(AF112)-$T$1+1)</f>
        <v>AE</v>
      </c>
      <c r="AX112" s="5" t="str" cm="1">
        <f t="array" ref="AX112">INDEX(_xlfn.TOROW(PixelPatternTable),HEX2DEC(AG112)-$T$1+1)</f>
        <v>AE</v>
      </c>
      <c r="AY112" s="5" t="str" cm="1">
        <f t="array" ref="AY112">INDEX(_xlfn.TOROW(PixelPatternTable),HEX2DEC(AH112)-$T$1+1)</f>
        <v>AF</v>
      </c>
      <c r="AZ112" s="5" t="str" cm="1">
        <f t="array" ref="AZ112">INDEX(_xlfn.TOROW(PixelPatternTable),HEX2DEC(AI112)-$T$1+1)</f>
        <v>AF</v>
      </c>
    </row>
    <row r="113" spans="1:52" x14ac:dyDescent="0.3">
      <c r="A113" s="5" t="str">
        <f t="shared" si="79"/>
        <v>A8E0</v>
      </c>
      <c r="B113" s="71" t="str">
        <f>pixel_shift_table.asm!C113</f>
        <v>AC</v>
      </c>
      <c r="C113" s="72" t="str">
        <f>pixel_shift_table.asm!D113</f>
        <v>AC</v>
      </c>
      <c r="D113" s="72" t="str">
        <f>pixel_shift_table.asm!E113</f>
        <v>AC</v>
      </c>
      <c r="E113" s="72" t="str">
        <f>pixel_shift_table.asm!F113</f>
        <v>AC</v>
      </c>
      <c r="F113" s="72" t="str">
        <f>pixel_shift_table.asm!G113</f>
        <v>AC</v>
      </c>
      <c r="G113" s="72" t="str">
        <f>pixel_shift_table.asm!H113</f>
        <v>AC</v>
      </c>
      <c r="H113" s="72" t="str">
        <f>pixel_shift_table.asm!I113</f>
        <v>AC</v>
      </c>
      <c r="I113" s="72" t="str">
        <f>pixel_shift_table.asm!J113</f>
        <v>AC</v>
      </c>
      <c r="J113" s="72" t="str">
        <f>pixel_shift_table.asm!K113</f>
        <v>AC</v>
      </c>
      <c r="K113" s="72" t="str">
        <f>pixel_shift_table.asm!L113</f>
        <v>AC</v>
      </c>
      <c r="L113" s="72" t="str">
        <f>pixel_shift_table.asm!M113</f>
        <v>AC</v>
      </c>
      <c r="M113" s="72" t="str">
        <f>pixel_shift_table.asm!N113</f>
        <v>AC</v>
      </c>
      <c r="N113" s="72" t="str">
        <f>pixel_shift_table.asm!O113</f>
        <v>AC</v>
      </c>
      <c r="O113" s="72" t="str">
        <f>pixel_shift_table.asm!P113</f>
        <v>AC</v>
      </c>
      <c r="P113" s="72" t="str">
        <f>pixel_shift_table.asm!Q113</f>
        <v>AC</v>
      </c>
      <c r="Q113" s="72" t="str">
        <f>pixel_shift_table.asm!R113</f>
        <v>AC</v>
      </c>
      <c r="S113">
        <f t="shared" si="80"/>
        <v>224</v>
      </c>
      <c r="T113" s="5" t="str">
        <f t="shared" si="81"/>
        <v>AC01</v>
      </c>
      <c r="U113" s="5" t="str">
        <f t="shared" si="82"/>
        <v>AC0F</v>
      </c>
      <c r="V113" s="5" t="str">
        <f t="shared" si="83"/>
        <v>AC11</v>
      </c>
      <c r="W113" s="5" t="str">
        <f t="shared" si="84"/>
        <v>AC1F</v>
      </c>
      <c r="X113" s="5" t="str">
        <f t="shared" si="85"/>
        <v>AC21</v>
      </c>
      <c r="Y113" s="5" t="str">
        <f t="shared" si="86"/>
        <v>AC2F</v>
      </c>
      <c r="Z113" s="5" t="str">
        <f t="shared" si="87"/>
        <v>AC31</v>
      </c>
      <c r="AA113" s="5" t="str">
        <f t="shared" si="88"/>
        <v>AC3F</v>
      </c>
      <c r="AB113" s="5" t="str">
        <f t="shared" si="89"/>
        <v>AC41</v>
      </c>
      <c r="AC113" s="5" t="str">
        <f t="shared" si="90"/>
        <v>AC4F</v>
      </c>
      <c r="AD113" s="5" t="str">
        <f t="shared" si="91"/>
        <v>AC51</v>
      </c>
      <c r="AE113" s="5" t="str">
        <f t="shared" si="92"/>
        <v>AC5F</v>
      </c>
      <c r="AF113" s="5" t="str">
        <f t="shared" si="93"/>
        <v>AC61</v>
      </c>
      <c r="AG113" s="5" t="str">
        <f t="shared" si="94"/>
        <v>AC6F</v>
      </c>
      <c r="AH113" s="5" t="str">
        <f t="shared" si="95"/>
        <v>AC71</v>
      </c>
      <c r="AI113" s="5" t="str">
        <f t="shared" si="96"/>
        <v>AC7F</v>
      </c>
      <c r="AK113" s="5" t="str" cm="1">
        <f t="array" ref="AK113">INDEX(_xlfn.TOROW(PixelPatternTable),HEX2DEC(T113)-$T$1+1)</f>
        <v>B0</v>
      </c>
      <c r="AL113" s="5" t="str" cm="1">
        <f t="array" ref="AL113">INDEX(_xlfn.TOROW(PixelPatternTable),HEX2DEC(U113)-$T$1+1)</f>
        <v>B0</v>
      </c>
      <c r="AM113" s="5" t="str" cm="1">
        <f t="array" ref="AM113">INDEX(_xlfn.TOROW(PixelPatternTable),HEX2DEC(V113)-$T$1+1)</f>
        <v>B1</v>
      </c>
      <c r="AN113" s="5" t="str" cm="1">
        <f t="array" ref="AN113">INDEX(_xlfn.TOROW(PixelPatternTable),HEX2DEC(W113)-$T$1+1)</f>
        <v>B1</v>
      </c>
      <c r="AO113" s="5" t="str" cm="1">
        <f t="array" ref="AO113">INDEX(_xlfn.TOROW(PixelPatternTable),HEX2DEC(X113)-$T$1+1)</f>
        <v>B2</v>
      </c>
      <c r="AP113" s="5" t="str" cm="1">
        <f t="array" ref="AP113">INDEX(_xlfn.TOROW(PixelPatternTable),HEX2DEC(Y113)-$T$1+1)</f>
        <v>B2</v>
      </c>
      <c r="AQ113" s="5" t="str" cm="1">
        <f t="array" ref="AQ113">INDEX(_xlfn.TOROW(PixelPatternTable),HEX2DEC(Z113)-$T$1+1)</f>
        <v>B3</v>
      </c>
      <c r="AR113" s="5" t="str" cm="1">
        <f t="array" ref="AR113">INDEX(_xlfn.TOROW(PixelPatternTable),HEX2DEC(AA113)-$T$1+1)</f>
        <v>B3</v>
      </c>
      <c r="AS113" s="5" t="str" cm="1">
        <f t="array" ref="AS113">INDEX(_xlfn.TOROW(PixelPatternTable),HEX2DEC(AB113)-$T$1+1)</f>
        <v>B4</v>
      </c>
      <c r="AT113" s="5" t="str" cm="1">
        <f t="array" ref="AT113">INDEX(_xlfn.TOROW(PixelPatternTable),HEX2DEC(AC113)-$T$1+1)</f>
        <v>B4</v>
      </c>
      <c r="AU113" s="5" t="str" cm="1">
        <f t="array" ref="AU113">INDEX(_xlfn.TOROW(PixelPatternTable),HEX2DEC(AD113)-$T$1+1)</f>
        <v>B5</v>
      </c>
      <c r="AV113" s="5" t="str" cm="1">
        <f t="array" ref="AV113">INDEX(_xlfn.TOROW(PixelPatternTable),HEX2DEC(AE113)-$T$1+1)</f>
        <v>B5</v>
      </c>
      <c r="AW113" s="5" t="str" cm="1">
        <f t="array" ref="AW113">INDEX(_xlfn.TOROW(PixelPatternTable),HEX2DEC(AF113)-$T$1+1)</f>
        <v>B6</v>
      </c>
      <c r="AX113" s="5" t="str" cm="1">
        <f t="array" ref="AX113">INDEX(_xlfn.TOROW(PixelPatternTable),HEX2DEC(AG113)-$T$1+1)</f>
        <v>B6</v>
      </c>
      <c r="AY113" s="5" t="str" cm="1">
        <f t="array" ref="AY113">INDEX(_xlfn.TOROW(PixelPatternTable),HEX2DEC(AH113)-$T$1+1)</f>
        <v>B7</v>
      </c>
      <c r="AZ113" s="5" t="str" cm="1">
        <f t="array" ref="AZ113">INDEX(_xlfn.TOROW(PixelPatternTable),HEX2DEC(AI113)-$T$1+1)</f>
        <v>B7</v>
      </c>
    </row>
    <row r="114" spans="1:52" x14ac:dyDescent="0.3">
      <c r="A114" s="58" t="str">
        <f t="shared" si="79"/>
        <v>A8F0</v>
      </c>
      <c r="B114" s="73" t="str">
        <f>pixel_shift_table.asm!C114</f>
        <v>AC</v>
      </c>
      <c r="C114" s="74" t="str">
        <f>pixel_shift_table.asm!D114</f>
        <v>AC</v>
      </c>
      <c r="D114" s="74" t="str">
        <f>pixel_shift_table.asm!E114</f>
        <v>AC</v>
      </c>
      <c r="E114" s="74" t="str">
        <f>pixel_shift_table.asm!F114</f>
        <v>AC</v>
      </c>
      <c r="F114" s="74" t="str">
        <f>pixel_shift_table.asm!G114</f>
        <v>AC</v>
      </c>
      <c r="G114" s="74" t="str">
        <f>pixel_shift_table.asm!H114</f>
        <v>AC</v>
      </c>
      <c r="H114" s="74" t="str">
        <f>pixel_shift_table.asm!I114</f>
        <v>AC</v>
      </c>
      <c r="I114" s="74" t="str">
        <f>pixel_shift_table.asm!J114</f>
        <v>AC</v>
      </c>
      <c r="J114" s="74" t="str">
        <f>pixel_shift_table.asm!K114</f>
        <v>AC</v>
      </c>
      <c r="K114" s="74" t="str">
        <f>pixel_shift_table.asm!L114</f>
        <v>AC</v>
      </c>
      <c r="L114" s="74" t="str">
        <f>pixel_shift_table.asm!M114</f>
        <v>AC</v>
      </c>
      <c r="M114" s="74" t="str">
        <f>pixel_shift_table.asm!N114</f>
        <v>AC</v>
      </c>
      <c r="N114" s="74" t="str">
        <f>pixel_shift_table.asm!O114</f>
        <v>AC</v>
      </c>
      <c r="O114" s="74" t="str">
        <f>pixel_shift_table.asm!P114</f>
        <v>AC</v>
      </c>
      <c r="P114" s="74" t="str">
        <f>pixel_shift_table.asm!Q114</f>
        <v>AC</v>
      </c>
      <c r="Q114" s="74" t="str">
        <f>pixel_shift_table.asm!R114</f>
        <v>AC</v>
      </c>
      <c r="S114">
        <f t="shared" si="80"/>
        <v>240</v>
      </c>
      <c r="T114" s="5" t="str">
        <f t="shared" si="81"/>
        <v>AC81</v>
      </c>
      <c r="U114" s="5" t="str">
        <f t="shared" si="82"/>
        <v>AC8F</v>
      </c>
      <c r="V114" s="5" t="str">
        <f t="shared" si="83"/>
        <v>AC91</v>
      </c>
      <c r="W114" s="5" t="str">
        <f t="shared" si="84"/>
        <v>AC9F</v>
      </c>
      <c r="X114" s="5" t="str">
        <f t="shared" si="85"/>
        <v>ACA1</v>
      </c>
      <c r="Y114" s="5" t="str">
        <f t="shared" si="86"/>
        <v>ACAF</v>
      </c>
      <c r="Z114" s="5" t="str">
        <f t="shared" si="87"/>
        <v>ACB1</v>
      </c>
      <c r="AA114" s="5" t="str">
        <f t="shared" si="88"/>
        <v>ACBF</v>
      </c>
      <c r="AB114" s="5" t="str">
        <f t="shared" si="89"/>
        <v>ACC1</v>
      </c>
      <c r="AC114" s="5" t="str">
        <f t="shared" si="90"/>
        <v>ACCF</v>
      </c>
      <c r="AD114" s="5" t="str">
        <f t="shared" si="91"/>
        <v>ACD1</v>
      </c>
      <c r="AE114" s="5" t="str">
        <f t="shared" si="92"/>
        <v>ACDF</v>
      </c>
      <c r="AF114" s="5" t="str">
        <f t="shared" si="93"/>
        <v>ACE1</v>
      </c>
      <c r="AG114" s="5" t="str">
        <f t="shared" si="94"/>
        <v>ACEF</v>
      </c>
      <c r="AH114" s="5" t="str">
        <f t="shared" si="95"/>
        <v>ACF1</v>
      </c>
      <c r="AI114" s="5" t="str">
        <f t="shared" si="96"/>
        <v>ACFF</v>
      </c>
      <c r="AK114" s="5" t="str" cm="1">
        <f t="array" ref="AK114">INDEX(_xlfn.TOROW(PixelPatternTable),HEX2DEC(T114)-$T$1+1)</f>
        <v>B8</v>
      </c>
      <c r="AL114" s="5" t="str" cm="1">
        <f t="array" ref="AL114">INDEX(_xlfn.TOROW(PixelPatternTable),HEX2DEC(U114)-$T$1+1)</f>
        <v>B8</v>
      </c>
      <c r="AM114" s="5" t="str" cm="1">
        <f t="array" ref="AM114">INDEX(_xlfn.TOROW(PixelPatternTable),HEX2DEC(V114)-$T$1+1)</f>
        <v>B9</v>
      </c>
      <c r="AN114" s="5" t="str" cm="1">
        <f t="array" ref="AN114">INDEX(_xlfn.TOROW(PixelPatternTable),HEX2DEC(W114)-$T$1+1)</f>
        <v>B9</v>
      </c>
      <c r="AO114" s="5" t="str" cm="1">
        <f t="array" ref="AO114">INDEX(_xlfn.TOROW(PixelPatternTable),HEX2DEC(X114)-$T$1+1)</f>
        <v>BA</v>
      </c>
      <c r="AP114" s="5" t="str" cm="1">
        <f t="array" ref="AP114">INDEX(_xlfn.TOROW(PixelPatternTable),HEX2DEC(Y114)-$T$1+1)</f>
        <v>BA</v>
      </c>
      <c r="AQ114" s="5" t="str" cm="1">
        <f t="array" ref="AQ114">INDEX(_xlfn.TOROW(PixelPatternTable),HEX2DEC(Z114)-$T$1+1)</f>
        <v>BB</v>
      </c>
      <c r="AR114" s="5" t="str" cm="1">
        <f t="array" ref="AR114">INDEX(_xlfn.TOROW(PixelPatternTable),HEX2DEC(AA114)-$T$1+1)</f>
        <v>BB</v>
      </c>
      <c r="AS114" s="5" t="str" cm="1">
        <f t="array" ref="AS114">INDEX(_xlfn.TOROW(PixelPatternTable),HEX2DEC(AB114)-$T$1+1)</f>
        <v>BC</v>
      </c>
      <c r="AT114" s="5" t="str" cm="1">
        <f t="array" ref="AT114">INDEX(_xlfn.TOROW(PixelPatternTable),HEX2DEC(AC114)-$T$1+1)</f>
        <v>BC</v>
      </c>
      <c r="AU114" s="5" t="str" cm="1">
        <f t="array" ref="AU114">INDEX(_xlfn.TOROW(PixelPatternTable),HEX2DEC(AD114)-$T$1+1)</f>
        <v>BD</v>
      </c>
      <c r="AV114" s="5" t="str" cm="1">
        <f t="array" ref="AV114">INDEX(_xlfn.TOROW(PixelPatternTable),HEX2DEC(AE114)-$T$1+1)</f>
        <v>BD</v>
      </c>
      <c r="AW114" s="5" t="str" cm="1">
        <f t="array" ref="AW114">INDEX(_xlfn.TOROW(PixelPatternTable),HEX2DEC(AF114)-$T$1+1)</f>
        <v>BE</v>
      </c>
      <c r="AX114" s="5" t="str" cm="1">
        <f t="array" ref="AX114">INDEX(_xlfn.TOROW(PixelPatternTable),HEX2DEC(AG114)-$T$1+1)</f>
        <v>BE</v>
      </c>
      <c r="AY114" s="5" t="str" cm="1">
        <f t="array" ref="AY114">INDEX(_xlfn.TOROW(PixelPatternTable),HEX2DEC(AH114)-$T$1+1)</f>
        <v>BF</v>
      </c>
      <c r="AZ114" s="5" t="str" cm="1">
        <f t="array" ref="AZ114">INDEX(_xlfn.TOROW(PixelPatternTable),HEX2DEC(AI114)-$T$1+1)</f>
        <v>BF</v>
      </c>
    </row>
  </sheetData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E9BB6-10E1-4CC7-9030-244C35405A16}">
  <sheetPr codeName="Tabelle12"/>
  <dimension ref="A1:X13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A11" sqref="AA11"/>
    </sheetView>
  </sheetViews>
  <sheetFormatPr baseColWidth="10" defaultRowHeight="10.15" x14ac:dyDescent="0.3"/>
  <cols>
    <col min="1" max="1" width="5.08203125" customWidth="1"/>
    <col min="2" max="2" width="10.9140625" customWidth="1"/>
    <col min="3" max="3" width="5.58203125" style="5" customWidth="1"/>
    <col min="4" max="5" width="3.58203125" style="5" customWidth="1"/>
    <col min="6" max="6" width="6.58203125" style="5" customWidth="1"/>
    <col min="7" max="8" width="3.58203125" style="5" customWidth="1"/>
    <col min="9" max="9" width="6.58203125" style="5" customWidth="1"/>
    <col min="10" max="11" width="3.58203125" style="5" customWidth="1"/>
    <col min="12" max="12" width="6.58203125" style="5" customWidth="1"/>
    <col min="13" max="14" width="3.58203125" style="5" customWidth="1"/>
    <col min="15" max="15" width="6.58203125" style="5" customWidth="1"/>
    <col min="16" max="17" width="3.58203125" style="5" customWidth="1"/>
    <col min="18" max="18" width="6.58203125" style="5" customWidth="1"/>
    <col min="19" max="20" width="3.58203125" style="5" customWidth="1"/>
    <col min="21" max="21" width="6.58203125" style="5" customWidth="1"/>
    <col min="22" max="23" width="3.58203125" style="5" customWidth="1"/>
    <col min="24" max="24" width="6.58203125" style="5" customWidth="1"/>
  </cols>
  <sheetData>
    <row r="1" spans="1:24" x14ac:dyDescent="0.3">
      <c r="A1" t="s">
        <v>742</v>
      </c>
      <c r="C1" s="29">
        <f>COUNTIF($D3:$X3,"&lt;&gt;")*128</f>
        <v>1792</v>
      </c>
      <c r="D1" s="6"/>
      <c r="F1" s="7"/>
      <c r="G1" s="6"/>
      <c r="I1" s="7"/>
      <c r="J1" s="6"/>
      <c r="L1" s="7"/>
      <c r="M1" s="6"/>
      <c r="O1" s="7"/>
      <c r="P1" s="6"/>
      <c r="R1" s="7"/>
      <c r="S1" s="6"/>
      <c r="U1" s="7"/>
      <c r="V1" s="6"/>
      <c r="X1" s="7"/>
    </row>
    <row r="2" spans="1:24" x14ac:dyDescent="0.3">
      <c r="A2" t="s">
        <v>877</v>
      </c>
      <c r="D2" s="6">
        <v>0</v>
      </c>
      <c r="E2" s="5">
        <f>D2</f>
        <v>0</v>
      </c>
      <c r="F2" s="7">
        <f>D2</f>
        <v>0</v>
      </c>
      <c r="G2" s="6">
        <f>D2+1</f>
        <v>1</v>
      </c>
      <c r="H2" s="5">
        <f t="shared" ref="H2:X2" si="0">E2+1</f>
        <v>1</v>
      </c>
      <c r="I2" s="7">
        <f t="shared" si="0"/>
        <v>1</v>
      </c>
      <c r="J2" s="6">
        <f t="shared" si="0"/>
        <v>2</v>
      </c>
      <c r="K2" s="5">
        <f t="shared" si="0"/>
        <v>2</v>
      </c>
      <c r="L2" s="7">
        <f t="shared" si="0"/>
        <v>2</v>
      </c>
      <c r="M2" s="6">
        <f t="shared" si="0"/>
        <v>3</v>
      </c>
      <c r="N2" s="5">
        <f t="shared" si="0"/>
        <v>3</v>
      </c>
      <c r="O2" s="7">
        <f t="shared" si="0"/>
        <v>3</v>
      </c>
      <c r="P2" s="6">
        <f t="shared" si="0"/>
        <v>4</v>
      </c>
      <c r="Q2" s="5">
        <f t="shared" si="0"/>
        <v>4</v>
      </c>
      <c r="R2" s="7">
        <f t="shared" si="0"/>
        <v>4</v>
      </c>
      <c r="S2" s="6">
        <f t="shared" si="0"/>
        <v>5</v>
      </c>
      <c r="T2" s="5">
        <f t="shared" si="0"/>
        <v>5</v>
      </c>
      <c r="U2" s="7">
        <f t="shared" si="0"/>
        <v>5</v>
      </c>
      <c r="V2" s="6">
        <f t="shared" si="0"/>
        <v>6</v>
      </c>
      <c r="W2" s="5">
        <f t="shared" si="0"/>
        <v>6</v>
      </c>
      <c r="X2" s="7">
        <f t="shared" si="0"/>
        <v>6</v>
      </c>
    </row>
    <row r="3" spans="1:24" x14ac:dyDescent="0.3">
      <c r="D3" s="6">
        <v>0</v>
      </c>
      <c r="E3" s="5">
        <v>8</v>
      </c>
      <c r="F3" s="7"/>
      <c r="G3" s="6">
        <v>0</v>
      </c>
      <c r="H3" s="5">
        <v>8</v>
      </c>
      <c r="I3" s="7"/>
      <c r="J3" s="6">
        <v>0</v>
      </c>
      <c r="K3" s="5">
        <v>8</v>
      </c>
      <c r="L3" s="7"/>
      <c r="M3" s="6">
        <v>0</v>
      </c>
      <c r="N3" s="5">
        <v>8</v>
      </c>
      <c r="O3" s="7"/>
      <c r="P3" s="6">
        <v>0</v>
      </c>
      <c r="Q3" s="5">
        <v>8</v>
      </c>
      <c r="R3" s="7"/>
      <c r="S3" s="6">
        <v>0</v>
      </c>
      <c r="T3" s="5">
        <v>8</v>
      </c>
      <c r="U3" s="7"/>
      <c r="V3" s="6">
        <v>0</v>
      </c>
      <c r="W3" s="5">
        <v>8</v>
      </c>
      <c r="X3" s="7"/>
    </row>
    <row r="4" spans="1:24" s="13" customFormat="1" ht="43.9" x14ac:dyDescent="0.3">
      <c r="A4" s="13" t="s">
        <v>743</v>
      </c>
      <c r="B4" s="13" t="s">
        <v>744</v>
      </c>
      <c r="C4" s="15" t="s">
        <v>745</v>
      </c>
      <c r="D4" s="14" t="s">
        <v>746</v>
      </c>
      <c r="E4" s="15" t="s">
        <v>747</v>
      </c>
      <c r="F4" s="16" t="s">
        <v>748</v>
      </c>
      <c r="G4" s="14" t="s">
        <v>746</v>
      </c>
      <c r="H4" s="15" t="s">
        <v>747</v>
      </c>
      <c r="I4" s="16" t="s">
        <v>748</v>
      </c>
      <c r="J4" s="14" t="s">
        <v>746</v>
      </c>
      <c r="K4" s="15" t="s">
        <v>747</v>
      </c>
      <c r="L4" s="16" t="s">
        <v>748</v>
      </c>
      <c r="M4" s="14" t="s">
        <v>746</v>
      </c>
      <c r="N4" s="15" t="s">
        <v>747</v>
      </c>
      <c r="O4" s="16" t="s">
        <v>748</v>
      </c>
      <c r="P4" s="14" t="s">
        <v>746</v>
      </c>
      <c r="Q4" s="15" t="s">
        <v>747</v>
      </c>
      <c r="R4" s="16" t="s">
        <v>748</v>
      </c>
      <c r="S4" s="14" t="s">
        <v>746</v>
      </c>
      <c r="T4" s="15" t="s">
        <v>747</v>
      </c>
      <c r="U4" s="16" t="s">
        <v>748</v>
      </c>
      <c r="V4" s="14" t="s">
        <v>746</v>
      </c>
      <c r="W4" s="15" t="s">
        <v>747</v>
      </c>
      <c r="X4" s="16" t="s">
        <v>748</v>
      </c>
    </row>
    <row r="5" spans="1:24" x14ac:dyDescent="0.3">
      <c r="A5">
        <v>0</v>
      </c>
      <c r="B5" s="8">
        <v>0</v>
      </c>
      <c r="C5" s="5" t="s">
        <v>749</v>
      </c>
      <c r="D5" s="6" t="str" cm="1">
        <f t="array" ref="D5">IF(ISBLANK(D$3),C5&amp;B5,INDEX(pixel_shift_table.asm!$C$3:$R$114, D$2*16 + D$3 + INT($A5/16) + 1, MOD($A5, 16) + 1))</f>
        <v>00</v>
      </c>
      <c r="E5" s="5" t="str" cm="1">
        <f t="array" ref="E5">IF(ISBLANK(E$3),D5&amp;C5,INDEX(pixel_shift_table.asm!$C$3:$R$114, E$2*16 + E$3 + INT($A5/16) + 1, MOD($A5, 16) + 1))</f>
        <v>A9</v>
      </c>
      <c r="F5" s="7" t="str" cm="1">
        <f t="array" ref="F5">IF(ISBLANK(F$3),E5&amp;D5,INDEX(pixel_shift_table.asm!$C$3:$R$114, F$2*16 + F$3 + INT($A5/16) + 1, MOD($A5, 16) + 1))</f>
        <v>A900</v>
      </c>
      <c r="G5" s="6" t="str" cm="1">
        <f t="array" ref="G5">IF(ISBLANK(G$3),F5&amp;E5,INDEX(pixel_shift_table.asm!$C$3:$R$114, G$2*16 + G$3 + INT($A5/16) + 1, MOD($A5, 16) + 1))</f>
        <v>00</v>
      </c>
      <c r="H5" s="5" t="str" cm="1">
        <f t="array" ref="H5">IF(ISBLANK(H$3),G5&amp;F5,INDEX(pixel_shift_table.asm!$C$3:$R$114, H$2*16 + H$3 + INT($A5/16) + 1, MOD($A5, 16) + 1))</f>
        <v>A9</v>
      </c>
      <c r="I5" s="7" t="str" cm="1">
        <f t="array" ref="I5">IF(ISBLANK(I$3),H5&amp;G5,INDEX(pixel_shift_table.asm!$C$3:$R$114, I$2*16 + I$3 + INT($A5/16) + 1, MOD($A5, 16) + 1))</f>
        <v>A900</v>
      </c>
      <c r="J5" s="6" t="str" cm="1">
        <f t="array" ref="J5">IF(ISBLANK(J$3),I5&amp;H5,INDEX(pixel_shift_table.asm!$C$3:$R$114, J$2*16 + J$3 + INT($A5/16) + 1, MOD($A5, 16) + 1))</f>
        <v>00</v>
      </c>
      <c r="K5" s="5" t="str" cm="1">
        <f t="array" ref="K5">IF(ISBLANK(K$3),J5&amp;I5,INDEX(pixel_shift_table.asm!$C$3:$R$114, K$2*16 + K$3 + INT($A5/16) + 1, MOD($A5, 16) + 1))</f>
        <v>A9</v>
      </c>
      <c r="L5" s="7" t="str" cm="1">
        <f t="array" ref="L5">IF(ISBLANK(L$3),K5&amp;J5,INDEX(pixel_shift_table.asm!$C$3:$R$114, L$2*16 + L$3 + INT($A5/16) + 1, MOD($A5, 16) + 1))</f>
        <v>A900</v>
      </c>
      <c r="M5" s="6" t="str" cm="1">
        <f t="array" ref="M5">IF(ISBLANK(M$3),L5&amp;K5,INDEX(pixel_shift_table.asm!$C$3:$R$114, M$2*16 + M$3 + INT($A5/16) + 1, MOD($A5, 16) + 1))</f>
        <v>00</v>
      </c>
      <c r="N5" s="5" t="str" cm="1">
        <f t="array" ref="N5">IF(ISBLANK(N$3),M5&amp;L5,INDEX(pixel_shift_table.asm!$C$3:$R$114, N$2*16 + N$3 + INT($A5/16) + 1, MOD($A5, 16) + 1))</f>
        <v>A9</v>
      </c>
      <c r="O5" s="7" t="str" cm="1">
        <f t="array" ref="O5">IF(ISBLANK(O$3),N5&amp;M5,INDEX(pixel_shift_table.asm!$C$3:$R$114, O$2*16 + O$3 + INT($A5/16) + 1, MOD($A5, 16) + 1))</f>
        <v>A900</v>
      </c>
      <c r="P5" s="6" t="str" cm="1">
        <f t="array" ref="P5">IF(ISBLANK(P$3),O5&amp;N5,INDEX(pixel_shift_table.asm!$C$3:$R$114, P$2*16 + P$3 + INT($A5/16) + 1, MOD($A5, 16) + 1))</f>
        <v>00</v>
      </c>
      <c r="Q5" s="5" t="str" cm="1">
        <f t="array" ref="Q5">IF(ISBLANK(Q$3),P5&amp;O5,INDEX(pixel_shift_table.asm!$C$3:$R$114, Q$2*16 + Q$3 + INT($A5/16) + 1, MOD($A5, 16) + 1))</f>
        <v>A9</v>
      </c>
      <c r="R5" s="7" t="str" cm="1">
        <f t="array" ref="R5">IF(ISBLANK(R$3),Q5&amp;P5,INDEX(pixel_shift_table.asm!$C$3:$R$114, R$2*16 + R$3 + INT($A5/16) + 1, MOD($A5, 16) + 1))</f>
        <v>A900</v>
      </c>
      <c r="S5" s="6" t="str" cm="1">
        <f t="array" ref="S5">IF(ISBLANK(S$3),R5&amp;Q5,INDEX(pixel_shift_table.asm!$C$3:$R$114, S$2*16 + S$3 + INT($A5/16) + 1, MOD($A5, 16) + 1))</f>
        <v>00</v>
      </c>
      <c r="T5" s="5" t="str" cm="1">
        <f t="array" ref="T5">IF(ISBLANK(T$3),S5&amp;R5,INDEX(pixel_shift_table.asm!$C$3:$R$114, T$2*16 + T$3 + INT($A5/16) + 1, MOD($A5, 16) + 1))</f>
        <v>A9</v>
      </c>
      <c r="U5" s="7" t="str" cm="1">
        <f t="array" ref="U5">IF(ISBLANK(U$3),T5&amp;S5,INDEX(pixel_shift_table.asm!$C$3:$R$114, U$2*16 + U$3 + INT($A5/16) + 1, MOD($A5, 16) + 1))</f>
        <v>A900</v>
      </c>
      <c r="V5" s="6" t="str" cm="1">
        <f t="array" ref="V5">IF(ISBLANK(V$3),U5&amp;T5,INDEX(pixel_shift_table.asm!$C$3:$R$114, V$2*16 + V$3 + INT($A5/16) + 1, MOD($A5, 16) + 1))</f>
        <v>00</v>
      </c>
      <c r="W5" s="5" t="str" cm="1">
        <f t="array" ref="W5">IF(ISBLANK(W$3),V5&amp;U5,INDEX(pixel_shift_table.asm!$C$3:$R$114, W$2*16 + W$3 + INT($A5/16) + 1, MOD($A5, 16) + 1))</f>
        <v>A9</v>
      </c>
      <c r="X5" s="7" t="str" cm="1">
        <f t="array" ref="X5">IF(ISBLANK(X$3),W5&amp;V5,INDEX(pixel_shift_table.asm!$C$3:$R$114, X$2*16 + X$3 + INT($A5/16) + 1, MOD($A5, 16) + 1))</f>
        <v>A900</v>
      </c>
    </row>
    <row r="6" spans="1:24" x14ac:dyDescent="0.3">
      <c r="A6">
        <v>1</v>
      </c>
      <c r="B6" s="8">
        <v>0.01</v>
      </c>
      <c r="C6" s="5" t="s">
        <v>750</v>
      </c>
      <c r="D6" s="6" t="str" cm="1">
        <f t="array" ref="D6">IF(ISBLANK(D$3),C6&amp;B6,INDEX(pixel_shift_table.asm!$C$3:$R$114, D$2*16 + D$3 + INT($A6/16) + 1, MOD($A6, 16) + 1))</f>
        <v>02</v>
      </c>
      <c r="E6" s="5" t="str" cm="1">
        <f t="array" ref="E6">IF(ISBLANK(E$3),D6&amp;C6,INDEX(pixel_shift_table.asm!$C$3:$R$114, E$2*16 + E$3 + INT($A6/16) + 1, MOD($A6, 16) + 1))</f>
        <v>A9</v>
      </c>
      <c r="F6" s="7" t="str" cm="1">
        <f t="array" ref="F6">IF(ISBLANK(F$3),E6&amp;D6,INDEX(pixel_shift_table.asm!$C$3:$R$114, F$2*16 + F$3 + INT($A6/16) + 1, MOD($A6, 16) + 1))</f>
        <v>A902</v>
      </c>
      <c r="G6" s="6" t="str" cm="1">
        <f t="array" ref="G6">IF(ISBLANK(G$3),F6&amp;E6,INDEX(pixel_shift_table.asm!$C$3:$R$114, G$2*16 + G$3 + INT($A6/16) + 1, MOD($A6, 16) + 1))</f>
        <v>04</v>
      </c>
      <c r="H6" s="5" t="str" cm="1">
        <f t="array" ref="H6">IF(ISBLANK(H$3),G6&amp;F6,INDEX(pixel_shift_table.asm!$C$3:$R$114, H$2*16 + H$3 + INT($A6/16) + 1, MOD($A6, 16) + 1))</f>
        <v>A9</v>
      </c>
      <c r="I6" s="7" t="str" cm="1">
        <f t="array" ref="I6">IF(ISBLANK(I$3),H6&amp;G6,INDEX(pixel_shift_table.asm!$C$3:$R$114, I$2*16 + I$3 + INT($A6/16) + 1, MOD($A6, 16) + 1))</f>
        <v>A904</v>
      </c>
      <c r="J6" s="6" t="str" cm="1">
        <f t="array" ref="J6">IF(ISBLANK(J$3),I6&amp;H6,INDEX(pixel_shift_table.asm!$C$3:$R$114, J$2*16 + J$3 + INT($A6/16) + 1, MOD($A6, 16) + 1))</f>
        <v>06</v>
      </c>
      <c r="K6" s="5" t="str" cm="1">
        <f t="array" ref="K6">IF(ISBLANK(K$3),J6&amp;I6,INDEX(pixel_shift_table.asm!$C$3:$R$114, K$2*16 + K$3 + INT($A6/16) + 1, MOD($A6, 16) + 1))</f>
        <v>A9</v>
      </c>
      <c r="L6" s="7" t="str" cm="1">
        <f t="array" ref="L6">IF(ISBLANK(L$3),K6&amp;J6,INDEX(pixel_shift_table.asm!$C$3:$R$114, L$2*16 + L$3 + INT($A6/16) + 1, MOD($A6, 16) + 1))</f>
        <v>A906</v>
      </c>
      <c r="M6" s="6" t="str" cm="1">
        <f t="array" ref="M6">IF(ISBLANK(M$3),L6&amp;K6,INDEX(pixel_shift_table.asm!$C$3:$R$114, M$2*16 + M$3 + INT($A6/16) + 1, MOD($A6, 16) + 1))</f>
        <v>08</v>
      </c>
      <c r="N6" s="5" t="str" cm="1">
        <f t="array" ref="N6">IF(ISBLANK(N$3),M6&amp;L6,INDEX(pixel_shift_table.asm!$C$3:$R$114, N$2*16 + N$3 + INT($A6/16) + 1, MOD($A6, 16) + 1))</f>
        <v>A9</v>
      </c>
      <c r="O6" s="7" t="str" cm="1">
        <f t="array" ref="O6">IF(ISBLANK(O$3),N6&amp;M6,INDEX(pixel_shift_table.asm!$C$3:$R$114, O$2*16 + O$3 + INT($A6/16) + 1, MOD($A6, 16) + 1))</f>
        <v>A908</v>
      </c>
      <c r="P6" s="6" t="str" cm="1">
        <f t="array" ref="P6">IF(ISBLANK(P$3),O6&amp;N6,INDEX(pixel_shift_table.asm!$C$3:$R$114, P$2*16 + P$3 + INT($A6/16) + 1, MOD($A6, 16) + 1))</f>
        <v>0A</v>
      </c>
      <c r="Q6" s="5" t="str" cm="1">
        <f t="array" ref="Q6">IF(ISBLANK(Q$3),P6&amp;O6,INDEX(pixel_shift_table.asm!$C$3:$R$114, Q$2*16 + Q$3 + INT($A6/16) + 1, MOD($A6, 16) + 1))</f>
        <v>A9</v>
      </c>
      <c r="R6" s="7" t="str" cm="1">
        <f t="array" ref="R6">IF(ISBLANK(R$3),Q6&amp;P6,INDEX(pixel_shift_table.asm!$C$3:$R$114, R$2*16 + R$3 + INT($A6/16) + 1, MOD($A6, 16) + 1))</f>
        <v>A90A</v>
      </c>
      <c r="S6" s="6" t="str" cm="1">
        <f t="array" ref="S6">IF(ISBLANK(S$3),R6&amp;Q6,INDEX(pixel_shift_table.asm!$C$3:$R$114, S$2*16 + S$3 + INT($A6/16) + 1, MOD($A6, 16) + 1))</f>
        <v>0C</v>
      </c>
      <c r="T6" s="5" t="str" cm="1">
        <f t="array" ref="T6">IF(ISBLANK(T$3),S6&amp;R6,INDEX(pixel_shift_table.asm!$C$3:$R$114, T$2*16 + T$3 + INT($A6/16) + 1, MOD($A6, 16) + 1))</f>
        <v>A9</v>
      </c>
      <c r="U6" s="7" t="str" cm="1">
        <f t="array" ref="U6">IF(ISBLANK(U$3),T6&amp;S6,INDEX(pixel_shift_table.asm!$C$3:$R$114, U$2*16 + U$3 + INT($A6/16) + 1, MOD($A6, 16) + 1))</f>
        <v>A90C</v>
      </c>
      <c r="V6" s="6" t="str" cm="1">
        <f t="array" ref="V6">IF(ISBLANK(V$3),U6&amp;T6,INDEX(pixel_shift_table.asm!$C$3:$R$114, V$2*16 + V$3 + INT($A6/16) + 1, MOD($A6, 16) + 1))</f>
        <v>0E</v>
      </c>
      <c r="W6" s="5" t="str" cm="1">
        <f t="array" ref="W6">IF(ISBLANK(W$3),V6&amp;U6,INDEX(pixel_shift_table.asm!$C$3:$R$114, W$2*16 + W$3 + INT($A6/16) + 1, MOD($A6, 16) + 1))</f>
        <v>A9</v>
      </c>
      <c r="X6" s="7" t="str" cm="1">
        <f t="array" ref="X6">IF(ISBLANK(X$3),W6&amp;V6,INDEX(pixel_shift_table.asm!$C$3:$R$114, X$2*16 + X$3 + INT($A6/16) + 1, MOD($A6, 16) + 1))</f>
        <v>A90E</v>
      </c>
    </row>
    <row r="7" spans="1:24" x14ac:dyDescent="0.3">
      <c r="A7">
        <v>2</v>
      </c>
      <c r="B7" s="8">
        <v>0.1</v>
      </c>
      <c r="C7" s="5" t="s">
        <v>751</v>
      </c>
      <c r="D7" s="6" t="str" cm="1">
        <f t="array" ref="D7">IF(ISBLANK(D$3),C7&amp;B7,INDEX(pixel_shift_table.asm!$C$3:$R$114, D$2*16 + D$3 + INT($A7/16) + 1, MOD($A7, 16) + 1))</f>
        <v>04</v>
      </c>
      <c r="E7" s="5" t="str" cm="1">
        <f t="array" ref="E7">IF(ISBLANK(E$3),D7&amp;C7,INDEX(pixel_shift_table.asm!$C$3:$R$114, E$2*16 + E$3 + INT($A7/16) + 1, MOD($A7, 16) + 1))</f>
        <v>A9</v>
      </c>
      <c r="F7" s="7" t="str" cm="1">
        <f t="array" ref="F7">IF(ISBLANK(F$3),E7&amp;D7,INDEX(pixel_shift_table.asm!$C$3:$R$114, F$2*16 + F$3 + INT($A7/16) + 1, MOD($A7, 16) + 1))</f>
        <v>A904</v>
      </c>
      <c r="G7" s="6" t="str" cm="1">
        <f t="array" ref="G7">IF(ISBLANK(G$3),F7&amp;E7,INDEX(pixel_shift_table.asm!$C$3:$R$114, G$2*16 + G$3 + INT($A7/16) + 1, MOD($A7, 16) + 1))</f>
        <v>06</v>
      </c>
      <c r="H7" s="5" t="str" cm="1">
        <f t="array" ref="H7">IF(ISBLANK(H$3),G7&amp;F7,INDEX(pixel_shift_table.asm!$C$3:$R$114, H$2*16 + H$3 + INT($A7/16) + 1, MOD($A7, 16) + 1))</f>
        <v>A9</v>
      </c>
      <c r="I7" s="7" t="str" cm="1">
        <f t="array" ref="I7">IF(ISBLANK(I$3),H7&amp;G7,INDEX(pixel_shift_table.asm!$C$3:$R$114, I$2*16 + I$3 + INT($A7/16) + 1, MOD($A7, 16) + 1))</f>
        <v>A906</v>
      </c>
      <c r="J7" s="6" t="str" cm="1">
        <f t="array" ref="J7">IF(ISBLANK(J$3),I7&amp;H7,INDEX(pixel_shift_table.asm!$C$3:$R$114, J$2*16 + J$3 + INT($A7/16) + 1, MOD($A7, 16) + 1))</f>
        <v>08</v>
      </c>
      <c r="K7" s="5" t="str" cm="1">
        <f t="array" ref="K7">IF(ISBLANK(K$3),J7&amp;I7,INDEX(pixel_shift_table.asm!$C$3:$R$114, K$2*16 + K$3 + INT($A7/16) + 1, MOD($A7, 16) + 1))</f>
        <v>A9</v>
      </c>
      <c r="L7" s="7" t="str" cm="1">
        <f t="array" ref="L7">IF(ISBLANK(L$3),K7&amp;J7,INDEX(pixel_shift_table.asm!$C$3:$R$114, L$2*16 + L$3 + INT($A7/16) + 1, MOD($A7, 16) + 1))</f>
        <v>A908</v>
      </c>
      <c r="M7" s="6" t="str" cm="1">
        <f t="array" ref="M7">IF(ISBLANK(M$3),L7&amp;K7,INDEX(pixel_shift_table.asm!$C$3:$R$114, M$2*16 + M$3 + INT($A7/16) + 1, MOD($A7, 16) + 1))</f>
        <v>0A</v>
      </c>
      <c r="N7" s="5" t="str" cm="1">
        <f t="array" ref="N7">IF(ISBLANK(N$3),M7&amp;L7,INDEX(pixel_shift_table.asm!$C$3:$R$114, N$2*16 + N$3 + INT($A7/16) + 1, MOD($A7, 16) + 1))</f>
        <v>A9</v>
      </c>
      <c r="O7" s="7" t="str" cm="1">
        <f t="array" ref="O7">IF(ISBLANK(O$3),N7&amp;M7,INDEX(pixel_shift_table.asm!$C$3:$R$114, O$2*16 + O$3 + INT($A7/16) + 1, MOD($A7, 16) + 1))</f>
        <v>A90A</v>
      </c>
      <c r="P7" s="6" t="str" cm="1">
        <f t="array" ref="P7">IF(ISBLANK(P$3),O7&amp;N7,INDEX(pixel_shift_table.asm!$C$3:$R$114, P$2*16 + P$3 + INT($A7/16) + 1, MOD($A7, 16) + 1))</f>
        <v>0C</v>
      </c>
      <c r="Q7" s="5" t="str" cm="1">
        <f t="array" ref="Q7">IF(ISBLANK(Q$3),P7&amp;O7,INDEX(pixel_shift_table.asm!$C$3:$R$114, Q$2*16 + Q$3 + INT($A7/16) + 1, MOD($A7, 16) + 1))</f>
        <v>A9</v>
      </c>
      <c r="R7" s="7" t="str" cm="1">
        <f t="array" ref="R7">IF(ISBLANK(R$3),Q7&amp;P7,INDEX(pixel_shift_table.asm!$C$3:$R$114, R$2*16 + R$3 + INT($A7/16) + 1, MOD($A7, 16) + 1))</f>
        <v>A90C</v>
      </c>
      <c r="S7" s="6" t="str" cm="1">
        <f t="array" ref="S7">IF(ISBLANK(S$3),R7&amp;Q7,INDEX(pixel_shift_table.asm!$C$3:$R$114, S$2*16 + S$3 + INT($A7/16) + 1, MOD($A7, 16) + 1))</f>
        <v>0E</v>
      </c>
      <c r="T7" s="5" t="str" cm="1">
        <f t="array" ref="T7">IF(ISBLANK(T$3),S7&amp;R7,INDEX(pixel_shift_table.asm!$C$3:$R$114, T$2*16 + T$3 + INT($A7/16) + 1, MOD($A7, 16) + 1))</f>
        <v>A9</v>
      </c>
      <c r="U7" s="7" t="str" cm="1">
        <f t="array" ref="U7">IF(ISBLANK(U$3),T7&amp;S7,INDEX(pixel_shift_table.asm!$C$3:$R$114, U$2*16 + U$3 + INT($A7/16) + 1, MOD($A7, 16) + 1))</f>
        <v>A90E</v>
      </c>
      <c r="V7" s="6" t="str" cm="1">
        <f t="array" ref="V7">IF(ISBLANK(V$3),U7&amp;T7,INDEX(pixel_shift_table.asm!$C$3:$R$114, V$2*16 + V$3 + INT($A7/16) + 1, MOD($A7, 16) + 1))</f>
        <v>10</v>
      </c>
      <c r="W7" s="5" t="str" cm="1">
        <f t="array" ref="W7">IF(ISBLANK(W$3),V7&amp;U7,INDEX(pixel_shift_table.asm!$C$3:$R$114, W$2*16 + W$3 + INT($A7/16) + 1, MOD($A7, 16) + 1))</f>
        <v>A9</v>
      </c>
      <c r="X7" s="7" t="str" cm="1">
        <f t="array" ref="X7">IF(ISBLANK(X$3),W7&amp;V7,INDEX(pixel_shift_table.asm!$C$3:$R$114, X$2*16 + X$3 + INT($A7/16) + 1, MOD($A7, 16) + 1))</f>
        <v>A910</v>
      </c>
    </row>
    <row r="8" spans="1:24" x14ac:dyDescent="0.3">
      <c r="A8">
        <v>3</v>
      </c>
      <c r="B8" s="8">
        <v>0.11</v>
      </c>
      <c r="C8" s="5" t="s">
        <v>752</v>
      </c>
      <c r="D8" s="6" t="str" cm="1">
        <f t="array" ref="D8">IF(ISBLANK(D$3),C8&amp;B8,INDEX(pixel_shift_table.asm!$C$3:$R$114, D$2*16 + D$3 + INT($A8/16) + 1, MOD($A8, 16) + 1))</f>
        <v>12</v>
      </c>
      <c r="E8" s="5" t="str" cm="1">
        <f t="array" ref="E8">IF(ISBLANK(E$3),D8&amp;C8,INDEX(pixel_shift_table.asm!$C$3:$R$114, E$2*16 + E$3 + INT($A8/16) + 1, MOD($A8, 16) + 1))</f>
        <v>A9</v>
      </c>
      <c r="F8" s="7" t="str" cm="1">
        <f t="array" ref="F8">IF(ISBLANK(F$3),E8&amp;D8,INDEX(pixel_shift_table.asm!$C$3:$R$114, F$2*16 + F$3 + INT($A8/16) + 1, MOD($A8, 16) + 1))</f>
        <v>A912</v>
      </c>
      <c r="G8" s="6" t="str" cm="1">
        <f t="array" ref="G8">IF(ISBLANK(G$3),F8&amp;E8,INDEX(pixel_shift_table.asm!$C$3:$R$114, G$2*16 + G$3 + INT($A8/16) + 1, MOD($A8, 16) + 1))</f>
        <v>14</v>
      </c>
      <c r="H8" s="5" t="str" cm="1">
        <f t="array" ref="H8">IF(ISBLANK(H$3),G8&amp;F8,INDEX(pixel_shift_table.asm!$C$3:$R$114, H$2*16 + H$3 + INT($A8/16) + 1, MOD($A8, 16) + 1))</f>
        <v>A9</v>
      </c>
      <c r="I8" s="7" t="str" cm="1">
        <f t="array" ref="I8">IF(ISBLANK(I$3),H8&amp;G8,INDEX(pixel_shift_table.asm!$C$3:$R$114, I$2*16 + I$3 + INT($A8/16) + 1, MOD($A8, 16) + 1))</f>
        <v>A914</v>
      </c>
      <c r="J8" s="6" t="str" cm="1">
        <f t="array" ref="J8">IF(ISBLANK(J$3),I8&amp;H8,INDEX(pixel_shift_table.asm!$C$3:$R$114, J$2*16 + J$3 + INT($A8/16) + 1, MOD($A8, 16) + 1))</f>
        <v>16</v>
      </c>
      <c r="K8" s="5" t="str" cm="1">
        <f t="array" ref="K8">IF(ISBLANK(K$3),J8&amp;I8,INDEX(pixel_shift_table.asm!$C$3:$R$114, K$2*16 + K$3 + INT($A8/16) + 1, MOD($A8, 16) + 1))</f>
        <v>A9</v>
      </c>
      <c r="L8" s="7" t="str" cm="1">
        <f t="array" ref="L8">IF(ISBLANK(L$3),K8&amp;J8,INDEX(pixel_shift_table.asm!$C$3:$R$114, L$2*16 + L$3 + INT($A8/16) + 1, MOD($A8, 16) + 1))</f>
        <v>A916</v>
      </c>
      <c r="M8" s="6" t="str" cm="1">
        <f t="array" ref="M8">IF(ISBLANK(M$3),L8&amp;K8,INDEX(pixel_shift_table.asm!$C$3:$R$114, M$2*16 + M$3 + INT($A8/16) + 1, MOD($A8, 16) + 1))</f>
        <v>18</v>
      </c>
      <c r="N8" s="5" t="str" cm="1">
        <f t="array" ref="N8">IF(ISBLANK(N$3),M8&amp;L8,INDEX(pixel_shift_table.asm!$C$3:$R$114, N$2*16 + N$3 + INT($A8/16) + 1, MOD($A8, 16) + 1))</f>
        <v>A9</v>
      </c>
      <c r="O8" s="7" t="str" cm="1">
        <f t="array" ref="O8">IF(ISBLANK(O$3),N8&amp;M8,INDEX(pixel_shift_table.asm!$C$3:$R$114, O$2*16 + O$3 + INT($A8/16) + 1, MOD($A8, 16) + 1))</f>
        <v>A918</v>
      </c>
      <c r="P8" s="6" t="str" cm="1">
        <f t="array" ref="P8">IF(ISBLANK(P$3),O8&amp;N8,INDEX(pixel_shift_table.asm!$C$3:$R$114, P$2*16 + P$3 + INT($A8/16) + 1, MOD($A8, 16) + 1))</f>
        <v>1A</v>
      </c>
      <c r="Q8" s="5" t="str" cm="1">
        <f t="array" ref="Q8">IF(ISBLANK(Q$3),P8&amp;O8,INDEX(pixel_shift_table.asm!$C$3:$R$114, Q$2*16 + Q$3 + INT($A8/16) + 1, MOD($A8, 16) + 1))</f>
        <v>A9</v>
      </c>
      <c r="R8" s="7" t="str" cm="1">
        <f t="array" ref="R8">IF(ISBLANK(R$3),Q8&amp;P8,INDEX(pixel_shift_table.asm!$C$3:$R$114, R$2*16 + R$3 + INT($A8/16) + 1, MOD($A8, 16) + 1))</f>
        <v>A91A</v>
      </c>
      <c r="S8" s="6" t="str" cm="1">
        <f t="array" ref="S8">IF(ISBLANK(S$3),R8&amp;Q8,INDEX(pixel_shift_table.asm!$C$3:$R$114, S$2*16 + S$3 + INT($A8/16) + 1, MOD($A8, 16) + 1))</f>
        <v>1C</v>
      </c>
      <c r="T8" s="5" t="str" cm="1">
        <f t="array" ref="T8">IF(ISBLANK(T$3),S8&amp;R8,INDEX(pixel_shift_table.asm!$C$3:$R$114, T$2*16 + T$3 + INT($A8/16) + 1, MOD($A8, 16) + 1))</f>
        <v>A9</v>
      </c>
      <c r="U8" s="7" t="str" cm="1">
        <f t="array" ref="U8">IF(ISBLANK(U$3),T8&amp;S8,INDEX(pixel_shift_table.asm!$C$3:$R$114, U$2*16 + U$3 + INT($A8/16) + 1, MOD($A8, 16) + 1))</f>
        <v>A91C</v>
      </c>
      <c r="V8" s="6" t="str" cm="1">
        <f t="array" ref="V8">IF(ISBLANK(V$3),U8&amp;T8,INDEX(pixel_shift_table.asm!$C$3:$R$114, V$2*16 + V$3 + INT($A8/16) + 1, MOD($A8, 16) + 1))</f>
        <v>1E</v>
      </c>
      <c r="W8" s="5" t="str" cm="1">
        <f t="array" ref="W8">IF(ISBLANK(W$3),V8&amp;U8,INDEX(pixel_shift_table.asm!$C$3:$R$114, W$2*16 + W$3 + INT($A8/16) + 1, MOD($A8, 16) + 1))</f>
        <v>A9</v>
      </c>
      <c r="X8" s="7" t="str" cm="1">
        <f t="array" ref="X8">IF(ISBLANK(X$3),W8&amp;V8,INDEX(pixel_shift_table.asm!$C$3:$R$114, X$2*16 + X$3 + INT($A8/16) + 1, MOD($A8, 16) + 1))</f>
        <v>A91E</v>
      </c>
    </row>
    <row r="9" spans="1:24" x14ac:dyDescent="0.3">
      <c r="A9">
        <v>4</v>
      </c>
      <c r="B9" s="8">
        <v>1</v>
      </c>
      <c r="C9" s="5" t="s">
        <v>753</v>
      </c>
      <c r="D9" s="6" t="str" cm="1">
        <f t="array" ref="D9">IF(ISBLANK(D$3),C9&amp;B9,INDEX(pixel_shift_table.asm!$C$3:$R$114, D$2*16 + D$3 + INT($A9/16) + 1, MOD($A9, 16) + 1))</f>
        <v>06</v>
      </c>
      <c r="E9" s="5" t="str" cm="1">
        <f t="array" ref="E9">IF(ISBLANK(E$3),D9&amp;C9,INDEX(pixel_shift_table.asm!$C$3:$R$114, E$2*16 + E$3 + INT($A9/16) + 1, MOD($A9, 16) + 1))</f>
        <v>A9</v>
      </c>
      <c r="F9" s="7" t="str" cm="1">
        <f t="array" ref="F9">IF(ISBLANK(F$3),E9&amp;D9,INDEX(pixel_shift_table.asm!$C$3:$R$114, F$2*16 + F$3 + INT($A9/16) + 1, MOD($A9, 16) + 1))</f>
        <v>A906</v>
      </c>
      <c r="G9" s="6" t="str" cm="1">
        <f t="array" ref="G9">IF(ISBLANK(G$3),F9&amp;E9,INDEX(pixel_shift_table.asm!$C$3:$R$114, G$2*16 + G$3 + INT($A9/16) + 1, MOD($A9, 16) + 1))</f>
        <v>08</v>
      </c>
      <c r="H9" s="5" t="str" cm="1">
        <f t="array" ref="H9">IF(ISBLANK(H$3),G9&amp;F9,INDEX(pixel_shift_table.asm!$C$3:$R$114, H$2*16 + H$3 + INT($A9/16) + 1, MOD($A9, 16) + 1))</f>
        <v>A9</v>
      </c>
      <c r="I9" s="7" t="str" cm="1">
        <f t="array" ref="I9">IF(ISBLANK(I$3),H9&amp;G9,INDEX(pixel_shift_table.asm!$C$3:$R$114, I$2*16 + I$3 + INT($A9/16) + 1, MOD($A9, 16) + 1))</f>
        <v>A908</v>
      </c>
      <c r="J9" s="6" t="str" cm="1">
        <f t="array" ref="J9">IF(ISBLANK(J$3),I9&amp;H9,INDEX(pixel_shift_table.asm!$C$3:$R$114, J$2*16 + J$3 + INT($A9/16) + 1, MOD($A9, 16) + 1))</f>
        <v>0A</v>
      </c>
      <c r="K9" s="5" t="str" cm="1">
        <f t="array" ref="K9">IF(ISBLANK(K$3),J9&amp;I9,INDEX(pixel_shift_table.asm!$C$3:$R$114, K$2*16 + K$3 + INT($A9/16) + 1, MOD($A9, 16) + 1))</f>
        <v>A9</v>
      </c>
      <c r="L9" s="7" t="str" cm="1">
        <f t="array" ref="L9">IF(ISBLANK(L$3),K9&amp;J9,INDEX(pixel_shift_table.asm!$C$3:$R$114, L$2*16 + L$3 + INT($A9/16) + 1, MOD($A9, 16) + 1))</f>
        <v>A90A</v>
      </c>
      <c r="M9" s="6" t="str" cm="1">
        <f t="array" ref="M9">IF(ISBLANK(M$3),L9&amp;K9,INDEX(pixel_shift_table.asm!$C$3:$R$114, M$2*16 + M$3 + INT($A9/16) + 1, MOD($A9, 16) + 1))</f>
        <v>0C</v>
      </c>
      <c r="N9" s="5" t="str" cm="1">
        <f t="array" ref="N9">IF(ISBLANK(N$3),M9&amp;L9,INDEX(pixel_shift_table.asm!$C$3:$R$114, N$2*16 + N$3 + INT($A9/16) + 1, MOD($A9, 16) + 1))</f>
        <v>A9</v>
      </c>
      <c r="O9" s="7" t="str" cm="1">
        <f t="array" ref="O9">IF(ISBLANK(O$3),N9&amp;M9,INDEX(pixel_shift_table.asm!$C$3:$R$114, O$2*16 + O$3 + INT($A9/16) + 1, MOD($A9, 16) + 1))</f>
        <v>A90C</v>
      </c>
      <c r="P9" s="6" t="str" cm="1">
        <f t="array" ref="P9">IF(ISBLANK(P$3),O9&amp;N9,INDEX(pixel_shift_table.asm!$C$3:$R$114, P$2*16 + P$3 + INT($A9/16) + 1, MOD($A9, 16) + 1))</f>
        <v>0E</v>
      </c>
      <c r="Q9" s="5" t="str" cm="1">
        <f t="array" ref="Q9">IF(ISBLANK(Q$3),P9&amp;O9,INDEX(pixel_shift_table.asm!$C$3:$R$114, Q$2*16 + Q$3 + INT($A9/16) + 1, MOD($A9, 16) + 1))</f>
        <v>A9</v>
      </c>
      <c r="R9" s="7" t="str" cm="1">
        <f t="array" ref="R9">IF(ISBLANK(R$3),Q9&amp;P9,INDEX(pixel_shift_table.asm!$C$3:$R$114, R$2*16 + R$3 + INT($A9/16) + 1, MOD($A9, 16) + 1))</f>
        <v>A90E</v>
      </c>
      <c r="S9" s="6" t="str" cm="1">
        <f t="array" ref="S9">IF(ISBLANK(S$3),R9&amp;Q9,INDEX(pixel_shift_table.asm!$C$3:$R$114, S$2*16 + S$3 + INT($A9/16) + 1, MOD($A9, 16) + 1))</f>
        <v>10</v>
      </c>
      <c r="T9" s="5" t="str" cm="1">
        <f t="array" ref="T9">IF(ISBLANK(T$3),S9&amp;R9,INDEX(pixel_shift_table.asm!$C$3:$R$114, T$2*16 + T$3 + INT($A9/16) + 1, MOD($A9, 16) + 1))</f>
        <v>A9</v>
      </c>
      <c r="U9" s="7" t="str" cm="1">
        <f t="array" ref="U9">IF(ISBLANK(U$3),T9&amp;S9,INDEX(pixel_shift_table.asm!$C$3:$R$114, U$2*16 + U$3 + INT($A9/16) + 1, MOD($A9, 16) + 1))</f>
        <v>A910</v>
      </c>
      <c r="V9" s="6" t="str" cm="1">
        <f t="array" ref="V9">IF(ISBLANK(V$3),U9&amp;T9,INDEX(pixel_shift_table.asm!$C$3:$R$114, V$2*16 + V$3 + INT($A9/16) + 1, MOD($A9, 16) + 1))</f>
        <v>20</v>
      </c>
      <c r="W9" s="5" t="str" cm="1">
        <f t="array" ref="W9">IF(ISBLANK(W$3),V9&amp;U9,INDEX(pixel_shift_table.asm!$C$3:$R$114, W$2*16 + W$3 + INT($A9/16) + 1, MOD($A9, 16) + 1))</f>
        <v>A9</v>
      </c>
      <c r="X9" s="7" t="str" cm="1">
        <f t="array" ref="X9">IF(ISBLANK(X$3),W9&amp;V9,INDEX(pixel_shift_table.asm!$C$3:$R$114, X$2*16 + X$3 + INT($A9/16) + 1, MOD($A9, 16) + 1))</f>
        <v>A920</v>
      </c>
    </row>
    <row r="10" spans="1:24" x14ac:dyDescent="0.3">
      <c r="A10">
        <v>5</v>
      </c>
      <c r="B10" s="8">
        <v>1.01</v>
      </c>
      <c r="C10" s="5" t="s">
        <v>754</v>
      </c>
      <c r="D10" s="6" t="str" cm="1">
        <f t="array" ref="D10">IF(ISBLANK(D$3),C10&amp;B10,INDEX(pixel_shift_table.asm!$C$3:$R$114, D$2*16 + D$3 + INT($A10/16) + 1, MOD($A10, 16) + 1))</f>
        <v>22</v>
      </c>
      <c r="E10" s="5" t="str" cm="1">
        <f t="array" ref="E10">IF(ISBLANK(E$3),D10&amp;C10,INDEX(pixel_shift_table.asm!$C$3:$R$114, E$2*16 + E$3 + INT($A10/16) + 1, MOD($A10, 16) + 1))</f>
        <v>A9</v>
      </c>
      <c r="F10" s="7" t="str" cm="1">
        <f t="array" ref="F10">IF(ISBLANK(F$3),E10&amp;D10,INDEX(pixel_shift_table.asm!$C$3:$R$114, F$2*16 + F$3 + INT($A10/16) + 1, MOD($A10, 16) + 1))</f>
        <v>A922</v>
      </c>
      <c r="G10" s="6" t="str" cm="1">
        <f t="array" ref="G10">IF(ISBLANK(G$3),F10&amp;E10,INDEX(pixel_shift_table.asm!$C$3:$R$114, G$2*16 + G$3 + INT($A10/16) + 1, MOD($A10, 16) + 1))</f>
        <v>24</v>
      </c>
      <c r="H10" s="5" t="str" cm="1">
        <f t="array" ref="H10">IF(ISBLANK(H$3),G10&amp;F10,INDEX(pixel_shift_table.asm!$C$3:$R$114, H$2*16 + H$3 + INT($A10/16) + 1, MOD($A10, 16) + 1))</f>
        <v>A9</v>
      </c>
      <c r="I10" s="7" t="str" cm="1">
        <f t="array" ref="I10">IF(ISBLANK(I$3),H10&amp;G10,INDEX(pixel_shift_table.asm!$C$3:$R$114, I$2*16 + I$3 + INT($A10/16) + 1, MOD($A10, 16) + 1))</f>
        <v>A924</v>
      </c>
      <c r="J10" s="6" t="str" cm="1">
        <f t="array" ref="J10">IF(ISBLANK(J$3),I10&amp;H10,INDEX(pixel_shift_table.asm!$C$3:$R$114, J$2*16 + J$3 + INT($A10/16) + 1, MOD($A10, 16) + 1))</f>
        <v>26</v>
      </c>
      <c r="K10" s="5" t="str" cm="1">
        <f t="array" ref="K10">IF(ISBLANK(K$3),J10&amp;I10,INDEX(pixel_shift_table.asm!$C$3:$R$114, K$2*16 + K$3 + INT($A10/16) + 1, MOD($A10, 16) + 1))</f>
        <v>A9</v>
      </c>
      <c r="L10" s="7" t="str" cm="1">
        <f t="array" ref="L10">IF(ISBLANK(L$3),K10&amp;J10,INDEX(pixel_shift_table.asm!$C$3:$R$114, L$2*16 + L$3 + INT($A10/16) + 1, MOD($A10, 16) + 1))</f>
        <v>A926</v>
      </c>
      <c r="M10" s="6" t="str" cm="1">
        <f t="array" ref="M10">IF(ISBLANK(M$3),L10&amp;K10,INDEX(pixel_shift_table.asm!$C$3:$R$114, M$2*16 + M$3 + INT($A10/16) + 1, MOD($A10, 16) + 1))</f>
        <v>28</v>
      </c>
      <c r="N10" s="5" t="str" cm="1">
        <f t="array" ref="N10">IF(ISBLANK(N$3),M10&amp;L10,INDEX(pixel_shift_table.asm!$C$3:$R$114, N$2*16 + N$3 + INT($A10/16) + 1, MOD($A10, 16) + 1))</f>
        <v>A9</v>
      </c>
      <c r="O10" s="7" t="str" cm="1">
        <f t="array" ref="O10">IF(ISBLANK(O$3),N10&amp;M10,INDEX(pixel_shift_table.asm!$C$3:$R$114, O$2*16 + O$3 + INT($A10/16) + 1, MOD($A10, 16) + 1))</f>
        <v>A928</v>
      </c>
      <c r="P10" s="6" t="str" cm="1">
        <f t="array" ref="P10">IF(ISBLANK(P$3),O10&amp;N10,INDEX(pixel_shift_table.asm!$C$3:$R$114, P$2*16 + P$3 + INT($A10/16) + 1, MOD($A10, 16) + 1))</f>
        <v>2A</v>
      </c>
      <c r="Q10" s="5" t="str" cm="1">
        <f t="array" ref="Q10">IF(ISBLANK(Q$3),P10&amp;O10,INDEX(pixel_shift_table.asm!$C$3:$R$114, Q$2*16 + Q$3 + INT($A10/16) + 1, MOD($A10, 16) + 1))</f>
        <v>A9</v>
      </c>
      <c r="R10" s="7" t="str" cm="1">
        <f t="array" ref="R10">IF(ISBLANK(R$3),Q10&amp;P10,INDEX(pixel_shift_table.asm!$C$3:$R$114, R$2*16 + R$3 + INT($A10/16) + 1, MOD($A10, 16) + 1))</f>
        <v>A92A</v>
      </c>
      <c r="S10" s="6" t="str" cm="1">
        <f t="array" ref="S10">IF(ISBLANK(S$3),R10&amp;Q10,INDEX(pixel_shift_table.asm!$C$3:$R$114, S$2*16 + S$3 + INT($A10/16) + 1, MOD($A10, 16) + 1))</f>
        <v>2C</v>
      </c>
      <c r="T10" s="5" t="str" cm="1">
        <f t="array" ref="T10">IF(ISBLANK(T$3),S10&amp;R10,INDEX(pixel_shift_table.asm!$C$3:$R$114, T$2*16 + T$3 + INT($A10/16) + 1, MOD($A10, 16) + 1))</f>
        <v>A9</v>
      </c>
      <c r="U10" s="7" t="str" cm="1">
        <f t="array" ref="U10">IF(ISBLANK(U$3),T10&amp;S10,INDEX(pixel_shift_table.asm!$C$3:$R$114, U$2*16 + U$3 + INT($A10/16) + 1, MOD($A10, 16) + 1))</f>
        <v>A92C</v>
      </c>
      <c r="V10" s="6" t="str" cm="1">
        <f t="array" ref="V10">IF(ISBLANK(V$3),U10&amp;T10,INDEX(pixel_shift_table.asm!$C$3:$R$114, V$2*16 + V$3 + INT($A10/16) + 1, MOD($A10, 16) + 1))</f>
        <v>2E</v>
      </c>
      <c r="W10" s="5" t="str" cm="1">
        <f t="array" ref="W10">IF(ISBLANK(W$3),V10&amp;U10,INDEX(pixel_shift_table.asm!$C$3:$R$114, W$2*16 + W$3 + INT($A10/16) + 1, MOD($A10, 16) + 1))</f>
        <v>A9</v>
      </c>
      <c r="X10" s="7" t="str" cm="1">
        <f t="array" ref="X10">IF(ISBLANK(X$3),W10&amp;V10,INDEX(pixel_shift_table.asm!$C$3:$R$114, X$2*16 + X$3 + INT($A10/16) + 1, MOD($A10, 16) + 1))</f>
        <v>A92E</v>
      </c>
    </row>
    <row r="11" spans="1:24" x14ac:dyDescent="0.3">
      <c r="A11">
        <v>6</v>
      </c>
      <c r="B11" s="8">
        <v>1.1000000000000001</v>
      </c>
      <c r="C11" s="5" t="s">
        <v>755</v>
      </c>
      <c r="D11" s="6" t="str" cm="1">
        <f t="array" ref="D11">IF(ISBLANK(D$3),C11&amp;B11,INDEX(pixel_shift_table.asm!$C$3:$R$114, D$2*16 + D$3 + INT($A11/16) + 1, MOD($A11, 16) + 1))</f>
        <v>14</v>
      </c>
      <c r="E11" s="5" t="str" cm="1">
        <f t="array" ref="E11">IF(ISBLANK(E$3),D11&amp;C11,INDEX(pixel_shift_table.asm!$C$3:$R$114, E$2*16 + E$3 + INT($A11/16) + 1, MOD($A11, 16) + 1))</f>
        <v>A9</v>
      </c>
      <c r="F11" s="7" t="str" cm="1">
        <f t="array" ref="F11">IF(ISBLANK(F$3),E11&amp;D11,INDEX(pixel_shift_table.asm!$C$3:$R$114, F$2*16 + F$3 + INT($A11/16) + 1, MOD($A11, 16) + 1))</f>
        <v>A914</v>
      </c>
      <c r="G11" s="6" t="str" cm="1">
        <f t="array" ref="G11">IF(ISBLANK(G$3),F11&amp;E11,INDEX(pixel_shift_table.asm!$C$3:$R$114, G$2*16 + G$3 + INT($A11/16) + 1, MOD($A11, 16) + 1))</f>
        <v>16</v>
      </c>
      <c r="H11" s="5" t="str" cm="1">
        <f t="array" ref="H11">IF(ISBLANK(H$3),G11&amp;F11,INDEX(pixel_shift_table.asm!$C$3:$R$114, H$2*16 + H$3 + INT($A11/16) + 1, MOD($A11, 16) + 1))</f>
        <v>A9</v>
      </c>
      <c r="I11" s="7" t="str" cm="1">
        <f t="array" ref="I11">IF(ISBLANK(I$3),H11&amp;G11,INDEX(pixel_shift_table.asm!$C$3:$R$114, I$2*16 + I$3 + INT($A11/16) + 1, MOD($A11, 16) + 1))</f>
        <v>A916</v>
      </c>
      <c r="J11" s="6" t="str" cm="1">
        <f t="array" ref="J11">IF(ISBLANK(J$3),I11&amp;H11,INDEX(pixel_shift_table.asm!$C$3:$R$114, J$2*16 + J$3 + INT($A11/16) + 1, MOD($A11, 16) + 1))</f>
        <v>18</v>
      </c>
      <c r="K11" s="5" t="str" cm="1">
        <f t="array" ref="K11">IF(ISBLANK(K$3),J11&amp;I11,INDEX(pixel_shift_table.asm!$C$3:$R$114, K$2*16 + K$3 + INT($A11/16) + 1, MOD($A11, 16) + 1))</f>
        <v>A9</v>
      </c>
      <c r="L11" s="7" t="str" cm="1">
        <f t="array" ref="L11">IF(ISBLANK(L$3),K11&amp;J11,INDEX(pixel_shift_table.asm!$C$3:$R$114, L$2*16 + L$3 + INT($A11/16) + 1, MOD($A11, 16) + 1))</f>
        <v>A918</v>
      </c>
      <c r="M11" s="6" t="str" cm="1">
        <f t="array" ref="M11">IF(ISBLANK(M$3),L11&amp;K11,INDEX(pixel_shift_table.asm!$C$3:$R$114, M$2*16 + M$3 + INT($A11/16) + 1, MOD($A11, 16) + 1))</f>
        <v>1A</v>
      </c>
      <c r="N11" s="5" t="str" cm="1">
        <f t="array" ref="N11">IF(ISBLANK(N$3),M11&amp;L11,INDEX(pixel_shift_table.asm!$C$3:$R$114, N$2*16 + N$3 + INT($A11/16) + 1, MOD($A11, 16) + 1))</f>
        <v>A9</v>
      </c>
      <c r="O11" s="7" t="str" cm="1">
        <f t="array" ref="O11">IF(ISBLANK(O$3),N11&amp;M11,INDEX(pixel_shift_table.asm!$C$3:$R$114, O$2*16 + O$3 + INT($A11/16) + 1, MOD($A11, 16) + 1))</f>
        <v>A91A</v>
      </c>
      <c r="P11" s="6" t="str" cm="1">
        <f t="array" ref="P11">IF(ISBLANK(P$3),O11&amp;N11,INDEX(pixel_shift_table.asm!$C$3:$R$114, P$2*16 + P$3 + INT($A11/16) + 1, MOD($A11, 16) + 1))</f>
        <v>1C</v>
      </c>
      <c r="Q11" s="5" t="str" cm="1">
        <f t="array" ref="Q11">IF(ISBLANK(Q$3),P11&amp;O11,INDEX(pixel_shift_table.asm!$C$3:$R$114, Q$2*16 + Q$3 + INT($A11/16) + 1, MOD($A11, 16) + 1))</f>
        <v>A9</v>
      </c>
      <c r="R11" s="7" t="str" cm="1">
        <f t="array" ref="R11">IF(ISBLANK(R$3),Q11&amp;P11,INDEX(pixel_shift_table.asm!$C$3:$R$114, R$2*16 + R$3 + INT($A11/16) + 1, MOD($A11, 16) + 1))</f>
        <v>A91C</v>
      </c>
      <c r="S11" s="6" t="str" cm="1">
        <f t="array" ref="S11">IF(ISBLANK(S$3),R11&amp;Q11,INDEX(pixel_shift_table.asm!$C$3:$R$114, S$2*16 + S$3 + INT($A11/16) + 1, MOD($A11, 16) + 1))</f>
        <v>1E</v>
      </c>
      <c r="T11" s="5" t="str" cm="1">
        <f t="array" ref="T11">IF(ISBLANK(T$3),S11&amp;R11,INDEX(pixel_shift_table.asm!$C$3:$R$114, T$2*16 + T$3 + INT($A11/16) + 1, MOD($A11, 16) + 1))</f>
        <v>A9</v>
      </c>
      <c r="U11" s="7" t="str" cm="1">
        <f t="array" ref="U11">IF(ISBLANK(U$3),T11&amp;S11,INDEX(pixel_shift_table.asm!$C$3:$R$114, U$2*16 + U$3 + INT($A11/16) + 1, MOD($A11, 16) + 1))</f>
        <v>A91E</v>
      </c>
      <c r="V11" s="6" t="str" cm="1">
        <f t="array" ref="V11">IF(ISBLANK(V$3),U11&amp;T11,INDEX(pixel_shift_table.asm!$C$3:$R$114, V$2*16 + V$3 + INT($A11/16) + 1, MOD($A11, 16) + 1))</f>
        <v>30</v>
      </c>
      <c r="W11" s="5" t="str" cm="1">
        <f t="array" ref="W11">IF(ISBLANK(W$3),V11&amp;U11,INDEX(pixel_shift_table.asm!$C$3:$R$114, W$2*16 + W$3 + INT($A11/16) + 1, MOD($A11, 16) + 1))</f>
        <v>A9</v>
      </c>
      <c r="X11" s="7" t="str" cm="1">
        <f t="array" ref="X11">IF(ISBLANK(X$3),W11&amp;V11,INDEX(pixel_shift_table.asm!$C$3:$R$114, X$2*16 + X$3 + INT($A11/16) + 1, MOD($A11, 16) + 1))</f>
        <v>A930</v>
      </c>
    </row>
    <row r="12" spans="1:24" x14ac:dyDescent="0.3">
      <c r="A12">
        <v>7</v>
      </c>
      <c r="B12" s="8">
        <v>1.1100000000000001</v>
      </c>
      <c r="C12" s="5" t="s">
        <v>756</v>
      </c>
      <c r="D12" s="6" t="str" cm="1">
        <f t="array" ref="D12">IF(ISBLANK(D$3),C12&amp;B12,INDEX(pixel_shift_table.asm!$C$3:$R$114, D$2*16 + D$3 + INT($A12/16) + 1, MOD($A12, 16) + 1))</f>
        <v>32</v>
      </c>
      <c r="E12" s="5" t="str" cm="1">
        <f t="array" ref="E12">IF(ISBLANK(E$3),D12&amp;C12,INDEX(pixel_shift_table.asm!$C$3:$R$114, E$2*16 + E$3 + INT($A12/16) + 1, MOD($A12, 16) + 1))</f>
        <v>A9</v>
      </c>
      <c r="F12" s="7" t="str" cm="1">
        <f t="array" ref="F12">IF(ISBLANK(F$3),E12&amp;D12,INDEX(pixel_shift_table.asm!$C$3:$R$114, F$2*16 + F$3 + INT($A12/16) + 1, MOD($A12, 16) + 1))</f>
        <v>A932</v>
      </c>
      <c r="G12" s="6" t="str" cm="1">
        <f t="array" ref="G12">IF(ISBLANK(G$3),F12&amp;E12,INDEX(pixel_shift_table.asm!$C$3:$R$114, G$2*16 + G$3 + INT($A12/16) + 1, MOD($A12, 16) + 1))</f>
        <v>34</v>
      </c>
      <c r="H12" s="5" t="str" cm="1">
        <f t="array" ref="H12">IF(ISBLANK(H$3),G12&amp;F12,INDEX(pixel_shift_table.asm!$C$3:$R$114, H$2*16 + H$3 + INT($A12/16) + 1, MOD($A12, 16) + 1))</f>
        <v>A9</v>
      </c>
      <c r="I12" s="7" t="str" cm="1">
        <f t="array" ref="I12">IF(ISBLANK(I$3),H12&amp;G12,INDEX(pixel_shift_table.asm!$C$3:$R$114, I$2*16 + I$3 + INT($A12/16) + 1, MOD($A12, 16) + 1))</f>
        <v>A934</v>
      </c>
      <c r="J12" s="6" t="str" cm="1">
        <f t="array" ref="J12">IF(ISBLANK(J$3),I12&amp;H12,INDEX(pixel_shift_table.asm!$C$3:$R$114, J$2*16 + J$3 + INT($A12/16) + 1, MOD($A12, 16) + 1))</f>
        <v>36</v>
      </c>
      <c r="K12" s="5" t="str" cm="1">
        <f t="array" ref="K12">IF(ISBLANK(K$3),J12&amp;I12,INDEX(pixel_shift_table.asm!$C$3:$R$114, K$2*16 + K$3 + INT($A12/16) + 1, MOD($A12, 16) + 1))</f>
        <v>A9</v>
      </c>
      <c r="L12" s="7" t="str" cm="1">
        <f t="array" ref="L12">IF(ISBLANK(L$3),K12&amp;J12,INDEX(pixel_shift_table.asm!$C$3:$R$114, L$2*16 + L$3 + INT($A12/16) + 1, MOD($A12, 16) + 1))</f>
        <v>A936</v>
      </c>
      <c r="M12" s="6" t="str" cm="1">
        <f t="array" ref="M12">IF(ISBLANK(M$3),L12&amp;K12,INDEX(pixel_shift_table.asm!$C$3:$R$114, M$2*16 + M$3 + INT($A12/16) + 1, MOD($A12, 16) + 1))</f>
        <v>38</v>
      </c>
      <c r="N12" s="5" t="str" cm="1">
        <f t="array" ref="N12">IF(ISBLANK(N$3),M12&amp;L12,INDEX(pixel_shift_table.asm!$C$3:$R$114, N$2*16 + N$3 + INT($A12/16) + 1, MOD($A12, 16) + 1))</f>
        <v>A9</v>
      </c>
      <c r="O12" s="7" t="str" cm="1">
        <f t="array" ref="O12">IF(ISBLANK(O$3),N12&amp;M12,INDEX(pixel_shift_table.asm!$C$3:$R$114, O$2*16 + O$3 + INT($A12/16) + 1, MOD($A12, 16) + 1))</f>
        <v>A938</v>
      </c>
      <c r="P12" s="6" t="str" cm="1">
        <f t="array" ref="P12">IF(ISBLANK(P$3),O12&amp;N12,INDEX(pixel_shift_table.asm!$C$3:$R$114, P$2*16 + P$3 + INT($A12/16) + 1, MOD($A12, 16) + 1))</f>
        <v>3A</v>
      </c>
      <c r="Q12" s="5" t="str" cm="1">
        <f t="array" ref="Q12">IF(ISBLANK(Q$3),P12&amp;O12,INDEX(pixel_shift_table.asm!$C$3:$R$114, Q$2*16 + Q$3 + INT($A12/16) + 1, MOD($A12, 16) + 1))</f>
        <v>A9</v>
      </c>
      <c r="R12" s="7" t="str" cm="1">
        <f t="array" ref="R12">IF(ISBLANK(R$3),Q12&amp;P12,INDEX(pixel_shift_table.asm!$C$3:$R$114, R$2*16 + R$3 + INT($A12/16) + 1, MOD($A12, 16) + 1))</f>
        <v>A93A</v>
      </c>
      <c r="S12" s="6" t="str" cm="1">
        <f t="array" ref="S12">IF(ISBLANK(S$3),R12&amp;Q12,INDEX(pixel_shift_table.asm!$C$3:$R$114, S$2*16 + S$3 + INT($A12/16) + 1, MOD($A12, 16) + 1))</f>
        <v>3C</v>
      </c>
      <c r="T12" s="5" t="str" cm="1">
        <f t="array" ref="T12">IF(ISBLANK(T$3),S12&amp;R12,INDEX(pixel_shift_table.asm!$C$3:$R$114, T$2*16 + T$3 + INT($A12/16) + 1, MOD($A12, 16) + 1))</f>
        <v>A9</v>
      </c>
      <c r="U12" s="7" t="str" cm="1">
        <f t="array" ref="U12">IF(ISBLANK(U$3),T12&amp;S12,INDEX(pixel_shift_table.asm!$C$3:$R$114, U$2*16 + U$3 + INT($A12/16) + 1, MOD($A12, 16) + 1))</f>
        <v>A93C</v>
      </c>
      <c r="V12" s="6" t="str" cm="1">
        <f t="array" ref="V12">IF(ISBLANK(V$3),U12&amp;T12,INDEX(pixel_shift_table.asm!$C$3:$R$114, V$2*16 + V$3 + INT($A12/16) + 1, MOD($A12, 16) + 1))</f>
        <v>3E</v>
      </c>
      <c r="W12" s="5" t="str" cm="1">
        <f t="array" ref="W12">IF(ISBLANK(W$3),V12&amp;U12,INDEX(pixel_shift_table.asm!$C$3:$R$114, W$2*16 + W$3 + INT($A12/16) + 1, MOD($A12, 16) + 1))</f>
        <v>A9</v>
      </c>
      <c r="X12" s="7" t="str" cm="1">
        <f t="array" ref="X12">IF(ISBLANK(X$3),W12&amp;V12,INDEX(pixel_shift_table.asm!$C$3:$R$114, X$2*16 + X$3 + INT($A12/16) + 1, MOD($A12, 16) + 1))</f>
        <v>A93E</v>
      </c>
    </row>
    <row r="13" spans="1:24" x14ac:dyDescent="0.3">
      <c r="A13">
        <v>8</v>
      </c>
      <c r="B13" s="8">
        <v>10</v>
      </c>
      <c r="C13" s="5" t="s">
        <v>757</v>
      </c>
      <c r="D13" s="6" t="str" cm="1">
        <f t="array" ref="D13">IF(ISBLANK(D$3),C13&amp;B13,INDEX(pixel_shift_table.asm!$C$3:$R$114, D$2*16 + D$3 + INT($A13/16) + 1, MOD($A13, 16) + 1))</f>
        <v>08</v>
      </c>
      <c r="E13" s="5" t="str" cm="1">
        <f t="array" ref="E13">IF(ISBLANK(E$3),D13&amp;C13,INDEX(pixel_shift_table.asm!$C$3:$R$114, E$2*16 + E$3 + INT($A13/16) + 1, MOD($A13, 16) + 1))</f>
        <v>A9</v>
      </c>
      <c r="F13" s="7" t="str" cm="1">
        <f t="array" ref="F13">IF(ISBLANK(F$3),E13&amp;D13,INDEX(pixel_shift_table.asm!$C$3:$R$114, F$2*16 + F$3 + INT($A13/16) + 1, MOD($A13, 16) + 1))</f>
        <v>A908</v>
      </c>
      <c r="G13" s="6" t="str" cm="1">
        <f t="array" ref="G13">IF(ISBLANK(G$3),F13&amp;E13,INDEX(pixel_shift_table.asm!$C$3:$R$114, G$2*16 + G$3 + INT($A13/16) + 1, MOD($A13, 16) + 1))</f>
        <v>0A</v>
      </c>
      <c r="H13" s="5" t="str" cm="1">
        <f t="array" ref="H13">IF(ISBLANK(H$3),G13&amp;F13,INDEX(pixel_shift_table.asm!$C$3:$R$114, H$2*16 + H$3 + INT($A13/16) + 1, MOD($A13, 16) + 1))</f>
        <v>A9</v>
      </c>
      <c r="I13" s="7" t="str" cm="1">
        <f t="array" ref="I13">IF(ISBLANK(I$3),H13&amp;G13,INDEX(pixel_shift_table.asm!$C$3:$R$114, I$2*16 + I$3 + INT($A13/16) + 1, MOD($A13, 16) + 1))</f>
        <v>A90A</v>
      </c>
      <c r="J13" s="6" t="str" cm="1">
        <f t="array" ref="J13">IF(ISBLANK(J$3),I13&amp;H13,INDEX(pixel_shift_table.asm!$C$3:$R$114, J$2*16 + J$3 + INT($A13/16) + 1, MOD($A13, 16) + 1))</f>
        <v>0C</v>
      </c>
      <c r="K13" s="5" t="str" cm="1">
        <f t="array" ref="K13">IF(ISBLANK(K$3),J13&amp;I13,INDEX(pixel_shift_table.asm!$C$3:$R$114, K$2*16 + K$3 + INT($A13/16) + 1, MOD($A13, 16) + 1))</f>
        <v>A9</v>
      </c>
      <c r="L13" s="7" t="str" cm="1">
        <f t="array" ref="L13">IF(ISBLANK(L$3),K13&amp;J13,INDEX(pixel_shift_table.asm!$C$3:$R$114, L$2*16 + L$3 + INT($A13/16) + 1, MOD($A13, 16) + 1))</f>
        <v>A90C</v>
      </c>
      <c r="M13" s="6" t="str" cm="1">
        <f t="array" ref="M13">IF(ISBLANK(M$3),L13&amp;K13,INDEX(pixel_shift_table.asm!$C$3:$R$114, M$2*16 + M$3 + INT($A13/16) + 1, MOD($A13, 16) + 1))</f>
        <v>0E</v>
      </c>
      <c r="N13" s="5" t="str" cm="1">
        <f t="array" ref="N13">IF(ISBLANK(N$3),M13&amp;L13,INDEX(pixel_shift_table.asm!$C$3:$R$114, N$2*16 + N$3 + INT($A13/16) + 1, MOD($A13, 16) + 1))</f>
        <v>A9</v>
      </c>
      <c r="O13" s="7" t="str" cm="1">
        <f t="array" ref="O13">IF(ISBLANK(O$3),N13&amp;M13,INDEX(pixel_shift_table.asm!$C$3:$R$114, O$2*16 + O$3 + INT($A13/16) + 1, MOD($A13, 16) + 1))</f>
        <v>A90E</v>
      </c>
      <c r="P13" s="6" t="str" cm="1">
        <f t="array" ref="P13">IF(ISBLANK(P$3),O13&amp;N13,INDEX(pixel_shift_table.asm!$C$3:$R$114, P$2*16 + P$3 + INT($A13/16) + 1, MOD($A13, 16) + 1))</f>
        <v>10</v>
      </c>
      <c r="Q13" s="5" t="str" cm="1">
        <f t="array" ref="Q13">IF(ISBLANK(Q$3),P13&amp;O13,INDEX(pixel_shift_table.asm!$C$3:$R$114, Q$2*16 + Q$3 + INT($A13/16) + 1, MOD($A13, 16) + 1))</f>
        <v>A9</v>
      </c>
      <c r="R13" s="7" t="str" cm="1">
        <f t="array" ref="R13">IF(ISBLANK(R$3),Q13&amp;P13,INDEX(pixel_shift_table.asm!$C$3:$R$114, R$2*16 + R$3 + INT($A13/16) + 1, MOD($A13, 16) + 1))</f>
        <v>A910</v>
      </c>
      <c r="S13" s="6" t="str" cm="1">
        <f t="array" ref="S13">IF(ISBLANK(S$3),R13&amp;Q13,INDEX(pixel_shift_table.asm!$C$3:$R$114, S$2*16 + S$3 + INT($A13/16) + 1, MOD($A13, 16) + 1))</f>
        <v>20</v>
      </c>
      <c r="T13" s="5" t="str" cm="1">
        <f t="array" ref="T13">IF(ISBLANK(T$3),S13&amp;R13,INDEX(pixel_shift_table.asm!$C$3:$R$114, T$2*16 + T$3 + INT($A13/16) + 1, MOD($A13, 16) + 1))</f>
        <v>A9</v>
      </c>
      <c r="U13" s="7" t="str" cm="1">
        <f t="array" ref="U13">IF(ISBLANK(U$3),T13&amp;S13,INDEX(pixel_shift_table.asm!$C$3:$R$114, U$2*16 + U$3 + INT($A13/16) + 1, MOD($A13, 16) + 1))</f>
        <v>A920</v>
      </c>
      <c r="V13" s="6" t="str" cm="1">
        <f t="array" ref="V13">IF(ISBLANK(V$3),U13&amp;T13,INDEX(pixel_shift_table.asm!$C$3:$R$114, V$2*16 + V$3 + INT($A13/16) + 1, MOD($A13, 16) + 1))</f>
        <v>40</v>
      </c>
      <c r="W13" s="5" t="str" cm="1">
        <f t="array" ref="W13">IF(ISBLANK(W$3),V13&amp;U13,INDEX(pixel_shift_table.asm!$C$3:$R$114, W$2*16 + W$3 + INT($A13/16) + 1, MOD($A13, 16) + 1))</f>
        <v>A9</v>
      </c>
      <c r="X13" s="7" t="str" cm="1">
        <f t="array" ref="X13">IF(ISBLANK(X$3),W13&amp;V13,INDEX(pixel_shift_table.asm!$C$3:$R$114, X$2*16 + X$3 + INT($A13/16) + 1, MOD($A13, 16) + 1))</f>
        <v>A940</v>
      </c>
    </row>
    <row r="14" spans="1:24" x14ac:dyDescent="0.3">
      <c r="A14">
        <v>9</v>
      </c>
      <c r="B14" s="8">
        <v>10.01</v>
      </c>
      <c r="C14" s="5" t="s">
        <v>758</v>
      </c>
      <c r="D14" s="6" t="str" cm="1">
        <f t="array" ref="D14">IF(ISBLANK(D$3),C14&amp;B14,INDEX(pixel_shift_table.asm!$C$3:$R$114, D$2*16 + D$3 + INT($A14/16) + 1, MOD($A14, 16) + 1))</f>
        <v>42</v>
      </c>
      <c r="E14" s="5" t="str" cm="1">
        <f t="array" ref="E14">IF(ISBLANK(E$3),D14&amp;C14,INDEX(pixel_shift_table.asm!$C$3:$R$114, E$2*16 + E$3 + INT($A14/16) + 1, MOD($A14, 16) + 1))</f>
        <v>A9</v>
      </c>
      <c r="F14" s="7" t="str" cm="1">
        <f t="array" ref="F14">IF(ISBLANK(F$3),E14&amp;D14,INDEX(pixel_shift_table.asm!$C$3:$R$114, F$2*16 + F$3 + INT($A14/16) + 1, MOD($A14, 16) + 1))</f>
        <v>A942</v>
      </c>
      <c r="G14" s="6" t="str" cm="1">
        <f t="array" ref="G14">IF(ISBLANK(G$3),F14&amp;E14,INDEX(pixel_shift_table.asm!$C$3:$R$114, G$2*16 + G$3 + INT($A14/16) + 1, MOD($A14, 16) + 1))</f>
        <v>44</v>
      </c>
      <c r="H14" s="5" t="str" cm="1">
        <f t="array" ref="H14">IF(ISBLANK(H$3),G14&amp;F14,INDEX(pixel_shift_table.asm!$C$3:$R$114, H$2*16 + H$3 + INT($A14/16) + 1, MOD($A14, 16) + 1))</f>
        <v>A9</v>
      </c>
      <c r="I14" s="7" t="str" cm="1">
        <f t="array" ref="I14">IF(ISBLANK(I$3),H14&amp;G14,INDEX(pixel_shift_table.asm!$C$3:$R$114, I$2*16 + I$3 + INT($A14/16) + 1, MOD($A14, 16) + 1))</f>
        <v>A944</v>
      </c>
      <c r="J14" s="6" t="str" cm="1">
        <f t="array" ref="J14">IF(ISBLANK(J$3),I14&amp;H14,INDEX(pixel_shift_table.asm!$C$3:$R$114, J$2*16 + J$3 + INT($A14/16) + 1, MOD($A14, 16) + 1))</f>
        <v>46</v>
      </c>
      <c r="K14" s="5" t="str" cm="1">
        <f t="array" ref="K14">IF(ISBLANK(K$3),J14&amp;I14,INDEX(pixel_shift_table.asm!$C$3:$R$114, K$2*16 + K$3 + INT($A14/16) + 1, MOD($A14, 16) + 1))</f>
        <v>A9</v>
      </c>
      <c r="L14" s="7" t="str" cm="1">
        <f t="array" ref="L14">IF(ISBLANK(L$3),K14&amp;J14,INDEX(pixel_shift_table.asm!$C$3:$R$114, L$2*16 + L$3 + INT($A14/16) + 1, MOD($A14, 16) + 1))</f>
        <v>A946</v>
      </c>
      <c r="M14" s="6" t="str" cm="1">
        <f t="array" ref="M14">IF(ISBLANK(M$3),L14&amp;K14,INDEX(pixel_shift_table.asm!$C$3:$R$114, M$2*16 + M$3 + INT($A14/16) + 1, MOD($A14, 16) + 1))</f>
        <v>48</v>
      </c>
      <c r="N14" s="5" t="str" cm="1">
        <f t="array" ref="N14">IF(ISBLANK(N$3),M14&amp;L14,INDEX(pixel_shift_table.asm!$C$3:$R$114, N$2*16 + N$3 + INT($A14/16) + 1, MOD($A14, 16) + 1))</f>
        <v>A9</v>
      </c>
      <c r="O14" s="7" t="str" cm="1">
        <f t="array" ref="O14">IF(ISBLANK(O$3),N14&amp;M14,INDEX(pixel_shift_table.asm!$C$3:$R$114, O$2*16 + O$3 + INT($A14/16) + 1, MOD($A14, 16) + 1))</f>
        <v>A948</v>
      </c>
      <c r="P14" s="6" t="str" cm="1">
        <f t="array" ref="P14">IF(ISBLANK(P$3),O14&amp;N14,INDEX(pixel_shift_table.asm!$C$3:$R$114, P$2*16 + P$3 + INT($A14/16) + 1, MOD($A14, 16) + 1))</f>
        <v>4A</v>
      </c>
      <c r="Q14" s="5" t="str" cm="1">
        <f t="array" ref="Q14">IF(ISBLANK(Q$3),P14&amp;O14,INDEX(pixel_shift_table.asm!$C$3:$R$114, Q$2*16 + Q$3 + INT($A14/16) + 1, MOD($A14, 16) + 1))</f>
        <v>A9</v>
      </c>
      <c r="R14" s="7" t="str" cm="1">
        <f t="array" ref="R14">IF(ISBLANK(R$3),Q14&amp;P14,INDEX(pixel_shift_table.asm!$C$3:$R$114, R$2*16 + R$3 + INT($A14/16) + 1, MOD($A14, 16) + 1))</f>
        <v>A94A</v>
      </c>
      <c r="S14" s="6" t="str" cm="1">
        <f t="array" ref="S14">IF(ISBLANK(S$3),R14&amp;Q14,INDEX(pixel_shift_table.asm!$C$3:$R$114, S$2*16 + S$3 + INT($A14/16) + 1, MOD($A14, 16) + 1))</f>
        <v>4C</v>
      </c>
      <c r="T14" s="5" t="str" cm="1">
        <f t="array" ref="T14">IF(ISBLANK(T$3),S14&amp;R14,INDEX(pixel_shift_table.asm!$C$3:$R$114, T$2*16 + T$3 + INT($A14/16) + 1, MOD($A14, 16) + 1))</f>
        <v>A9</v>
      </c>
      <c r="U14" s="7" t="str" cm="1">
        <f t="array" ref="U14">IF(ISBLANK(U$3),T14&amp;S14,INDEX(pixel_shift_table.asm!$C$3:$R$114, U$2*16 + U$3 + INT($A14/16) + 1, MOD($A14, 16) + 1))</f>
        <v>A94C</v>
      </c>
      <c r="V14" s="6" t="str" cm="1">
        <f t="array" ref="V14">IF(ISBLANK(V$3),U14&amp;T14,INDEX(pixel_shift_table.asm!$C$3:$R$114, V$2*16 + V$3 + INT($A14/16) + 1, MOD($A14, 16) + 1))</f>
        <v>4E</v>
      </c>
      <c r="W14" s="5" t="str" cm="1">
        <f t="array" ref="W14">IF(ISBLANK(W$3),V14&amp;U14,INDEX(pixel_shift_table.asm!$C$3:$R$114, W$2*16 + W$3 + INT($A14/16) + 1, MOD($A14, 16) + 1))</f>
        <v>A9</v>
      </c>
      <c r="X14" s="7" t="str" cm="1">
        <f t="array" ref="X14">IF(ISBLANK(X$3),W14&amp;V14,INDEX(pixel_shift_table.asm!$C$3:$R$114, X$2*16 + X$3 + INT($A14/16) + 1, MOD($A14, 16) + 1))</f>
        <v>A94E</v>
      </c>
    </row>
    <row r="15" spans="1:24" x14ac:dyDescent="0.3">
      <c r="A15">
        <v>10</v>
      </c>
      <c r="B15" s="8">
        <v>10.1</v>
      </c>
      <c r="C15" s="5" t="s">
        <v>759</v>
      </c>
      <c r="D15" s="6" t="str" cm="1">
        <f t="array" ref="D15">IF(ISBLANK(D$3),C15&amp;B15,INDEX(pixel_shift_table.asm!$C$3:$R$114, D$2*16 + D$3 + INT($A15/16) + 1, MOD($A15, 16) + 1))</f>
        <v>24</v>
      </c>
      <c r="E15" s="5" t="str" cm="1">
        <f t="array" ref="E15">IF(ISBLANK(E$3),D15&amp;C15,INDEX(pixel_shift_table.asm!$C$3:$R$114, E$2*16 + E$3 + INT($A15/16) + 1, MOD($A15, 16) + 1))</f>
        <v>A9</v>
      </c>
      <c r="F15" s="7" t="str" cm="1">
        <f t="array" ref="F15">IF(ISBLANK(F$3),E15&amp;D15,INDEX(pixel_shift_table.asm!$C$3:$R$114, F$2*16 + F$3 + INT($A15/16) + 1, MOD($A15, 16) + 1))</f>
        <v>A924</v>
      </c>
      <c r="G15" s="6" t="str" cm="1">
        <f t="array" ref="G15">IF(ISBLANK(G$3),F15&amp;E15,INDEX(pixel_shift_table.asm!$C$3:$R$114, G$2*16 + G$3 + INT($A15/16) + 1, MOD($A15, 16) + 1))</f>
        <v>26</v>
      </c>
      <c r="H15" s="5" t="str" cm="1">
        <f t="array" ref="H15">IF(ISBLANK(H$3),G15&amp;F15,INDEX(pixel_shift_table.asm!$C$3:$R$114, H$2*16 + H$3 + INT($A15/16) + 1, MOD($A15, 16) + 1))</f>
        <v>A9</v>
      </c>
      <c r="I15" s="7" t="str" cm="1">
        <f t="array" ref="I15">IF(ISBLANK(I$3),H15&amp;G15,INDEX(pixel_shift_table.asm!$C$3:$R$114, I$2*16 + I$3 + INT($A15/16) + 1, MOD($A15, 16) + 1))</f>
        <v>A926</v>
      </c>
      <c r="J15" s="6" t="str" cm="1">
        <f t="array" ref="J15">IF(ISBLANK(J$3),I15&amp;H15,INDEX(pixel_shift_table.asm!$C$3:$R$114, J$2*16 + J$3 + INT($A15/16) + 1, MOD($A15, 16) + 1))</f>
        <v>28</v>
      </c>
      <c r="K15" s="5" t="str" cm="1">
        <f t="array" ref="K15">IF(ISBLANK(K$3),J15&amp;I15,INDEX(pixel_shift_table.asm!$C$3:$R$114, K$2*16 + K$3 + INT($A15/16) + 1, MOD($A15, 16) + 1))</f>
        <v>A9</v>
      </c>
      <c r="L15" s="7" t="str" cm="1">
        <f t="array" ref="L15">IF(ISBLANK(L$3),K15&amp;J15,INDEX(pixel_shift_table.asm!$C$3:$R$114, L$2*16 + L$3 + INT($A15/16) + 1, MOD($A15, 16) + 1))</f>
        <v>A928</v>
      </c>
      <c r="M15" s="6" t="str" cm="1">
        <f t="array" ref="M15">IF(ISBLANK(M$3),L15&amp;K15,INDEX(pixel_shift_table.asm!$C$3:$R$114, M$2*16 + M$3 + INT($A15/16) + 1, MOD($A15, 16) + 1))</f>
        <v>2A</v>
      </c>
      <c r="N15" s="5" t="str" cm="1">
        <f t="array" ref="N15">IF(ISBLANK(N$3),M15&amp;L15,INDEX(pixel_shift_table.asm!$C$3:$R$114, N$2*16 + N$3 + INT($A15/16) + 1, MOD($A15, 16) + 1))</f>
        <v>A9</v>
      </c>
      <c r="O15" s="7" t="str" cm="1">
        <f t="array" ref="O15">IF(ISBLANK(O$3),N15&amp;M15,INDEX(pixel_shift_table.asm!$C$3:$R$114, O$2*16 + O$3 + INT($A15/16) + 1, MOD($A15, 16) + 1))</f>
        <v>A92A</v>
      </c>
      <c r="P15" s="6" t="str" cm="1">
        <f t="array" ref="P15">IF(ISBLANK(P$3),O15&amp;N15,INDEX(pixel_shift_table.asm!$C$3:$R$114, P$2*16 + P$3 + INT($A15/16) + 1, MOD($A15, 16) + 1))</f>
        <v>2C</v>
      </c>
      <c r="Q15" s="5" t="str" cm="1">
        <f t="array" ref="Q15">IF(ISBLANK(Q$3),P15&amp;O15,INDEX(pixel_shift_table.asm!$C$3:$R$114, Q$2*16 + Q$3 + INT($A15/16) + 1, MOD($A15, 16) + 1))</f>
        <v>A9</v>
      </c>
      <c r="R15" s="7" t="str" cm="1">
        <f t="array" ref="R15">IF(ISBLANK(R$3),Q15&amp;P15,INDEX(pixel_shift_table.asm!$C$3:$R$114, R$2*16 + R$3 + INT($A15/16) + 1, MOD($A15, 16) + 1))</f>
        <v>A92C</v>
      </c>
      <c r="S15" s="6" t="str" cm="1">
        <f t="array" ref="S15">IF(ISBLANK(S$3),R15&amp;Q15,INDEX(pixel_shift_table.asm!$C$3:$R$114, S$2*16 + S$3 + INT($A15/16) + 1, MOD($A15, 16) + 1))</f>
        <v>2E</v>
      </c>
      <c r="T15" s="5" t="str" cm="1">
        <f t="array" ref="T15">IF(ISBLANK(T$3),S15&amp;R15,INDEX(pixel_shift_table.asm!$C$3:$R$114, T$2*16 + T$3 + INT($A15/16) + 1, MOD($A15, 16) + 1))</f>
        <v>A9</v>
      </c>
      <c r="U15" s="7" t="str" cm="1">
        <f t="array" ref="U15">IF(ISBLANK(U$3),T15&amp;S15,INDEX(pixel_shift_table.asm!$C$3:$R$114, U$2*16 + U$3 + INT($A15/16) + 1, MOD($A15, 16) + 1))</f>
        <v>A92E</v>
      </c>
      <c r="V15" s="6" t="str" cm="1">
        <f t="array" ref="V15">IF(ISBLANK(V$3),U15&amp;T15,INDEX(pixel_shift_table.asm!$C$3:$R$114, V$2*16 + V$3 + INT($A15/16) + 1, MOD($A15, 16) + 1))</f>
        <v>50</v>
      </c>
      <c r="W15" s="5" t="str" cm="1">
        <f t="array" ref="W15">IF(ISBLANK(W$3),V15&amp;U15,INDEX(pixel_shift_table.asm!$C$3:$R$114, W$2*16 + W$3 + INT($A15/16) + 1, MOD($A15, 16) + 1))</f>
        <v>A9</v>
      </c>
      <c r="X15" s="7" t="str" cm="1">
        <f t="array" ref="X15">IF(ISBLANK(X$3),W15&amp;V15,INDEX(pixel_shift_table.asm!$C$3:$R$114, X$2*16 + X$3 + INT($A15/16) + 1, MOD($A15, 16) + 1))</f>
        <v>A950</v>
      </c>
    </row>
    <row r="16" spans="1:24" x14ac:dyDescent="0.3">
      <c r="A16">
        <v>11</v>
      </c>
      <c r="B16" s="8">
        <v>10.11</v>
      </c>
      <c r="C16" s="5" t="s">
        <v>760</v>
      </c>
      <c r="D16" s="6" t="str" cm="1">
        <f t="array" ref="D16">IF(ISBLANK(D$3),C16&amp;B16,INDEX(pixel_shift_table.asm!$C$3:$R$114, D$2*16 + D$3 + INT($A16/16) + 1, MOD($A16, 16) + 1))</f>
        <v>52</v>
      </c>
      <c r="E16" s="5" t="str" cm="1">
        <f t="array" ref="E16">IF(ISBLANK(E$3),D16&amp;C16,INDEX(pixel_shift_table.asm!$C$3:$R$114, E$2*16 + E$3 + INT($A16/16) + 1, MOD($A16, 16) + 1))</f>
        <v>A9</v>
      </c>
      <c r="F16" s="7" t="str" cm="1">
        <f t="array" ref="F16">IF(ISBLANK(F$3),E16&amp;D16,INDEX(pixel_shift_table.asm!$C$3:$R$114, F$2*16 + F$3 + INT($A16/16) + 1, MOD($A16, 16) + 1))</f>
        <v>A952</v>
      </c>
      <c r="G16" s="6" t="str" cm="1">
        <f t="array" ref="G16">IF(ISBLANK(G$3),F16&amp;E16,INDEX(pixel_shift_table.asm!$C$3:$R$114, G$2*16 + G$3 + INT($A16/16) + 1, MOD($A16, 16) + 1))</f>
        <v>54</v>
      </c>
      <c r="H16" s="5" t="str" cm="1">
        <f t="array" ref="H16">IF(ISBLANK(H$3),G16&amp;F16,INDEX(pixel_shift_table.asm!$C$3:$R$114, H$2*16 + H$3 + INT($A16/16) + 1, MOD($A16, 16) + 1))</f>
        <v>A9</v>
      </c>
      <c r="I16" s="7" t="str" cm="1">
        <f t="array" ref="I16">IF(ISBLANK(I$3),H16&amp;G16,INDEX(pixel_shift_table.asm!$C$3:$R$114, I$2*16 + I$3 + INT($A16/16) + 1, MOD($A16, 16) + 1))</f>
        <v>A954</v>
      </c>
      <c r="J16" s="6" t="str" cm="1">
        <f t="array" ref="J16">IF(ISBLANK(J$3),I16&amp;H16,INDEX(pixel_shift_table.asm!$C$3:$R$114, J$2*16 + J$3 + INT($A16/16) + 1, MOD($A16, 16) + 1))</f>
        <v>56</v>
      </c>
      <c r="K16" s="5" t="str" cm="1">
        <f t="array" ref="K16">IF(ISBLANK(K$3),J16&amp;I16,INDEX(pixel_shift_table.asm!$C$3:$R$114, K$2*16 + K$3 + INT($A16/16) + 1, MOD($A16, 16) + 1))</f>
        <v>A9</v>
      </c>
      <c r="L16" s="7" t="str" cm="1">
        <f t="array" ref="L16">IF(ISBLANK(L$3),K16&amp;J16,INDEX(pixel_shift_table.asm!$C$3:$R$114, L$2*16 + L$3 + INT($A16/16) + 1, MOD($A16, 16) + 1))</f>
        <v>A956</v>
      </c>
      <c r="M16" s="6" t="str" cm="1">
        <f t="array" ref="M16">IF(ISBLANK(M$3),L16&amp;K16,INDEX(pixel_shift_table.asm!$C$3:$R$114, M$2*16 + M$3 + INT($A16/16) + 1, MOD($A16, 16) + 1))</f>
        <v>58</v>
      </c>
      <c r="N16" s="5" t="str" cm="1">
        <f t="array" ref="N16">IF(ISBLANK(N$3),M16&amp;L16,INDEX(pixel_shift_table.asm!$C$3:$R$114, N$2*16 + N$3 + INT($A16/16) + 1, MOD($A16, 16) + 1))</f>
        <v>A9</v>
      </c>
      <c r="O16" s="7" t="str" cm="1">
        <f t="array" ref="O16">IF(ISBLANK(O$3),N16&amp;M16,INDEX(pixel_shift_table.asm!$C$3:$R$114, O$2*16 + O$3 + INT($A16/16) + 1, MOD($A16, 16) + 1))</f>
        <v>A958</v>
      </c>
      <c r="P16" s="6" t="str" cm="1">
        <f t="array" ref="P16">IF(ISBLANK(P$3),O16&amp;N16,INDEX(pixel_shift_table.asm!$C$3:$R$114, P$2*16 + P$3 + INT($A16/16) + 1, MOD($A16, 16) + 1))</f>
        <v>5A</v>
      </c>
      <c r="Q16" s="5" t="str" cm="1">
        <f t="array" ref="Q16">IF(ISBLANK(Q$3),P16&amp;O16,INDEX(pixel_shift_table.asm!$C$3:$R$114, Q$2*16 + Q$3 + INT($A16/16) + 1, MOD($A16, 16) + 1))</f>
        <v>A9</v>
      </c>
      <c r="R16" s="7" t="str" cm="1">
        <f t="array" ref="R16">IF(ISBLANK(R$3),Q16&amp;P16,INDEX(pixel_shift_table.asm!$C$3:$R$114, R$2*16 + R$3 + INT($A16/16) + 1, MOD($A16, 16) + 1))</f>
        <v>A95A</v>
      </c>
      <c r="S16" s="6" t="str" cm="1">
        <f t="array" ref="S16">IF(ISBLANK(S$3),R16&amp;Q16,INDEX(pixel_shift_table.asm!$C$3:$R$114, S$2*16 + S$3 + INT($A16/16) + 1, MOD($A16, 16) + 1))</f>
        <v>5C</v>
      </c>
      <c r="T16" s="5" t="str" cm="1">
        <f t="array" ref="T16">IF(ISBLANK(T$3),S16&amp;R16,INDEX(pixel_shift_table.asm!$C$3:$R$114, T$2*16 + T$3 + INT($A16/16) + 1, MOD($A16, 16) + 1))</f>
        <v>A9</v>
      </c>
      <c r="U16" s="7" t="str" cm="1">
        <f t="array" ref="U16">IF(ISBLANK(U$3),T16&amp;S16,INDEX(pixel_shift_table.asm!$C$3:$R$114, U$2*16 + U$3 + INT($A16/16) + 1, MOD($A16, 16) + 1))</f>
        <v>A95C</v>
      </c>
      <c r="V16" s="6" t="str" cm="1">
        <f t="array" ref="V16">IF(ISBLANK(V$3),U16&amp;T16,INDEX(pixel_shift_table.asm!$C$3:$R$114, V$2*16 + V$3 + INT($A16/16) + 1, MOD($A16, 16) + 1))</f>
        <v>5E</v>
      </c>
      <c r="W16" s="5" t="str" cm="1">
        <f t="array" ref="W16">IF(ISBLANK(W$3),V16&amp;U16,INDEX(pixel_shift_table.asm!$C$3:$R$114, W$2*16 + W$3 + INT($A16/16) + 1, MOD($A16, 16) + 1))</f>
        <v>A9</v>
      </c>
      <c r="X16" s="7" t="str" cm="1">
        <f t="array" ref="X16">IF(ISBLANK(X$3),W16&amp;V16,INDEX(pixel_shift_table.asm!$C$3:$R$114, X$2*16 + X$3 + INT($A16/16) + 1, MOD($A16, 16) + 1))</f>
        <v>A95E</v>
      </c>
    </row>
    <row r="17" spans="1:24" x14ac:dyDescent="0.3">
      <c r="A17">
        <v>12</v>
      </c>
      <c r="B17" s="8">
        <v>11</v>
      </c>
      <c r="C17" s="5" t="s">
        <v>761</v>
      </c>
      <c r="D17" s="6" t="str" cm="1">
        <f t="array" ref="D17">IF(ISBLANK(D$3),C17&amp;B17,INDEX(pixel_shift_table.asm!$C$3:$R$114, D$2*16 + D$3 + INT($A17/16) + 1, MOD($A17, 16) + 1))</f>
        <v>16</v>
      </c>
      <c r="E17" s="5" t="str" cm="1">
        <f t="array" ref="E17">IF(ISBLANK(E$3),D17&amp;C17,INDEX(pixel_shift_table.asm!$C$3:$R$114, E$2*16 + E$3 + INT($A17/16) + 1, MOD($A17, 16) + 1))</f>
        <v>A9</v>
      </c>
      <c r="F17" s="7" t="str" cm="1">
        <f t="array" ref="F17">IF(ISBLANK(F$3),E17&amp;D17,INDEX(pixel_shift_table.asm!$C$3:$R$114, F$2*16 + F$3 + INT($A17/16) + 1, MOD($A17, 16) + 1))</f>
        <v>A916</v>
      </c>
      <c r="G17" s="6" t="str" cm="1">
        <f t="array" ref="G17">IF(ISBLANK(G$3),F17&amp;E17,INDEX(pixel_shift_table.asm!$C$3:$R$114, G$2*16 + G$3 + INT($A17/16) + 1, MOD($A17, 16) + 1))</f>
        <v>18</v>
      </c>
      <c r="H17" s="5" t="str" cm="1">
        <f t="array" ref="H17">IF(ISBLANK(H$3),G17&amp;F17,INDEX(pixel_shift_table.asm!$C$3:$R$114, H$2*16 + H$3 + INT($A17/16) + 1, MOD($A17, 16) + 1))</f>
        <v>A9</v>
      </c>
      <c r="I17" s="7" t="str" cm="1">
        <f t="array" ref="I17">IF(ISBLANK(I$3),H17&amp;G17,INDEX(pixel_shift_table.asm!$C$3:$R$114, I$2*16 + I$3 + INT($A17/16) + 1, MOD($A17, 16) + 1))</f>
        <v>A918</v>
      </c>
      <c r="J17" s="6" t="str" cm="1">
        <f t="array" ref="J17">IF(ISBLANK(J$3),I17&amp;H17,INDEX(pixel_shift_table.asm!$C$3:$R$114, J$2*16 + J$3 + INT($A17/16) + 1, MOD($A17, 16) + 1))</f>
        <v>1A</v>
      </c>
      <c r="K17" s="5" t="str" cm="1">
        <f t="array" ref="K17">IF(ISBLANK(K$3),J17&amp;I17,INDEX(pixel_shift_table.asm!$C$3:$R$114, K$2*16 + K$3 + INT($A17/16) + 1, MOD($A17, 16) + 1))</f>
        <v>A9</v>
      </c>
      <c r="L17" s="7" t="str" cm="1">
        <f t="array" ref="L17">IF(ISBLANK(L$3),K17&amp;J17,INDEX(pixel_shift_table.asm!$C$3:$R$114, L$2*16 + L$3 + INT($A17/16) + 1, MOD($A17, 16) + 1))</f>
        <v>A91A</v>
      </c>
      <c r="M17" s="6" t="str" cm="1">
        <f t="array" ref="M17">IF(ISBLANK(M$3),L17&amp;K17,INDEX(pixel_shift_table.asm!$C$3:$R$114, M$2*16 + M$3 + INT($A17/16) + 1, MOD($A17, 16) + 1))</f>
        <v>1C</v>
      </c>
      <c r="N17" s="5" t="str" cm="1">
        <f t="array" ref="N17">IF(ISBLANK(N$3),M17&amp;L17,INDEX(pixel_shift_table.asm!$C$3:$R$114, N$2*16 + N$3 + INT($A17/16) + 1, MOD($A17, 16) + 1))</f>
        <v>A9</v>
      </c>
      <c r="O17" s="7" t="str" cm="1">
        <f t="array" ref="O17">IF(ISBLANK(O$3),N17&amp;M17,INDEX(pixel_shift_table.asm!$C$3:$R$114, O$2*16 + O$3 + INT($A17/16) + 1, MOD($A17, 16) + 1))</f>
        <v>A91C</v>
      </c>
      <c r="P17" s="6" t="str" cm="1">
        <f t="array" ref="P17">IF(ISBLANK(P$3),O17&amp;N17,INDEX(pixel_shift_table.asm!$C$3:$R$114, P$2*16 + P$3 + INT($A17/16) + 1, MOD($A17, 16) + 1))</f>
        <v>1E</v>
      </c>
      <c r="Q17" s="5" t="str" cm="1">
        <f t="array" ref="Q17">IF(ISBLANK(Q$3),P17&amp;O17,INDEX(pixel_shift_table.asm!$C$3:$R$114, Q$2*16 + Q$3 + INT($A17/16) + 1, MOD($A17, 16) + 1))</f>
        <v>A9</v>
      </c>
      <c r="R17" s="7" t="str" cm="1">
        <f t="array" ref="R17">IF(ISBLANK(R$3),Q17&amp;P17,INDEX(pixel_shift_table.asm!$C$3:$R$114, R$2*16 + R$3 + INT($A17/16) + 1, MOD($A17, 16) + 1))</f>
        <v>A91E</v>
      </c>
      <c r="S17" s="6" t="str" cm="1">
        <f t="array" ref="S17">IF(ISBLANK(S$3),R17&amp;Q17,INDEX(pixel_shift_table.asm!$C$3:$R$114, S$2*16 + S$3 + INT($A17/16) + 1, MOD($A17, 16) + 1))</f>
        <v>30</v>
      </c>
      <c r="T17" s="5" t="str" cm="1">
        <f t="array" ref="T17">IF(ISBLANK(T$3),S17&amp;R17,INDEX(pixel_shift_table.asm!$C$3:$R$114, T$2*16 + T$3 + INT($A17/16) + 1, MOD($A17, 16) + 1))</f>
        <v>A9</v>
      </c>
      <c r="U17" s="7" t="str" cm="1">
        <f t="array" ref="U17">IF(ISBLANK(U$3),T17&amp;S17,INDEX(pixel_shift_table.asm!$C$3:$R$114, U$2*16 + U$3 + INT($A17/16) + 1, MOD($A17, 16) + 1))</f>
        <v>A930</v>
      </c>
      <c r="V17" s="6" t="str" cm="1">
        <f t="array" ref="V17">IF(ISBLANK(V$3),U17&amp;T17,INDEX(pixel_shift_table.asm!$C$3:$R$114, V$2*16 + V$3 + INT($A17/16) + 1, MOD($A17, 16) + 1))</f>
        <v>60</v>
      </c>
      <c r="W17" s="5" t="str" cm="1">
        <f t="array" ref="W17">IF(ISBLANK(W$3),V17&amp;U17,INDEX(pixel_shift_table.asm!$C$3:$R$114, W$2*16 + W$3 + INT($A17/16) + 1, MOD($A17, 16) + 1))</f>
        <v>A9</v>
      </c>
      <c r="X17" s="7" t="str" cm="1">
        <f t="array" ref="X17">IF(ISBLANK(X$3),W17&amp;V17,INDEX(pixel_shift_table.asm!$C$3:$R$114, X$2*16 + X$3 + INT($A17/16) + 1, MOD($A17, 16) + 1))</f>
        <v>A960</v>
      </c>
    </row>
    <row r="18" spans="1:24" x14ac:dyDescent="0.3">
      <c r="A18">
        <v>13</v>
      </c>
      <c r="B18" s="8">
        <v>11.01</v>
      </c>
      <c r="C18" s="5" t="s">
        <v>762</v>
      </c>
      <c r="D18" s="6" t="str" cm="1">
        <f t="array" ref="D18">IF(ISBLANK(D$3),C18&amp;B18,INDEX(pixel_shift_table.asm!$C$3:$R$114, D$2*16 + D$3 + INT($A18/16) + 1, MOD($A18, 16) + 1))</f>
        <v>62</v>
      </c>
      <c r="E18" s="5" t="str" cm="1">
        <f t="array" ref="E18">IF(ISBLANK(E$3),D18&amp;C18,INDEX(pixel_shift_table.asm!$C$3:$R$114, E$2*16 + E$3 + INT($A18/16) + 1, MOD($A18, 16) + 1))</f>
        <v>A9</v>
      </c>
      <c r="F18" s="7" t="str" cm="1">
        <f t="array" ref="F18">IF(ISBLANK(F$3),E18&amp;D18,INDEX(pixel_shift_table.asm!$C$3:$R$114, F$2*16 + F$3 + INT($A18/16) + 1, MOD($A18, 16) + 1))</f>
        <v>A962</v>
      </c>
      <c r="G18" s="6" t="str" cm="1">
        <f t="array" ref="G18">IF(ISBLANK(G$3),F18&amp;E18,INDEX(pixel_shift_table.asm!$C$3:$R$114, G$2*16 + G$3 + INT($A18/16) + 1, MOD($A18, 16) + 1))</f>
        <v>64</v>
      </c>
      <c r="H18" s="5" t="str" cm="1">
        <f t="array" ref="H18">IF(ISBLANK(H$3),G18&amp;F18,INDEX(pixel_shift_table.asm!$C$3:$R$114, H$2*16 + H$3 + INT($A18/16) + 1, MOD($A18, 16) + 1))</f>
        <v>A9</v>
      </c>
      <c r="I18" s="7" t="str" cm="1">
        <f t="array" ref="I18">IF(ISBLANK(I$3),H18&amp;G18,INDEX(pixel_shift_table.asm!$C$3:$R$114, I$2*16 + I$3 + INT($A18/16) + 1, MOD($A18, 16) + 1))</f>
        <v>A964</v>
      </c>
      <c r="J18" s="6" t="str" cm="1">
        <f t="array" ref="J18">IF(ISBLANK(J$3),I18&amp;H18,INDEX(pixel_shift_table.asm!$C$3:$R$114, J$2*16 + J$3 + INT($A18/16) + 1, MOD($A18, 16) + 1))</f>
        <v>66</v>
      </c>
      <c r="K18" s="5" t="str" cm="1">
        <f t="array" ref="K18">IF(ISBLANK(K$3),J18&amp;I18,INDEX(pixel_shift_table.asm!$C$3:$R$114, K$2*16 + K$3 + INT($A18/16) + 1, MOD($A18, 16) + 1))</f>
        <v>A9</v>
      </c>
      <c r="L18" s="7" t="str" cm="1">
        <f t="array" ref="L18">IF(ISBLANK(L$3),K18&amp;J18,INDEX(pixel_shift_table.asm!$C$3:$R$114, L$2*16 + L$3 + INT($A18/16) + 1, MOD($A18, 16) + 1))</f>
        <v>A966</v>
      </c>
      <c r="M18" s="6" t="str" cm="1">
        <f t="array" ref="M18">IF(ISBLANK(M$3),L18&amp;K18,INDEX(pixel_shift_table.asm!$C$3:$R$114, M$2*16 + M$3 + INT($A18/16) + 1, MOD($A18, 16) + 1))</f>
        <v>68</v>
      </c>
      <c r="N18" s="5" t="str" cm="1">
        <f t="array" ref="N18">IF(ISBLANK(N$3),M18&amp;L18,INDEX(pixel_shift_table.asm!$C$3:$R$114, N$2*16 + N$3 + INT($A18/16) + 1, MOD($A18, 16) + 1))</f>
        <v>A9</v>
      </c>
      <c r="O18" s="7" t="str" cm="1">
        <f t="array" ref="O18">IF(ISBLANK(O$3),N18&amp;M18,INDEX(pixel_shift_table.asm!$C$3:$R$114, O$2*16 + O$3 + INT($A18/16) + 1, MOD($A18, 16) + 1))</f>
        <v>A968</v>
      </c>
      <c r="P18" s="6" t="str" cm="1">
        <f t="array" ref="P18">IF(ISBLANK(P$3),O18&amp;N18,INDEX(pixel_shift_table.asm!$C$3:$R$114, P$2*16 + P$3 + INT($A18/16) + 1, MOD($A18, 16) + 1))</f>
        <v>6A</v>
      </c>
      <c r="Q18" s="5" t="str" cm="1">
        <f t="array" ref="Q18">IF(ISBLANK(Q$3),P18&amp;O18,INDEX(pixel_shift_table.asm!$C$3:$R$114, Q$2*16 + Q$3 + INT($A18/16) + 1, MOD($A18, 16) + 1))</f>
        <v>A9</v>
      </c>
      <c r="R18" s="7" t="str" cm="1">
        <f t="array" ref="R18">IF(ISBLANK(R$3),Q18&amp;P18,INDEX(pixel_shift_table.asm!$C$3:$R$114, R$2*16 + R$3 + INT($A18/16) + 1, MOD($A18, 16) + 1))</f>
        <v>A96A</v>
      </c>
      <c r="S18" s="6" t="str" cm="1">
        <f t="array" ref="S18">IF(ISBLANK(S$3),R18&amp;Q18,INDEX(pixel_shift_table.asm!$C$3:$R$114, S$2*16 + S$3 + INT($A18/16) + 1, MOD($A18, 16) + 1))</f>
        <v>6C</v>
      </c>
      <c r="T18" s="5" t="str" cm="1">
        <f t="array" ref="T18">IF(ISBLANK(T$3),S18&amp;R18,INDEX(pixel_shift_table.asm!$C$3:$R$114, T$2*16 + T$3 + INT($A18/16) + 1, MOD($A18, 16) + 1))</f>
        <v>A9</v>
      </c>
      <c r="U18" s="7" t="str" cm="1">
        <f t="array" ref="U18">IF(ISBLANK(U$3),T18&amp;S18,INDEX(pixel_shift_table.asm!$C$3:$R$114, U$2*16 + U$3 + INT($A18/16) + 1, MOD($A18, 16) + 1))</f>
        <v>A96C</v>
      </c>
      <c r="V18" s="6" t="str" cm="1">
        <f t="array" ref="V18">IF(ISBLANK(V$3),U18&amp;T18,INDEX(pixel_shift_table.asm!$C$3:$R$114, V$2*16 + V$3 + INT($A18/16) + 1, MOD($A18, 16) + 1))</f>
        <v>6E</v>
      </c>
      <c r="W18" s="5" t="str" cm="1">
        <f t="array" ref="W18">IF(ISBLANK(W$3),V18&amp;U18,INDEX(pixel_shift_table.asm!$C$3:$R$114, W$2*16 + W$3 + INT($A18/16) + 1, MOD($A18, 16) + 1))</f>
        <v>A9</v>
      </c>
      <c r="X18" s="7" t="str" cm="1">
        <f t="array" ref="X18">IF(ISBLANK(X$3),W18&amp;V18,INDEX(pixel_shift_table.asm!$C$3:$R$114, X$2*16 + X$3 + INT($A18/16) + 1, MOD($A18, 16) + 1))</f>
        <v>A96E</v>
      </c>
    </row>
    <row r="19" spans="1:24" x14ac:dyDescent="0.3">
      <c r="A19">
        <v>14</v>
      </c>
      <c r="B19" s="8">
        <v>11.1</v>
      </c>
      <c r="C19" s="5" t="s">
        <v>763</v>
      </c>
      <c r="D19" s="6" t="str" cm="1">
        <f t="array" ref="D19">IF(ISBLANK(D$3),C19&amp;B19,INDEX(pixel_shift_table.asm!$C$3:$R$114, D$2*16 + D$3 + INT($A19/16) + 1, MOD($A19, 16) + 1))</f>
        <v>34</v>
      </c>
      <c r="E19" s="5" t="str" cm="1">
        <f t="array" ref="E19">IF(ISBLANK(E$3),D19&amp;C19,INDEX(pixel_shift_table.asm!$C$3:$R$114, E$2*16 + E$3 + INT($A19/16) + 1, MOD($A19, 16) + 1))</f>
        <v>A9</v>
      </c>
      <c r="F19" s="7" t="str" cm="1">
        <f t="array" ref="F19">IF(ISBLANK(F$3),E19&amp;D19,INDEX(pixel_shift_table.asm!$C$3:$R$114, F$2*16 + F$3 + INT($A19/16) + 1, MOD($A19, 16) + 1))</f>
        <v>A934</v>
      </c>
      <c r="G19" s="6" t="str" cm="1">
        <f t="array" ref="G19">IF(ISBLANK(G$3),F19&amp;E19,INDEX(pixel_shift_table.asm!$C$3:$R$114, G$2*16 + G$3 + INT($A19/16) + 1, MOD($A19, 16) + 1))</f>
        <v>36</v>
      </c>
      <c r="H19" s="5" t="str" cm="1">
        <f t="array" ref="H19">IF(ISBLANK(H$3),G19&amp;F19,INDEX(pixel_shift_table.asm!$C$3:$R$114, H$2*16 + H$3 + INT($A19/16) + 1, MOD($A19, 16) + 1))</f>
        <v>A9</v>
      </c>
      <c r="I19" s="7" t="str" cm="1">
        <f t="array" ref="I19">IF(ISBLANK(I$3),H19&amp;G19,INDEX(pixel_shift_table.asm!$C$3:$R$114, I$2*16 + I$3 + INT($A19/16) + 1, MOD($A19, 16) + 1))</f>
        <v>A936</v>
      </c>
      <c r="J19" s="6" t="str" cm="1">
        <f t="array" ref="J19">IF(ISBLANK(J$3),I19&amp;H19,INDEX(pixel_shift_table.asm!$C$3:$R$114, J$2*16 + J$3 + INT($A19/16) + 1, MOD($A19, 16) + 1))</f>
        <v>38</v>
      </c>
      <c r="K19" s="5" t="str" cm="1">
        <f t="array" ref="K19">IF(ISBLANK(K$3),J19&amp;I19,INDEX(pixel_shift_table.asm!$C$3:$R$114, K$2*16 + K$3 + INT($A19/16) + 1, MOD($A19, 16) + 1))</f>
        <v>A9</v>
      </c>
      <c r="L19" s="7" t="str" cm="1">
        <f t="array" ref="L19">IF(ISBLANK(L$3),K19&amp;J19,INDEX(pixel_shift_table.asm!$C$3:$R$114, L$2*16 + L$3 + INT($A19/16) + 1, MOD($A19, 16) + 1))</f>
        <v>A938</v>
      </c>
      <c r="M19" s="6" t="str" cm="1">
        <f t="array" ref="M19">IF(ISBLANK(M$3),L19&amp;K19,INDEX(pixel_shift_table.asm!$C$3:$R$114, M$2*16 + M$3 + INT($A19/16) + 1, MOD($A19, 16) + 1))</f>
        <v>3A</v>
      </c>
      <c r="N19" s="5" t="str" cm="1">
        <f t="array" ref="N19">IF(ISBLANK(N$3),M19&amp;L19,INDEX(pixel_shift_table.asm!$C$3:$R$114, N$2*16 + N$3 + INT($A19/16) + 1, MOD($A19, 16) + 1))</f>
        <v>A9</v>
      </c>
      <c r="O19" s="7" t="str" cm="1">
        <f t="array" ref="O19">IF(ISBLANK(O$3),N19&amp;M19,INDEX(pixel_shift_table.asm!$C$3:$R$114, O$2*16 + O$3 + INT($A19/16) + 1, MOD($A19, 16) + 1))</f>
        <v>A93A</v>
      </c>
      <c r="P19" s="6" t="str" cm="1">
        <f t="array" ref="P19">IF(ISBLANK(P$3),O19&amp;N19,INDEX(pixel_shift_table.asm!$C$3:$R$114, P$2*16 + P$3 + INT($A19/16) + 1, MOD($A19, 16) + 1))</f>
        <v>3C</v>
      </c>
      <c r="Q19" s="5" t="str" cm="1">
        <f t="array" ref="Q19">IF(ISBLANK(Q$3),P19&amp;O19,INDEX(pixel_shift_table.asm!$C$3:$R$114, Q$2*16 + Q$3 + INT($A19/16) + 1, MOD($A19, 16) + 1))</f>
        <v>A9</v>
      </c>
      <c r="R19" s="7" t="str" cm="1">
        <f t="array" ref="R19">IF(ISBLANK(R$3),Q19&amp;P19,INDEX(pixel_shift_table.asm!$C$3:$R$114, R$2*16 + R$3 + INT($A19/16) + 1, MOD($A19, 16) + 1))</f>
        <v>A93C</v>
      </c>
      <c r="S19" s="6" t="str" cm="1">
        <f t="array" ref="S19">IF(ISBLANK(S$3),R19&amp;Q19,INDEX(pixel_shift_table.asm!$C$3:$R$114, S$2*16 + S$3 + INT($A19/16) + 1, MOD($A19, 16) + 1))</f>
        <v>3E</v>
      </c>
      <c r="T19" s="5" t="str" cm="1">
        <f t="array" ref="T19">IF(ISBLANK(T$3),S19&amp;R19,INDEX(pixel_shift_table.asm!$C$3:$R$114, T$2*16 + T$3 + INT($A19/16) + 1, MOD($A19, 16) + 1))</f>
        <v>A9</v>
      </c>
      <c r="U19" s="7" t="str" cm="1">
        <f t="array" ref="U19">IF(ISBLANK(U$3),T19&amp;S19,INDEX(pixel_shift_table.asm!$C$3:$R$114, U$2*16 + U$3 + INT($A19/16) + 1, MOD($A19, 16) + 1))</f>
        <v>A93E</v>
      </c>
      <c r="V19" s="6" t="str" cm="1">
        <f t="array" ref="V19">IF(ISBLANK(V$3),U19&amp;T19,INDEX(pixel_shift_table.asm!$C$3:$R$114, V$2*16 + V$3 + INT($A19/16) + 1, MOD($A19, 16) + 1))</f>
        <v>70</v>
      </c>
      <c r="W19" s="5" t="str" cm="1">
        <f t="array" ref="W19">IF(ISBLANK(W$3),V19&amp;U19,INDEX(pixel_shift_table.asm!$C$3:$R$114, W$2*16 + W$3 + INT($A19/16) + 1, MOD($A19, 16) + 1))</f>
        <v>A9</v>
      </c>
      <c r="X19" s="7" t="str" cm="1">
        <f t="array" ref="X19">IF(ISBLANK(X$3),W19&amp;V19,INDEX(pixel_shift_table.asm!$C$3:$R$114, X$2*16 + X$3 + INT($A19/16) + 1, MOD($A19, 16) + 1))</f>
        <v>A970</v>
      </c>
    </row>
    <row r="20" spans="1:24" x14ac:dyDescent="0.3">
      <c r="A20">
        <v>15</v>
      </c>
      <c r="B20" s="8">
        <v>11.11</v>
      </c>
      <c r="C20" s="5" t="s">
        <v>764</v>
      </c>
      <c r="D20" s="6" t="str" cm="1">
        <f t="array" ref="D20">IF(ISBLANK(D$3),C20&amp;B20,INDEX(pixel_shift_table.asm!$C$3:$R$114, D$2*16 + D$3 + INT($A20/16) + 1, MOD($A20, 16) + 1))</f>
        <v>72</v>
      </c>
      <c r="E20" s="5" t="str" cm="1">
        <f t="array" ref="E20">IF(ISBLANK(E$3),D20&amp;C20,INDEX(pixel_shift_table.asm!$C$3:$R$114, E$2*16 + E$3 + INT($A20/16) + 1, MOD($A20, 16) + 1))</f>
        <v>A9</v>
      </c>
      <c r="F20" s="7" t="str" cm="1">
        <f t="array" ref="F20">IF(ISBLANK(F$3),E20&amp;D20,INDEX(pixel_shift_table.asm!$C$3:$R$114, F$2*16 + F$3 + INT($A20/16) + 1, MOD($A20, 16) + 1))</f>
        <v>A972</v>
      </c>
      <c r="G20" s="6" t="str" cm="1">
        <f t="array" ref="G20">IF(ISBLANK(G$3),F20&amp;E20,INDEX(pixel_shift_table.asm!$C$3:$R$114, G$2*16 + G$3 + INT($A20/16) + 1, MOD($A20, 16) + 1))</f>
        <v>74</v>
      </c>
      <c r="H20" s="5" t="str" cm="1">
        <f t="array" ref="H20">IF(ISBLANK(H$3),G20&amp;F20,INDEX(pixel_shift_table.asm!$C$3:$R$114, H$2*16 + H$3 + INT($A20/16) + 1, MOD($A20, 16) + 1))</f>
        <v>A9</v>
      </c>
      <c r="I20" s="7" t="str" cm="1">
        <f t="array" ref="I20">IF(ISBLANK(I$3),H20&amp;G20,INDEX(pixel_shift_table.asm!$C$3:$R$114, I$2*16 + I$3 + INT($A20/16) + 1, MOD($A20, 16) + 1))</f>
        <v>A974</v>
      </c>
      <c r="J20" s="6" t="str" cm="1">
        <f t="array" ref="J20">IF(ISBLANK(J$3),I20&amp;H20,INDEX(pixel_shift_table.asm!$C$3:$R$114, J$2*16 + J$3 + INT($A20/16) + 1, MOD($A20, 16) + 1))</f>
        <v>76</v>
      </c>
      <c r="K20" s="5" t="str" cm="1">
        <f t="array" ref="K20">IF(ISBLANK(K$3),J20&amp;I20,INDEX(pixel_shift_table.asm!$C$3:$R$114, K$2*16 + K$3 + INT($A20/16) + 1, MOD($A20, 16) + 1))</f>
        <v>A9</v>
      </c>
      <c r="L20" s="7" t="str" cm="1">
        <f t="array" ref="L20">IF(ISBLANK(L$3),K20&amp;J20,INDEX(pixel_shift_table.asm!$C$3:$R$114, L$2*16 + L$3 + INT($A20/16) + 1, MOD($A20, 16) + 1))</f>
        <v>A976</v>
      </c>
      <c r="M20" s="6" t="str" cm="1">
        <f t="array" ref="M20">IF(ISBLANK(M$3),L20&amp;K20,INDEX(pixel_shift_table.asm!$C$3:$R$114, M$2*16 + M$3 + INT($A20/16) + 1, MOD($A20, 16) + 1))</f>
        <v>78</v>
      </c>
      <c r="N20" s="5" t="str" cm="1">
        <f t="array" ref="N20">IF(ISBLANK(N$3),M20&amp;L20,INDEX(pixel_shift_table.asm!$C$3:$R$114, N$2*16 + N$3 + INT($A20/16) + 1, MOD($A20, 16) + 1))</f>
        <v>A9</v>
      </c>
      <c r="O20" s="7" t="str" cm="1">
        <f t="array" ref="O20">IF(ISBLANK(O$3),N20&amp;M20,INDEX(pixel_shift_table.asm!$C$3:$R$114, O$2*16 + O$3 + INT($A20/16) + 1, MOD($A20, 16) + 1))</f>
        <v>A978</v>
      </c>
      <c r="P20" s="6" t="str" cm="1">
        <f t="array" ref="P20">IF(ISBLANK(P$3),O20&amp;N20,INDEX(pixel_shift_table.asm!$C$3:$R$114, P$2*16 + P$3 + INT($A20/16) + 1, MOD($A20, 16) + 1))</f>
        <v>7A</v>
      </c>
      <c r="Q20" s="5" t="str" cm="1">
        <f t="array" ref="Q20">IF(ISBLANK(Q$3),P20&amp;O20,INDEX(pixel_shift_table.asm!$C$3:$R$114, Q$2*16 + Q$3 + INT($A20/16) + 1, MOD($A20, 16) + 1))</f>
        <v>A9</v>
      </c>
      <c r="R20" s="7" t="str" cm="1">
        <f t="array" ref="R20">IF(ISBLANK(R$3),Q20&amp;P20,INDEX(pixel_shift_table.asm!$C$3:$R$114, R$2*16 + R$3 + INT($A20/16) + 1, MOD($A20, 16) + 1))</f>
        <v>A97A</v>
      </c>
      <c r="S20" s="6" t="str" cm="1">
        <f t="array" ref="S20">IF(ISBLANK(S$3),R20&amp;Q20,INDEX(pixel_shift_table.asm!$C$3:$R$114, S$2*16 + S$3 + INT($A20/16) + 1, MOD($A20, 16) + 1))</f>
        <v>7C</v>
      </c>
      <c r="T20" s="5" t="str" cm="1">
        <f t="array" ref="T20">IF(ISBLANK(T$3),S20&amp;R20,INDEX(pixel_shift_table.asm!$C$3:$R$114, T$2*16 + T$3 + INT($A20/16) + 1, MOD($A20, 16) + 1))</f>
        <v>A9</v>
      </c>
      <c r="U20" s="7" t="str" cm="1">
        <f t="array" ref="U20">IF(ISBLANK(U$3),T20&amp;S20,INDEX(pixel_shift_table.asm!$C$3:$R$114, U$2*16 + U$3 + INT($A20/16) + 1, MOD($A20, 16) + 1))</f>
        <v>A97C</v>
      </c>
      <c r="V20" s="6" t="str" cm="1">
        <f t="array" ref="V20">IF(ISBLANK(V$3),U20&amp;T20,INDEX(pixel_shift_table.asm!$C$3:$R$114, V$2*16 + V$3 + INT($A20/16) + 1, MOD($A20, 16) + 1))</f>
        <v>7E</v>
      </c>
      <c r="W20" s="5" t="str" cm="1">
        <f t="array" ref="W20">IF(ISBLANK(W$3),V20&amp;U20,INDEX(pixel_shift_table.asm!$C$3:$R$114, W$2*16 + W$3 + INT($A20/16) + 1, MOD($A20, 16) + 1))</f>
        <v>A9</v>
      </c>
      <c r="X20" s="7" t="str" cm="1">
        <f t="array" ref="X20">IF(ISBLANK(X$3),W20&amp;V20,INDEX(pixel_shift_table.asm!$C$3:$R$114, X$2*16 + X$3 + INT($A20/16) + 1, MOD($A20, 16) + 1))</f>
        <v>A97E</v>
      </c>
    </row>
    <row r="21" spans="1:24" x14ac:dyDescent="0.3">
      <c r="A21">
        <v>16</v>
      </c>
      <c r="B21" s="8">
        <v>100</v>
      </c>
      <c r="C21" s="5" t="s">
        <v>765</v>
      </c>
      <c r="D21" s="6" t="str" cm="1">
        <f t="array" ref="D21">IF(ISBLANK(D$3),C21&amp;B21,INDEX(pixel_shift_table.asm!$C$3:$R$114, D$2*16 + D$3 + INT($A21/16) + 1, MOD($A21, 16) + 1))</f>
        <v>0A</v>
      </c>
      <c r="E21" s="5" t="str" cm="1">
        <f t="array" ref="E21">IF(ISBLANK(E$3),D21&amp;C21,INDEX(pixel_shift_table.asm!$C$3:$R$114, E$2*16 + E$3 + INT($A21/16) + 1, MOD($A21, 16) + 1))</f>
        <v>A9</v>
      </c>
      <c r="F21" s="7" t="str" cm="1">
        <f t="array" ref="F21">IF(ISBLANK(F$3),E21&amp;D21,INDEX(pixel_shift_table.asm!$C$3:$R$114, F$2*16 + F$3 + INT($A21/16) + 1, MOD($A21, 16) + 1))</f>
        <v>A90A</v>
      </c>
      <c r="G21" s="6" t="str" cm="1">
        <f t="array" ref="G21">IF(ISBLANK(G$3),F21&amp;E21,INDEX(pixel_shift_table.asm!$C$3:$R$114, G$2*16 + G$3 + INT($A21/16) + 1, MOD($A21, 16) + 1))</f>
        <v>0C</v>
      </c>
      <c r="H21" s="5" t="str" cm="1">
        <f t="array" ref="H21">IF(ISBLANK(H$3),G21&amp;F21,INDEX(pixel_shift_table.asm!$C$3:$R$114, H$2*16 + H$3 + INT($A21/16) + 1, MOD($A21, 16) + 1))</f>
        <v>A9</v>
      </c>
      <c r="I21" s="7" t="str" cm="1">
        <f t="array" ref="I21">IF(ISBLANK(I$3),H21&amp;G21,INDEX(pixel_shift_table.asm!$C$3:$R$114, I$2*16 + I$3 + INT($A21/16) + 1, MOD($A21, 16) + 1))</f>
        <v>A90C</v>
      </c>
      <c r="J21" s="6" t="str" cm="1">
        <f t="array" ref="J21">IF(ISBLANK(J$3),I21&amp;H21,INDEX(pixel_shift_table.asm!$C$3:$R$114, J$2*16 + J$3 + INT($A21/16) + 1, MOD($A21, 16) + 1))</f>
        <v>0E</v>
      </c>
      <c r="K21" s="5" t="str" cm="1">
        <f t="array" ref="K21">IF(ISBLANK(K$3),J21&amp;I21,INDEX(pixel_shift_table.asm!$C$3:$R$114, K$2*16 + K$3 + INT($A21/16) + 1, MOD($A21, 16) + 1))</f>
        <v>A9</v>
      </c>
      <c r="L21" s="7" t="str" cm="1">
        <f t="array" ref="L21">IF(ISBLANK(L$3),K21&amp;J21,INDEX(pixel_shift_table.asm!$C$3:$R$114, L$2*16 + L$3 + INT($A21/16) + 1, MOD($A21, 16) + 1))</f>
        <v>A90E</v>
      </c>
      <c r="M21" s="6" t="str" cm="1">
        <f t="array" ref="M21">IF(ISBLANK(M$3),L21&amp;K21,INDEX(pixel_shift_table.asm!$C$3:$R$114, M$2*16 + M$3 + INT($A21/16) + 1, MOD($A21, 16) + 1))</f>
        <v>10</v>
      </c>
      <c r="N21" s="5" t="str" cm="1">
        <f t="array" ref="N21">IF(ISBLANK(N$3),M21&amp;L21,INDEX(pixel_shift_table.asm!$C$3:$R$114, N$2*16 + N$3 + INT($A21/16) + 1, MOD($A21, 16) + 1))</f>
        <v>A9</v>
      </c>
      <c r="O21" s="7" t="str" cm="1">
        <f t="array" ref="O21">IF(ISBLANK(O$3),N21&amp;M21,INDEX(pixel_shift_table.asm!$C$3:$R$114, O$2*16 + O$3 + INT($A21/16) + 1, MOD($A21, 16) + 1))</f>
        <v>A910</v>
      </c>
      <c r="P21" s="6" t="str" cm="1">
        <f t="array" ref="P21">IF(ISBLANK(P$3),O21&amp;N21,INDEX(pixel_shift_table.asm!$C$3:$R$114, P$2*16 + P$3 + INT($A21/16) + 1, MOD($A21, 16) + 1))</f>
        <v>20</v>
      </c>
      <c r="Q21" s="5" t="str" cm="1">
        <f t="array" ref="Q21">IF(ISBLANK(Q$3),P21&amp;O21,INDEX(pixel_shift_table.asm!$C$3:$R$114, Q$2*16 + Q$3 + INT($A21/16) + 1, MOD($A21, 16) + 1))</f>
        <v>A9</v>
      </c>
      <c r="R21" s="7" t="str" cm="1">
        <f t="array" ref="R21">IF(ISBLANK(R$3),Q21&amp;P21,INDEX(pixel_shift_table.asm!$C$3:$R$114, R$2*16 + R$3 + INT($A21/16) + 1, MOD($A21, 16) + 1))</f>
        <v>A920</v>
      </c>
      <c r="S21" s="6" t="str" cm="1">
        <f t="array" ref="S21">IF(ISBLANK(S$3),R21&amp;Q21,INDEX(pixel_shift_table.asm!$C$3:$R$114, S$2*16 + S$3 + INT($A21/16) + 1, MOD($A21, 16) + 1))</f>
        <v>40</v>
      </c>
      <c r="T21" s="5" t="str" cm="1">
        <f t="array" ref="T21">IF(ISBLANK(T$3),S21&amp;R21,INDEX(pixel_shift_table.asm!$C$3:$R$114, T$2*16 + T$3 + INT($A21/16) + 1, MOD($A21, 16) + 1))</f>
        <v>A9</v>
      </c>
      <c r="U21" s="7" t="str" cm="1">
        <f t="array" ref="U21">IF(ISBLANK(U$3),T21&amp;S21,INDEX(pixel_shift_table.asm!$C$3:$R$114, U$2*16 + U$3 + INT($A21/16) + 1, MOD($A21, 16) + 1))</f>
        <v>A940</v>
      </c>
      <c r="V21" s="6" t="str" cm="1">
        <f t="array" ref="V21">IF(ISBLANK(V$3),U21&amp;T21,INDEX(pixel_shift_table.asm!$C$3:$R$114, V$2*16 + V$3 + INT($A21/16) + 1, MOD($A21, 16) + 1))</f>
        <v>80</v>
      </c>
      <c r="W21" s="5" t="str" cm="1">
        <f t="array" ref="W21">IF(ISBLANK(W$3),V21&amp;U21,INDEX(pixel_shift_table.asm!$C$3:$R$114, W$2*16 + W$3 + INT($A21/16) + 1, MOD($A21, 16) + 1))</f>
        <v>A9</v>
      </c>
      <c r="X21" s="7" t="str" cm="1">
        <f t="array" ref="X21">IF(ISBLANK(X$3),W21&amp;V21,INDEX(pixel_shift_table.asm!$C$3:$R$114, X$2*16 + X$3 + INT($A21/16) + 1, MOD($A21, 16) + 1))</f>
        <v>A980</v>
      </c>
    </row>
    <row r="22" spans="1:24" x14ac:dyDescent="0.3">
      <c r="A22">
        <v>17</v>
      </c>
      <c r="B22" s="8">
        <v>100.01</v>
      </c>
      <c r="C22" s="5" t="s">
        <v>766</v>
      </c>
      <c r="D22" s="6" t="str" cm="1">
        <f t="array" ref="D22">IF(ISBLANK(D$3),C22&amp;B22,INDEX(pixel_shift_table.asm!$C$3:$R$114, D$2*16 + D$3 + INT($A22/16) + 1, MOD($A22, 16) + 1))</f>
        <v>82</v>
      </c>
      <c r="E22" s="5" t="str" cm="1">
        <f t="array" ref="E22">IF(ISBLANK(E$3),D22&amp;C22,INDEX(pixel_shift_table.asm!$C$3:$R$114, E$2*16 + E$3 + INT($A22/16) + 1, MOD($A22, 16) + 1))</f>
        <v>A9</v>
      </c>
      <c r="F22" s="7" t="str" cm="1">
        <f t="array" ref="F22">IF(ISBLANK(F$3),E22&amp;D22,INDEX(pixel_shift_table.asm!$C$3:$R$114, F$2*16 + F$3 + INT($A22/16) + 1, MOD($A22, 16) + 1))</f>
        <v>A982</v>
      </c>
      <c r="G22" s="6" t="str" cm="1">
        <f t="array" ref="G22">IF(ISBLANK(G$3),F22&amp;E22,INDEX(pixel_shift_table.asm!$C$3:$R$114, G$2*16 + G$3 + INT($A22/16) + 1, MOD($A22, 16) + 1))</f>
        <v>84</v>
      </c>
      <c r="H22" s="5" t="str" cm="1">
        <f t="array" ref="H22">IF(ISBLANK(H$3),G22&amp;F22,INDEX(pixel_shift_table.asm!$C$3:$R$114, H$2*16 + H$3 + INT($A22/16) + 1, MOD($A22, 16) + 1))</f>
        <v>A9</v>
      </c>
      <c r="I22" s="7" t="str" cm="1">
        <f t="array" ref="I22">IF(ISBLANK(I$3),H22&amp;G22,INDEX(pixel_shift_table.asm!$C$3:$R$114, I$2*16 + I$3 + INT($A22/16) + 1, MOD($A22, 16) + 1))</f>
        <v>A984</v>
      </c>
      <c r="J22" s="6" t="str" cm="1">
        <f t="array" ref="J22">IF(ISBLANK(J$3),I22&amp;H22,INDEX(pixel_shift_table.asm!$C$3:$R$114, J$2*16 + J$3 + INT($A22/16) + 1, MOD($A22, 16) + 1))</f>
        <v>86</v>
      </c>
      <c r="K22" s="5" t="str" cm="1">
        <f t="array" ref="K22">IF(ISBLANK(K$3),J22&amp;I22,INDEX(pixel_shift_table.asm!$C$3:$R$114, K$2*16 + K$3 + INT($A22/16) + 1, MOD($A22, 16) + 1))</f>
        <v>A9</v>
      </c>
      <c r="L22" s="7" t="str" cm="1">
        <f t="array" ref="L22">IF(ISBLANK(L$3),K22&amp;J22,INDEX(pixel_shift_table.asm!$C$3:$R$114, L$2*16 + L$3 + INT($A22/16) + 1, MOD($A22, 16) + 1))</f>
        <v>A986</v>
      </c>
      <c r="M22" s="6" t="str" cm="1">
        <f t="array" ref="M22">IF(ISBLANK(M$3),L22&amp;K22,INDEX(pixel_shift_table.asm!$C$3:$R$114, M$2*16 + M$3 + INT($A22/16) + 1, MOD($A22, 16) + 1))</f>
        <v>88</v>
      </c>
      <c r="N22" s="5" t="str" cm="1">
        <f t="array" ref="N22">IF(ISBLANK(N$3),M22&amp;L22,INDEX(pixel_shift_table.asm!$C$3:$R$114, N$2*16 + N$3 + INT($A22/16) + 1, MOD($A22, 16) + 1))</f>
        <v>A9</v>
      </c>
      <c r="O22" s="7" t="str" cm="1">
        <f t="array" ref="O22">IF(ISBLANK(O$3),N22&amp;M22,INDEX(pixel_shift_table.asm!$C$3:$R$114, O$2*16 + O$3 + INT($A22/16) + 1, MOD($A22, 16) + 1))</f>
        <v>A988</v>
      </c>
      <c r="P22" s="6" t="str" cm="1">
        <f t="array" ref="P22">IF(ISBLANK(P$3),O22&amp;N22,INDEX(pixel_shift_table.asm!$C$3:$R$114, P$2*16 + P$3 + INT($A22/16) + 1, MOD($A22, 16) + 1))</f>
        <v>8A</v>
      </c>
      <c r="Q22" s="5" t="str" cm="1">
        <f t="array" ref="Q22">IF(ISBLANK(Q$3),P22&amp;O22,INDEX(pixel_shift_table.asm!$C$3:$R$114, Q$2*16 + Q$3 + INT($A22/16) + 1, MOD($A22, 16) + 1))</f>
        <v>A9</v>
      </c>
      <c r="R22" s="7" t="str" cm="1">
        <f t="array" ref="R22">IF(ISBLANK(R$3),Q22&amp;P22,INDEX(pixel_shift_table.asm!$C$3:$R$114, R$2*16 + R$3 + INT($A22/16) + 1, MOD($A22, 16) + 1))</f>
        <v>A98A</v>
      </c>
      <c r="S22" s="6" t="str" cm="1">
        <f t="array" ref="S22">IF(ISBLANK(S$3),R22&amp;Q22,INDEX(pixel_shift_table.asm!$C$3:$R$114, S$2*16 + S$3 + INT($A22/16) + 1, MOD($A22, 16) + 1))</f>
        <v>8C</v>
      </c>
      <c r="T22" s="5" t="str" cm="1">
        <f t="array" ref="T22">IF(ISBLANK(T$3),S22&amp;R22,INDEX(pixel_shift_table.asm!$C$3:$R$114, T$2*16 + T$3 + INT($A22/16) + 1, MOD($A22, 16) + 1))</f>
        <v>A9</v>
      </c>
      <c r="U22" s="7" t="str" cm="1">
        <f t="array" ref="U22">IF(ISBLANK(U$3),T22&amp;S22,INDEX(pixel_shift_table.asm!$C$3:$R$114, U$2*16 + U$3 + INT($A22/16) + 1, MOD($A22, 16) + 1))</f>
        <v>A98C</v>
      </c>
      <c r="V22" s="6" t="str" cm="1">
        <f t="array" ref="V22">IF(ISBLANK(V$3),U22&amp;T22,INDEX(pixel_shift_table.asm!$C$3:$R$114, V$2*16 + V$3 + INT($A22/16) + 1, MOD($A22, 16) + 1))</f>
        <v>8E</v>
      </c>
      <c r="W22" s="5" t="str" cm="1">
        <f t="array" ref="W22">IF(ISBLANK(W$3),V22&amp;U22,INDEX(pixel_shift_table.asm!$C$3:$R$114, W$2*16 + W$3 + INT($A22/16) + 1, MOD($A22, 16) + 1))</f>
        <v>A9</v>
      </c>
      <c r="X22" s="7" t="str" cm="1">
        <f t="array" ref="X22">IF(ISBLANK(X$3),W22&amp;V22,INDEX(pixel_shift_table.asm!$C$3:$R$114, X$2*16 + X$3 + INT($A22/16) + 1, MOD($A22, 16) + 1))</f>
        <v>A98E</v>
      </c>
    </row>
    <row r="23" spans="1:24" x14ac:dyDescent="0.3">
      <c r="A23">
        <v>18</v>
      </c>
      <c r="B23" s="8">
        <v>100.1</v>
      </c>
      <c r="C23" s="5" t="s">
        <v>767</v>
      </c>
      <c r="D23" s="6" t="str" cm="1">
        <f t="array" ref="D23">IF(ISBLANK(D$3),C23&amp;B23,INDEX(pixel_shift_table.asm!$C$3:$R$114, D$2*16 + D$3 + INT($A23/16) + 1, MOD($A23, 16) + 1))</f>
        <v>44</v>
      </c>
      <c r="E23" s="5" t="str" cm="1">
        <f t="array" ref="E23">IF(ISBLANK(E$3),D23&amp;C23,INDEX(pixel_shift_table.asm!$C$3:$R$114, E$2*16 + E$3 + INT($A23/16) + 1, MOD($A23, 16) + 1))</f>
        <v>A9</v>
      </c>
      <c r="F23" s="7" t="str" cm="1">
        <f t="array" ref="F23">IF(ISBLANK(F$3),E23&amp;D23,INDEX(pixel_shift_table.asm!$C$3:$R$114, F$2*16 + F$3 + INT($A23/16) + 1, MOD($A23, 16) + 1))</f>
        <v>A944</v>
      </c>
      <c r="G23" s="6" t="str" cm="1">
        <f t="array" ref="G23">IF(ISBLANK(G$3),F23&amp;E23,INDEX(pixel_shift_table.asm!$C$3:$R$114, G$2*16 + G$3 + INT($A23/16) + 1, MOD($A23, 16) + 1))</f>
        <v>46</v>
      </c>
      <c r="H23" s="5" t="str" cm="1">
        <f t="array" ref="H23">IF(ISBLANK(H$3),G23&amp;F23,INDEX(pixel_shift_table.asm!$C$3:$R$114, H$2*16 + H$3 + INT($A23/16) + 1, MOD($A23, 16) + 1))</f>
        <v>A9</v>
      </c>
      <c r="I23" s="7" t="str" cm="1">
        <f t="array" ref="I23">IF(ISBLANK(I$3),H23&amp;G23,INDEX(pixel_shift_table.asm!$C$3:$R$114, I$2*16 + I$3 + INT($A23/16) + 1, MOD($A23, 16) + 1))</f>
        <v>A946</v>
      </c>
      <c r="J23" s="6" t="str" cm="1">
        <f t="array" ref="J23">IF(ISBLANK(J$3),I23&amp;H23,INDEX(pixel_shift_table.asm!$C$3:$R$114, J$2*16 + J$3 + INT($A23/16) + 1, MOD($A23, 16) + 1))</f>
        <v>48</v>
      </c>
      <c r="K23" s="5" t="str" cm="1">
        <f t="array" ref="K23">IF(ISBLANK(K$3),J23&amp;I23,INDEX(pixel_shift_table.asm!$C$3:$R$114, K$2*16 + K$3 + INT($A23/16) + 1, MOD($A23, 16) + 1))</f>
        <v>A9</v>
      </c>
      <c r="L23" s="7" t="str" cm="1">
        <f t="array" ref="L23">IF(ISBLANK(L$3),K23&amp;J23,INDEX(pixel_shift_table.asm!$C$3:$R$114, L$2*16 + L$3 + INT($A23/16) + 1, MOD($A23, 16) + 1))</f>
        <v>A948</v>
      </c>
      <c r="M23" s="6" t="str" cm="1">
        <f t="array" ref="M23">IF(ISBLANK(M$3),L23&amp;K23,INDEX(pixel_shift_table.asm!$C$3:$R$114, M$2*16 + M$3 + INT($A23/16) + 1, MOD($A23, 16) + 1))</f>
        <v>4A</v>
      </c>
      <c r="N23" s="5" t="str" cm="1">
        <f t="array" ref="N23">IF(ISBLANK(N$3),M23&amp;L23,INDEX(pixel_shift_table.asm!$C$3:$R$114, N$2*16 + N$3 + INT($A23/16) + 1, MOD($A23, 16) + 1))</f>
        <v>A9</v>
      </c>
      <c r="O23" s="7" t="str" cm="1">
        <f t="array" ref="O23">IF(ISBLANK(O$3),N23&amp;M23,INDEX(pixel_shift_table.asm!$C$3:$R$114, O$2*16 + O$3 + INT($A23/16) + 1, MOD($A23, 16) + 1))</f>
        <v>A94A</v>
      </c>
      <c r="P23" s="6" t="str" cm="1">
        <f t="array" ref="P23">IF(ISBLANK(P$3),O23&amp;N23,INDEX(pixel_shift_table.asm!$C$3:$R$114, P$2*16 + P$3 + INT($A23/16) + 1, MOD($A23, 16) + 1))</f>
        <v>4C</v>
      </c>
      <c r="Q23" s="5" t="str" cm="1">
        <f t="array" ref="Q23">IF(ISBLANK(Q$3),P23&amp;O23,INDEX(pixel_shift_table.asm!$C$3:$R$114, Q$2*16 + Q$3 + INT($A23/16) + 1, MOD($A23, 16) + 1))</f>
        <v>A9</v>
      </c>
      <c r="R23" s="7" t="str" cm="1">
        <f t="array" ref="R23">IF(ISBLANK(R$3),Q23&amp;P23,INDEX(pixel_shift_table.asm!$C$3:$R$114, R$2*16 + R$3 + INT($A23/16) + 1, MOD($A23, 16) + 1))</f>
        <v>A94C</v>
      </c>
      <c r="S23" s="6" t="str" cm="1">
        <f t="array" ref="S23">IF(ISBLANK(S$3),R23&amp;Q23,INDEX(pixel_shift_table.asm!$C$3:$R$114, S$2*16 + S$3 + INT($A23/16) + 1, MOD($A23, 16) + 1))</f>
        <v>4E</v>
      </c>
      <c r="T23" s="5" t="str" cm="1">
        <f t="array" ref="T23">IF(ISBLANK(T$3),S23&amp;R23,INDEX(pixel_shift_table.asm!$C$3:$R$114, T$2*16 + T$3 + INT($A23/16) + 1, MOD($A23, 16) + 1))</f>
        <v>A9</v>
      </c>
      <c r="U23" s="7" t="str" cm="1">
        <f t="array" ref="U23">IF(ISBLANK(U$3),T23&amp;S23,INDEX(pixel_shift_table.asm!$C$3:$R$114, U$2*16 + U$3 + INT($A23/16) + 1, MOD($A23, 16) + 1))</f>
        <v>A94E</v>
      </c>
      <c r="V23" s="6" t="str" cm="1">
        <f t="array" ref="V23">IF(ISBLANK(V$3),U23&amp;T23,INDEX(pixel_shift_table.asm!$C$3:$R$114, V$2*16 + V$3 + INT($A23/16) + 1, MOD($A23, 16) + 1))</f>
        <v>90</v>
      </c>
      <c r="W23" s="5" t="str" cm="1">
        <f t="array" ref="W23">IF(ISBLANK(W$3),V23&amp;U23,INDEX(pixel_shift_table.asm!$C$3:$R$114, W$2*16 + W$3 + INT($A23/16) + 1, MOD($A23, 16) + 1))</f>
        <v>A9</v>
      </c>
      <c r="X23" s="7" t="str" cm="1">
        <f t="array" ref="X23">IF(ISBLANK(X$3),W23&amp;V23,INDEX(pixel_shift_table.asm!$C$3:$R$114, X$2*16 + X$3 + INT($A23/16) + 1, MOD($A23, 16) + 1))</f>
        <v>A990</v>
      </c>
    </row>
    <row r="24" spans="1:24" x14ac:dyDescent="0.3">
      <c r="A24">
        <v>19</v>
      </c>
      <c r="B24" s="8">
        <v>100.11</v>
      </c>
      <c r="C24" s="5" t="s">
        <v>768</v>
      </c>
      <c r="D24" s="6" t="str" cm="1">
        <f t="array" ref="D24">IF(ISBLANK(D$3),C24&amp;B24,INDEX(pixel_shift_table.asm!$C$3:$R$114, D$2*16 + D$3 + INT($A24/16) + 1, MOD($A24, 16) + 1))</f>
        <v>92</v>
      </c>
      <c r="E24" s="5" t="str" cm="1">
        <f t="array" ref="E24">IF(ISBLANK(E$3),D24&amp;C24,INDEX(pixel_shift_table.asm!$C$3:$R$114, E$2*16 + E$3 + INT($A24/16) + 1, MOD($A24, 16) + 1))</f>
        <v>A9</v>
      </c>
      <c r="F24" s="7" t="str" cm="1">
        <f t="array" ref="F24">IF(ISBLANK(F$3),E24&amp;D24,INDEX(pixel_shift_table.asm!$C$3:$R$114, F$2*16 + F$3 + INT($A24/16) + 1, MOD($A24, 16) + 1))</f>
        <v>A992</v>
      </c>
      <c r="G24" s="6" t="str" cm="1">
        <f t="array" ref="G24">IF(ISBLANK(G$3),F24&amp;E24,INDEX(pixel_shift_table.asm!$C$3:$R$114, G$2*16 + G$3 + INT($A24/16) + 1, MOD($A24, 16) + 1))</f>
        <v>94</v>
      </c>
      <c r="H24" s="5" t="str" cm="1">
        <f t="array" ref="H24">IF(ISBLANK(H$3),G24&amp;F24,INDEX(pixel_shift_table.asm!$C$3:$R$114, H$2*16 + H$3 + INT($A24/16) + 1, MOD($A24, 16) + 1))</f>
        <v>A9</v>
      </c>
      <c r="I24" s="7" t="str" cm="1">
        <f t="array" ref="I24">IF(ISBLANK(I$3),H24&amp;G24,INDEX(pixel_shift_table.asm!$C$3:$R$114, I$2*16 + I$3 + INT($A24/16) + 1, MOD($A24, 16) + 1))</f>
        <v>A994</v>
      </c>
      <c r="J24" s="6" t="str" cm="1">
        <f t="array" ref="J24">IF(ISBLANK(J$3),I24&amp;H24,INDEX(pixel_shift_table.asm!$C$3:$R$114, J$2*16 + J$3 + INT($A24/16) + 1, MOD($A24, 16) + 1))</f>
        <v>96</v>
      </c>
      <c r="K24" s="5" t="str" cm="1">
        <f t="array" ref="K24">IF(ISBLANK(K$3),J24&amp;I24,INDEX(pixel_shift_table.asm!$C$3:$R$114, K$2*16 + K$3 + INT($A24/16) + 1, MOD($A24, 16) + 1))</f>
        <v>A9</v>
      </c>
      <c r="L24" s="7" t="str" cm="1">
        <f t="array" ref="L24">IF(ISBLANK(L$3),K24&amp;J24,INDEX(pixel_shift_table.asm!$C$3:$R$114, L$2*16 + L$3 + INT($A24/16) + 1, MOD($A24, 16) + 1))</f>
        <v>A996</v>
      </c>
      <c r="M24" s="6" t="str" cm="1">
        <f t="array" ref="M24">IF(ISBLANK(M$3),L24&amp;K24,INDEX(pixel_shift_table.asm!$C$3:$R$114, M$2*16 + M$3 + INT($A24/16) + 1, MOD($A24, 16) + 1))</f>
        <v>98</v>
      </c>
      <c r="N24" s="5" t="str" cm="1">
        <f t="array" ref="N24">IF(ISBLANK(N$3),M24&amp;L24,INDEX(pixel_shift_table.asm!$C$3:$R$114, N$2*16 + N$3 + INT($A24/16) + 1, MOD($A24, 16) + 1))</f>
        <v>A9</v>
      </c>
      <c r="O24" s="7" t="str" cm="1">
        <f t="array" ref="O24">IF(ISBLANK(O$3),N24&amp;M24,INDEX(pixel_shift_table.asm!$C$3:$R$114, O$2*16 + O$3 + INT($A24/16) + 1, MOD($A24, 16) + 1))</f>
        <v>A998</v>
      </c>
      <c r="P24" s="6" t="str" cm="1">
        <f t="array" ref="P24">IF(ISBLANK(P$3),O24&amp;N24,INDEX(pixel_shift_table.asm!$C$3:$R$114, P$2*16 + P$3 + INT($A24/16) + 1, MOD($A24, 16) + 1))</f>
        <v>9A</v>
      </c>
      <c r="Q24" s="5" t="str" cm="1">
        <f t="array" ref="Q24">IF(ISBLANK(Q$3),P24&amp;O24,INDEX(pixel_shift_table.asm!$C$3:$R$114, Q$2*16 + Q$3 + INT($A24/16) + 1, MOD($A24, 16) + 1))</f>
        <v>A9</v>
      </c>
      <c r="R24" s="7" t="str" cm="1">
        <f t="array" ref="R24">IF(ISBLANK(R$3),Q24&amp;P24,INDEX(pixel_shift_table.asm!$C$3:$R$114, R$2*16 + R$3 + INT($A24/16) + 1, MOD($A24, 16) + 1))</f>
        <v>A99A</v>
      </c>
      <c r="S24" s="6" t="str" cm="1">
        <f t="array" ref="S24">IF(ISBLANK(S$3),R24&amp;Q24,INDEX(pixel_shift_table.asm!$C$3:$R$114, S$2*16 + S$3 + INT($A24/16) + 1, MOD($A24, 16) + 1))</f>
        <v>9C</v>
      </c>
      <c r="T24" s="5" t="str" cm="1">
        <f t="array" ref="T24">IF(ISBLANK(T$3),S24&amp;R24,INDEX(pixel_shift_table.asm!$C$3:$R$114, T$2*16 + T$3 + INT($A24/16) + 1, MOD($A24, 16) + 1))</f>
        <v>A9</v>
      </c>
      <c r="U24" s="7" t="str" cm="1">
        <f t="array" ref="U24">IF(ISBLANK(U$3),T24&amp;S24,INDEX(pixel_shift_table.asm!$C$3:$R$114, U$2*16 + U$3 + INT($A24/16) + 1, MOD($A24, 16) + 1))</f>
        <v>A99C</v>
      </c>
      <c r="V24" s="6" t="str" cm="1">
        <f t="array" ref="V24">IF(ISBLANK(V$3),U24&amp;T24,INDEX(pixel_shift_table.asm!$C$3:$R$114, V$2*16 + V$3 + INT($A24/16) + 1, MOD($A24, 16) + 1))</f>
        <v>9E</v>
      </c>
      <c r="W24" s="5" t="str" cm="1">
        <f t="array" ref="W24">IF(ISBLANK(W$3),V24&amp;U24,INDEX(pixel_shift_table.asm!$C$3:$R$114, W$2*16 + W$3 + INT($A24/16) + 1, MOD($A24, 16) + 1))</f>
        <v>A9</v>
      </c>
      <c r="X24" s="7" t="str" cm="1">
        <f t="array" ref="X24">IF(ISBLANK(X$3),W24&amp;V24,INDEX(pixel_shift_table.asm!$C$3:$R$114, X$2*16 + X$3 + INT($A24/16) + 1, MOD($A24, 16) + 1))</f>
        <v>A99E</v>
      </c>
    </row>
    <row r="25" spans="1:24" x14ac:dyDescent="0.3">
      <c r="A25">
        <v>20</v>
      </c>
      <c r="B25" s="8">
        <v>101</v>
      </c>
      <c r="C25" s="5" t="s">
        <v>769</v>
      </c>
      <c r="D25" s="6" t="str" cm="1">
        <f t="array" ref="D25">IF(ISBLANK(D$3),C25&amp;B25,INDEX(pixel_shift_table.asm!$C$3:$R$114, D$2*16 + D$3 + INT($A25/16) + 1, MOD($A25, 16) + 1))</f>
        <v>26</v>
      </c>
      <c r="E25" s="5" t="str" cm="1">
        <f t="array" ref="E25">IF(ISBLANK(E$3),D25&amp;C25,INDEX(pixel_shift_table.asm!$C$3:$R$114, E$2*16 + E$3 + INT($A25/16) + 1, MOD($A25, 16) + 1))</f>
        <v>A9</v>
      </c>
      <c r="F25" s="7" t="str" cm="1">
        <f t="array" ref="F25">IF(ISBLANK(F$3),E25&amp;D25,INDEX(pixel_shift_table.asm!$C$3:$R$114, F$2*16 + F$3 + INT($A25/16) + 1, MOD($A25, 16) + 1))</f>
        <v>A926</v>
      </c>
      <c r="G25" s="6" t="str" cm="1">
        <f t="array" ref="G25">IF(ISBLANK(G$3),F25&amp;E25,INDEX(pixel_shift_table.asm!$C$3:$R$114, G$2*16 + G$3 + INT($A25/16) + 1, MOD($A25, 16) + 1))</f>
        <v>28</v>
      </c>
      <c r="H25" s="5" t="str" cm="1">
        <f t="array" ref="H25">IF(ISBLANK(H$3),G25&amp;F25,INDEX(pixel_shift_table.asm!$C$3:$R$114, H$2*16 + H$3 + INT($A25/16) + 1, MOD($A25, 16) + 1))</f>
        <v>A9</v>
      </c>
      <c r="I25" s="7" t="str" cm="1">
        <f t="array" ref="I25">IF(ISBLANK(I$3),H25&amp;G25,INDEX(pixel_shift_table.asm!$C$3:$R$114, I$2*16 + I$3 + INT($A25/16) + 1, MOD($A25, 16) + 1))</f>
        <v>A928</v>
      </c>
      <c r="J25" s="6" t="str" cm="1">
        <f t="array" ref="J25">IF(ISBLANK(J$3),I25&amp;H25,INDEX(pixel_shift_table.asm!$C$3:$R$114, J$2*16 + J$3 + INT($A25/16) + 1, MOD($A25, 16) + 1))</f>
        <v>2A</v>
      </c>
      <c r="K25" s="5" t="str" cm="1">
        <f t="array" ref="K25">IF(ISBLANK(K$3),J25&amp;I25,INDEX(pixel_shift_table.asm!$C$3:$R$114, K$2*16 + K$3 + INT($A25/16) + 1, MOD($A25, 16) + 1))</f>
        <v>A9</v>
      </c>
      <c r="L25" s="7" t="str" cm="1">
        <f t="array" ref="L25">IF(ISBLANK(L$3),K25&amp;J25,INDEX(pixel_shift_table.asm!$C$3:$R$114, L$2*16 + L$3 + INT($A25/16) + 1, MOD($A25, 16) + 1))</f>
        <v>A92A</v>
      </c>
      <c r="M25" s="6" t="str" cm="1">
        <f t="array" ref="M25">IF(ISBLANK(M$3),L25&amp;K25,INDEX(pixel_shift_table.asm!$C$3:$R$114, M$2*16 + M$3 + INT($A25/16) + 1, MOD($A25, 16) + 1))</f>
        <v>2C</v>
      </c>
      <c r="N25" s="5" t="str" cm="1">
        <f t="array" ref="N25">IF(ISBLANK(N$3),M25&amp;L25,INDEX(pixel_shift_table.asm!$C$3:$R$114, N$2*16 + N$3 + INT($A25/16) + 1, MOD($A25, 16) + 1))</f>
        <v>A9</v>
      </c>
      <c r="O25" s="7" t="str" cm="1">
        <f t="array" ref="O25">IF(ISBLANK(O$3),N25&amp;M25,INDEX(pixel_shift_table.asm!$C$3:$R$114, O$2*16 + O$3 + INT($A25/16) + 1, MOD($A25, 16) + 1))</f>
        <v>A92C</v>
      </c>
      <c r="P25" s="6" t="str" cm="1">
        <f t="array" ref="P25">IF(ISBLANK(P$3),O25&amp;N25,INDEX(pixel_shift_table.asm!$C$3:$R$114, P$2*16 + P$3 + INT($A25/16) + 1, MOD($A25, 16) + 1))</f>
        <v>2E</v>
      </c>
      <c r="Q25" s="5" t="str" cm="1">
        <f t="array" ref="Q25">IF(ISBLANK(Q$3),P25&amp;O25,INDEX(pixel_shift_table.asm!$C$3:$R$114, Q$2*16 + Q$3 + INT($A25/16) + 1, MOD($A25, 16) + 1))</f>
        <v>A9</v>
      </c>
      <c r="R25" s="7" t="str" cm="1">
        <f t="array" ref="R25">IF(ISBLANK(R$3),Q25&amp;P25,INDEX(pixel_shift_table.asm!$C$3:$R$114, R$2*16 + R$3 + INT($A25/16) + 1, MOD($A25, 16) + 1))</f>
        <v>A92E</v>
      </c>
      <c r="S25" s="6" t="str" cm="1">
        <f t="array" ref="S25">IF(ISBLANK(S$3),R25&amp;Q25,INDEX(pixel_shift_table.asm!$C$3:$R$114, S$2*16 + S$3 + INT($A25/16) + 1, MOD($A25, 16) + 1))</f>
        <v>50</v>
      </c>
      <c r="T25" s="5" t="str" cm="1">
        <f t="array" ref="T25">IF(ISBLANK(T$3),S25&amp;R25,INDEX(pixel_shift_table.asm!$C$3:$R$114, T$2*16 + T$3 + INT($A25/16) + 1, MOD($A25, 16) + 1))</f>
        <v>A9</v>
      </c>
      <c r="U25" s="7" t="str" cm="1">
        <f t="array" ref="U25">IF(ISBLANK(U$3),T25&amp;S25,INDEX(pixel_shift_table.asm!$C$3:$R$114, U$2*16 + U$3 + INT($A25/16) + 1, MOD($A25, 16) + 1))</f>
        <v>A950</v>
      </c>
      <c r="V25" s="6" t="str" cm="1">
        <f t="array" ref="V25">IF(ISBLANK(V$3),U25&amp;T25,INDEX(pixel_shift_table.asm!$C$3:$R$114, V$2*16 + V$3 + INT($A25/16) + 1, MOD($A25, 16) + 1))</f>
        <v>A0</v>
      </c>
      <c r="W25" s="5" t="str" cm="1">
        <f t="array" ref="W25">IF(ISBLANK(W$3),V25&amp;U25,INDEX(pixel_shift_table.asm!$C$3:$R$114, W$2*16 + W$3 + INT($A25/16) + 1, MOD($A25, 16) + 1))</f>
        <v>A9</v>
      </c>
      <c r="X25" s="7" t="str" cm="1">
        <f t="array" ref="X25">IF(ISBLANK(X$3),W25&amp;V25,INDEX(pixel_shift_table.asm!$C$3:$R$114, X$2*16 + X$3 + INT($A25/16) + 1, MOD($A25, 16) + 1))</f>
        <v>A9A0</v>
      </c>
    </row>
    <row r="26" spans="1:24" x14ac:dyDescent="0.3">
      <c r="A26">
        <v>21</v>
      </c>
      <c r="B26" s="8">
        <v>101.01</v>
      </c>
      <c r="C26" s="5" t="s">
        <v>770</v>
      </c>
      <c r="D26" s="6" t="str" cm="1">
        <f t="array" ref="D26">IF(ISBLANK(D$3),C26&amp;B26,INDEX(pixel_shift_table.asm!$C$3:$R$114, D$2*16 + D$3 + INT($A26/16) + 1, MOD($A26, 16) + 1))</f>
        <v>A2</v>
      </c>
      <c r="E26" s="5" t="str" cm="1">
        <f t="array" ref="E26">IF(ISBLANK(E$3),D26&amp;C26,INDEX(pixel_shift_table.asm!$C$3:$R$114, E$2*16 + E$3 + INT($A26/16) + 1, MOD($A26, 16) + 1))</f>
        <v>A9</v>
      </c>
      <c r="F26" s="7" t="str" cm="1">
        <f t="array" ref="F26">IF(ISBLANK(F$3),E26&amp;D26,INDEX(pixel_shift_table.asm!$C$3:$R$114, F$2*16 + F$3 + INT($A26/16) + 1, MOD($A26, 16) + 1))</f>
        <v>A9A2</v>
      </c>
      <c r="G26" s="6" t="str" cm="1">
        <f t="array" ref="G26">IF(ISBLANK(G$3),F26&amp;E26,INDEX(pixel_shift_table.asm!$C$3:$R$114, G$2*16 + G$3 + INT($A26/16) + 1, MOD($A26, 16) + 1))</f>
        <v>A4</v>
      </c>
      <c r="H26" s="5" t="str" cm="1">
        <f t="array" ref="H26">IF(ISBLANK(H$3),G26&amp;F26,INDEX(pixel_shift_table.asm!$C$3:$R$114, H$2*16 + H$3 + INT($A26/16) + 1, MOD($A26, 16) + 1))</f>
        <v>A9</v>
      </c>
      <c r="I26" s="7" t="str" cm="1">
        <f t="array" ref="I26">IF(ISBLANK(I$3),H26&amp;G26,INDEX(pixel_shift_table.asm!$C$3:$R$114, I$2*16 + I$3 + INT($A26/16) + 1, MOD($A26, 16) + 1))</f>
        <v>A9A4</v>
      </c>
      <c r="J26" s="6" t="str" cm="1">
        <f t="array" ref="J26">IF(ISBLANK(J$3),I26&amp;H26,INDEX(pixel_shift_table.asm!$C$3:$R$114, J$2*16 + J$3 + INT($A26/16) + 1, MOD($A26, 16) + 1))</f>
        <v>A6</v>
      </c>
      <c r="K26" s="5" t="str" cm="1">
        <f t="array" ref="K26">IF(ISBLANK(K$3),J26&amp;I26,INDEX(pixel_shift_table.asm!$C$3:$R$114, K$2*16 + K$3 + INT($A26/16) + 1, MOD($A26, 16) + 1))</f>
        <v>A9</v>
      </c>
      <c r="L26" s="7" t="str" cm="1">
        <f t="array" ref="L26">IF(ISBLANK(L$3),K26&amp;J26,INDEX(pixel_shift_table.asm!$C$3:$R$114, L$2*16 + L$3 + INT($A26/16) + 1, MOD($A26, 16) + 1))</f>
        <v>A9A6</v>
      </c>
      <c r="M26" s="6" t="str" cm="1">
        <f t="array" ref="M26">IF(ISBLANK(M$3),L26&amp;K26,INDEX(pixel_shift_table.asm!$C$3:$R$114, M$2*16 + M$3 + INT($A26/16) + 1, MOD($A26, 16) + 1))</f>
        <v>A8</v>
      </c>
      <c r="N26" s="5" t="str" cm="1">
        <f t="array" ref="N26">IF(ISBLANK(N$3),M26&amp;L26,INDEX(pixel_shift_table.asm!$C$3:$R$114, N$2*16 + N$3 + INT($A26/16) + 1, MOD($A26, 16) + 1))</f>
        <v>A9</v>
      </c>
      <c r="O26" s="7" t="str" cm="1">
        <f t="array" ref="O26">IF(ISBLANK(O$3),N26&amp;M26,INDEX(pixel_shift_table.asm!$C$3:$R$114, O$2*16 + O$3 + INT($A26/16) + 1, MOD($A26, 16) + 1))</f>
        <v>A9A8</v>
      </c>
      <c r="P26" s="6" t="str" cm="1">
        <f t="array" ref="P26">IF(ISBLANK(P$3),O26&amp;N26,INDEX(pixel_shift_table.asm!$C$3:$R$114, P$2*16 + P$3 + INT($A26/16) + 1, MOD($A26, 16) + 1))</f>
        <v>AA</v>
      </c>
      <c r="Q26" s="5" t="str" cm="1">
        <f t="array" ref="Q26">IF(ISBLANK(Q$3),P26&amp;O26,INDEX(pixel_shift_table.asm!$C$3:$R$114, Q$2*16 + Q$3 + INT($A26/16) + 1, MOD($A26, 16) + 1))</f>
        <v>A9</v>
      </c>
      <c r="R26" s="7" t="str" cm="1">
        <f t="array" ref="R26">IF(ISBLANK(R$3),Q26&amp;P26,INDEX(pixel_shift_table.asm!$C$3:$R$114, R$2*16 + R$3 + INT($A26/16) + 1, MOD($A26, 16) + 1))</f>
        <v>A9AA</v>
      </c>
      <c r="S26" s="6" t="str" cm="1">
        <f t="array" ref="S26">IF(ISBLANK(S$3),R26&amp;Q26,INDEX(pixel_shift_table.asm!$C$3:$R$114, S$2*16 + S$3 + INT($A26/16) + 1, MOD($A26, 16) + 1))</f>
        <v>AC</v>
      </c>
      <c r="T26" s="5" t="str" cm="1">
        <f t="array" ref="T26">IF(ISBLANK(T$3),S26&amp;R26,INDEX(pixel_shift_table.asm!$C$3:$R$114, T$2*16 + T$3 + INT($A26/16) + 1, MOD($A26, 16) + 1))</f>
        <v>A9</v>
      </c>
      <c r="U26" s="7" t="str" cm="1">
        <f t="array" ref="U26">IF(ISBLANK(U$3),T26&amp;S26,INDEX(pixel_shift_table.asm!$C$3:$R$114, U$2*16 + U$3 + INT($A26/16) + 1, MOD($A26, 16) + 1))</f>
        <v>A9AC</v>
      </c>
      <c r="V26" s="6" t="str" cm="1">
        <f t="array" ref="V26">IF(ISBLANK(V$3),U26&amp;T26,INDEX(pixel_shift_table.asm!$C$3:$R$114, V$2*16 + V$3 + INT($A26/16) + 1, MOD($A26, 16) + 1))</f>
        <v>AE</v>
      </c>
      <c r="W26" s="5" t="str" cm="1">
        <f t="array" ref="W26">IF(ISBLANK(W$3),V26&amp;U26,INDEX(pixel_shift_table.asm!$C$3:$R$114, W$2*16 + W$3 + INT($A26/16) + 1, MOD($A26, 16) + 1))</f>
        <v>A9</v>
      </c>
      <c r="X26" s="7" t="str" cm="1">
        <f t="array" ref="X26">IF(ISBLANK(X$3),W26&amp;V26,INDEX(pixel_shift_table.asm!$C$3:$R$114, X$2*16 + X$3 + INT($A26/16) + 1, MOD($A26, 16) + 1))</f>
        <v>A9AE</v>
      </c>
    </row>
    <row r="27" spans="1:24" x14ac:dyDescent="0.3">
      <c r="A27" s="22">
        <v>22</v>
      </c>
      <c r="B27" s="23">
        <v>101.1</v>
      </c>
      <c r="C27" s="24" t="s">
        <v>771</v>
      </c>
      <c r="D27" s="6" t="str" cm="1">
        <f t="array" ref="D27">IF(ISBLANK(D$3),C27&amp;B27,INDEX(pixel_shift_table.asm!$C$3:$R$114, D$2*16 + D$3 + INT($A27/16) + 1, MOD($A27, 16) + 1))</f>
        <v>54</v>
      </c>
      <c r="E27" s="5" t="str" cm="1">
        <f t="array" ref="E27">IF(ISBLANK(E$3),D27&amp;C27,INDEX(pixel_shift_table.asm!$C$3:$R$114, E$2*16 + E$3 + INT($A27/16) + 1, MOD($A27, 16) + 1))</f>
        <v>A9</v>
      </c>
      <c r="F27" s="7" t="str" cm="1">
        <f t="array" ref="F27">IF(ISBLANK(F$3),E27&amp;D27,INDEX(pixel_shift_table.asm!$C$3:$R$114, F$2*16 + F$3 + INT($A27/16) + 1, MOD($A27, 16) + 1))</f>
        <v>A954</v>
      </c>
      <c r="G27" s="6" t="str" cm="1">
        <f t="array" ref="G27">IF(ISBLANK(G$3),F27&amp;E27,INDEX(pixel_shift_table.asm!$C$3:$R$114, G$2*16 + G$3 + INT($A27/16) + 1, MOD($A27, 16) + 1))</f>
        <v>56</v>
      </c>
      <c r="H27" s="5" t="str" cm="1">
        <f t="array" ref="H27">IF(ISBLANK(H$3),G27&amp;F27,INDEX(pixel_shift_table.asm!$C$3:$R$114, H$2*16 + H$3 + INT($A27/16) + 1, MOD($A27, 16) + 1))</f>
        <v>A9</v>
      </c>
      <c r="I27" s="7" t="str" cm="1">
        <f t="array" ref="I27">IF(ISBLANK(I$3),H27&amp;G27,INDEX(pixel_shift_table.asm!$C$3:$R$114, I$2*16 + I$3 + INT($A27/16) + 1, MOD($A27, 16) + 1))</f>
        <v>A956</v>
      </c>
      <c r="J27" s="6" t="str" cm="1">
        <f t="array" ref="J27">IF(ISBLANK(J$3),I27&amp;H27,INDEX(pixel_shift_table.asm!$C$3:$R$114, J$2*16 + J$3 + INT($A27/16) + 1, MOD($A27, 16) + 1))</f>
        <v>58</v>
      </c>
      <c r="K27" s="5" t="str" cm="1">
        <f t="array" ref="K27">IF(ISBLANK(K$3),J27&amp;I27,INDEX(pixel_shift_table.asm!$C$3:$R$114, K$2*16 + K$3 + INT($A27/16) + 1, MOD($A27, 16) + 1))</f>
        <v>A9</v>
      </c>
      <c r="L27" s="7" t="str" cm="1">
        <f t="array" ref="L27">IF(ISBLANK(L$3),K27&amp;J27,INDEX(pixel_shift_table.asm!$C$3:$R$114, L$2*16 + L$3 + INT($A27/16) + 1, MOD($A27, 16) + 1))</f>
        <v>A958</v>
      </c>
      <c r="M27" s="25" t="str" cm="1">
        <f t="array" ref="M27">IF(ISBLANK(M$3),L27&amp;K27,INDEX(pixel_shift_table.asm!$C$3:$R$114, M$2*16 + M$3 + INT($A27/16) + 1, MOD($A27, 16) + 1))</f>
        <v>5A</v>
      </c>
      <c r="N27" s="24" t="str" cm="1">
        <f t="array" ref="N27">IF(ISBLANK(N$3),M27&amp;L27,INDEX(pixel_shift_table.asm!$C$3:$R$114, N$2*16 + N$3 + INT($A27/16) + 1, MOD($A27, 16) + 1))</f>
        <v>A9</v>
      </c>
      <c r="O27" s="26" t="str" cm="1">
        <f t="array" ref="O27">IF(ISBLANK(O$3),N27&amp;M27,INDEX(pixel_shift_table.asm!$C$3:$R$114, O$2*16 + O$3 + INT($A27/16) + 1, MOD($A27, 16) + 1))</f>
        <v>A95A</v>
      </c>
      <c r="P27" s="6" t="str" cm="1">
        <f t="array" ref="P27">IF(ISBLANK(P$3),O27&amp;N27,INDEX(pixel_shift_table.asm!$C$3:$R$114, P$2*16 + P$3 + INT($A27/16) + 1, MOD($A27, 16) + 1))</f>
        <v>5C</v>
      </c>
      <c r="Q27" s="5" t="str" cm="1">
        <f t="array" ref="Q27">IF(ISBLANK(Q$3),P27&amp;O27,INDEX(pixel_shift_table.asm!$C$3:$R$114, Q$2*16 + Q$3 + INT($A27/16) + 1, MOD($A27, 16) + 1))</f>
        <v>A9</v>
      </c>
      <c r="R27" s="7" t="str" cm="1">
        <f t="array" ref="R27">IF(ISBLANK(R$3),Q27&amp;P27,INDEX(pixel_shift_table.asm!$C$3:$R$114, R$2*16 + R$3 + INT($A27/16) + 1, MOD($A27, 16) + 1))</f>
        <v>A95C</v>
      </c>
      <c r="S27" s="6" t="str" cm="1">
        <f t="array" ref="S27">IF(ISBLANK(S$3),R27&amp;Q27,INDEX(pixel_shift_table.asm!$C$3:$R$114, S$2*16 + S$3 + INT($A27/16) + 1, MOD($A27, 16) + 1))</f>
        <v>5E</v>
      </c>
      <c r="T27" s="5" t="str" cm="1">
        <f t="array" ref="T27">IF(ISBLANK(T$3),S27&amp;R27,INDEX(pixel_shift_table.asm!$C$3:$R$114, T$2*16 + T$3 + INT($A27/16) + 1, MOD($A27, 16) + 1))</f>
        <v>A9</v>
      </c>
      <c r="U27" s="7" t="str" cm="1">
        <f t="array" ref="U27">IF(ISBLANK(U$3),T27&amp;S27,INDEX(pixel_shift_table.asm!$C$3:$R$114, U$2*16 + U$3 + INT($A27/16) + 1, MOD($A27, 16) + 1))</f>
        <v>A95E</v>
      </c>
      <c r="V27" s="6" t="str" cm="1">
        <f t="array" ref="V27">IF(ISBLANK(V$3),U27&amp;T27,INDEX(pixel_shift_table.asm!$C$3:$R$114, V$2*16 + V$3 + INT($A27/16) + 1, MOD($A27, 16) + 1))</f>
        <v>B0</v>
      </c>
      <c r="W27" s="5" t="str" cm="1">
        <f t="array" ref="W27">IF(ISBLANK(W$3),V27&amp;U27,INDEX(pixel_shift_table.asm!$C$3:$R$114, W$2*16 + W$3 + INT($A27/16) + 1, MOD($A27, 16) + 1))</f>
        <v>A9</v>
      </c>
      <c r="X27" s="7" t="str" cm="1">
        <f t="array" ref="X27">IF(ISBLANK(X$3),W27&amp;V27,INDEX(pixel_shift_table.asm!$C$3:$R$114, X$2*16 + X$3 + INT($A27/16) + 1, MOD($A27, 16) + 1))</f>
        <v>A9B0</v>
      </c>
    </row>
    <row r="28" spans="1:24" x14ac:dyDescent="0.3">
      <c r="A28">
        <v>23</v>
      </c>
      <c r="B28" s="8">
        <v>101.11</v>
      </c>
      <c r="C28" s="5" t="s">
        <v>772</v>
      </c>
      <c r="D28" s="6" t="str" cm="1">
        <f t="array" ref="D28">IF(ISBLANK(D$3),C28&amp;B28,INDEX(pixel_shift_table.asm!$C$3:$R$114, D$2*16 + D$3 + INT($A28/16) + 1, MOD($A28, 16) + 1))</f>
        <v>B2</v>
      </c>
      <c r="E28" s="5" t="str" cm="1">
        <f t="array" ref="E28">IF(ISBLANK(E$3),D28&amp;C28,INDEX(pixel_shift_table.asm!$C$3:$R$114, E$2*16 + E$3 + INT($A28/16) + 1, MOD($A28, 16) + 1))</f>
        <v>A9</v>
      </c>
      <c r="F28" s="7" t="str" cm="1">
        <f t="array" ref="F28">IF(ISBLANK(F$3),E28&amp;D28,INDEX(pixel_shift_table.asm!$C$3:$R$114, F$2*16 + F$3 + INT($A28/16) + 1, MOD($A28, 16) + 1))</f>
        <v>A9B2</v>
      </c>
      <c r="G28" s="6" t="str" cm="1">
        <f t="array" ref="G28">IF(ISBLANK(G$3),F28&amp;E28,INDEX(pixel_shift_table.asm!$C$3:$R$114, G$2*16 + G$3 + INT($A28/16) + 1, MOD($A28, 16) + 1))</f>
        <v>B4</v>
      </c>
      <c r="H28" s="5" t="str" cm="1">
        <f t="array" ref="H28">IF(ISBLANK(H$3),G28&amp;F28,INDEX(pixel_shift_table.asm!$C$3:$R$114, H$2*16 + H$3 + INT($A28/16) + 1, MOD($A28, 16) + 1))</f>
        <v>A9</v>
      </c>
      <c r="I28" s="7" t="str" cm="1">
        <f t="array" ref="I28">IF(ISBLANK(I$3),H28&amp;G28,INDEX(pixel_shift_table.asm!$C$3:$R$114, I$2*16 + I$3 + INT($A28/16) + 1, MOD($A28, 16) + 1))</f>
        <v>A9B4</v>
      </c>
      <c r="J28" s="6" t="str" cm="1">
        <f t="array" ref="J28">IF(ISBLANK(J$3),I28&amp;H28,INDEX(pixel_shift_table.asm!$C$3:$R$114, J$2*16 + J$3 + INT($A28/16) + 1, MOD($A28, 16) + 1))</f>
        <v>B6</v>
      </c>
      <c r="K28" s="5" t="str" cm="1">
        <f t="array" ref="K28">IF(ISBLANK(K$3),J28&amp;I28,INDEX(pixel_shift_table.asm!$C$3:$R$114, K$2*16 + K$3 + INT($A28/16) + 1, MOD($A28, 16) + 1))</f>
        <v>A9</v>
      </c>
      <c r="L28" s="7" t="str" cm="1">
        <f t="array" ref="L28">IF(ISBLANK(L$3),K28&amp;J28,INDEX(pixel_shift_table.asm!$C$3:$R$114, L$2*16 + L$3 + INT($A28/16) + 1, MOD($A28, 16) + 1))</f>
        <v>A9B6</v>
      </c>
      <c r="M28" s="6" t="str" cm="1">
        <f t="array" ref="M28">IF(ISBLANK(M$3),L28&amp;K28,INDEX(pixel_shift_table.asm!$C$3:$R$114, M$2*16 + M$3 + INT($A28/16) + 1, MOD($A28, 16) + 1))</f>
        <v>B8</v>
      </c>
      <c r="N28" s="5" t="str" cm="1">
        <f t="array" ref="N28">IF(ISBLANK(N$3),M28&amp;L28,INDEX(pixel_shift_table.asm!$C$3:$R$114, N$2*16 + N$3 + INT($A28/16) + 1, MOD($A28, 16) + 1))</f>
        <v>A9</v>
      </c>
      <c r="O28" s="7" t="str" cm="1">
        <f t="array" ref="O28">IF(ISBLANK(O$3),N28&amp;M28,INDEX(pixel_shift_table.asm!$C$3:$R$114, O$2*16 + O$3 + INT($A28/16) + 1, MOD($A28, 16) + 1))</f>
        <v>A9B8</v>
      </c>
      <c r="P28" s="6" t="str" cm="1">
        <f t="array" ref="P28">IF(ISBLANK(P$3),O28&amp;N28,INDEX(pixel_shift_table.asm!$C$3:$R$114, P$2*16 + P$3 + INT($A28/16) + 1, MOD($A28, 16) + 1))</f>
        <v>BA</v>
      </c>
      <c r="Q28" s="5" t="str" cm="1">
        <f t="array" ref="Q28">IF(ISBLANK(Q$3),P28&amp;O28,INDEX(pixel_shift_table.asm!$C$3:$R$114, Q$2*16 + Q$3 + INT($A28/16) + 1, MOD($A28, 16) + 1))</f>
        <v>A9</v>
      </c>
      <c r="R28" s="7" t="str" cm="1">
        <f t="array" ref="R28">IF(ISBLANK(R$3),Q28&amp;P28,INDEX(pixel_shift_table.asm!$C$3:$R$114, R$2*16 + R$3 + INT($A28/16) + 1, MOD($A28, 16) + 1))</f>
        <v>A9BA</v>
      </c>
      <c r="S28" s="6" t="str" cm="1">
        <f t="array" ref="S28">IF(ISBLANK(S$3),R28&amp;Q28,INDEX(pixel_shift_table.asm!$C$3:$R$114, S$2*16 + S$3 + INT($A28/16) + 1, MOD($A28, 16) + 1))</f>
        <v>BC</v>
      </c>
      <c r="T28" s="5" t="str" cm="1">
        <f t="array" ref="T28">IF(ISBLANK(T$3),S28&amp;R28,INDEX(pixel_shift_table.asm!$C$3:$R$114, T$2*16 + T$3 + INT($A28/16) + 1, MOD($A28, 16) + 1))</f>
        <v>A9</v>
      </c>
      <c r="U28" s="7" t="str" cm="1">
        <f t="array" ref="U28">IF(ISBLANK(U$3),T28&amp;S28,INDEX(pixel_shift_table.asm!$C$3:$R$114, U$2*16 + U$3 + INT($A28/16) + 1, MOD($A28, 16) + 1))</f>
        <v>A9BC</v>
      </c>
      <c r="V28" s="6" t="str" cm="1">
        <f t="array" ref="V28">IF(ISBLANK(V$3),U28&amp;T28,INDEX(pixel_shift_table.asm!$C$3:$R$114, V$2*16 + V$3 + INT($A28/16) + 1, MOD($A28, 16) + 1))</f>
        <v>BE</v>
      </c>
      <c r="W28" s="5" t="str" cm="1">
        <f t="array" ref="W28">IF(ISBLANK(W$3),V28&amp;U28,INDEX(pixel_shift_table.asm!$C$3:$R$114, W$2*16 + W$3 + INT($A28/16) + 1, MOD($A28, 16) + 1))</f>
        <v>A9</v>
      </c>
      <c r="X28" s="7" t="str" cm="1">
        <f t="array" ref="X28">IF(ISBLANK(X$3),W28&amp;V28,INDEX(pixel_shift_table.asm!$C$3:$R$114, X$2*16 + X$3 + INT($A28/16) + 1, MOD($A28, 16) + 1))</f>
        <v>A9BE</v>
      </c>
    </row>
    <row r="29" spans="1:24" x14ac:dyDescent="0.3">
      <c r="A29">
        <v>24</v>
      </c>
      <c r="B29" s="8">
        <v>110</v>
      </c>
      <c r="C29" s="5" t="s">
        <v>773</v>
      </c>
      <c r="D29" s="6" t="str" cm="1">
        <f t="array" ref="D29">IF(ISBLANK(D$3),C29&amp;B29,INDEX(pixel_shift_table.asm!$C$3:$R$114, D$2*16 + D$3 + INT($A29/16) + 1, MOD($A29, 16) + 1))</f>
        <v>18</v>
      </c>
      <c r="E29" s="5" t="str" cm="1">
        <f t="array" ref="E29">IF(ISBLANK(E$3),D29&amp;C29,INDEX(pixel_shift_table.asm!$C$3:$R$114, E$2*16 + E$3 + INT($A29/16) + 1, MOD($A29, 16) + 1))</f>
        <v>A9</v>
      </c>
      <c r="F29" s="7" t="str" cm="1">
        <f t="array" ref="F29">IF(ISBLANK(F$3),E29&amp;D29,INDEX(pixel_shift_table.asm!$C$3:$R$114, F$2*16 + F$3 + INT($A29/16) + 1, MOD($A29, 16) + 1))</f>
        <v>A918</v>
      </c>
      <c r="G29" s="6" t="str" cm="1">
        <f t="array" ref="G29">IF(ISBLANK(G$3),F29&amp;E29,INDEX(pixel_shift_table.asm!$C$3:$R$114, G$2*16 + G$3 + INT($A29/16) + 1, MOD($A29, 16) + 1))</f>
        <v>1A</v>
      </c>
      <c r="H29" s="5" t="str" cm="1">
        <f t="array" ref="H29">IF(ISBLANK(H$3),G29&amp;F29,INDEX(pixel_shift_table.asm!$C$3:$R$114, H$2*16 + H$3 + INT($A29/16) + 1, MOD($A29, 16) + 1))</f>
        <v>A9</v>
      </c>
      <c r="I29" s="7" t="str" cm="1">
        <f t="array" ref="I29">IF(ISBLANK(I$3),H29&amp;G29,INDEX(pixel_shift_table.asm!$C$3:$R$114, I$2*16 + I$3 + INT($A29/16) + 1, MOD($A29, 16) + 1))</f>
        <v>A91A</v>
      </c>
      <c r="J29" s="6" t="str" cm="1">
        <f t="array" ref="J29">IF(ISBLANK(J$3),I29&amp;H29,INDEX(pixel_shift_table.asm!$C$3:$R$114, J$2*16 + J$3 + INT($A29/16) + 1, MOD($A29, 16) + 1))</f>
        <v>1C</v>
      </c>
      <c r="K29" s="5" t="str" cm="1">
        <f t="array" ref="K29">IF(ISBLANK(K$3),J29&amp;I29,INDEX(pixel_shift_table.asm!$C$3:$R$114, K$2*16 + K$3 + INT($A29/16) + 1, MOD($A29, 16) + 1))</f>
        <v>A9</v>
      </c>
      <c r="L29" s="7" t="str" cm="1">
        <f t="array" ref="L29">IF(ISBLANK(L$3),K29&amp;J29,INDEX(pixel_shift_table.asm!$C$3:$R$114, L$2*16 + L$3 + INT($A29/16) + 1, MOD($A29, 16) + 1))</f>
        <v>A91C</v>
      </c>
      <c r="M29" s="6" t="str" cm="1">
        <f t="array" ref="M29">IF(ISBLANK(M$3),L29&amp;K29,INDEX(pixel_shift_table.asm!$C$3:$R$114, M$2*16 + M$3 + INT($A29/16) + 1, MOD($A29, 16) + 1))</f>
        <v>1E</v>
      </c>
      <c r="N29" s="5" t="str" cm="1">
        <f t="array" ref="N29">IF(ISBLANK(N$3),M29&amp;L29,INDEX(pixel_shift_table.asm!$C$3:$R$114, N$2*16 + N$3 + INT($A29/16) + 1, MOD($A29, 16) + 1))</f>
        <v>A9</v>
      </c>
      <c r="O29" s="7" t="str" cm="1">
        <f t="array" ref="O29">IF(ISBLANK(O$3),N29&amp;M29,INDEX(pixel_shift_table.asm!$C$3:$R$114, O$2*16 + O$3 + INT($A29/16) + 1, MOD($A29, 16) + 1))</f>
        <v>A91E</v>
      </c>
      <c r="P29" s="6" t="str" cm="1">
        <f t="array" ref="P29">IF(ISBLANK(P$3),O29&amp;N29,INDEX(pixel_shift_table.asm!$C$3:$R$114, P$2*16 + P$3 + INT($A29/16) + 1, MOD($A29, 16) + 1))</f>
        <v>30</v>
      </c>
      <c r="Q29" s="5" t="str" cm="1">
        <f t="array" ref="Q29">IF(ISBLANK(Q$3),P29&amp;O29,INDEX(pixel_shift_table.asm!$C$3:$R$114, Q$2*16 + Q$3 + INT($A29/16) + 1, MOD($A29, 16) + 1))</f>
        <v>A9</v>
      </c>
      <c r="R29" s="7" t="str" cm="1">
        <f t="array" ref="R29">IF(ISBLANK(R$3),Q29&amp;P29,INDEX(pixel_shift_table.asm!$C$3:$R$114, R$2*16 + R$3 + INT($A29/16) + 1, MOD($A29, 16) + 1))</f>
        <v>A930</v>
      </c>
      <c r="S29" s="6" t="str" cm="1">
        <f t="array" ref="S29">IF(ISBLANK(S$3),R29&amp;Q29,INDEX(pixel_shift_table.asm!$C$3:$R$114, S$2*16 + S$3 + INT($A29/16) + 1, MOD($A29, 16) + 1))</f>
        <v>60</v>
      </c>
      <c r="T29" s="5" t="str" cm="1">
        <f t="array" ref="T29">IF(ISBLANK(T$3),S29&amp;R29,INDEX(pixel_shift_table.asm!$C$3:$R$114, T$2*16 + T$3 + INT($A29/16) + 1, MOD($A29, 16) + 1))</f>
        <v>A9</v>
      </c>
      <c r="U29" s="7" t="str" cm="1">
        <f t="array" ref="U29">IF(ISBLANK(U$3),T29&amp;S29,INDEX(pixel_shift_table.asm!$C$3:$R$114, U$2*16 + U$3 + INT($A29/16) + 1, MOD($A29, 16) + 1))</f>
        <v>A960</v>
      </c>
      <c r="V29" s="6" t="str" cm="1">
        <f t="array" ref="V29">IF(ISBLANK(V$3),U29&amp;T29,INDEX(pixel_shift_table.asm!$C$3:$R$114, V$2*16 + V$3 + INT($A29/16) + 1, MOD($A29, 16) + 1))</f>
        <v>C0</v>
      </c>
      <c r="W29" s="5" t="str" cm="1">
        <f t="array" ref="W29">IF(ISBLANK(W$3),V29&amp;U29,INDEX(pixel_shift_table.asm!$C$3:$R$114, W$2*16 + W$3 + INT($A29/16) + 1, MOD($A29, 16) + 1))</f>
        <v>A9</v>
      </c>
      <c r="X29" s="7" t="str" cm="1">
        <f t="array" ref="X29">IF(ISBLANK(X$3),W29&amp;V29,INDEX(pixel_shift_table.asm!$C$3:$R$114, X$2*16 + X$3 + INT($A29/16) + 1, MOD($A29, 16) + 1))</f>
        <v>A9C0</v>
      </c>
    </row>
    <row r="30" spans="1:24" x14ac:dyDescent="0.3">
      <c r="A30">
        <v>25</v>
      </c>
      <c r="B30" s="8">
        <v>110.01</v>
      </c>
      <c r="C30" s="5" t="s">
        <v>774</v>
      </c>
      <c r="D30" s="6" t="str" cm="1">
        <f t="array" ref="D30">IF(ISBLANK(D$3),C30&amp;B30,INDEX(pixel_shift_table.asm!$C$3:$R$114, D$2*16 + D$3 + INT($A30/16) + 1, MOD($A30, 16) + 1))</f>
        <v>C2</v>
      </c>
      <c r="E30" s="5" t="str" cm="1">
        <f t="array" ref="E30">IF(ISBLANK(E$3),D30&amp;C30,INDEX(pixel_shift_table.asm!$C$3:$R$114, E$2*16 + E$3 + INT($A30/16) + 1, MOD($A30, 16) + 1))</f>
        <v>A9</v>
      </c>
      <c r="F30" s="7" t="str" cm="1">
        <f t="array" ref="F30">IF(ISBLANK(F$3),E30&amp;D30,INDEX(pixel_shift_table.asm!$C$3:$R$114, F$2*16 + F$3 + INT($A30/16) + 1, MOD($A30, 16) + 1))</f>
        <v>A9C2</v>
      </c>
      <c r="G30" s="6" t="str" cm="1">
        <f t="array" ref="G30">IF(ISBLANK(G$3),F30&amp;E30,INDEX(pixel_shift_table.asm!$C$3:$R$114, G$2*16 + G$3 + INT($A30/16) + 1, MOD($A30, 16) + 1))</f>
        <v>C4</v>
      </c>
      <c r="H30" s="5" t="str" cm="1">
        <f t="array" ref="H30">IF(ISBLANK(H$3),G30&amp;F30,INDEX(pixel_shift_table.asm!$C$3:$R$114, H$2*16 + H$3 + INT($A30/16) + 1, MOD($A30, 16) + 1))</f>
        <v>A9</v>
      </c>
      <c r="I30" s="7" t="str" cm="1">
        <f t="array" ref="I30">IF(ISBLANK(I$3),H30&amp;G30,INDEX(pixel_shift_table.asm!$C$3:$R$114, I$2*16 + I$3 + INT($A30/16) + 1, MOD($A30, 16) + 1))</f>
        <v>A9C4</v>
      </c>
      <c r="J30" s="6" t="str" cm="1">
        <f t="array" ref="J30">IF(ISBLANK(J$3),I30&amp;H30,INDEX(pixel_shift_table.asm!$C$3:$R$114, J$2*16 + J$3 + INT($A30/16) + 1, MOD($A30, 16) + 1))</f>
        <v>C6</v>
      </c>
      <c r="K30" s="5" t="str" cm="1">
        <f t="array" ref="K30">IF(ISBLANK(K$3),J30&amp;I30,INDEX(pixel_shift_table.asm!$C$3:$R$114, K$2*16 + K$3 + INT($A30/16) + 1, MOD($A30, 16) + 1))</f>
        <v>A9</v>
      </c>
      <c r="L30" s="7" t="str" cm="1">
        <f t="array" ref="L30">IF(ISBLANK(L$3),K30&amp;J30,INDEX(pixel_shift_table.asm!$C$3:$R$114, L$2*16 + L$3 + INT($A30/16) + 1, MOD($A30, 16) + 1))</f>
        <v>A9C6</v>
      </c>
      <c r="M30" s="6" t="str" cm="1">
        <f t="array" ref="M30">IF(ISBLANK(M$3),L30&amp;K30,INDEX(pixel_shift_table.asm!$C$3:$R$114, M$2*16 + M$3 + INT($A30/16) + 1, MOD($A30, 16) + 1))</f>
        <v>C8</v>
      </c>
      <c r="N30" s="5" t="str" cm="1">
        <f t="array" ref="N30">IF(ISBLANK(N$3),M30&amp;L30,INDEX(pixel_shift_table.asm!$C$3:$R$114, N$2*16 + N$3 + INT($A30/16) + 1, MOD($A30, 16) + 1))</f>
        <v>A9</v>
      </c>
      <c r="O30" s="7" t="str" cm="1">
        <f t="array" ref="O30">IF(ISBLANK(O$3),N30&amp;M30,INDEX(pixel_shift_table.asm!$C$3:$R$114, O$2*16 + O$3 + INT($A30/16) + 1, MOD($A30, 16) + 1))</f>
        <v>A9C8</v>
      </c>
      <c r="P30" s="6" t="str" cm="1">
        <f t="array" ref="P30">IF(ISBLANK(P$3),O30&amp;N30,INDEX(pixel_shift_table.asm!$C$3:$R$114, P$2*16 + P$3 + INT($A30/16) + 1, MOD($A30, 16) + 1))</f>
        <v>CA</v>
      </c>
      <c r="Q30" s="5" t="str" cm="1">
        <f t="array" ref="Q30">IF(ISBLANK(Q$3),P30&amp;O30,INDEX(pixel_shift_table.asm!$C$3:$R$114, Q$2*16 + Q$3 + INT($A30/16) + 1, MOD($A30, 16) + 1))</f>
        <v>A9</v>
      </c>
      <c r="R30" s="7" t="str" cm="1">
        <f t="array" ref="R30">IF(ISBLANK(R$3),Q30&amp;P30,INDEX(pixel_shift_table.asm!$C$3:$R$114, R$2*16 + R$3 + INT($A30/16) + 1, MOD($A30, 16) + 1))</f>
        <v>A9CA</v>
      </c>
      <c r="S30" s="6" t="str" cm="1">
        <f t="array" ref="S30">IF(ISBLANK(S$3),R30&amp;Q30,INDEX(pixel_shift_table.asm!$C$3:$R$114, S$2*16 + S$3 + INT($A30/16) + 1, MOD($A30, 16) + 1))</f>
        <v>CC</v>
      </c>
      <c r="T30" s="5" t="str" cm="1">
        <f t="array" ref="T30">IF(ISBLANK(T$3),S30&amp;R30,INDEX(pixel_shift_table.asm!$C$3:$R$114, T$2*16 + T$3 + INT($A30/16) + 1, MOD($A30, 16) + 1))</f>
        <v>A9</v>
      </c>
      <c r="U30" s="7" t="str" cm="1">
        <f t="array" ref="U30">IF(ISBLANK(U$3),T30&amp;S30,INDEX(pixel_shift_table.asm!$C$3:$R$114, U$2*16 + U$3 + INT($A30/16) + 1, MOD($A30, 16) + 1))</f>
        <v>A9CC</v>
      </c>
      <c r="V30" s="6" t="str" cm="1">
        <f t="array" ref="V30">IF(ISBLANK(V$3),U30&amp;T30,INDEX(pixel_shift_table.asm!$C$3:$R$114, V$2*16 + V$3 + INT($A30/16) + 1, MOD($A30, 16) + 1))</f>
        <v>CE</v>
      </c>
      <c r="W30" s="5" t="str" cm="1">
        <f t="array" ref="W30">IF(ISBLANK(W$3),V30&amp;U30,INDEX(pixel_shift_table.asm!$C$3:$R$114, W$2*16 + W$3 + INT($A30/16) + 1, MOD($A30, 16) + 1))</f>
        <v>A9</v>
      </c>
      <c r="X30" s="7" t="str" cm="1">
        <f t="array" ref="X30">IF(ISBLANK(X$3),W30&amp;V30,INDEX(pixel_shift_table.asm!$C$3:$R$114, X$2*16 + X$3 + INT($A30/16) + 1, MOD($A30, 16) + 1))</f>
        <v>A9CE</v>
      </c>
    </row>
    <row r="31" spans="1:24" x14ac:dyDescent="0.3">
      <c r="A31">
        <v>26</v>
      </c>
      <c r="B31" s="8">
        <v>110.1</v>
      </c>
      <c r="C31" s="5" t="s">
        <v>775</v>
      </c>
      <c r="D31" s="6" t="str" cm="1">
        <f t="array" ref="D31">IF(ISBLANK(D$3),C31&amp;B31,INDEX(pixel_shift_table.asm!$C$3:$R$114, D$2*16 + D$3 + INT($A31/16) + 1, MOD($A31, 16) + 1))</f>
        <v>64</v>
      </c>
      <c r="E31" s="5" t="str" cm="1">
        <f t="array" ref="E31">IF(ISBLANK(E$3),D31&amp;C31,INDEX(pixel_shift_table.asm!$C$3:$R$114, E$2*16 + E$3 + INT($A31/16) + 1, MOD($A31, 16) + 1))</f>
        <v>A9</v>
      </c>
      <c r="F31" s="7" t="str" cm="1">
        <f t="array" ref="F31">IF(ISBLANK(F$3),E31&amp;D31,INDEX(pixel_shift_table.asm!$C$3:$R$114, F$2*16 + F$3 + INT($A31/16) + 1, MOD($A31, 16) + 1))</f>
        <v>A964</v>
      </c>
      <c r="G31" s="6" t="str" cm="1">
        <f t="array" ref="G31">IF(ISBLANK(G$3),F31&amp;E31,INDEX(pixel_shift_table.asm!$C$3:$R$114, G$2*16 + G$3 + INT($A31/16) + 1, MOD($A31, 16) + 1))</f>
        <v>66</v>
      </c>
      <c r="H31" s="5" t="str" cm="1">
        <f t="array" ref="H31">IF(ISBLANK(H$3),G31&amp;F31,INDEX(pixel_shift_table.asm!$C$3:$R$114, H$2*16 + H$3 + INT($A31/16) + 1, MOD($A31, 16) + 1))</f>
        <v>A9</v>
      </c>
      <c r="I31" s="7" t="str" cm="1">
        <f t="array" ref="I31">IF(ISBLANK(I$3),H31&amp;G31,INDEX(pixel_shift_table.asm!$C$3:$R$114, I$2*16 + I$3 + INT($A31/16) + 1, MOD($A31, 16) + 1))</f>
        <v>A966</v>
      </c>
      <c r="J31" s="6" t="str" cm="1">
        <f t="array" ref="J31">IF(ISBLANK(J$3),I31&amp;H31,INDEX(pixel_shift_table.asm!$C$3:$R$114, J$2*16 + J$3 + INT($A31/16) + 1, MOD($A31, 16) + 1))</f>
        <v>68</v>
      </c>
      <c r="K31" s="5" t="str" cm="1">
        <f t="array" ref="K31">IF(ISBLANK(K$3),J31&amp;I31,INDEX(pixel_shift_table.asm!$C$3:$R$114, K$2*16 + K$3 + INT($A31/16) + 1, MOD($A31, 16) + 1))</f>
        <v>A9</v>
      </c>
      <c r="L31" s="7" t="str" cm="1">
        <f t="array" ref="L31">IF(ISBLANK(L$3),K31&amp;J31,INDEX(pixel_shift_table.asm!$C$3:$R$114, L$2*16 + L$3 + INT($A31/16) + 1, MOD($A31, 16) + 1))</f>
        <v>A968</v>
      </c>
      <c r="M31" s="6" t="str" cm="1">
        <f t="array" ref="M31">IF(ISBLANK(M$3),L31&amp;K31,INDEX(pixel_shift_table.asm!$C$3:$R$114, M$2*16 + M$3 + INT($A31/16) + 1, MOD($A31, 16) + 1))</f>
        <v>6A</v>
      </c>
      <c r="N31" s="5" t="str" cm="1">
        <f t="array" ref="N31">IF(ISBLANK(N$3),M31&amp;L31,INDEX(pixel_shift_table.asm!$C$3:$R$114, N$2*16 + N$3 + INT($A31/16) + 1, MOD($A31, 16) + 1))</f>
        <v>A9</v>
      </c>
      <c r="O31" s="7" t="str" cm="1">
        <f t="array" ref="O31">IF(ISBLANK(O$3),N31&amp;M31,INDEX(pixel_shift_table.asm!$C$3:$R$114, O$2*16 + O$3 + INT($A31/16) + 1, MOD($A31, 16) + 1))</f>
        <v>A96A</v>
      </c>
      <c r="P31" s="6" t="str" cm="1">
        <f t="array" ref="P31">IF(ISBLANK(P$3),O31&amp;N31,INDEX(pixel_shift_table.asm!$C$3:$R$114, P$2*16 + P$3 + INT($A31/16) + 1, MOD($A31, 16) + 1))</f>
        <v>6C</v>
      </c>
      <c r="Q31" s="5" t="str" cm="1">
        <f t="array" ref="Q31">IF(ISBLANK(Q$3),P31&amp;O31,INDEX(pixel_shift_table.asm!$C$3:$R$114, Q$2*16 + Q$3 + INT($A31/16) + 1, MOD($A31, 16) + 1))</f>
        <v>A9</v>
      </c>
      <c r="R31" s="7" t="str" cm="1">
        <f t="array" ref="R31">IF(ISBLANK(R$3),Q31&amp;P31,INDEX(pixel_shift_table.asm!$C$3:$R$114, R$2*16 + R$3 + INT($A31/16) + 1, MOD($A31, 16) + 1))</f>
        <v>A96C</v>
      </c>
      <c r="S31" s="6" t="str" cm="1">
        <f t="array" ref="S31">IF(ISBLANK(S$3),R31&amp;Q31,INDEX(pixel_shift_table.asm!$C$3:$R$114, S$2*16 + S$3 + INT($A31/16) + 1, MOD($A31, 16) + 1))</f>
        <v>6E</v>
      </c>
      <c r="T31" s="5" t="str" cm="1">
        <f t="array" ref="T31">IF(ISBLANK(T$3),S31&amp;R31,INDEX(pixel_shift_table.asm!$C$3:$R$114, T$2*16 + T$3 + INT($A31/16) + 1, MOD($A31, 16) + 1))</f>
        <v>A9</v>
      </c>
      <c r="U31" s="7" t="str" cm="1">
        <f t="array" ref="U31">IF(ISBLANK(U$3),T31&amp;S31,INDEX(pixel_shift_table.asm!$C$3:$R$114, U$2*16 + U$3 + INT($A31/16) + 1, MOD($A31, 16) + 1))</f>
        <v>A96E</v>
      </c>
      <c r="V31" s="6" t="str" cm="1">
        <f t="array" ref="V31">IF(ISBLANK(V$3),U31&amp;T31,INDEX(pixel_shift_table.asm!$C$3:$R$114, V$2*16 + V$3 + INT($A31/16) + 1, MOD($A31, 16) + 1))</f>
        <v>D0</v>
      </c>
      <c r="W31" s="5" t="str" cm="1">
        <f t="array" ref="W31">IF(ISBLANK(W$3),V31&amp;U31,INDEX(pixel_shift_table.asm!$C$3:$R$114, W$2*16 + W$3 + INT($A31/16) + 1, MOD($A31, 16) + 1))</f>
        <v>A9</v>
      </c>
      <c r="X31" s="7" t="str" cm="1">
        <f t="array" ref="X31">IF(ISBLANK(X$3),W31&amp;V31,INDEX(pixel_shift_table.asm!$C$3:$R$114, X$2*16 + X$3 + INT($A31/16) + 1, MOD($A31, 16) + 1))</f>
        <v>A9D0</v>
      </c>
    </row>
    <row r="32" spans="1:24" x14ac:dyDescent="0.3">
      <c r="A32">
        <v>27</v>
      </c>
      <c r="B32" s="8">
        <v>110.11</v>
      </c>
      <c r="C32" s="5" t="s">
        <v>776</v>
      </c>
      <c r="D32" s="6" t="str" cm="1">
        <f t="array" ref="D32">IF(ISBLANK(D$3),C32&amp;B32,INDEX(pixel_shift_table.asm!$C$3:$R$114, D$2*16 + D$3 + INT($A32/16) + 1, MOD($A32, 16) + 1))</f>
        <v>D2</v>
      </c>
      <c r="E32" s="5" t="str" cm="1">
        <f t="array" ref="E32">IF(ISBLANK(E$3),D32&amp;C32,INDEX(pixel_shift_table.asm!$C$3:$R$114, E$2*16 + E$3 + INT($A32/16) + 1, MOD($A32, 16) + 1))</f>
        <v>A9</v>
      </c>
      <c r="F32" s="7" t="str" cm="1">
        <f t="array" ref="F32">IF(ISBLANK(F$3),E32&amp;D32,INDEX(pixel_shift_table.asm!$C$3:$R$114, F$2*16 + F$3 + INT($A32/16) + 1, MOD($A32, 16) + 1))</f>
        <v>A9D2</v>
      </c>
      <c r="G32" s="6" t="str" cm="1">
        <f t="array" ref="G32">IF(ISBLANK(G$3),F32&amp;E32,INDEX(pixel_shift_table.asm!$C$3:$R$114, G$2*16 + G$3 + INT($A32/16) + 1, MOD($A32, 16) + 1))</f>
        <v>D4</v>
      </c>
      <c r="H32" s="5" t="str" cm="1">
        <f t="array" ref="H32">IF(ISBLANK(H$3),G32&amp;F32,INDEX(pixel_shift_table.asm!$C$3:$R$114, H$2*16 + H$3 + INT($A32/16) + 1, MOD($A32, 16) + 1))</f>
        <v>A9</v>
      </c>
      <c r="I32" s="7" t="str" cm="1">
        <f t="array" ref="I32">IF(ISBLANK(I$3),H32&amp;G32,INDEX(pixel_shift_table.asm!$C$3:$R$114, I$2*16 + I$3 + INT($A32/16) + 1, MOD($A32, 16) + 1))</f>
        <v>A9D4</v>
      </c>
      <c r="J32" s="6" t="str" cm="1">
        <f t="array" ref="J32">IF(ISBLANK(J$3),I32&amp;H32,INDEX(pixel_shift_table.asm!$C$3:$R$114, J$2*16 + J$3 + INT($A32/16) + 1, MOD($A32, 16) + 1))</f>
        <v>D6</v>
      </c>
      <c r="K32" s="5" t="str" cm="1">
        <f t="array" ref="K32">IF(ISBLANK(K$3),J32&amp;I32,INDEX(pixel_shift_table.asm!$C$3:$R$114, K$2*16 + K$3 + INT($A32/16) + 1, MOD($A32, 16) + 1))</f>
        <v>A9</v>
      </c>
      <c r="L32" s="7" t="str" cm="1">
        <f t="array" ref="L32">IF(ISBLANK(L$3),K32&amp;J32,INDEX(pixel_shift_table.asm!$C$3:$R$114, L$2*16 + L$3 + INT($A32/16) + 1, MOD($A32, 16) + 1))</f>
        <v>A9D6</v>
      </c>
      <c r="M32" s="6" t="str" cm="1">
        <f t="array" ref="M32">IF(ISBLANK(M$3),L32&amp;K32,INDEX(pixel_shift_table.asm!$C$3:$R$114, M$2*16 + M$3 + INT($A32/16) + 1, MOD($A32, 16) + 1))</f>
        <v>D8</v>
      </c>
      <c r="N32" s="5" t="str" cm="1">
        <f t="array" ref="N32">IF(ISBLANK(N$3),M32&amp;L32,INDEX(pixel_shift_table.asm!$C$3:$R$114, N$2*16 + N$3 + INT($A32/16) + 1, MOD($A32, 16) + 1))</f>
        <v>A9</v>
      </c>
      <c r="O32" s="7" t="str" cm="1">
        <f t="array" ref="O32">IF(ISBLANK(O$3),N32&amp;M32,INDEX(pixel_shift_table.asm!$C$3:$R$114, O$2*16 + O$3 + INT($A32/16) + 1, MOD($A32, 16) + 1))</f>
        <v>A9D8</v>
      </c>
      <c r="P32" s="6" t="str" cm="1">
        <f t="array" ref="P32">IF(ISBLANK(P$3),O32&amp;N32,INDEX(pixel_shift_table.asm!$C$3:$R$114, P$2*16 + P$3 + INT($A32/16) + 1, MOD($A32, 16) + 1))</f>
        <v>DA</v>
      </c>
      <c r="Q32" s="5" t="str" cm="1">
        <f t="array" ref="Q32">IF(ISBLANK(Q$3),P32&amp;O32,INDEX(pixel_shift_table.asm!$C$3:$R$114, Q$2*16 + Q$3 + INT($A32/16) + 1, MOD($A32, 16) + 1))</f>
        <v>A9</v>
      </c>
      <c r="R32" s="7" t="str" cm="1">
        <f t="array" ref="R32">IF(ISBLANK(R$3),Q32&amp;P32,INDEX(pixel_shift_table.asm!$C$3:$R$114, R$2*16 + R$3 + INT($A32/16) + 1, MOD($A32, 16) + 1))</f>
        <v>A9DA</v>
      </c>
      <c r="S32" s="6" t="str" cm="1">
        <f t="array" ref="S32">IF(ISBLANK(S$3),R32&amp;Q32,INDEX(pixel_shift_table.asm!$C$3:$R$114, S$2*16 + S$3 + INT($A32/16) + 1, MOD($A32, 16) + 1))</f>
        <v>DC</v>
      </c>
      <c r="T32" s="5" t="str" cm="1">
        <f t="array" ref="T32">IF(ISBLANK(T$3),S32&amp;R32,INDEX(pixel_shift_table.asm!$C$3:$R$114, T$2*16 + T$3 + INT($A32/16) + 1, MOD($A32, 16) + 1))</f>
        <v>A9</v>
      </c>
      <c r="U32" s="7" t="str" cm="1">
        <f t="array" ref="U32">IF(ISBLANK(U$3),T32&amp;S32,INDEX(pixel_shift_table.asm!$C$3:$R$114, U$2*16 + U$3 + INT($A32/16) + 1, MOD($A32, 16) + 1))</f>
        <v>A9DC</v>
      </c>
      <c r="V32" s="6" t="str" cm="1">
        <f t="array" ref="V32">IF(ISBLANK(V$3),U32&amp;T32,INDEX(pixel_shift_table.asm!$C$3:$R$114, V$2*16 + V$3 + INT($A32/16) + 1, MOD($A32, 16) + 1))</f>
        <v>DE</v>
      </c>
      <c r="W32" s="5" t="str" cm="1">
        <f t="array" ref="W32">IF(ISBLANK(W$3),V32&amp;U32,INDEX(pixel_shift_table.asm!$C$3:$R$114, W$2*16 + W$3 + INT($A32/16) + 1, MOD($A32, 16) + 1))</f>
        <v>A9</v>
      </c>
      <c r="X32" s="7" t="str" cm="1">
        <f t="array" ref="X32">IF(ISBLANK(X$3),W32&amp;V32,INDEX(pixel_shift_table.asm!$C$3:$R$114, X$2*16 + X$3 + INT($A32/16) + 1, MOD($A32, 16) + 1))</f>
        <v>A9DE</v>
      </c>
    </row>
    <row r="33" spans="1:24" x14ac:dyDescent="0.3">
      <c r="A33">
        <v>28</v>
      </c>
      <c r="B33" s="8">
        <v>111</v>
      </c>
      <c r="C33" s="5" t="s">
        <v>777</v>
      </c>
      <c r="D33" s="6" t="str" cm="1">
        <f t="array" ref="D33">IF(ISBLANK(D$3),C33&amp;B33,INDEX(pixel_shift_table.asm!$C$3:$R$114, D$2*16 + D$3 + INT($A33/16) + 1, MOD($A33, 16) + 1))</f>
        <v>36</v>
      </c>
      <c r="E33" s="5" t="str" cm="1">
        <f t="array" ref="E33">IF(ISBLANK(E$3),D33&amp;C33,INDEX(pixel_shift_table.asm!$C$3:$R$114, E$2*16 + E$3 + INT($A33/16) + 1, MOD($A33, 16) + 1))</f>
        <v>A9</v>
      </c>
      <c r="F33" s="7" t="str" cm="1">
        <f t="array" ref="F33">IF(ISBLANK(F$3),E33&amp;D33,INDEX(pixel_shift_table.asm!$C$3:$R$114, F$2*16 + F$3 + INT($A33/16) + 1, MOD($A33, 16) + 1))</f>
        <v>A936</v>
      </c>
      <c r="G33" s="6" t="str" cm="1">
        <f t="array" ref="G33">IF(ISBLANK(G$3),F33&amp;E33,INDEX(pixel_shift_table.asm!$C$3:$R$114, G$2*16 + G$3 + INT($A33/16) + 1, MOD($A33, 16) + 1))</f>
        <v>38</v>
      </c>
      <c r="H33" s="5" t="str" cm="1">
        <f t="array" ref="H33">IF(ISBLANK(H$3),G33&amp;F33,INDEX(pixel_shift_table.asm!$C$3:$R$114, H$2*16 + H$3 + INT($A33/16) + 1, MOD($A33, 16) + 1))</f>
        <v>A9</v>
      </c>
      <c r="I33" s="7" t="str" cm="1">
        <f t="array" ref="I33">IF(ISBLANK(I$3),H33&amp;G33,INDEX(pixel_shift_table.asm!$C$3:$R$114, I$2*16 + I$3 + INT($A33/16) + 1, MOD($A33, 16) + 1))</f>
        <v>A938</v>
      </c>
      <c r="J33" s="6" t="str" cm="1">
        <f t="array" ref="J33">IF(ISBLANK(J$3),I33&amp;H33,INDEX(pixel_shift_table.asm!$C$3:$R$114, J$2*16 + J$3 + INT($A33/16) + 1, MOD($A33, 16) + 1))</f>
        <v>3A</v>
      </c>
      <c r="K33" s="5" t="str" cm="1">
        <f t="array" ref="K33">IF(ISBLANK(K$3),J33&amp;I33,INDEX(pixel_shift_table.asm!$C$3:$R$114, K$2*16 + K$3 + INT($A33/16) + 1, MOD($A33, 16) + 1))</f>
        <v>A9</v>
      </c>
      <c r="L33" s="7" t="str" cm="1">
        <f t="array" ref="L33">IF(ISBLANK(L$3),K33&amp;J33,INDEX(pixel_shift_table.asm!$C$3:$R$114, L$2*16 + L$3 + INT($A33/16) + 1, MOD($A33, 16) + 1))</f>
        <v>A93A</v>
      </c>
      <c r="M33" s="6" t="str" cm="1">
        <f t="array" ref="M33">IF(ISBLANK(M$3),L33&amp;K33,INDEX(pixel_shift_table.asm!$C$3:$R$114, M$2*16 + M$3 + INT($A33/16) + 1, MOD($A33, 16) + 1))</f>
        <v>3C</v>
      </c>
      <c r="N33" s="5" t="str" cm="1">
        <f t="array" ref="N33">IF(ISBLANK(N$3),M33&amp;L33,INDEX(pixel_shift_table.asm!$C$3:$R$114, N$2*16 + N$3 + INT($A33/16) + 1, MOD($A33, 16) + 1))</f>
        <v>A9</v>
      </c>
      <c r="O33" s="7" t="str" cm="1">
        <f t="array" ref="O33">IF(ISBLANK(O$3),N33&amp;M33,INDEX(pixel_shift_table.asm!$C$3:$R$114, O$2*16 + O$3 + INT($A33/16) + 1, MOD($A33, 16) + 1))</f>
        <v>A93C</v>
      </c>
      <c r="P33" s="6" t="str" cm="1">
        <f t="array" ref="P33">IF(ISBLANK(P$3),O33&amp;N33,INDEX(pixel_shift_table.asm!$C$3:$R$114, P$2*16 + P$3 + INT($A33/16) + 1, MOD($A33, 16) + 1))</f>
        <v>3E</v>
      </c>
      <c r="Q33" s="5" t="str" cm="1">
        <f t="array" ref="Q33">IF(ISBLANK(Q$3),P33&amp;O33,INDEX(pixel_shift_table.asm!$C$3:$R$114, Q$2*16 + Q$3 + INT($A33/16) + 1, MOD($A33, 16) + 1))</f>
        <v>A9</v>
      </c>
      <c r="R33" s="7" t="str" cm="1">
        <f t="array" ref="R33">IF(ISBLANK(R$3),Q33&amp;P33,INDEX(pixel_shift_table.asm!$C$3:$R$114, R$2*16 + R$3 + INT($A33/16) + 1, MOD($A33, 16) + 1))</f>
        <v>A93E</v>
      </c>
      <c r="S33" s="6" t="str" cm="1">
        <f t="array" ref="S33">IF(ISBLANK(S$3),R33&amp;Q33,INDEX(pixel_shift_table.asm!$C$3:$R$114, S$2*16 + S$3 + INT($A33/16) + 1, MOD($A33, 16) + 1))</f>
        <v>70</v>
      </c>
      <c r="T33" s="5" t="str" cm="1">
        <f t="array" ref="T33">IF(ISBLANK(T$3),S33&amp;R33,INDEX(pixel_shift_table.asm!$C$3:$R$114, T$2*16 + T$3 + INT($A33/16) + 1, MOD($A33, 16) + 1))</f>
        <v>A9</v>
      </c>
      <c r="U33" s="7" t="str" cm="1">
        <f t="array" ref="U33">IF(ISBLANK(U$3),T33&amp;S33,INDEX(pixel_shift_table.asm!$C$3:$R$114, U$2*16 + U$3 + INT($A33/16) + 1, MOD($A33, 16) + 1))</f>
        <v>A970</v>
      </c>
      <c r="V33" s="6" t="str" cm="1">
        <f t="array" ref="V33">IF(ISBLANK(V$3),U33&amp;T33,INDEX(pixel_shift_table.asm!$C$3:$R$114, V$2*16 + V$3 + INT($A33/16) + 1, MOD($A33, 16) + 1))</f>
        <v>E0</v>
      </c>
      <c r="W33" s="5" t="str" cm="1">
        <f t="array" ref="W33">IF(ISBLANK(W$3),V33&amp;U33,INDEX(pixel_shift_table.asm!$C$3:$R$114, W$2*16 + W$3 + INT($A33/16) + 1, MOD($A33, 16) + 1))</f>
        <v>A9</v>
      </c>
      <c r="X33" s="7" t="str" cm="1">
        <f t="array" ref="X33">IF(ISBLANK(X$3),W33&amp;V33,INDEX(pixel_shift_table.asm!$C$3:$R$114, X$2*16 + X$3 + INT($A33/16) + 1, MOD($A33, 16) + 1))</f>
        <v>A9E0</v>
      </c>
    </row>
    <row r="34" spans="1:24" x14ac:dyDescent="0.3">
      <c r="A34">
        <v>29</v>
      </c>
      <c r="B34" s="8">
        <v>111.01</v>
      </c>
      <c r="C34" s="5" t="s">
        <v>778</v>
      </c>
      <c r="D34" s="6" t="str" cm="1">
        <f t="array" ref="D34">IF(ISBLANK(D$3),C34&amp;B34,INDEX(pixel_shift_table.asm!$C$3:$R$114, D$2*16 + D$3 + INT($A34/16) + 1, MOD($A34, 16) + 1))</f>
        <v>E2</v>
      </c>
      <c r="E34" s="5" t="str" cm="1">
        <f t="array" ref="E34">IF(ISBLANK(E$3),D34&amp;C34,INDEX(pixel_shift_table.asm!$C$3:$R$114, E$2*16 + E$3 + INT($A34/16) + 1, MOD($A34, 16) + 1))</f>
        <v>A9</v>
      </c>
      <c r="F34" s="7" t="str" cm="1">
        <f t="array" ref="F34">IF(ISBLANK(F$3),E34&amp;D34,INDEX(pixel_shift_table.asm!$C$3:$R$114, F$2*16 + F$3 + INT($A34/16) + 1, MOD($A34, 16) + 1))</f>
        <v>A9E2</v>
      </c>
      <c r="G34" s="6" t="str" cm="1">
        <f t="array" ref="G34">IF(ISBLANK(G$3),F34&amp;E34,INDEX(pixel_shift_table.asm!$C$3:$R$114, G$2*16 + G$3 + INT($A34/16) + 1, MOD($A34, 16) + 1))</f>
        <v>E4</v>
      </c>
      <c r="H34" s="5" t="str" cm="1">
        <f t="array" ref="H34">IF(ISBLANK(H$3),G34&amp;F34,INDEX(pixel_shift_table.asm!$C$3:$R$114, H$2*16 + H$3 + INT($A34/16) + 1, MOD($A34, 16) + 1))</f>
        <v>A9</v>
      </c>
      <c r="I34" s="7" t="str" cm="1">
        <f t="array" ref="I34">IF(ISBLANK(I$3),H34&amp;G34,INDEX(pixel_shift_table.asm!$C$3:$R$114, I$2*16 + I$3 + INT($A34/16) + 1, MOD($A34, 16) + 1))</f>
        <v>A9E4</v>
      </c>
      <c r="J34" s="6" t="str" cm="1">
        <f t="array" ref="J34">IF(ISBLANK(J$3),I34&amp;H34,INDEX(pixel_shift_table.asm!$C$3:$R$114, J$2*16 + J$3 + INT($A34/16) + 1, MOD($A34, 16) + 1))</f>
        <v>E6</v>
      </c>
      <c r="K34" s="5" t="str" cm="1">
        <f t="array" ref="K34">IF(ISBLANK(K$3),J34&amp;I34,INDEX(pixel_shift_table.asm!$C$3:$R$114, K$2*16 + K$3 + INT($A34/16) + 1, MOD($A34, 16) + 1))</f>
        <v>A9</v>
      </c>
      <c r="L34" s="7" t="str" cm="1">
        <f t="array" ref="L34">IF(ISBLANK(L$3),K34&amp;J34,INDEX(pixel_shift_table.asm!$C$3:$R$114, L$2*16 + L$3 + INT($A34/16) + 1, MOD($A34, 16) + 1))</f>
        <v>A9E6</v>
      </c>
      <c r="M34" s="6" t="str" cm="1">
        <f t="array" ref="M34">IF(ISBLANK(M$3),L34&amp;K34,INDEX(pixel_shift_table.asm!$C$3:$R$114, M$2*16 + M$3 + INT($A34/16) + 1, MOD($A34, 16) + 1))</f>
        <v>E8</v>
      </c>
      <c r="N34" s="5" t="str" cm="1">
        <f t="array" ref="N34">IF(ISBLANK(N$3),M34&amp;L34,INDEX(pixel_shift_table.asm!$C$3:$R$114, N$2*16 + N$3 + INT($A34/16) + 1, MOD($A34, 16) + 1))</f>
        <v>A9</v>
      </c>
      <c r="O34" s="7" t="str" cm="1">
        <f t="array" ref="O34">IF(ISBLANK(O$3),N34&amp;M34,INDEX(pixel_shift_table.asm!$C$3:$R$114, O$2*16 + O$3 + INT($A34/16) + 1, MOD($A34, 16) + 1))</f>
        <v>A9E8</v>
      </c>
      <c r="P34" s="6" t="str" cm="1">
        <f t="array" ref="P34">IF(ISBLANK(P$3),O34&amp;N34,INDEX(pixel_shift_table.asm!$C$3:$R$114, P$2*16 + P$3 + INT($A34/16) + 1, MOD($A34, 16) + 1))</f>
        <v>EA</v>
      </c>
      <c r="Q34" s="5" t="str" cm="1">
        <f t="array" ref="Q34">IF(ISBLANK(Q$3),P34&amp;O34,INDEX(pixel_shift_table.asm!$C$3:$R$114, Q$2*16 + Q$3 + INT($A34/16) + 1, MOD($A34, 16) + 1))</f>
        <v>A9</v>
      </c>
      <c r="R34" s="7" t="str" cm="1">
        <f t="array" ref="R34">IF(ISBLANK(R$3),Q34&amp;P34,INDEX(pixel_shift_table.asm!$C$3:$R$114, R$2*16 + R$3 + INT($A34/16) + 1, MOD($A34, 16) + 1))</f>
        <v>A9EA</v>
      </c>
      <c r="S34" s="6" t="str" cm="1">
        <f t="array" ref="S34">IF(ISBLANK(S$3),R34&amp;Q34,INDEX(pixel_shift_table.asm!$C$3:$R$114, S$2*16 + S$3 + INT($A34/16) + 1, MOD($A34, 16) + 1))</f>
        <v>EC</v>
      </c>
      <c r="T34" s="5" t="str" cm="1">
        <f t="array" ref="T34">IF(ISBLANK(T$3),S34&amp;R34,INDEX(pixel_shift_table.asm!$C$3:$R$114, T$2*16 + T$3 + INT($A34/16) + 1, MOD($A34, 16) + 1))</f>
        <v>A9</v>
      </c>
      <c r="U34" s="7" t="str" cm="1">
        <f t="array" ref="U34">IF(ISBLANK(U$3),T34&amp;S34,INDEX(pixel_shift_table.asm!$C$3:$R$114, U$2*16 + U$3 + INT($A34/16) + 1, MOD($A34, 16) + 1))</f>
        <v>A9EC</v>
      </c>
      <c r="V34" s="6" t="str" cm="1">
        <f t="array" ref="V34">IF(ISBLANK(V$3),U34&amp;T34,INDEX(pixel_shift_table.asm!$C$3:$R$114, V$2*16 + V$3 + INT($A34/16) + 1, MOD($A34, 16) + 1))</f>
        <v>EE</v>
      </c>
      <c r="W34" s="5" t="str" cm="1">
        <f t="array" ref="W34">IF(ISBLANK(W$3),V34&amp;U34,INDEX(pixel_shift_table.asm!$C$3:$R$114, W$2*16 + W$3 + INT($A34/16) + 1, MOD($A34, 16) + 1))</f>
        <v>A9</v>
      </c>
      <c r="X34" s="7" t="str" cm="1">
        <f t="array" ref="X34">IF(ISBLANK(X$3),W34&amp;V34,INDEX(pixel_shift_table.asm!$C$3:$R$114, X$2*16 + X$3 + INT($A34/16) + 1, MOD($A34, 16) + 1))</f>
        <v>A9EE</v>
      </c>
    </row>
    <row r="35" spans="1:24" x14ac:dyDescent="0.3">
      <c r="A35">
        <v>30</v>
      </c>
      <c r="B35" s="8">
        <v>111.1</v>
      </c>
      <c r="C35" s="5" t="s">
        <v>779</v>
      </c>
      <c r="D35" s="6" t="str" cm="1">
        <f t="array" ref="D35">IF(ISBLANK(D$3),C35&amp;B35,INDEX(pixel_shift_table.asm!$C$3:$R$114, D$2*16 + D$3 + INT($A35/16) + 1, MOD($A35, 16) + 1))</f>
        <v>74</v>
      </c>
      <c r="E35" s="5" t="str" cm="1">
        <f t="array" ref="E35">IF(ISBLANK(E$3),D35&amp;C35,INDEX(pixel_shift_table.asm!$C$3:$R$114, E$2*16 + E$3 + INT($A35/16) + 1, MOD($A35, 16) + 1))</f>
        <v>A9</v>
      </c>
      <c r="F35" s="7" t="str" cm="1">
        <f t="array" ref="F35">IF(ISBLANK(F$3),E35&amp;D35,INDEX(pixel_shift_table.asm!$C$3:$R$114, F$2*16 + F$3 + INT($A35/16) + 1, MOD($A35, 16) + 1))</f>
        <v>A974</v>
      </c>
      <c r="G35" s="6" t="str" cm="1">
        <f t="array" ref="G35">IF(ISBLANK(G$3),F35&amp;E35,INDEX(pixel_shift_table.asm!$C$3:$R$114, G$2*16 + G$3 + INT($A35/16) + 1, MOD($A35, 16) + 1))</f>
        <v>76</v>
      </c>
      <c r="H35" s="5" t="str" cm="1">
        <f t="array" ref="H35">IF(ISBLANK(H$3),G35&amp;F35,INDEX(pixel_shift_table.asm!$C$3:$R$114, H$2*16 + H$3 + INT($A35/16) + 1, MOD($A35, 16) + 1))</f>
        <v>A9</v>
      </c>
      <c r="I35" s="7" t="str" cm="1">
        <f t="array" ref="I35">IF(ISBLANK(I$3),H35&amp;G35,INDEX(pixel_shift_table.asm!$C$3:$R$114, I$2*16 + I$3 + INT($A35/16) + 1, MOD($A35, 16) + 1))</f>
        <v>A976</v>
      </c>
      <c r="J35" s="6" t="str" cm="1">
        <f t="array" ref="J35">IF(ISBLANK(J$3),I35&amp;H35,INDEX(pixel_shift_table.asm!$C$3:$R$114, J$2*16 + J$3 + INT($A35/16) + 1, MOD($A35, 16) + 1))</f>
        <v>78</v>
      </c>
      <c r="K35" s="5" t="str" cm="1">
        <f t="array" ref="K35">IF(ISBLANK(K$3),J35&amp;I35,INDEX(pixel_shift_table.asm!$C$3:$R$114, K$2*16 + K$3 + INT($A35/16) + 1, MOD($A35, 16) + 1))</f>
        <v>A9</v>
      </c>
      <c r="L35" s="7" t="str" cm="1">
        <f t="array" ref="L35">IF(ISBLANK(L$3),K35&amp;J35,INDEX(pixel_shift_table.asm!$C$3:$R$114, L$2*16 + L$3 + INT($A35/16) + 1, MOD($A35, 16) + 1))</f>
        <v>A978</v>
      </c>
      <c r="M35" s="6" t="str" cm="1">
        <f t="array" ref="M35">IF(ISBLANK(M$3),L35&amp;K35,INDEX(pixel_shift_table.asm!$C$3:$R$114, M$2*16 + M$3 + INT($A35/16) + 1, MOD($A35, 16) + 1))</f>
        <v>7A</v>
      </c>
      <c r="N35" s="5" t="str" cm="1">
        <f t="array" ref="N35">IF(ISBLANK(N$3),M35&amp;L35,INDEX(pixel_shift_table.asm!$C$3:$R$114, N$2*16 + N$3 + INT($A35/16) + 1, MOD($A35, 16) + 1))</f>
        <v>A9</v>
      </c>
      <c r="O35" s="7" t="str" cm="1">
        <f t="array" ref="O35">IF(ISBLANK(O$3),N35&amp;M35,INDEX(pixel_shift_table.asm!$C$3:$R$114, O$2*16 + O$3 + INT($A35/16) + 1, MOD($A35, 16) + 1))</f>
        <v>A97A</v>
      </c>
      <c r="P35" s="6" t="str" cm="1">
        <f t="array" ref="P35">IF(ISBLANK(P$3),O35&amp;N35,INDEX(pixel_shift_table.asm!$C$3:$R$114, P$2*16 + P$3 + INT($A35/16) + 1, MOD($A35, 16) + 1))</f>
        <v>7C</v>
      </c>
      <c r="Q35" s="5" t="str" cm="1">
        <f t="array" ref="Q35">IF(ISBLANK(Q$3),P35&amp;O35,INDEX(pixel_shift_table.asm!$C$3:$R$114, Q$2*16 + Q$3 + INT($A35/16) + 1, MOD($A35, 16) + 1))</f>
        <v>A9</v>
      </c>
      <c r="R35" s="7" t="str" cm="1">
        <f t="array" ref="R35">IF(ISBLANK(R$3),Q35&amp;P35,INDEX(pixel_shift_table.asm!$C$3:$R$114, R$2*16 + R$3 + INT($A35/16) + 1, MOD($A35, 16) + 1))</f>
        <v>A97C</v>
      </c>
      <c r="S35" s="6" t="str" cm="1">
        <f t="array" ref="S35">IF(ISBLANK(S$3),R35&amp;Q35,INDEX(pixel_shift_table.asm!$C$3:$R$114, S$2*16 + S$3 + INT($A35/16) + 1, MOD($A35, 16) + 1))</f>
        <v>7E</v>
      </c>
      <c r="T35" s="5" t="str" cm="1">
        <f t="array" ref="T35">IF(ISBLANK(T$3),S35&amp;R35,INDEX(pixel_shift_table.asm!$C$3:$R$114, T$2*16 + T$3 + INT($A35/16) + 1, MOD($A35, 16) + 1))</f>
        <v>A9</v>
      </c>
      <c r="U35" s="7" t="str" cm="1">
        <f t="array" ref="U35">IF(ISBLANK(U$3),T35&amp;S35,INDEX(pixel_shift_table.asm!$C$3:$R$114, U$2*16 + U$3 + INT($A35/16) + 1, MOD($A35, 16) + 1))</f>
        <v>A97E</v>
      </c>
      <c r="V35" s="6" t="str" cm="1">
        <f t="array" ref="V35">IF(ISBLANK(V$3),U35&amp;T35,INDEX(pixel_shift_table.asm!$C$3:$R$114, V$2*16 + V$3 + INT($A35/16) + 1, MOD($A35, 16) + 1))</f>
        <v>F0</v>
      </c>
      <c r="W35" s="5" t="str" cm="1">
        <f t="array" ref="W35">IF(ISBLANK(W$3),V35&amp;U35,INDEX(pixel_shift_table.asm!$C$3:$R$114, W$2*16 + W$3 + INT($A35/16) + 1, MOD($A35, 16) + 1))</f>
        <v>A9</v>
      </c>
      <c r="X35" s="7" t="str" cm="1">
        <f t="array" ref="X35">IF(ISBLANK(X$3),W35&amp;V35,INDEX(pixel_shift_table.asm!$C$3:$R$114, X$2*16 + X$3 + INT($A35/16) + 1, MOD($A35, 16) + 1))</f>
        <v>A9F0</v>
      </c>
    </row>
    <row r="36" spans="1:24" x14ac:dyDescent="0.3">
      <c r="A36">
        <v>31</v>
      </c>
      <c r="B36" s="8">
        <v>111.11</v>
      </c>
      <c r="C36" s="5" t="s">
        <v>780</v>
      </c>
      <c r="D36" s="6" t="str" cm="1">
        <f t="array" ref="D36">IF(ISBLANK(D$3),C36&amp;B36,INDEX(pixel_shift_table.asm!$C$3:$R$114, D$2*16 + D$3 + INT($A36/16) + 1, MOD($A36, 16) + 1))</f>
        <v>F2</v>
      </c>
      <c r="E36" s="5" t="str" cm="1">
        <f t="array" ref="E36">IF(ISBLANK(E$3),D36&amp;C36,INDEX(pixel_shift_table.asm!$C$3:$R$114, E$2*16 + E$3 + INT($A36/16) + 1, MOD($A36, 16) + 1))</f>
        <v>A9</v>
      </c>
      <c r="F36" s="7" t="str" cm="1">
        <f t="array" ref="F36">IF(ISBLANK(F$3),E36&amp;D36,INDEX(pixel_shift_table.asm!$C$3:$R$114, F$2*16 + F$3 + INT($A36/16) + 1, MOD($A36, 16) + 1))</f>
        <v>A9F2</v>
      </c>
      <c r="G36" s="6" t="str" cm="1">
        <f t="array" ref="G36">IF(ISBLANK(G$3),F36&amp;E36,INDEX(pixel_shift_table.asm!$C$3:$R$114, G$2*16 + G$3 + INT($A36/16) + 1, MOD($A36, 16) + 1))</f>
        <v>F4</v>
      </c>
      <c r="H36" s="5" t="str" cm="1">
        <f t="array" ref="H36">IF(ISBLANK(H$3),G36&amp;F36,INDEX(pixel_shift_table.asm!$C$3:$R$114, H$2*16 + H$3 + INT($A36/16) + 1, MOD($A36, 16) + 1))</f>
        <v>A9</v>
      </c>
      <c r="I36" s="7" t="str" cm="1">
        <f t="array" ref="I36">IF(ISBLANK(I$3),H36&amp;G36,INDEX(pixel_shift_table.asm!$C$3:$R$114, I$2*16 + I$3 + INT($A36/16) + 1, MOD($A36, 16) + 1))</f>
        <v>A9F4</v>
      </c>
      <c r="J36" s="6" t="str" cm="1">
        <f t="array" ref="J36">IF(ISBLANK(J$3),I36&amp;H36,INDEX(pixel_shift_table.asm!$C$3:$R$114, J$2*16 + J$3 + INT($A36/16) + 1, MOD($A36, 16) + 1))</f>
        <v>F6</v>
      </c>
      <c r="K36" s="5" t="str" cm="1">
        <f t="array" ref="K36">IF(ISBLANK(K$3),J36&amp;I36,INDEX(pixel_shift_table.asm!$C$3:$R$114, K$2*16 + K$3 + INT($A36/16) + 1, MOD($A36, 16) + 1))</f>
        <v>A9</v>
      </c>
      <c r="L36" s="7" t="str" cm="1">
        <f t="array" ref="L36">IF(ISBLANK(L$3),K36&amp;J36,INDEX(pixel_shift_table.asm!$C$3:$R$114, L$2*16 + L$3 + INT($A36/16) + 1, MOD($A36, 16) + 1))</f>
        <v>A9F6</v>
      </c>
      <c r="M36" s="6" t="str" cm="1">
        <f t="array" ref="M36">IF(ISBLANK(M$3),L36&amp;K36,INDEX(pixel_shift_table.asm!$C$3:$R$114, M$2*16 + M$3 + INT($A36/16) + 1, MOD($A36, 16) + 1))</f>
        <v>F8</v>
      </c>
      <c r="N36" s="5" t="str" cm="1">
        <f t="array" ref="N36">IF(ISBLANK(N$3),M36&amp;L36,INDEX(pixel_shift_table.asm!$C$3:$R$114, N$2*16 + N$3 + INT($A36/16) + 1, MOD($A36, 16) + 1))</f>
        <v>A9</v>
      </c>
      <c r="O36" s="7" t="str" cm="1">
        <f t="array" ref="O36">IF(ISBLANK(O$3),N36&amp;M36,INDEX(pixel_shift_table.asm!$C$3:$R$114, O$2*16 + O$3 + INT($A36/16) + 1, MOD($A36, 16) + 1))</f>
        <v>A9F8</v>
      </c>
      <c r="P36" s="6" t="str" cm="1">
        <f t="array" ref="P36">IF(ISBLANK(P$3),O36&amp;N36,INDEX(pixel_shift_table.asm!$C$3:$R$114, P$2*16 + P$3 + INT($A36/16) + 1, MOD($A36, 16) + 1))</f>
        <v>FA</v>
      </c>
      <c r="Q36" s="5" t="str" cm="1">
        <f t="array" ref="Q36">IF(ISBLANK(Q$3),P36&amp;O36,INDEX(pixel_shift_table.asm!$C$3:$R$114, Q$2*16 + Q$3 + INT($A36/16) + 1, MOD($A36, 16) + 1))</f>
        <v>A9</v>
      </c>
      <c r="R36" s="7" t="str" cm="1">
        <f t="array" ref="R36">IF(ISBLANK(R$3),Q36&amp;P36,INDEX(pixel_shift_table.asm!$C$3:$R$114, R$2*16 + R$3 + INT($A36/16) + 1, MOD($A36, 16) + 1))</f>
        <v>A9FA</v>
      </c>
      <c r="S36" s="6" t="str" cm="1">
        <f t="array" ref="S36">IF(ISBLANK(S$3),R36&amp;Q36,INDEX(pixel_shift_table.asm!$C$3:$R$114, S$2*16 + S$3 + INT($A36/16) + 1, MOD($A36, 16) + 1))</f>
        <v>FC</v>
      </c>
      <c r="T36" s="5" t="str" cm="1">
        <f t="array" ref="T36">IF(ISBLANK(T$3),S36&amp;R36,INDEX(pixel_shift_table.asm!$C$3:$R$114, T$2*16 + T$3 + INT($A36/16) + 1, MOD($A36, 16) + 1))</f>
        <v>A9</v>
      </c>
      <c r="U36" s="7" t="str" cm="1">
        <f t="array" ref="U36">IF(ISBLANK(U$3),T36&amp;S36,INDEX(pixel_shift_table.asm!$C$3:$R$114, U$2*16 + U$3 + INT($A36/16) + 1, MOD($A36, 16) + 1))</f>
        <v>A9FC</v>
      </c>
      <c r="V36" s="6" t="str" cm="1">
        <f t="array" ref="V36">IF(ISBLANK(V$3),U36&amp;T36,INDEX(pixel_shift_table.asm!$C$3:$R$114, V$2*16 + V$3 + INT($A36/16) + 1, MOD($A36, 16) + 1))</f>
        <v>FE</v>
      </c>
      <c r="W36" s="5" t="str" cm="1">
        <f t="array" ref="W36">IF(ISBLANK(W$3),V36&amp;U36,INDEX(pixel_shift_table.asm!$C$3:$R$114, W$2*16 + W$3 + INT($A36/16) + 1, MOD($A36, 16) + 1))</f>
        <v>A9</v>
      </c>
      <c r="X36" s="7" t="str" cm="1">
        <f t="array" ref="X36">IF(ISBLANK(X$3),W36&amp;V36,INDEX(pixel_shift_table.asm!$C$3:$R$114, X$2*16 + X$3 + INT($A36/16) + 1, MOD($A36, 16) + 1))</f>
        <v>A9FE</v>
      </c>
    </row>
    <row r="37" spans="1:24" x14ac:dyDescent="0.3">
      <c r="A37">
        <v>32</v>
      </c>
      <c r="B37" s="8">
        <v>1000</v>
      </c>
      <c r="C37" s="5" t="s">
        <v>781</v>
      </c>
      <c r="D37" s="6" t="str" cm="1">
        <f t="array" ref="D37">IF(ISBLANK(D$3),C37&amp;B37,INDEX(pixel_shift_table.asm!$C$3:$R$114, D$2*16 + D$3 + INT($A37/16) + 1, MOD($A37, 16) + 1))</f>
        <v>0C</v>
      </c>
      <c r="E37" s="5" t="str" cm="1">
        <f t="array" ref="E37">IF(ISBLANK(E$3),D37&amp;C37,INDEX(pixel_shift_table.asm!$C$3:$R$114, E$2*16 + E$3 + INT($A37/16) + 1, MOD($A37, 16) + 1))</f>
        <v>A9</v>
      </c>
      <c r="F37" s="7" t="str" cm="1">
        <f t="array" ref="F37">IF(ISBLANK(F$3),E37&amp;D37,INDEX(pixel_shift_table.asm!$C$3:$R$114, F$2*16 + F$3 + INT($A37/16) + 1, MOD($A37, 16) + 1))</f>
        <v>A90C</v>
      </c>
      <c r="G37" s="6" t="str" cm="1">
        <f t="array" ref="G37">IF(ISBLANK(G$3),F37&amp;E37,INDEX(pixel_shift_table.asm!$C$3:$R$114, G$2*16 + G$3 + INT($A37/16) + 1, MOD($A37, 16) + 1))</f>
        <v>0E</v>
      </c>
      <c r="H37" s="5" t="str" cm="1">
        <f t="array" ref="H37">IF(ISBLANK(H$3),G37&amp;F37,INDEX(pixel_shift_table.asm!$C$3:$R$114, H$2*16 + H$3 + INT($A37/16) + 1, MOD($A37, 16) + 1))</f>
        <v>A9</v>
      </c>
      <c r="I37" s="7" t="str" cm="1">
        <f t="array" ref="I37">IF(ISBLANK(I$3),H37&amp;G37,INDEX(pixel_shift_table.asm!$C$3:$R$114, I$2*16 + I$3 + INT($A37/16) + 1, MOD($A37, 16) + 1))</f>
        <v>A90E</v>
      </c>
      <c r="J37" s="6" t="str" cm="1">
        <f t="array" ref="J37">IF(ISBLANK(J$3),I37&amp;H37,INDEX(pixel_shift_table.asm!$C$3:$R$114, J$2*16 + J$3 + INT($A37/16) + 1, MOD($A37, 16) + 1))</f>
        <v>10</v>
      </c>
      <c r="K37" s="5" t="str" cm="1">
        <f t="array" ref="K37">IF(ISBLANK(K$3),J37&amp;I37,INDEX(pixel_shift_table.asm!$C$3:$R$114, K$2*16 + K$3 + INT($A37/16) + 1, MOD($A37, 16) + 1))</f>
        <v>A9</v>
      </c>
      <c r="L37" s="7" t="str" cm="1">
        <f t="array" ref="L37">IF(ISBLANK(L$3),K37&amp;J37,INDEX(pixel_shift_table.asm!$C$3:$R$114, L$2*16 + L$3 + INT($A37/16) + 1, MOD($A37, 16) + 1))</f>
        <v>A910</v>
      </c>
      <c r="M37" s="6" t="str" cm="1">
        <f t="array" ref="M37">IF(ISBLANK(M$3),L37&amp;K37,INDEX(pixel_shift_table.asm!$C$3:$R$114, M$2*16 + M$3 + INT($A37/16) + 1, MOD($A37, 16) + 1))</f>
        <v>20</v>
      </c>
      <c r="N37" s="5" t="str" cm="1">
        <f t="array" ref="N37">IF(ISBLANK(N$3),M37&amp;L37,INDEX(pixel_shift_table.asm!$C$3:$R$114, N$2*16 + N$3 + INT($A37/16) + 1, MOD($A37, 16) + 1))</f>
        <v>A9</v>
      </c>
      <c r="O37" s="7" t="str" cm="1">
        <f t="array" ref="O37">IF(ISBLANK(O$3),N37&amp;M37,INDEX(pixel_shift_table.asm!$C$3:$R$114, O$2*16 + O$3 + INT($A37/16) + 1, MOD($A37, 16) + 1))</f>
        <v>A920</v>
      </c>
      <c r="P37" s="6" t="str" cm="1">
        <f t="array" ref="P37">IF(ISBLANK(P$3),O37&amp;N37,INDEX(pixel_shift_table.asm!$C$3:$R$114, P$2*16 + P$3 + INT($A37/16) + 1, MOD($A37, 16) + 1))</f>
        <v>40</v>
      </c>
      <c r="Q37" s="5" t="str" cm="1">
        <f t="array" ref="Q37">IF(ISBLANK(Q$3),P37&amp;O37,INDEX(pixel_shift_table.asm!$C$3:$R$114, Q$2*16 + Q$3 + INT($A37/16) + 1, MOD($A37, 16) + 1))</f>
        <v>A9</v>
      </c>
      <c r="R37" s="7" t="str" cm="1">
        <f t="array" ref="R37">IF(ISBLANK(R$3),Q37&amp;P37,INDEX(pixel_shift_table.asm!$C$3:$R$114, R$2*16 + R$3 + INT($A37/16) + 1, MOD($A37, 16) + 1))</f>
        <v>A940</v>
      </c>
      <c r="S37" s="6" t="str" cm="1">
        <f t="array" ref="S37">IF(ISBLANK(S$3),R37&amp;Q37,INDEX(pixel_shift_table.asm!$C$3:$R$114, S$2*16 + S$3 + INT($A37/16) + 1, MOD($A37, 16) + 1))</f>
        <v>80</v>
      </c>
      <c r="T37" s="5" t="str" cm="1">
        <f t="array" ref="T37">IF(ISBLANK(T$3),S37&amp;R37,INDEX(pixel_shift_table.asm!$C$3:$R$114, T$2*16 + T$3 + INT($A37/16) + 1, MOD($A37, 16) + 1))</f>
        <v>A9</v>
      </c>
      <c r="U37" s="7" t="str" cm="1">
        <f t="array" ref="U37">IF(ISBLANK(U$3),T37&amp;S37,INDEX(pixel_shift_table.asm!$C$3:$R$114, U$2*16 + U$3 + INT($A37/16) + 1, MOD($A37, 16) + 1))</f>
        <v>A980</v>
      </c>
      <c r="V37" s="6" t="str" cm="1">
        <f t="array" ref="V37">IF(ISBLANK(V$3),U37&amp;T37,INDEX(pixel_shift_table.asm!$C$3:$R$114, V$2*16 + V$3 + INT($A37/16) + 1, MOD($A37, 16) + 1))</f>
        <v>00</v>
      </c>
      <c r="W37" s="5" t="str" cm="1">
        <f t="array" ref="W37">IF(ISBLANK(W$3),V37&amp;U37,INDEX(pixel_shift_table.asm!$C$3:$R$114, W$2*16 + W$3 + INT($A37/16) + 1, MOD($A37, 16) + 1))</f>
        <v>AA</v>
      </c>
      <c r="X37" s="7" t="str" cm="1">
        <f t="array" ref="X37">IF(ISBLANK(X$3),W37&amp;V37,INDEX(pixel_shift_table.asm!$C$3:$R$114, X$2*16 + X$3 + INT($A37/16) + 1, MOD($A37, 16) + 1))</f>
        <v>AA00</v>
      </c>
    </row>
    <row r="38" spans="1:24" x14ac:dyDescent="0.3">
      <c r="A38">
        <v>33</v>
      </c>
      <c r="B38" s="8">
        <v>1000.01</v>
      </c>
      <c r="C38" s="5" t="s">
        <v>782</v>
      </c>
      <c r="D38" s="6" t="str" cm="1">
        <f t="array" ref="D38">IF(ISBLANK(D$3),C38&amp;B38,INDEX(pixel_shift_table.asm!$C$3:$R$114, D$2*16 + D$3 + INT($A38/16) + 1, MOD($A38, 16) + 1))</f>
        <v>02</v>
      </c>
      <c r="E38" s="5" t="str" cm="1">
        <f t="array" ref="E38">IF(ISBLANK(E$3),D38&amp;C38,INDEX(pixel_shift_table.asm!$C$3:$R$114, E$2*16 + E$3 + INT($A38/16) + 1, MOD($A38, 16) + 1))</f>
        <v>AA</v>
      </c>
      <c r="F38" s="7" t="str" cm="1">
        <f t="array" ref="F38">IF(ISBLANK(F$3),E38&amp;D38,INDEX(pixel_shift_table.asm!$C$3:$R$114, F$2*16 + F$3 + INT($A38/16) + 1, MOD($A38, 16) + 1))</f>
        <v>AA02</v>
      </c>
      <c r="G38" s="6" t="str" cm="1">
        <f t="array" ref="G38">IF(ISBLANK(G$3),F38&amp;E38,INDEX(pixel_shift_table.asm!$C$3:$R$114, G$2*16 + G$3 + INT($A38/16) + 1, MOD($A38, 16) + 1))</f>
        <v>04</v>
      </c>
      <c r="H38" s="5" t="str" cm="1">
        <f t="array" ref="H38">IF(ISBLANK(H$3),G38&amp;F38,INDEX(pixel_shift_table.asm!$C$3:$R$114, H$2*16 + H$3 + INT($A38/16) + 1, MOD($A38, 16) + 1))</f>
        <v>AA</v>
      </c>
      <c r="I38" s="7" t="str" cm="1">
        <f t="array" ref="I38">IF(ISBLANK(I$3),H38&amp;G38,INDEX(pixel_shift_table.asm!$C$3:$R$114, I$2*16 + I$3 + INT($A38/16) + 1, MOD($A38, 16) + 1))</f>
        <v>AA04</v>
      </c>
      <c r="J38" s="6" t="str" cm="1">
        <f t="array" ref="J38">IF(ISBLANK(J$3),I38&amp;H38,INDEX(pixel_shift_table.asm!$C$3:$R$114, J$2*16 + J$3 + INT($A38/16) + 1, MOD($A38, 16) + 1))</f>
        <v>06</v>
      </c>
      <c r="K38" s="5" t="str" cm="1">
        <f t="array" ref="K38">IF(ISBLANK(K$3),J38&amp;I38,INDEX(pixel_shift_table.asm!$C$3:$R$114, K$2*16 + K$3 + INT($A38/16) + 1, MOD($A38, 16) + 1))</f>
        <v>AA</v>
      </c>
      <c r="L38" s="7" t="str" cm="1">
        <f t="array" ref="L38">IF(ISBLANK(L$3),K38&amp;J38,INDEX(pixel_shift_table.asm!$C$3:$R$114, L$2*16 + L$3 + INT($A38/16) + 1, MOD($A38, 16) + 1))</f>
        <v>AA06</v>
      </c>
      <c r="M38" s="6" t="str" cm="1">
        <f t="array" ref="M38">IF(ISBLANK(M$3),L38&amp;K38,INDEX(pixel_shift_table.asm!$C$3:$R$114, M$2*16 + M$3 + INT($A38/16) + 1, MOD($A38, 16) + 1))</f>
        <v>08</v>
      </c>
      <c r="N38" s="5" t="str" cm="1">
        <f t="array" ref="N38">IF(ISBLANK(N$3),M38&amp;L38,INDEX(pixel_shift_table.asm!$C$3:$R$114, N$2*16 + N$3 + INT($A38/16) + 1, MOD($A38, 16) + 1))</f>
        <v>AA</v>
      </c>
      <c r="O38" s="7" t="str" cm="1">
        <f t="array" ref="O38">IF(ISBLANK(O$3),N38&amp;M38,INDEX(pixel_shift_table.asm!$C$3:$R$114, O$2*16 + O$3 + INT($A38/16) + 1, MOD($A38, 16) + 1))</f>
        <v>AA08</v>
      </c>
      <c r="P38" s="6" t="str" cm="1">
        <f t="array" ref="P38">IF(ISBLANK(P$3),O38&amp;N38,INDEX(pixel_shift_table.asm!$C$3:$R$114, P$2*16 + P$3 + INT($A38/16) + 1, MOD($A38, 16) + 1))</f>
        <v>0A</v>
      </c>
      <c r="Q38" s="5" t="str" cm="1">
        <f t="array" ref="Q38">IF(ISBLANK(Q$3),P38&amp;O38,INDEX(pixel_shift_table.asm!$C$3:$R$114, Q$2*16 + Q$3 + INT($A38/16) + 1, MOD($A38, 16) + 1))</f>
        <v>AA</v>
      </c>
      <c r="R38" s="7" t="str" cm="1">
        <f t="array" ref="R38">IF(ISBLANK(R$3),Q38&amp;P38,INDEX(pixel_shift_table.asm!$C$3:$R$114, R$2*16 + R$3 + INT($A38/16) + 1, MOD($A38, 16) + 1))</f>
        <v>AA0A</v>
      </c>
      <c r="S38" s="6" t="str" cm="1">
        <f t="array" ref="S38">IF(ISBLANK(S$3),R38&amp;Q38,INDEX(pixel_shift_table.asm!$C$3:$R$114, S$2*16 + S$3 + INT($A38/16) + 1, MOD($A38, 16) + 1))</f>
        <v>0C</v>
      </c>
      <c r="T38" s="5" t="str" cm="1">
        <f t="array" ref="T38">IF(ISBLANK(T$3),S38&amp;R38,INDEX(pixel_shift_table.asm!$C$3:$R$114, T$2*16 + T$3 + INT($A38/16) + 1, MOD($A38, 16) + 1))</f>
        <v>AA</v>
      </c>
      <c r="U38" s="7" t="str" cm="1">
        <f t="array" ref="U38">IF(ISBLANK(U$3),T38&amp;S38,INDEX(pixel_shift_table.asm!$C$3:$R$114, U$2*16 + U$3 + INT($A38/16) + 1, MOD($A38, 16) + 1))</f>
        <v>AA0C</v>
      </c>
      <c r="V38" s="6" t="str" cm="1">
        <f t="array" ref="V38">IF(ISBLANK(V$3),U38&amp;T38,INDEX(pixel_shift_table.asm!$C$3:$R$114, V$2*16 + V$3 + INT($A38/16) + 1, MOD($A38, 16) + 1))</f>
        <v>0E</v>
      </c>
      <c r="W38" s="5" t="str" cm="1">
        <f t="array" ref="W38">IF(ISBLANK(W$3),V38&amp;U38,INDEX(pixel_shift_table.asm!$C$3:$R$114, W$2*16 + W$3 + INT($A38/16) + 1, MOD($A38, 16) + 1))</f>
        <v>AA</v>
      </c>
      <c r="X38" s="7" t="str" cm="1">
        <f t="array" ref="X38">IF(ISBLANK(X$3),W38&amp;V38,INDEX(pixel_shift_table.asm!$C$3:$R$114, X$2*16 + X$3 + INT($A38/16) + 1, MOD($A38, 16) + 1))</f>
        <v>AA0E</v>
      </c>
    </row>
    <row r="39" spans="1:24" x14ac:dyDescent="0.3">
      <c r="A39">
        <v>34</v>
      </c>
      <c r="B39" s="8">
        <v>1000.1</v>
      </c>
      <c r="C39" s="5" t="s">
        <v>783</v>
      </c>
      <c r="D39" s="6" t="str" cm="1">
        <f t="array" ref="D39">IF(ISBLANK(D$3),C39&amp;B39,INDEX(pixel_shift_table.asm!$C$3:$R$114, D$2*16 + D$3 + INT($A39/16) + 1, MOD($A39, 16) + 1))</f>
        <v>84</v>
      </c>
      <c r="E39" s="5" t="str" cm="1">
        <f t="array" ref="E39">IF(ISBLANK(E$3),D39&amp;C39,INDEX(pixel_shift_table.asm!$C$3:$R$114, E$2*16 + E$3 + INT($A39/16) + 1, MOD($A39, 16) + 1))</f>
        <v>A9</v>
      </c>
      <c r="F39" s="7" t="str" cm="1">
        <f t="array" ref="F39">IF(ISBLANK(F$3),E39&amp;D39,INDEX(pixel_shift_table.asm!$C$3:$R$114, F$2*16 + F$3 + INT($A39/16) + 1, MOD($A39, 16) + 1))</f>
        <v>A984</v>
      </c>
      <c r="G39" s="6" t="str" cm="1">
        <f t="array" ref="G39">IF(ISBLANK(G$3),F39&amp;E39,INDEX(pixel_shift_table.asm!$C$3:$R$114, G$2*16 + G$3 + INT($A39/16) + 1, MOD($A39, 16) + 1))</f>
        <v>86</v>
      </c>
      <c r="H39" s="5" t="str" cm="1">
        <f t="array" ref="H39">IF(ISBLANK(H$3),G39&amp;F39,INDEX(pixel_shift_table.asm!$C$3:$R$114, H$2*16 + H$3 + INT($A39/16) + 1, MOD($A39, 16) + 1))</f>
        <v>A9</v>
      </c>
      <c r="I39" s="7" t="str" cm="1">
        <f t="array" ref="I39">IF(ISBLANK(I$3),H39&amp;G39,INDEX(pixel_shift_table.asm!$C$3:$R$114, I$2*16 + I$3 + INT($A39/16) + 1, MOD($A39, 16) + 1))</f>
        <v>A986</v>
      </c>
      <c r="J39" s="6" t="str" cm="1">
        <f t="array" ref="J39">IF(ISBLANK(J$3),I39&amp;H39,INDEX(pixel_shift_table.asm!$C$3:$R$114, J$2*16 + J$3 + INT($A39/16) + 1, MOD($A39, 16) + 1))</f>
        <v>88</v>
      </c>
      <c r="K39" s="5" t="str" cm="1">
        <f t="array" ref="K39">IF(ISBLANK(K$3),J39&amp;I39,INDEX(pixel_shift_table.asm!$C$3:$R$114, K$2*16 + K$3 + INT($A39/16) + 1, MOD($A39, 16) + 1))</f>
        <v>A9</v>
      </c>
      <c r="L39" s="7" t="str" cm="1">
        <f t="array" ref="L39">IF(ISBLANK(L$3),K39&amp;J39,INDEX(pixel_shift_table.asm!$C$3:$R$114, L$2*16 + L$3 + INT($A39/16) + 1, MOD($A39, 16) + 1))</f>
        <v>A988</v>
      </c>
      <c r="M39" s="6" t="str" cm="1">
        <f t="array" ref="M39">IF(ISBLANK(M$3),L39&amp;K39,INDEX(pixel_shift_table.asm!$C$3:$R$114, M$2*16 + M$3 + INT($A39/16) + 1, MOD($A39, 16) + 1))</f>
        <v>8A</v>
      </c>
      <c r="N39" s="5" t="str" cm="1">
        <f t="array" ref="N39">IF(ISBLANK(N$3),M39&amp;L39,INDEX(pixel_shift_table.asm!$C$3:$R$114, N$2*16 + N$3 + INT($A39/16) + 1, MOD($A39, 16) + 1))</f>
        <v>A9</v>
      </c>
      <c r="O39" s="7" t="str" cm="1">
        <f t="array" ref="O39">IF(ISBLANK(O$3),N39&amp;M39,INDEX(pixel_shift_table.asm!$C$3:$R$114, O$2*16 + O$3 + INT($A39/16) + 1, MOD($A39, 16) + 1))</f>
        <v>A98A</v>
      </c>
      <c r="P39" s="6" t="str" cm="1">
        <f t="array" ref="P39">IF(ISBLANK(P$3),O39&amp;N39,INDEX(pixel_shift_table.asm!$C$3:$R$114, P$2*16 + P$3 + INT($A39/16) + 1, MOD($A39, 16) + 1))</f>
        <v>8C</v>
      </c>
      <c r="Q39" s="5" t="str" cm="1">
        <f t="array" ref="Q39">IF(ISBLANK(Q$3),P39&amp;O39,INDEX(pixel_shift_table.asm!$C$3:$R$114, Q$2*16 + Q$3 + INT($A39/16) + 1, MOD($A39, 16) + 1))</f>
        <v>A9</v>
      </c>
      <c r="R39" s="7" t="str" cm="1">
        <f t="array" ref="R39">IF(ISBLANK(R$3),Q39&amp;P39,INDEX(pixel_shift_table.asm!$C$3:$R$114, R$2*16 + R$3 + INT($A39/16) + 1, MOD($A39, 16) + 1))</f>
        <v>A98C</v>
      </c>
      <c r="S39" s="6" t="str" cm="1">
        <f t="array" ref="S39">IF(ISBLANK(S$3),R39&amp;Q39,INDEX(pixel_shift_table.asm!$C$3:$R$114, S$2*16 + S$3 + INT($A39/16) + 1, MOD($A39, 16) + 1))</f>
        <v>8E</v>
      </c>
      <c r="T39" s="5" t="str" cm="1">
        <f t="array" ref="T39">IF(ISBLANK(T$3),S39&amp;R39,INDEX(pixel_shift_table.asm!$C$3:$R$114, T$2*16 + T$3 + INT($A39/16) + 1, MOD($A39, 16) + 1))</f>
        <v>A9</v>
      </c>
      <c r="U39" s="7" t="str" cm="1">
        <f t="array" ref="U39">IF(ISBLANK(U$3),T39&amp;S39,INDEX(pixel_shift_table.asm!$C$3:$R$114, U$2*16 + U$3 + INT($A39/16) + 1, MOD($A39, 16) + 1))</f>
        <v>A98E</v>
      </c>
      <c r="V39" s="6" t="str" cm="1">
        <f t="array" ref="V39">IF(ISBLANK(V$3),U39&amp;T39,INDEX(pixel_shift_table.asm!$C$3:$R$114, V$2*16 + V$3 + INT($A39/16) + 1, MOD($A39, 16) + 1))</f>
        <v>10</v>
      </c>
      <c r="W39" s="5" t="str" cm="1">
        <f t="array" ref="W39">IF(ISBLANK(W$3),V39&amp;U39,INDEX(pixel_shift_table.asm!$C$3:$R$114, W$2*16 + W$3 + INT($A39/16) + 1, MOD($A39, 16) + 1))</f>
        <v>AA</v>
      </c>
      <c r="X39" s="7" t="str" cm="1">
        <f t="array" ref="X39">IF(ISBLANK(X$3),W39&amp;V39,INDEX(pixel_shift_table.asm!$C$3:$R$114, X$2*16 + X$3 + INT($A39/16) + 1, MOD($A39, 16) + 1))</f>
        <v>AA10</v>
      </c>
    </row>
    <row r="40" spans="1:24" x14ac:dyDescent="0.3">
      <c r="A40">
        <v>35</v>
      </c>
      <c r="B40" s="8">
        <v>1000.11</v>
      </c>
      <c r="C40" s="5" t="s">
        <v>784</v>
      </c>
      <c r="D40" s="6" t="str" cm="1">
        <f t="array" ref="D40">IF(ISBLANK(D$3),C40&amp;B40,INDEX(pixel_shift_table.asm!$C$3:$R$114, D$2*16 + D$3 + INT($A40/16) + 1, MOD($A40, 16) + 1))</f>
        <v>12</v>
      </c>
      <c r="E40" s="5" t="str" cm="1">
        <f t="array" ref="E40">IF(ISBLANK(E$3),D40&amp;C40,INDEX(pixel_shift_table.asm!$C$3:$R$114, E$2*16 + E$3 + INT($A40/16) + 1, MOD($A40, 16) + 1))</f>
        <v>AA</v>
      </c>
      <c r="F40" s="7" t="str" cm="1">
        <f t="array" ref="F40">IF(ISBLANK(F$3),E40&amp;D40,INDEX(pixel_shift_table.asm!$C$3:$R$114, F$2*16 + F$3 + INT($A40/16) + 1, MOD($A40, 16) + 1))</f>
        <v>AA12</v>
      </c>
      <c r="G40" s="6" t="str" cm="1">
        <f t="array" ref="G40">IF(ISBLANK(G$3),F40&amp;E40,INDEX(pixel_shift_table.asm!$C$3:$R$114, G$2*16 + G$3 + INT($A40/16) + 1, MOD($A40, 16) + 1))</f>
        <v>14</v>
      </c>
      <c r="H40" s="5" t="str" cm="1">
        <f t="array" ref="H40">IF(ISBLANK(H$3),G40&amp;F40,INDEX(pixel_shift_table.asm!$C$3:$R$114, H$2*16 + H$3 + INT($A40/16) + 1, MOD($A40, 16) + 1))</f>
        <v>AA</v>
      </c>
      <c r="I40" s="7" t="str" cm="1">
        <f t="array" ref="I40">IF(ISBLANK(I$3),H40&amp;G40,INDEX(pixel_shift_table.asm!$C$3:$R$114, I$2*16 + I$3 + INT($A40/16) + 1, MOD($A40, 16) + 1))</f>
        <v>AA14</v>
      </c>
      <c r="J40" s="6" t="str" cm="1">
        <f t="array" ref="J40">IF(ISBLANK(J$3),I40&amp;H40,INDEX(pixel_shift_table.asm!$C$3:$R$114, J$2*16 + J$3 + INT($A40/16) + 1, MOD($A40, 16) + 1))</f>
        <v>16</v>
      </c>
      <c r="K40" s="5" t="str" cm="1">
        <f t="array" ref="K40">IF(ISBLANK(K$3),J40&amp;I40,INDEX(pixel_shift_table.asm!$C$3:$R$114, K$2*16 + K$3 + INT($A40/16) + 1, MOD($A40, 16) + 1))</f>
        <v>AA</v>
      </c>
      <c r="L40" s="7" t="str" cm="1">
        <f t="array" ref="L40">IF(ISBLANK(L$3),K40&amp;J40,INDEX(pixel_shift_table.asm!$C$3:$R$114, L$2*16 + L$3 + INT($A40/16) + 1, MOD($A40, 16) + 1))</f>
        <v>AA16</v>
      </c>
      <c r="M40" s="6" t="str" cm="1">
        <f t="array" ref="M40">IF(ISBLANK(M$3),L40&amp;K40,INDEX(pixel_shift_table.asm!$C$3:$R$114, M$2*16 + M$3 + INT($A40/16) + 1, MOD($A40, 16) + 1))</f>
        <v>18</v>
      </c>
      <c r="N40" s="5" t="str" cm="1">
        <f t="array" ref="N40">IF(ISBLANK(N$3),M40&amp;L40,INDEX(pixel_shift_table.asm!$C$3:$R$114, N$2*16 + N$3 + INT($A40/16) + 1, MOD($A40, 16) + 1))</f>
        <v>AA</v>
      </c>
      <c r="O40" s="7" t="str" cm="1">
        <f t="array" ref="O40">IF(ISBLANK(O$3),N40&amp;M40,INDEX(pixel_shift_table.asm!$C$3:$R$114, O$2*16 + O$3 + INT($A40/16) + 1, MOD($A40, 16) + 1))</f>
        <v>AA18</v>
      </c>
      <c r="P40" s="6" t="str" cm="1">
        <f t="array" ref="P40">IF(ISBLANK(P$3),O40&amp;N40,INDEX(pixel_shift_table.asm!$C$3:$R$114, P$2*16 + P$3 + INT($A40/16) + 1, MOD($A40, 16) + 1))</f>
        <v>1A</v>
      </c>
      <c r="Q40" s="5" t="str" cm="1">
        <f t="array" ref="Q40">IF(ISBLANK(Q$3),P40&amp;O40,INDEX(pixel_shift_table.asm!$C$3:$R$114, Q$2*16 + Q$3 + INT($A40/16) + 1, MOD($A40, 16) + 1))</f>
        <v>AA</v>
      </c>
      <c r="R40" s="7" t="str" cm="1">
        <f t="array" ref="R40">IF(ISBLANK(R$3),Q40&amp;P40,INDEX(pixel_shift_table.asm!$C$3:$R$114, R$2*16 + R$3 + INT($A40/16) + 1, MOD($A40, 16) + 1))</f>
        <v>AA1A</v>
      </c>
      <c r="S40" s="6" t="str" cm="1">
        <f t="array" ref="S40">IF(ISBLANK(S$3),R40&amp;Q40,INDEX(pixel_shift_table.asm!$C$3:$R$114, S$2*16 + S$3 + INT($A40/16) + 1, MOD($A40, 16) + 1))</f>
        <v>1C</v>
      </c>
      <c r="T40" s="5" t="str" cm="1">
        <f t="array" ref="T40">IF(ISBLANK(T$3),S40&amp;R40,INDEX(pixel_shift_table.asm!$C$3:$R$114, T$2*16 + T$3 + INT($A40/16) + 1, MOD($A40, 16) + 1))</f>
        <v>AA</v>
      </c>
      <c r="U40" s="7" t="str" cm="1">
        <f t="array" ref="U40">IF(ISBLANK(U$3),T40&amp;S40,INDEX(pixel_shift_table.asm!$C$3:$R$114, U$2*16 + U$3 + INT($A40/16) + 1, MOD($A40, 16) + 1))</f>
        <v>AA1C</v>
      </c>
      <c r="V40" s="6" t="str" cm="1">
        <f t="array" ref="V40">IF(ISBLANK(V$3),U40&amp;T40,INDEX(pixel_shift_table.asm!$C$3:$R$114, V$2*16 + V$3 + INT($A40/16) + 1, MOD($A40, 16) + 1))</f>
        <v>1E</v>
      </c>
      <c r="W40" s="5" t="str" cm="1">
        <f t="array" ref="W40">IF(ISBLANK(W$3),V40&amp;U40,INDEX(pixel_shift_table.asm!$C$3:$R$114, W$2*16 + W$3 + INT($A40/16) + 1, MOD($A40, 16) + 1))</f>
        <v>AA</v>
      </c>
      <c r="X40" s="7" t="str" cm="1">
        <f t="array" ref="X40">IF(ISBLANK(X$3),W40&amp;V40,INDEX(pixel_shift_table.asm!$C$3:$R$114, X$2*16 + X$3 + INT($A40/16) + 1, MOD($A40, 16) + 1))</f>
        <v>AA1E</v>
      </c>
    </row>
    <row r="41" spans="1:24" x14ac:dyDescent="0.3">
      <c r="A41">
        <v>36</v>
      </c>
      <c r="B41" s="8">
        <v>1001</v>
      </c>
      <c r="C41" s="5" t="s">
        <v>785</v>
      </c>
      <c r="D41" s="6" t="str" cm="1">
        <f t="array" ref="D41">IF(ISBLANK(D$3),C41&amp;B41,INDEX(pixel_shift_table.asm!$C$3:$R$114, D$2*16 + D$3 + INT($A41/16) + 1, MOD($A41, 16) + 1))</f>
        <v>46</v>
      </c>
      <c r="E41" s="5" t="str" cm="1">
        <f t="array" ref="E41">IF(ISBLANK(E$3),D41&amp;C41,INDEX(pixel_shift_table.asm!$C$3:$R$114, E$2*16 + E$3 + INT($A41/16) + 1, MOD($A41, 16) + 1))</f>
        <v>A9</v>
      </c>
      <c r="F41" s="7" t="str" cm="1">
        <f t="array" ref="F41">IF(ISBLANK(F$3),E41&amp;D41,INDEX(pixel_shift_table.asm!$C$3:$R$114, F$2*16 + F$3 + INT($A41/16) + 1, MOD($A41, 16) + 1))</f>
        <v>A946</v>
      </c>
      <c r="G41" s="6" t="str" cm="1">
        <f t="array" ref="G41">IF(ISBLANK(G$3),F41&amp;E41,INDEX(pixel_shift_table.asm!$C$3:$R$114, G$2*16 + G$3 + INT($A41/16) + 1, MOD($A41, 16) + 1))</f>
        <v>48</v>
      </c>
      <c r="H41" s="5" t="str" cm="1">
        <f t="array" ref="H41">IF(ISBLANK(H$3),G41&amp;F41,INDEX(pixel_shift_table.asm!$C$3:$R$114, H$2*16 + H$3 + INT($A41/16) + 1, MOD($A41, 16) + 1))</f>
        <v>A9</v>
      </c>
      <c r="I41" s="7" t="str" cm="1">
        <f t="array" ref="I41">IF(ISBLANK(I$3),H41&amp;G41,INDEX(pixel_shift_table.asm!$C$3:$R$114, I$2*16 + I$3 + INT($A41/16) + 1, MOD($A41, 16) + 1))</f>
        <v>A948</v>
      </c>
      <c r="J41" s="6" t="str" cm="1">
        <f t="array" ref="J41">IF(ISBLANK(J$3),I41&amp;H41,INDEX(pixel_shift_table.asm!$C$3:$R$114, J$2*16 + J$3 + INT($A41/16) + 1, MOD($A41, 16) + 1))</f>
        <v>4A</v>
      </c>
      <c r="K41" s="5" t="str" cm="1">
        <f t="array" ref="K41">IF(ISBLANK(K$3),J41&amp;I41,INDEX(pixel_shift_table.asm!$C$3:$R$114, K$2*16 + K$3 + INT($A41/16) + 1, MOD($A41, 16) + 1))</f>
        <v>A9</v>
      </c>
      <c r="L41" s="7" t="str" cm="1">
        <f t="array" ref="L41">IF(ISBLANK(L$3),K41&amp;J41,INDEX(pixel_shift_table.asm!$C$3:$R$114, L$2*16 + L$3 + INT($A41/16) + 1, MOD($A41, 16) + 1))</f>
        <v>A94A</v>
      </c>
      <c r="M41" s="6" t="str" cm="1">
        <f t="array" ref="M41">IF(ISBLANK(M$3),L41&amp;K41,INDEX(pixel_shift_table.asm!$C$3:$R$114, M$2*16 + M$3 + INT($A41/16) + 1, MOD($A41, 16) + 1))</f>
        <v>4C</v>
      </c>
      <c r="N41" s="5" t="str" cm="1">
        <f t="array" ref="N41">IF(ISBLANK(N$3),M41&amp;L41,INDEX(pixel_shift_table.asm!$C$3:$R$114, N$2*16 + N$3 + INT($A41/16) + 1, MOD($A41, 16) + 1))</f>
        <v>A9</v>
      </c>
      <c r="O41" s="7" t="str" cm="1">
        <f t="array" ref="O41">IF(ISBLANK(O$3),N41&amp;M41,INDEX(pixel_shift_table.asm!$C$3:$R$114, O$2*16 + O$3 + INT($A41/16) + 1, MOD($A41, 16) + 1))</f>
        <v>A94C</v>
      </c>
      <c r="P41" s="6" t="str" cm="1">
        <f t="array" ref="P41">IF(ISBLANK(P$3),O41&amp;N41,INDEX(pixel_shift_table.asm!$C$3:$R$114, P$2*16 + P$3 + INT($A41/16) + 1, MOD($A41, 16) + 1))</f>
        <v>4E</v>
      </c>
      <c r="Q41" s="5" t="str" cm="1">
        <f t="array" ref="Q41">IF(ISBLANK(Q$3),P41&amp;O41,INDEX(pixel_shift_table.asm!$C$3:$R$114, Q$2*16 + Q$3 + INT($A41/16) + 1, MOD($A41, 16) + 1))</f>
        <v>A9</v>
      </c>
      <c r="R41" s="7" t="str" cm="1">
        <f t="array" ref="R41">IF(ISBLANK(R$3),Q41&amp;P41,INDEX(pixel_shift_table.asm!$C$3:$R$114, R$2*16 + R$3 + INT($A41/16) + 1, MOD($A41, 16) + 1))</f>
        <v>A94E</v>
      </c>
      <c r="S41" s="6" t="str" cm="1">
        <f t="array" ref="S41">IF(ISBLANK(S$3),R41&amp;Q41,INDEX(pixel_shift_table.asm!$C$3:$R$114, S$2*16 + S$3 + INT($A41/16) + 1, MOD($A41, 16) + 1))</f>
        <v>90</v>
      </c>
      <c r="T41" s="5" t="str" cm="1">
        <f t="array" ref="T41">IF(ISBLANK(T$3),S41&amp;R41,INDEX(pixel_shift_table.asm!$C$3:$R$114, T$2*16 + T$3 + INT($A41/16) + 1, MOD($A41, 16) + 1))</f>
        <v>A9</v>
      </c>
      <c r="U41" s="7" t="str" cm="1">
        <f t="array" ref="U41">IF(ISBLANK(U$3),T41&amp;S41,INDEX(pixel_shift_table.asm!$C$3:$R$114, U$2*16 + U$3 + INT($A41/16) + 1, MOD($A41, 16) + 1))</f>
        <v>A990</v>
      </c>
      <c r="V41" s="6" t="str" cm="1">
        <f t="array" ref="V41">IF(ISBLANK(V$3),U41&amp;T41,INDEX(pixel_shift_table.asm!$C$3:$R$114, V$2*16 + V$3 + INT($A41/16) + 1, MOD($A41, 16) + 1))</f>
        <v>20</v>
      </c>
      <c r="W41" s="5" t="str" cm="1">
        <f t="array" ref="W41">IF(ISBLANK(W$3),V41&amp;U41,INDEX(pixel_shift_table.asm!$C$3:$R$114, W$2*16 + W$3 + INT($A41/16) + 1, MOD($A41, 16) + 1))</f>
        <v>AA</v>
      </c>
      <c r="X41" s="7" t="str" cm="1">
        <f t="array" ref="X41">IF(ISBLANK(X$3),W41&amp;V41,INDEX(pixel_shift_table.asm!$C$3:$R$114, X$2*16 + X$3 + INT($A41/16) + 1, MOD($A41, 16) + 1))</f>
        <v>AA20</v>
      </c>
    </row>
    <row r="42" spans="1:24" x14ac:dyDescent="0.3">
      <c r="A42">
        <v>37</v>
      </c>
      <c r="B42" s="8">
        <v>1001.01</v>
      </c>
      <c r="C42" s="5" t="s">
        <v>786</v>
      </c>
      <c r="D42" s="6" t="str" cm="1">
        <f t="array" ref="D42">IF(ISBLANK(D$3),C42&amp;B42,INDEX(pixel_shift_table.asm!$C$3:$R$114, D$2*16 + D$3 + INT($A42/16) + 1, MOD($A42, 16) + 1))</f>
        <v>22</v>
      </c>
      <c r="E42" s="5" t="str" cm="1">
        <f t="array" ref="E42">IF(ISBLANK(E$3),D42&amp;C42,INDEX(pixel_shift_table.asm!$C$3:$R$114, E$2*16 + E$3 + INT($A42/16) + 1, MOD($A42, 16) + 1))</f>
        <v>AA</v>
      </c>
      <c r="F42" s="7" t="str" cm="1">
        <f t="array" ref="F42">IF(ISBLANK(F$3),E42&amp;D42,INDEX(pixel_shift_table.asm!$C$3:$R$114, F$2*16 + F$3 + INT($A42/16) + 1, MOD($A42, 16) + 1))</f>
        <v>AA22</v>
      </c>
      <c r="G42" s="6" t="str" cm="1">
        <f t="array" ref="G42">IF(ISBLANK(G$3),F42&amp;E42,INDEX(pixel_shift_table.asm!$C$3:$R$114, G$2*16 + G$3 + INT($A42/16) + 1, MOD($A42, 16) + 1))</f>
        <v>24</v>
      </c>
      <c r="H42" s="5" t="str" cm="1">
        <f t="array" ref="H42">IF(ISBLANK(H$3),G42&amp;F42,INDEX(pixel_shift_table.asm!$C$3:$R$114, H$2*16 + H$3 + INT($A42/16) + 1, MOD($A42, 16) + 1))</f>
        <v>AA</v>
      </c>
      <c r="I42" s="7" t="str" cm="1">
        <f t="array" ref="I42">IF(ISBLANK(I$3),H42&amp;G42,INDEX(pixel_shift_table.asm!$C$3:$R$114, I$2*16 + I$3 + INT($A42/16) + 1, MOD($A42, 16) + 1))</f>
        <v>AA24</v>
      </c>
      <c r="J42" s="6" t="str" cm="1">
        <f t="array" ref="J42">IF(ISBLANK(J$3),I42&amp;H42,INDEX(pixel_shift_table.asm!$C$3:$R$114, J$2*16 + J$3 + INT($A42/16) + 1, MOD($A42, 16) + 1))</f>
        <v>26</v>
      </c>
      <c r="K42" s="5" t="str" cm="1">
        <f t="array" ref="K42">IF(ISBLANK(K$3),J42&amp;I42,INDEX(pixel_shift_table.asm!$C$3:$R$114, K$2*16 + K$3 + INT($A42/16) + 1, MOD($A42, 16) + 1))</f>
        <v>AA</v>
      </c>
      <c r="L42" s="7" t="str" cm="1">
        <f t="array" ref="L42">IF(ISBLANK(L$3),K42&amp;J42,INDEX(pixel_shift_table.asm!$C$3:$R$114, L$2*16 + L$3 + INT($A42/16) + 1, MOD($A42, 16) + 1))</f>
        <v>AA26</v>
      </c>
      <c r="M42" s="6" t="str" cm="1">
        <f t="array" ref="M42">IF(ISBLANK(M$3),L42&amp;K42,INDEX(pixel_shift_table.asm!$C$3:$R$114, M$2*16 + M$3 + INT($A42/16) + 1, MOD($A42, 16) + 1))</f>
        <v>28</v>
      </c>
      <c r="N42" s="5" t="str" cm="1">
        <f t="array" ref="N42">IF(ISBLANK(N$3),M42&amp;L42,INDEX(pixel_shift_table.asm!$C$3:$R$114, N$2*16 + N$3 + INT($A42/16) + 1, MOD($A42, 16) + 1))</f>
        <v>AA</v>
      </c>
      <c r="O42" s="7" t="str" cm="1">
        <f t="array" ref="O42">IF(ISBLANK(O$3),N42&amp;M42,INDEX(pixel_shift_table.asm!$C$3:$R$114, O$2*16 + O$3 + INT($A42/16) + 1, MOD($A42, 16) + 1))</f>
        <v>AA28</v>
      </c>
      <c r="P42" s="6" t="str" cm="1">
        <f t="array" ref="P42">IF(ISBLANK(P$3),O42&amp;N42,INDEX(pixel_shift_table.asm!$C$3:$R$114, P$2*16 + P$3 + INT($A42/16) + 1, MOD($A42, 16) + 1))</f>
        <v>2A</v>
      </c>
      <c r="Q42" s="5" t="str" cm="1">
        <f t="array" ref="Q42">IF(ISBLANK(Q$3),P42&amp;O42,INDEX(pixel_shift_table.asm!$C$3:$R$114, Q$2*16 + Q$3 + INT($A42/16) + 1, MOD($A42, 16) + 1))</f>
        <v>AA</v>
      </c>
      <c r="R42" s="7" t="str" cm="1">
        <f t="array" ref="R42">IF(ISBLANK(R$3),Q42&amp;P42,INDEX(pixel_shift_table.asm!$C$3:$R$114, R$2*16 + R$3 + INT($A42/16) + 1, MOD($A42, 16) + 1))</f>
        <v>AA2A</v>
      </c>
      <c r="S42" s="6" t="str" cm="1">
        <f t="array" ref="S42">IF(ISBLANK(S$3),R42&amp;Q42,INDEX(pixel_shift_table.asm!$C$3:$R$114, S$2*16 + S$3 + INT($A42/16) + 1, MOD($A42, 16) + 1))</f>
        <v>2C</v>
      </c>
      <c r="T42" s="5" t="str" cm="1">
        <f t="array" ref="T42">IF(ISBLANK(T$3),S42&amp;R42,INDEX(pixel_shift_table.asm!$C$3:$R$114, T$2*16 + T$3 + INT($A42/16) + 1, MOD($A42, 16) + 1))</f>
        <v>AA</v>
      </c>
      <c r="U42" s="7" t="str" cm="1">
        <f t="array" ref="U42">IF(ISBLANK(U$3),T42&amp;S42,INDEX(pixel_shift_table.asm!$C$3:$R$114, U$2*16 + U$3 + INT($A42/16) + 1, MOD($A42, 16) + 1))</f>
        <v>AA2C</v>
      </c>
      <c r="V42" s="6" t="str" cm="1">
        <f t="array" ref="V42">IF(ISBLANK(V$3),U42&amp;T42,INDEX(pixel_shift_table.asm!$C$3:$R$114, V$2*16 + V$3 + INT($A42/16) + 1, MOD($A42, 16) + 1))</f>
        <v>2E</v>
      </c>
      <c r="W42" s="5" t="str" cm="1">
        <f t="array" ref="W42">IF(ISBLANK(W$3),V42&amp;U42,INDEX(pixel_shift_table.asm!$C$3:$R$114, W$2*16 + W$3 + INT($A42/16) + 1, MOD($A42, 16) + 1))</f>
        <v>AA</v>
      </c>
      <c r="X42" s="7" t="str" cm="1">
        <f t="array" ref="X42">IF(ISBLANK(X$3),W42&amp;V42,INDEX(pixel_shift_table.asm!$C$3:$R$114, X$2*16 + X$3 + INT($A42/16) + 1, MOD($A42, 16) + 1))</f>
        <v>AA2E</v>
      </c>
    </row>
    <row r="43" spans="1:24" x14ac:dyDescent="0.3">
      <c r="A43">
        <v>38</v>
      </c>
      <c r="B43" s="8">
        <v>1001.1</v>
      </c>
      <c r="C43" s="5" t="s">
        <v>787</v>
      </c>
      <c r="D43" s="6" t="str" cm="1">
        <f t="array" ref="D43">IF(ISBLANK(D$3),C43&amp;B43,INDEX(pixel_shift_table.asm!$C$3:$R$114, D$2*16 + D$3 + INT($A43/16) + 1, MOD($A43, 16) + 1))</f>
        <v>94</v>
      </c>
      <c r="E43" s="5" t="str" cm="1">
        <f t="array" ref="E43">IF(ISBLANK(E$3),D43&amp;C43,INDEX(pixel_shift_table.asm!$C$3:$R$114, E$2*16 + E$3 + INT($A43/16) + 1, MOD($A43, 16) + 1))</f>
        <v>A9</v>
      </c>
      <c r="F43" s="7" t="str" cm="1">
        <f t="array" ref="F43">IF(ISBLANK(F$3),E43&amp;D43,INDEX(pixel_shift_table.asm!$C$3:$R$114, F$2*16 + F$3 + INT($A43/16) + 1, MOD($A43, 16) + 1))</f>
        <v>A994</v>
      </c>
      <c r="G43" s="6" t="str" cm="1">
        <f t="array" ref="G43">IF(ISBLANK(G$3),F43&amp;E43,INDEX(pixel_shift_table.asm!$C$3:$R$114, G$2*16 + G$3 + INT($A43/16) + 1, MOD($A43, 16) + 1))</f>
        <v>96</v>
      </c>
      <c r="H43" s="5" t="str" cm="1">
        <f t="array" ref="H43">IF(ISBLANK(H$3),G43&amp;F43,INDEX(pixel_shift_table.asm!$C$3:$R$114, H$2*16 + H$3 + INT($A43/16) + 1, MOD($A43, 16) + 1))</f>
        <v>A9</v>
      </c>
      <c r="I43" s="7" t="str" cm="1">
        <f t="array" ref="I43">IF(ISBLANK(I$3),H43&amp;G43,INDEX(pixel_shift_table.asm!$C$3:$R$114, I$2*16 + I$3 + INT($A43/16) + 1, MOD($A43, 16) + 1))</f>
        <v>A996</v>
      </c>
      <c r="J43" s="6" t="str" cm="1">
        <f t="array" ref="J43">IF(ISBLANK(J$3),I43&amp;H43,INDEX(pixel_shift_table.asm!$C$3:$R$114, J$2*16 + J$3 + INT($A43/16) + 1, MOD($A43, 16) + 1))</f>
        <v>98</v>
      </c>
      <c r="K43" s="5" t="str" cm="1">
        <f t="array" ref="K43">IF(ISBLANK(K$3),J43&amp;I43,INDEX(pixel_shift_table.asm!$C$3:$R$114, K$2*16 + K$3 + INT($A43/16) + 1, MOD($A43, 16) + 1))</f>
        <v>A9</v>
      </c>
      <c r="L43" s="7" t="str" cm="1">
        <f t="array" ref="L43">IF(ISBLANK(L$3),K43&amp;J43,INDEX(pixel_shift_table.asm!$C$3:$R$114, L$2*16 + L$3 + INT($A43/16) + 1, MOD($A43, 16) + 1))</f>
        <v>A998</v>
      </c>
      <c r="M43" s="6" t="str" cm="1">
        <f t="array" ref="M43">IF(ISBLANK(M$3),L43&amp;K43,INDEX(pixel_shift_table.asm!$C$3:$R$114, M$2*16 + M$3 + INT($A43/16) + 1, MOD($A43, 16) + 1))</f>
        <v>9A</v>
      </c>
      <c r="N43" s="5" t="str" cm="1">
        <f t="array" ref="N43">IF(ISBLANK(N$3),M43&amp;L43,INDEX(pixel_shift_table.asm!$C$3:$R$114, N$2*16 + N$3 + INT($A43/16) + 1, MOD($A43, 16) + 1))</f>
        <v>A9</v>
      </c>
      <c r="O43" s="7" t="str" cm="1">
        <f t="array" ref="O43">IF(ISBLANK(O$3),N43&amp;M43,INDEX(pixel_shift_table.asm!$C$3:$R$114, O$2*16 + O$3 + INT($A43/16) + 1, MOD($A43, 16) + 1))</f>
        <v>A99A</v>
      </c>
      <c r="P43" s="6" t="str" cm="1">
        <f t="array" ref="P43">IF(ISBLANK(P$3),O43&amp;N43,INDEX(pixel_shift_table.asm!$C$3:$R$114, P$2*16 + P$3 + INT($A43/16) + 1, MOD($A43, 16) + 1))</f>
        <v>9C</v>
      </c>
      <c r="Q43" s="5" t="str" cm="1">
        <f t="array" ref="Q43">IF(ISBLANK(Q$3),P43&amp;O43,INDEX(pixel_shift_table.asm!$C$3:$R$114, Q$2*16 + Q$3 + INT($A43/16) + 1, MOD($A43, 16) + 1))</f>
        <v>A9</v>
      </c>
      <c r="R43" s="7" t="str" cm="1">
        <f t="array" ref="R43">IF(ISBLANK(R$3),Q43&amp;P43,INDEX(pixel_shift_table.asm!$C$3:$R$114, R$2*16 + R$3 + INT($A43/16) + 1, MOD($A43, 16) + 1))</f>
        <v>A99C</v>
      </c>
      <c r="S43" s="6" t="str" cm="1">
        <f t="array" ref="S43">IF(ISBLANK(S$3),R43&amp;Q43,INDEX(pixel_shift_table.asm!$C$3:$R$114, S$2*16 + S$3 + INT($A43/16) + 1, MOD($A43, 16) + 1))</f>
        <v>9E</v>
      </c>
      <c r="T43" s="5" t="str" cm="1">
        <f t="array" ref="T43">IF(ISBLANK(T$3),S43&amp;R43,INDEX(pixel_shift_table.asm!$C$3:$R$114, T$2*16 + T$3 + INT($A43/16) + 1, MOD($A43, 16) + 1))</f>
        <v>A9</v>
      </c>
      <c r="U43" s="7" t="str" cm="1">
        <f t="array" ref="U43">IF(ISBLANK(U$3),T43&amp;S43,INDEX(pixel_shift_table.asm!$C$3:$R$114, U$2*16 + U$3 + INT($A43/16) + 1, MOD($A43, 16) + 1))</f>
        <v>A99E</v>
      </c>
      <c r="V43" s="6" t="str" cm="1">
        <f t="array" ref="V43">IF(ISBLANK(V$3),U43&amp;T43,INDEX(pixel_shift_table.asm!$C$3:$R$114, V$2*16 + V$3 + INT($A43/16) + 1, MOD($A43, 16) + 1))</f>
        <v>30</v>
      </c>
      <c r="W43" s="5" t="str" cm="1">
        <f t="array" ref="W43">IF(ISBLANK(W$3),V43&amp;U43,INDEX(pixel_shift_table.asm!$C$3:$R$114, W$2*16 + W$3 + INT($A43/16) + 1, MOD($A43, 16) + 1))</f>
        <v>AA</v>
      </c>
      <c r="X43" s="7" t="str" cm="1">
        <f t="array" ref="X43">IF(ISBLANK(X$3),W43&amp;V43,INDEX(pixel_shift_table.asm!$C$3:$R$114, X$2*16 + X$3 + INT($A43/16) + 1, MOD($A43, 16) + 1))</f>
        <v>AA30</v>
      </c>
    </row>
    <row r="44" spans="1:24" x14ac:dyDescent="0.3">
      <c r="A44">
        <v>39</v>
      </c>
      <c r="B44" s="8">
        <v>1001.11</v>
      </c>
      <c r="C44" s="5" t="s">
        <v>788</v>
      </c>
      <c r="D44" s="6" t="str" cm="1">
        <f t="array" ref="D44">IF(ISBLANK(D$3),C44&amp;B44,INDEX(pixel_shift_table.asm!$C$3:$R$114, D$2*16 + D$3 + INT($A44/16) + 1, MOD($A44, 16) + 1))</f>
        <v>32</v>
      </c>
      <c r="E44" s="5" t="str" cm="1">
        <f t="array" ref="E44">IF(ISBLANK(E$3),D44&amp;C44,INDEX(pixel_shift_table.asm!$C$3:$R$114, E$2*16 + E$3 + INT($A44/16) + 1, MOD($A44, 16) + 1))</f>
        <v>AA</v>
      </c>
      <c r="F44" s="7" t="str" cm="1">
        <f t="array" ref="F44">IF(ISBLANK(F$3),E44&amp;D44,INDEX(pixel_shift_table.asm!$C$3:$R$114, F$2*16 + F$3 + INT($A44/16) + 1, MOD($A44, 16) + 1))</f>
        <v>AA32</v>
      </c>
      <c r="G44" s="6" t="str" cm="1">
        <f t="array" ref="G44">IF(ISBLANK(G$3),F44&amp;E44,INDEX(pixel_shift_table.asm!$C$3:$R$114, G$2*16 + G$3 + INT($A44/16) + 1, MOD($A44, 16) + 1))</f>
        <v>34</v>
      </c>
      <c r="H44" s="5" t="str" cm="1">
        <f t="array" ref="H44">IF(ISBLANK(H$3),G44&amp;F44,INDEX(pixel_shift_table.asm!$C$3:$R$114, H$2*16 + H$3 + INT($A44/16) + 1, MOD($A44, 16) + 1))</f>
        <v>AA</v>
      </c>
      <c r="I44" s="7" t="str" cm="1">
        <f t="array" ref="I44">IF(ISBLANK(I$3),H44&amp;G44,INDEX(pixel_shift_table.asm!$C$3:$R$114, I$2*16 + I$3 + INT($A44/16) + 1, MOD($A44, 16) + 1))</f>
        <v>AA34</v>
      </c>
      <c r="J44" s="6" t="str" cm="1">
        <f t="array" ref="J44">IF(ISBLANK(J$3),I44&amp;H44,INDEX(pixel_shift_table.asm!$C$3:$R$114, J$2*16 + J$3 + INT($A44/16) + 1, MOD($A44, 16) + 1))</f>
        <v>36</v>
      </c>
      <c r="K44" s="5" t="str" cm="1">
        <f t="array" ref="K44">IF(ISBLANK(K$3),J44&amp;I44,INDEX(pixel_shift_table.asm!$C$3:$R$114, K$2*16 + K$3 + INT($A44/16) + 1, MOD($A44, 16) + 1))</f>
        <v>AA</v>
      </c>
      <c r="L44" s="7" t="str" cm="1">
        <f t="array" ref="L44">IF(ISBLANK(L$3),K44&amp;J44,INDEX(pixel_shift_table.asm!$C$3:$R$114, L$2*16 + L$3 + INT($A44/16) + 1, MOD($A44, 16) + 1))</f>
        <v>AA36</v>
      </c>
      <c r="M44" s="6" t="str" cm="1">
        <f t="array" ref="M44">IF(ISBLANK(M$3),L44&amp;K44,INDEX(pixel_shift_table.asm!$C$3:$R$114, M$2*16 + M$3 + INT($A44/16) + 1, MOD($A44, 16) + 1))</f>
        <v>38</v>
      </c>
      <c r="N44" s="5" t="str" cm="1">
        <f t="array" ref="N44">IF(ISBLANK(N$3),M44&amp;L44,INDEX(pixel_shift_table.asm!$C$3:$R$114, N$2*16 + N$3 + INT($A44/16) + 1, MOD($A44, 16) + 1))</f>
        <v>AA</v>
      </c>
      <c r="O44" s="7" t="str" cm="1">
        <f t="array" ref="O44">IF(ISBLANK(O$3),N44&amp;M44,INDEX(pixel_shift_table.asm!$C$3:$R$114, O$2*16 + O$3 + INT($A44/16) + 1, MOD($A44, 16) + 1))</f>
        <v>AA38</v>
      </c>
      <c r="P44" s="6" t="str" cm="1">
        <f t="array" ref="P44">IF(ISBLANK(P$3),O44&amp;N44,INDEX(pixel_shift_table.asm!$C$3:$R$114, P$2*16 + P$3 + INT($A44/16) + 1, MOD($A44, 16) + 1))</f>
        <v>3A</v>
      </c>
      <c r="Q44" s="5" t="str" cm="1">
        <f t="array" ref="Q44">IF(ISBLANK(Q$3),P44&amp;O44,INDEX(pixel_shift_table.asm!$C$3:$R$114, Q$2*16 + Q$3 + INT($A44/16) + 1, MOD($A44, 16) + 1))</f>
        <v>AA</v>
      </c>
      <c r="R44" s="7" t="str" cm="1">
        <f t="array" ref="R44">IF(ISBLANK(R$3),Q44&amp;P44,INDEX(pixel_shift_table.asm!$C$3:$R$114, R$2*16 + R$3 + INT($A44/16) + 1, MOD($A44, 16) + 1))</f>
        <v>AA3A</v>
      </c>
      <c r="S44" s="6" t="str" cm="1">
        <f t="array" ref="S44">IF(ISBLANK(S$3),R44&amp;Q44,INDEX(pixel_shift_table.asm!$C$3:$R$114, S$2*16 + S$3 + INT($A44/16) + 1, MOD($A44, 16) + 1))</f>
        <v>3C</v>
      </c>
      <c r="T44" s="5" t="str" cm="1">
        <f t="array" ref="T44">IF(ISBLANK(T$3),S44&amp;R44,INDEX(pixel_shift_table.asm!$C$3:$R$114, T$2*16 + T$3 + INT($A44/16) + 1, MOD($A44, 16) + 1))</f>
        <v>AA</v>
      </c>
      <c r="U44" s="7" t="str" cm="1">
        <f t="array" ref="U44">IF(ISBLANK(U$3),T44&amp;S44,INDEX(pixel_shift_table.asm!$C$3:$R$114, U$2*16 + U$3 + INT($A44/16) + 1, MOD($A44, 16) + 1))</f>
        <v>AA3C</v>
      </c>
      <c r="V44" s="6" t="str" cm="1">
        <f t="array" ref="V44">IF(ISBLANK(V$3),U44&amp;T44,INDEX(pixel_shift_table.asm!$C$3:$R$114, V$2*16 + V$3 + INT($A44/16) + 1, MOD($A44, 16) + 1))</f>
        <v>3E</v>
      </c>
      <c r="W44" s="5" t="str" cm="1">
        <f t="array" ref="W44">IF(ISBLANK(W$3),V44&amp;U44,INDEX(pixel_shift_table.asm!$C$3:$R$114, W$2*16 + W$3 + INT($A44/16) + 1, MOD($A44, 16) + 1))</f>
        <v>AA</v>
      </c>
      <c r="X44" s="7" t="str" cm="1">
        <f t="array" ref="X44">IF(ISBLANK(X$3),W44&amp;V44,INDEX(pixel_shift_table.asm!$C$3:$R$114, X$2*16 + X$3 + INT($A44/16) + 1, MOD($A44, 16) + 1))</f>
        <v>AA3E</v>
      </c>
    </row>
    <row r="45" spans="1:24" x14ac:dyDescent="0.3">
      <c r="A45">
        <v>40</v>
      </c>
      <c r="B45" s="8">
        <v>1010</v>
      </c>
      <c r="C45" s="5" t="s">
        <v>789</v>
      </c>
      <c r="D45" s="6" t="str" cm="1">
        <f t="array" ref="D45">IF(ISBLANK(D$3),C45&amp;B45,INDEX(pixel_shift_table.asm!$C$3:$R$114, D$2*16 + D$3 + INT($A45/16) + 1, MOD($A45, 16) + 1))</f>
        <v>28</v>
      </c>
      <c r="E45" s="5" t="str" cm="1">
        <f t="array" ref="E45">IF(ISBLANK(E$3),D45&amp;C45,INDEX(pixel_shift_table.asm!$C$3:$R$114, E$2*16 + E$3 + INT($A45/16) + 1, MOD($A45, 16) + 1))</f>
        <v>A9</v>
      </c>
      <c r="F45" s="7" t="str" cm="1">
        <f t="array" ref="F45">IF(ISBLANK(F$3),E45&amp;D45,INDEX(pixel_shift_table.asm!$C$3:$R$114, F$2*16 + F$3 + INT($A45/16) + 1, MOD($A45, 16) + 1))</f>
        <v>A928</v>
      </c>
      <c r="G45" s="6" t="str" cm="1">
        <f t="array" ref="G45">IF(ISBLANK(G$3),F45&amp;E45,INDEX(pixel_shift_table.asm!$C$3:$R$114, G$2*16 + G$3 + INT($A45/16) + 1, MOD($A45, 16) + 1))</f>
        <v>2A</v>
      </c>
      <c r="H45" s="5" t="str" cm="1">
        <f t="array" ref="H45">IF(ISBLANK(H$3),G45&amp;F45,INDEX(pixel_shift_table.asm!$C$3:$R$114, H$2*16 + H$3 + INT($A45/16) + 1, MOD($A45, 16) + 1))</f>
        <v>A9</v>
      </c>
      <c r="I45" s="7" t="str" cm="1">
        <f t="array" ref="I45">IF(ISBLANK(I$3),H45&amp;G45,INDEX(pixel_shift_table.asm!$C$3:$R$114, I$2*16 + I$3 + INT($A45/16) + 1, MOD($A45, 16) + 1))</f>
        <v>A92A</v>
      </c>
      <c r="J45" s="6" t="str" cm="1">
        <f t="array" ref="J45">IF(ISBLANK(J$3),I45&amp;H45,INDEX(pixel_shift_table.asm!$C$3:$R$114, J$2*16 + J$3 + INT($A45/16) + 1, MOD($A45, 16) + 1))</f>
        <v>2C</v>
      </c>
      <c r="K45" s="5" t="str" cm="1">
        <f t="array" ref="K45">IF(ISBLANK(K$3),J45&amp;I45,INDEX(pixel_shift_table.asm!$C$3:$R$114, K$2*16 + K$3 + INT($A45/16) + 1, MOD($A45, 16) + 1))</f>
        <v>A9</v>
      </c>
      <c r="L45" s="7" t="str" cm="1">
        <f t="array" ref="L45">IF(ISBLANK(L$3),K45&amp;J45,INDEX(pixel_shift_table.asm!$C$3:$R$114, L$2*16 + L$3 + INT($A45/16) + 1, MOD($A45, 16) + 1))</f>
        <v>A92C</v>
      </c>
      <c r="M45" s="6" t="str" cm="1">
        <f t="array" ref="M45">IF(ISBLANK(M$3),L45&amp;K45,INDEX(pixel_shift_table.asm!$C$3:$R$114, M$2*16 + M$3 + INT($A45/16) + 1, MOD($A45, 16) + 1))</f>
        <v>2E</v>
      </c>
      <c r="N45" s="5" t="str" cm="1">
        <f t="array" ref="N45">IF(ISBLANK(N$3),M45&amp;L45,INDEX(pixel_shift_table.asm!$C$3:$R$114, N$2*16 + N$3 + INT($A45/16) + 1, MOD($A45, 16) + 1))</f>
        <v>A9</v>
      </c>
      <c r="O45" s="7" t="str" cm="1">
        <f t="array" ref="O45">IF(ISBLANK(O$3),N45&amp;M45,INDEX(pixel_shift_table.asm!$C$3:$R$114, O$2*16 + O$3 + INT($A45/16) + 1, MOD($A45, 16) + 1))</f>
        <v>A92E</v>
      </c>
      <c r="P45" s="6" t="str" cm="1">
        <f t="array" ref="P45">IF(ISBLANK(P$3),O45&amp;N45,INDEX(pixel_shift_table.asm!$C$3:$R$114, P$2*16 + P$3 + INT($A45/16) + 1, MOD($A45, 16) + 1))</f>
        <v>50</v>
      </c>
      <c r="Q45" s="5" t="str" cm="1">
        <f t="array" ref="Q45">IF(ISBLANK(Q$3),P45&amp;O45,INDEX(pixel_shift_table.asm!$C$3:$R$114, Q$2*16 + Q$3 + INT($A45/16) + 1, MOD($A45, 16) + 1))</f>
        <v>A9</v>
      </c>
      <c r="R45" s="7" t="str" cm="1">
        <f t="array" ref="R45">IF(ISBLANK(R$3),Q45&amp;P45,INDEX(pixel_shift_table.asm!$C$3:$R$114, R$2*16 + R$3 + INT($A45/16) + 1, MOD($A45, 16) + 1))</f>
        <v>A950</v>
      </c>
      <c r="S45" s="6" t="str" cm="1">
        <f t="array" ref="S45">IF(ISBLANK(S$3),R45&amp;Q45,INDEX(pixel_shift_table.asm!$C$3:$R$114, S$2*16 + S$3 + INT($A45/16) + 1, MOD($A45, 16) + 1))</f>
        <v>A0</v>
      </c>
      <c r="T45" s="5" t="str" cm="1">
        <f t="array" ref="T45">IF(ISBLANK(T$3),S45&amp;R45,INDEX(pixel_shift_table.asm!$C$3:$R$114, T$2*16 + T$3 + INT($A45/16) + 1, MOD($A45, 16) + 1))</f>
        <v>A9</v>
      </c>
      <c r="U45" s="7" t="str" cm="1">
        <f t="array" ref="U45">IF(ISBLANK(U$3),T45&amp;S45,INDEX(pixel_shift_table.asm!$C$3:$R$114, U$2*16 + U$3 + INT($A45/16) + 1, MOD($A45, 16) + 1))</f>
        <v>A9A0</v>
      </c>
      <c r="V45" s="6" t="str" cm="1">
        <f t="array" ref="V45">IF(ISBLANK(V$3),U45&amp;T45,INDEX(pixel_shift_table.asm!$C$3:$R$114, V$2*16 + V$3 + INT($A45/16) + 1, MOD($A45, 16) + 1))</f>
        <v>40</v>
      </c>
      <c r="W45" s="5" t="str" cm="1">
        <f t="array" ref="W45">IF(ISBLANK(W$3),V45&amp;U45,INDEX(pixel_shift_table.asm!$C$3:$R$114, W$2*16 + W$3 + INT($A45/16) + 1, MOD($A45, 16) + 1))</f>
        <v>AA</v>
      </c>
      <c r="X45" s="7" t="str" cm="1">
        <f t="array" ref="X45">IF(ISBLANK(X$3),W45&amp;V45,INDEX(pixel_shift_table.asm!$C$3:$R$114, X$2*16 + X$3 + INT($A45/16) + 1, MOD($A45, 16) + 1))</f>
        <v>AA40</v>
      </c>
    </row>
    <row r="46" spans="1:24" x14ac:dyDescent="0.3">
      <c r="A46">
        <v>41</v>
      </c>
      <c r="B46" s="8">
        <v>1010.01</v>
      </c>
      <c r="C46" s="5" t="s">
        <v>790</v>
      </c>
      <c r="D46" s="6" t="str" cm="1">
        <f t="array" ref="D46">IF(ISBLANK(D$3),C46&amp;B46,INDEX(pixel_shift_table.asm!$C$3:$R$114, D$2*16 + D$3 + INT($A46/16) + 1, MOD($A46, 16) + 1))</f>
        <v>42</v>
      </c>
      <c r="E46" s="5" t="str" cm="1">
        <f t="array" ref="E46">IF(ISBLANK(E$3),D46&amp;C46,INDEX(pixel_shift_table.asm!$C$3:$R$114, E$2*16 + E$3 + INT($A46/16) + 1, MOD($A46, 16) + 1))</f>
        <v>AA</v>
      </c>
      <c r="F46" s="7" t="str" cm="1">
        <f t="array" ref="F46">IF(ISBLANK(F$3),E46&amp;D46,INDEX(pixel_shift_table.asm!$C$3:$R$114, F$2*16 + F$3 + INT($A46/16) + 1, MOD($A46, 16) + 1))</f>
        <v>AA42</v>
      </c>
      <c r="G46" s="6" t="str" cm="1">
        <f t="array" ref="G46">IF(ISBLANK(G$3),F46&amp;E46,INDEX(pixel_shift_table.asm!$C$3:$R$114, G$2*16 + G$3 + INT($A46/16) + 1, MOD($A46, 16) + 1))</f>
        <v>44</v>
      </c>
      <c r="H46" s="5" t="str" cm="1">
        <f t="array" ref="H46">IF(ISBLANK(H$3),G46&amp;F46,INDEX(pixel_shift_table.asm!$C$3:$R$114, H$2*16 + H$3 + INT($A46/16) + 1, MOD($A46, 16) + 1))</f>
        <v>AA</v>
      </c>
      <c r="I46" s="7" t="str" cm="1">
        <f t="array" ref="I46">IF(ISBLANK(I$3),H46&amp;G46,INDEX(pixel_shift_table.asm!$C$3:$R$114, I$2*16 + I$3 + INT($A46/16) + 1, MOD($A46, 16) + 1))</f>
        <v>AA44</v>
      </c>
      <c r="J46" s="6" t="str" cm="1">
        <f t="array" ref="J46">IF(ISBLANK(J$3),I46&amp;H46,INDEX(pixel_shift_table.asm!$C$3:$R$114, J$2*16 + J$3 + INT($A46/16) + 1, MOD($A46, 16) + 1))</f>
        <v>46</v>
      </c>
      <c r="K46" s="5" t="str" cm="1">
        <f t="array" ref="K46">IF(ISBLANK(K$3),J46&amp;I46,INDEX(pixel_shift_table.asm!$C$3:$R$114, K$2*16 + K$3 + INT($A46/16) + 1, MOD($A46, 16) + 1))</f>
        <v>AA</v>
      </c>
      <c r="L46" s="7" t="str" cm="1">
        <f t="array" ref="L46">IF(ISBLANK(L$3),K46&amp;J46,INDEX(pixel_shift_table.asm!$C$3:$R$114, L$2*16 + L$3 + INT($A46/16) + 1, MOD($A46, 16) + 1))</f>
        <v>AA46</v>
      </c>
      <c r="M46" s="6" t="str" cm="1">
        <f t="array" ref="M46">IF(ISBLANK(M$3),L46&amp;K46,INDEX(pixel_shift_table.asm!$C$3:$R$114, M$2*16 + M$3 + INT($A46/16) + 1, MOD($A46, 16) + 1))</f>
        <v>48</v>
      </c>
      <c r="N46" s="5" t="str" cm="1">
        <f t="array" ref="N46">IF(ISBLANK(N$3),M46&amp;L46,INDEX(pixel_shift_table.asm!$C$3:$R$114, N$2*16 + N$3 + INT($A46/16) + 1, MOD($A46, 16) + 1))</f>
        <v>AA</v>
      </c>
      <c r="O46" s="7" t="str" cm="1">
        <f t="array" ref="O46">IF(ISBLANK(O$3),N46&amp;M46,INDEX(pixel_shift_table.asm!$C$3:$R$114, O$2*16 + O$3 + INT($A46/16) + 1, MOD($A46, 16) + 1))</f>
        <v>AA48</v>
      </c>
      <c r="P46" s="6" t="str" cm="1">
        <f t="array" ref="P46">IF(ISBLANK(P$3),O46&amp;N46,INDEX(pixel_shift_table.asm!$C$3:$R$114, P$2*16 + P$3 + INT($A46/16) + 1, MOD($A46, 16) + 1))</f>
        <v>4A</v>
      </c>
      <c r="Q46" s="5" t="str" cm="1">
        <f t="array" ref="Q46">IF(ISBLANK(Q$3),P46&amp;O46,INDEX(pixel_shift_table.asm!$C$3:$R$114, Q$2*16 + Q$3 + INT($A46/16) + 1, MOD($A46, 16) + 1))</f>
        <v>AA</v>
      </c>
      <c r="R46" s="7" t="str" cm="1">
        <f t="array" ref="R46">IF(ISBLANK(R$3),Q46&amp;P46,INDEX(pixel_shift_table.asm!$C$3:$R$114, R$2*16 + R$3 + INT($A46/16) + 1, MOD($A46, 16) + 1))</f>
        <v>AA4A</v>
      </c>
      <c r="S46" s="6" t="str" cm="1">
        <f t="array" ref="S46">IF(ISBLANK(S$3),R46&amp;Q46,INDEX(pixel_shift_table.asm!$C$3:$R$114, S$2*16 + S$3 + INT($A46/16) + 1, MOD($A46, 16) + 1))</f>
        <v>4C</v>
      </c>
      <c r="T46" s="5" t="str" cm="1">
        <f t="array" ref="T46">IF(ISBLANK(T$3),S46&amp;R46,INDEX(pixel_shift_table.asm!$C$3:$R$114, T$2*16 + T$3 + INT($A46/16) + 1, MOD($A46, 16) + 1))</f>
        <v>AA</v>
      </c>
      <c r="U46" s="7" t="str" cm="1">
        <f t="array" ref="U46">IF(ISBLANK(U$3),T46&amp;S46,INDEX(pixel_shift_table.asm!$C$3:$R$114, U$2*16 + U$3 + INT($A46/16) + 1, MOD($A46, 16) + 1))</f>
        <v>AA4C</v>
      </c>
      <c r="V46" s="6" t="str" cm="1">
        <f t="array" ref="V46">IF(ISBLANK(V$3),U46&amp;T46,INDEX(pixel_shift_table.asm!$C$3:$R$114, V$2*16 + V$3 + INT($A46/16) + 1, MOD($A46, 16) + 1))</f>
        <v>4E</v>
      </c>
      <c r="W46" s="5" t="str" cm="1">
        <f t="array" ref="W46">IF(ISBLANK(W$3),V46&amp;U46,INDEX(pixel_shift_table.asm!$C$3:$R$114, W$2*16 + W$3 + INT($A46/16) + 1, MOD($A46, 16) + 1))</f>
        <v>AA</v>
      </c>
      <c r="X46" s="7" t="str" cm="1">
        <f t="array" ref="X46">IF(ISBLANK(X$3),W46&amp;V46,INDEX(pixel_shift_table.asm!$C$3:$R$114, X$2*16 + X$3 + INT($A46/16) + 1, MOD($A46, 16) + 1))</f>
        <v>AA4E</v>
      </c>
    </row>
    <row r="47" spans="1:24" x14ac:dyDescent="0.3">
      <c r="A47">
        <v>42</v>
      </c>
      <c r="B47" s="8">
        <v>1010.1</v>
      </c>
      <c r="C47" s="5" t="s">
        <v>791</v>
      </c>
      <c r="D47" s="6" t="str" cm="1">
        <f t="array" ref="D47">IF(ISBLANK(D$3),C47&amp;B47,INDEX(pixel_shift_table.asm!$C$3:$R$114, D$2*16 + D$3 + INT($A47/16) + 1, MOD($A47, 16) + 1))</f>
        <v>A4</v>
      </c>
      <c r="E47" s="5" t="str" cm="1">
        <f t="array" ref="E47">IF(ISBLANK(E$3),D47&amp;C47,INDEX(pixel_shift_table.asm!$C$3:$R$114, E$2*16 + E$3 + INT($A47/16) + 1, MOD($A47, 16) + 1))</f>
        <v>A9</v>
      </c>
      <c r="F47" s="7" t="str" cm="1">
        <f t="array" ref="F47">IF(ISBLANK(F$3),E47&amp;D47,INDEX(pixel_shift_table.asm!$C$3:$R$114, F$2*16 + F$3 + INT($A47/16) + 1, MOD($A47, 16) + 1))</f>
        <v>A9A4</v>
      </c>
      <c r="G47" s="6" t="str" cm="1">
        <f t="array" ref="G47">IF(ISBLANK(G$3),F47&amp;E47,INDEX(pixel_shift_table.asm!$C$3:$R$114, G$2*16 + G$3 + INT($A47/16) + 1, MOD($A47, 16) + 1))</f>
        <v>A6</v>
      </c>
      <c r="H47" s="5" t="str" cm="1">
        <f t="array" ref="H47">IF(ISBLANK(H$3),G47&amp;F47,INDEX(pixel_shift_table.asm!$C$3:$R$114, H$2*16 + H$3 + INT($A47/16) + 1, MOD($A47, 16) + 1))</f>
        <v>A9</v>
      </c>
      <c r="I47" s="7" t="str" cm="1">
        <f t="array" ref="I47">IF(ISBLANK(I$3),H47&amp;G47,INDEX(pixel_shift_table.asm!$C$3:$R$114, I$2*16 + I$3 + INT($A47/16) + 1, MOD($A47, 16) + 1))</f>
        <v>A9A6</v>
      </c>
      <c r="J47" s="6" t="str" cm="1">
        <f t="array" ref="J47">IF(ISBLANK(J$3),I47&amp;H47,INDEX(pixel_shift_table.asm!$C$3:$R$114, J$2*16 + J$3 + INT($A47/16) + 1, MOD($A47, 16) + 1))</f>
        <v>A8</v>
      </c>
      <c r="K47" s="5" t="str" cm="1">
        <f t="array" ref="K47">IF(ISBLANK(K$3),J47&amp;I47,INDEX(pixel_shift_table.asm!$C$3:$R$114, K$2*16 + K$3 + INT($A47/16) + 1, MOD($A47, 16) + 1))</f>
        <v>A9</v>
      </c>
      <c r="L47" s="7" t="str" cm="1">
        <f t="array" ref="L47">IF(ISBLANK(L$3),K47&amp;J47,INDEX(pixel_shift_table.asm!$C$3:$R$114, L$2*16 + L$3 + INT($A47/16) + 1, MOD($A47, 16) + 1))</f>
        <v>A9A8</v>
      </c>
      <c r="M47" s="6" t="str" cm="1">
        <f t="array" ref="M47">IF(ISBLANK(M$3),L47&amp;K47,INDEX(pixel_shift_table.asm!$C$3:$R$114, M$2*16 + M$3 + INT($A47/16) + 1, MOD($A47, 16) + 1))</f>
        <v>AA</v>
      </c>
      <c r="N47" s="5" t="str" cm="1">
        <f t="array" ref="N47">IF(ISBLANK(N$3),M47&amp;L47,INDEX(pixel_shift_table.asm!$C$3:$R$114, N$2*16 + N$3 + INT($A47/16) + 1, MOD($A47, 16) + 1))</f>
        <v>A9</v>
      </c>
      <c r="O47" s="7" t="str" cm="1">
        <f t="array" ref="O47">IF(ISBLANK(O$3),N47&amp;M47,INDEX(pixel_shift_table.asm!$C$3:$R$114, O$2*16 + O$3 + INT($A47/16) + 1, MOD($A47, 16) + 1))</f>
        <v>A9AA</v>
      </c>
      <c r="P47" s="6" t="str" cm="1">
        <f t="array" ref="P47">IF(ISBLANK(P$3),O47&amp;N47,INDEX(pixel_shift_table.asm!$C$3:$R$114, P$2*16 + P$3 + INT($A47/16) + 1, MOD($A47, 16) + 1))</f>
        <v>AC</v>
      </c>
      <c r="Q47" s="5" t="str" cm="1">
        <f t="array" ref="Q47">IF(ISBLANK(Q$3),P47&amp;O47,INDEX(pixel_shift_table.asm!$C$3:$R$114, Q$2*16 + Q$3 + INT($A47/16) + 1, MOD($A47, 16) + 1))</f>
        <v>A9</v>
      </c>
      <c r="R47" s="7" t="str" cm="1">
        <f t="array" ref="R47">IF(ISBLANK(R$3),Q47&amp;P47,INDEX(pixel_shift_table.asm!$C$3:$R$114, R$2*16 + R$3 + INT($A47/16) + 1, MOD($A47, 16) + 1))</f>
        <v>A9AC</v>
      </c>
      <c r="S47" s="6" t="str" cm="1">
        <f t="array" ref="S47">IF(ISBLANK(S$3),R47&amp;Q47,INDEX(pixel_shift_table.asm!$C$3:$R$114, S$2*16 + S$3 + INT($A47/16) + 1, MOD($A47, 16) + 1))</f>
        <v>AE</v>
      </c>
      <c r="T47" s="5" t="str" cm="1">
        <f t="array" ref="T47">IF(ISBLANK(T$3),S47&amp;R47,INDEX(pixel_shift_table.asm!$C$3:$R$114, T$2*16 + T$3 + INT($A47/16) + 1, MOD($A47, 16) + 1))</f>
        <v>A9</v>
      </c>
      <c r="U47" s="7" t="str" cm="1">
        <f t="array" ref="U47">IF(ISBLANK(U$3),T47&amp;S47,INDEX(pixel_shift_table.asm!$C$3:$R$114, U$2*16 + U$3 + INT($A47/16) + 1, MOD($A47, 16) + 1))</f>
        <v>A9AE</v>
      </c>
      <c r="V47" s="6" t="str" cm="1">
        <f t="array" ref="V47">IF(ISBLANK(V$3),U47&amp;T47,INDEX(pixel_shift_table.asm!$C$3:$R$114, V$2*16 + V$3 + INT($A47/16) + 1, MOD($A47, 16) + 1))</f>
        <v>50</v>
      </c>
      <c r="W47" s="5" t="str" cm="1">
        <f t="array" ref="W47">IF(ISBLANK(W$3),V47&amp;U47,INDEX(pixel_shift_table.asm!$C$3:$R$114, W$2*16 + W$3 + INT($A47/16) + 1, MOD($A47, 16) + 1))</f>
        <v>AA</v>
      </c>
      <c r="X47" s="7" t="str" cm="1">
        <f t="array" ref="X47">IF(ISBLANK(X$3),W47&amp;V47,INDEX(pixel_shift_table.asm!$C$3:$R$114, X$2*16 + X$3 + INT($A47/16) + 1, MOD($A47, 16) + 1))</f>
        <v>AA50</v>
      </c>
    </row>
    <row r="48" spans="1:24" x14ac:dyDescent="0.3">
      <c r="A48">
        <v>43</v>
      </c>
      <c r="B48" s="8">
        <v>1010.11</v>
      </c>
      <c r="C48" s="5" t="s">
        <v>792</v>
      </c>
      <c r="D48" s="6" t="str" cm="1">
        <f t="array" ref="D48">IF(ISBLANK(D$3),C48&amp;B48,INDEX(pixel_shift_table.asm!$C$3:$R$114, D$2*16 + D$3 + INT($A48/16) + 1, MOD($A48, 16) + 1))</f>
        <v>52</v>
      </c>
      <c r="E48" s="5" t="str" cm="1">
        <f t="array" ref="E48">IF(ISBLANK(E$3),D48&amp;C48,INDEX(pixel_shift_table.asm!$C$3:$R$114, E$2*16 + E$3 + INT($A48/16) + 1, MOD($A48, 16) + 1))</f>
        <v>AA</v>
      </c>
      <c r="F48" s="7" t="str" cm="1">
        <f t="array" ref="F48">IF(ISBLANK(F$3),E48&amp;D48,INDEX(pixel_shift_table.asm!$C$3:$R$114, F$2*16 + F$3 + INT($A48/16) + 1, MOD($A48, 16) + 1))</f>
        <v>AA52</v>
      </c>
      <c r="G48" s="6" t="str" cm="1">
        <f t="array" ref="G48">IF(ISBLANK(G$3),F48&amp;E48,INDEX(pixel_shift_table.asm!$C$3:$R$114, G$2*16 + G$3 + INT($A48/16) + 1, MOD($A48, 16) + 1))</f>
        <v>54</v>
      </c>
      <c r="H48" s="5" t="str" cm="1">
        <f t="array" ref="H48">IF(ISBLANK(H$3),G48&amp;F48,INDEX(pixel_shift_table.asm!$C$3:$R$114, H$2*16 + H$3 + INT($A48/16) + 1, MOD($A48, 16) + 1))</f>
        <v>AA</v>
      </c>
      <c r="I48" s="7" t="str" cm="1">
        <f t="array" ref="I48">IF(ISBLANK(I$3),H48&amp;G48,INDEX(pixel_shift_table.asm!$C$3:$R$114, I$2*16 + I$3 + INT($A48/16) + 1, MOD($A48, 16) + 1))</f>
        <v>AA54</v>
      </c>
      <c r="J48" s="6" t="str" cm="1">
        <f t="array" ref="J48">IF(ISBLANK(J$3),I48&amp;H48,INDEX(pixel_shift_table.asm!$C$3:$R$114, J$2*16 + J$3 + INT($A48/16) + 1, MOD($A48, 16) + 1))</f>
        <v>56</v>
      </c>
      <c r="K48" s="5" t="str" cm="1">
        <f t="array" ref="K48">IF(ISBLANK(K$3),J48&amp;I48,INDEX(pixel_shift_table.asm!$C$3:$R$114, K$2*16 + K$3 + INT($A48/16) + 1, MOD($A48, 16) + 1))</f>
        <v>AA</v>
      </c>
      <c r="L48" s="7" t="str" cm="1">
        <f t="array" ref="L48">IF(ISBLANK(L$3),K48&amp;J48,INDEX(pixel_shift_table.asm!$C$3:$R$114, L$2*16 + L$3 + INT($A48/16) + 1, MOD($A48, 16) + 1))</f>
        <v>AA56</v>
      </c>
      <c r="M48" s="6" t="str" cm="1">
        <f t="array" ref="M48">IF(ISBLANK(M$3),L48&amp;K48,INDEX(pixel_shift_table.asm!$C$3:$R$114, M$2*16 + M$3 + INT($A48/16) + 1, MOD($A48, 16) + 1))</f>
        <v>58</v>
      </c>
      <c r="N48" s="5" t="str" cm="1">
        <f t="array" ref="N48">IF(ISBLANK(N$3),M48&amp;L48,INDEX(pixel_shift_table.asm!$C$3:$R$114, N$2*16 + N$3 + INT($A48/16) + 1, MOD($A48, 16) + 1))</f>
        <v>AA</v>
      </c>
      <c r="O48" s="7" t="str" cm="1">
        <f t="array" ref="O48">IF(ISBLANK(O$3),N48&amp;M48,INDEX(pixel_shift_table.asm!$C$3:$R$114, O$2*16 + O$3 + INT($A48/16) + 1, MOD($A48, 16) + 1))</f>
        <v>AA58</v>
      </c>
      <c r="P48" s="6" t="str" cm="1">
        <f t="array" ref="P48">IF(ISBLANK(P$3),O48&amp;N48,INDEX(pixel_shift_table.asm!$C$3:$R$114, P$2*16 + P$3 + INT($A48/16) + 1, MOD($A48, 16) + 1))</f>
        <v>5A</v>
      </c>
      <c r="Q48" s="5" t="str" cm="1">
        <f t="array" ref="Q48">IF(ISBLANK(Q$3),P48&amp;O48,INDEX(pixel_shift_table.asm!$C$3:$R$114, Q$2*16 + Q$3 + INT($A48/16) + 1, MOD($A48, 16) + 1))</f>
        <v>AA</v>
      </c>
      <c r="R48" s="7" t="str" cm="1">
        <f t="array" ref="R48">IF(ISBLANK(R$3),Q48&amp;P48,INDEX(pixel_shift_table.asm!$C$3:$R$114, R$2*16 + R$3 + INT($A48/16) + 1, MOD($A48, 16) + 1))</f>
        <v>AA5A</v>
      </c>
      <c r="S48" s="6" t="str" cm="1">
        <f t="array" ref="S48">IF(ISBLANK(S$3),R48&amp;Q48,INDEX(pixel_shift_table.asm!$C$3:$R$114, S$2*16 + S$3 + INT($A48/16) + 1, MOD($A48, 16) + 1))</f>
        <v>5C</v>
      </c>
      <c r="T48" s="5" t="str" cm="1">
        <f t="array" ref="T48">IF(ISBLANK(T$3),S48&amp;R48,INDEX(pixel_shift_table.asm!$C$3:$R$114, T$2*16 + T$3 + INT($A48/16) + 1, MOD($A48, 16) + 1))</f>
        <v>AA</v>
      </c>
      <c r="U48" s="7" t="str" cm="1">
        <f t="array" ref="U48">IF(ISBLANK(U$3),T48&amp;S48,INDEX(pixel_shift_table.asm!$C$3:$R$114, U$2*16 + U$3 + INT($A48/16) + 1, MOD($A48, 16) + 1))</f>
        <v>AA5C</v>
      </c>
      <c r="V48" s="6" t="str" cm="1">
        <f t="array" ref="V48">IF(ISBLANK(V$3),U48&amp;T48,INDEX(pixel_shift_table.asm!$C$3:$R$114, V$2*16 + V$3 + INT($A48/16) + 1, MOD($A48, 16) + 1))</f>
        <v>5E</v>
      </c>
      <c r="W48" s="5" t="str" cm="1">
        <f t="array" ref="W48">IF(ISBLANK(W$3),V48&amp;U48,INDEX(pixel_shift_table.asm!$C$3:$R$114, W$2*16 + W$3 + INT($A48/16) + 1, MOD($A48, 16) + 1))</f>
        <v>AA</v>
      </c>
      <c r="X48" s="7" t="str" cm="1">
        <f t="array" ref="X48">IF(ISBLANK(X$3),W48&amp;V48,INDEX(pixel_shift_table.asm!$C$3:$R$114, X$2*16 + X$3 + INT($A48/16) + 1, MOD($A48, 16) + 1))</f>
        <v>AA5E</v>
      </c>
    </row>
    <row r="49" spans="1:24" x14ac:dyDescent="0.3">
      <c r="A49">
        <v>44</v>
      </c>
      <c r="B49" s="8">
        <v>1011</v>
      </c>
      <c r="C49" s="5" t="s">
        <v>793</v>
      </c>
      <c r="D49" s="6" t="str" cm="1">
        <f t="array" ref="D49">IF(ISBLANK(D$3),C49&amp;B49,INDEX(pixel_shift_table.asm!$C$3:$R$114, D$2*16 + D$3 + INT($A49/16) + 1, MOD($A49, 16) + 1))</f>
        <v>56</v>
      </c>
      <c r="E49" s="5" t="str" cm="1">
        <f t="array" ref="E49">IF(ISBLANK(E$3),D49&amp;C49,INDEX(pixel_shift_table.asm!$C$3:$R$114, E$2*16 + E$3 + INT($A49/16) + 1, MOD($A49, 16) + 1))</f>
        <v>A9</v>
      </c>
      <c r="F49" s="7" t="str" cm="1">
        <f t="array" ref="F49">IF(ISBLANK(F$3),E49&amp;D49,INDEX(pixel_shift_table.asm!$C$3:$R$114, F$2*16 + F$3 + INT($A49/16) + 1, MOD($A49, 16) + 1))</f>
        <v>A956</v>
      </c>
      <c r="G49" s="6" t="str" cm="1">
        <f t="array" ref="G49">IF(ISBLANK(G$3),F49&amp;E49,INDEX(pixel_shift_table.asm!$C$3:$R$114, G$2*16 + G$3 + INT($A49/16) + 1, MOD($A49, 16) + 1))</f>
        <v>58</v>
      </c>
      <c r="H49" s="5" t="str" cm="1">
        <f t="array" ref="H49">IF(ISBLANK(H$3),G49&amp;F49,INDEX(pixel_shift_table.asm!$C$3:$R$114, H$2*16 + H$3 + INT($A49/16) + 1, MOD($A49, 16) + 1))</f>
        <v>A9</v>
      </c>
      <c r="I49" s="7" t="str" cm="1">
        <f t="array" ref="I49">IF(ISBLANK(I$3),H49&amp;G49,INDEX(pixel_shift_table.asm!$C$3:$R$114, I$2*16 + I$3 + INT($A49/16) + 1, MOD($A49, 16) + 1))</f>
        <v>A958</v>
      </c>
      <c r="J49" s="6" t="str" cm="1">
        <f t="array" ref="J49">IF(ISBLANK(J$3),I49&amp;H49,INDEX(pixel_shift_table.asm!$C$3:$R$114, J$2*16 + J$3 + INT($A49/16) + 1, MOD($A49, 16) + 1))</f>
        <v>5A</v>
      </c>
      <c r="K49" s="5" t="str" cm="1">
        <f t="array" ref="K49">IF(ISBLANK(K$3),J49&amp;I49,INDEX(pixel_shift_table.asm!$C$3:$R$114, K$2*16 + K$3 + INT($A49/16) + 1, MOD($A49, 16) + 1))</f>
        <v>A9</v>
      </c>
      <c r="L49" s="7" t="str" cm="1">
        <f t="array" ref="L49">IF(ISBLANK(L$3),K49&amp;J49,INDEX(pixel_shift_table.asm!$C$3:$R$114, L$2*16 + L$3 + INT($A49/16) + 1, MOD($A49, 16) + 1))</f>
        <v>A95A</v>
      </c>
      <c r="M49" s="6" t="str" cm="1">
        <f t="array" ref="M49">IF(ISBLANK(M$3),L49&amp;K49,INDEX(pixel_shift_table.asm!$C$3:$R$114, M$2*16 + M$3 + INT($A49/16) + 1, MOD($A49, 16) + 1))</f>
        <v>5C</v>
      </c>
      <c r="N49" s="5" t="str" cm="1">
        <f t="array" ref="N49">IF(ISBLANK(N$3),M49&amp;L49,INDEX(pixel_shift_table.asm!$C$3:$R$114, N$2*16 + N$3 + INT($A49/16) + 1, MOD($A49, 16) + 1))</f>
        <v>A9</v>
      </c>
      <c r="O49" s="7" t="str" cm="1">
        <f t="array" ref="O49">IF(ISBLANK(O$3),N49&amp;M49,INDEX(pixel_shift_table.asm!$C$3:$R$114, O$2*16 + O$3 + INT($A49/16) + 1, MOD($A49, 16) + 1))</f>
        <v>A95C</v>
      </c>
      <c r="P49" s="6" t="str" cm="1">
        <f t="array" ref="P49">IF(ISBLANK(P$3),O49&amp;N49,INDEX(pixel_shift_table.asm!$C$3:$R$114, P$2*16 + P$3 + INT($A49/16) + 1, MOD($A49, 16) + 1))</f>
        <v>5E</v>
      </c>
      <c r="Q49" s="5" t="str" cm="1">
        <f t="array" ref="Q49">IF(ISBLANK(Q$3),P49&amp;O49,INDEX(pixel_shift_table.asm!$C$3:$R$114, Q$2*16 + Q$3 + INT($A49/16) + 1, MOD($A49, 16) + 1))</f>
        <v>A9</v>
      </c>
      <c r="R49" s="7" t="str" cm="1">
        <f t="array" ref="R49">IF(ISBLANK(R$3),Q49&amp;P49,INDEX(pixel_shift_table.asm!$C$3:$R$114, R$2*16 + R$3 + INT($A49/16) + 1, MOD($A49, 16) + 1))</f>
        <v>A95E</v>
      </c>
      <c r="S49" s="6" t="str" cm="1">
        <f t="array" ref="S49">IF(ISBLANK(S$3),R49&amp;Q49,INDEX(pixel_shift_table.asm!$C$3:$R$114, S$2*16 + S$3 + INT($A49/16) + 1, MOD($A49, 16) + 1))</f>
        <v>B0</v>
      </c>
      <c r="T49" s="5" t="str" cm="1">
        <f t="array" ref="T49">IF(ISBLANK(T$3),S49&amp;R49,INDEX(pixel_shift_table.asm!$C$3:$R$114, T$2*16 + T$3 + INT($A49/16) + 1, MOD($A49, 16) + 1))</f>
        <v>A9</v>
      </c>
      <c r="U49" s="7" t="str" cm="1">
        <f t="array" ref="U49">IF(ISBLANK(U$3),T49&amp;S49,INDEX(pixel_shift_table.asm!$C$3:$R$114, U$2*16 + U$3 + INT($A49/16) + 1, MOD($A49, 16) + 1))</f>
        <v>A9B0</v>
      </c>
      <c r="V49" s="6" t="str" cm="1">
        <f t="array" ref="V49">IF(ISBLANK(V$3),U49&amp;T49,INDEX(pixel_shift_table.asm!$C$3:$R$114, V$2*16 + V$3 + INT($A49/16) + 1, MOD($A49, 16) + 1))</f>
        <v>60</v>
      </c>
      <c r="W49" s="5" t="str" cm="1">
        <f t="array" ref="W49">IF(ISBLANK(W$3),V49&amp;U49,INDEX(pixel_shift_table.asm!$C$3:$R$114, W$2*16 + W$3 + INT($A49/16) + 1, MOD($A49, 16) + 1))</f>
        <v>AA</v>
      </c>
      <c r="X49" s="7" t="str" cm="1">
        <f t="array" ref="X49">IF(ISBLANK(X$3),W49&amp;V49,INDEX(pixel_shift_table.asm!$C$3:$R$114, X$2*16 + X$3 + INT($A49/16) + 1, MOD($A49, 16) + 1))</f>
        <v>AA60</v>
      </c>
    </row>
    <row r="50" spans="1:24" x14ac:dyDescent="0.3">
      <c r="A50">
        <v>45</v>
      </c>
      <c r="B50" s="8">
        <v>1011.01</v>
      </c>
      <c r="C50" s="5" t="s">
        <v>794</v>
      </c>
      <c r="D50" s="6" t="str" cm="1">
        <f t="array" ref="D50">IF(ISBLANK(D$3),C50&amp;B50,INDEX(pixel_shift_table.asm!$C$3:$R$114, D$2*16 + D$3 + INT($A50/16) + 1, MOD($A50, 16) + 1))</f>
        <v>62</v>
      </c>
      <c r="E50" s="5" t="str" cm="1">
        <f t="array" ref="E50">IF(ISBLANK(E$3),D50&amp;C50,INDEX(pixel_shift_table.asm!$C$3:$R$114, E$2*16 + E$3 + INT($A50/16) + 1, MOD($A50, 16) + 1))</f>
        <v>AA</v>
      </c>
      <c r="F50" s="7" t="str" cm="1">
        <f t="array" ref="F50">IF(ISBLANK(F$3),E50&amp;D50,INDEX(pixel_shift_table.asm!$C$3:$R$114, F$2*16 + F$3 + INT($A50/16) + 1, MOD($A50, 16) + 1))</f>
        <v>AA62</v>
      </c>
      <c r="G50" s="6" t="str" cm="1">
        <f t="array" ref="G50">IF(ISBLANK(G$3),F50&amp;E50,INDEX(pixel_shift_table.asm!$C$3:$R$114, G$2*16 + G$3 + INT($A50/16) + 1, MOD($A50, 16) + 1))</f>
        <v>64</v>
      </c>
      <c r="H50" s="5" t="str" cm="1">
        <f t="array" ref="H50">IF(ISBLANK(H$3),G50&amp;F50,INDEX(pixel_shift_table.asm!$C$3:$R$114, H$2*16 + H$3 + INT($A50/16) + 1, MOD($A50, 16) + 1))</f>
        <v>AA</v>
      </c>
      <c r="I50" s="7" t="str" cm="1">
        <f t="array" ref="I50">IF(ISBLANK(I$3),H50&amp;G50,INDEX(pixel_shift_table.asm!$C$3:$R$114, I$2*16 + I$3 + INT($A50/16) + 1, MOD($A50, 16) + 1))</f>
        <v>AA64</v>
      </c>
      <c r="J50" s="6" t="str" cm="1">
        <f t="array" ref="J50">IF(ISBLANK(J$3),I50&amp;H50,INDEX(pixel_shift_table.asm!$C$3:$R$114, J$2*16 + J$3 + INT($A50/16) + 1, MOD($A50, 16) + 1))</f>
        <v>66</v>
      </c>
      <c r="K50" s="5" t="str" cm="1">
        <f t="array" ref="K50">IF(ISBLANK(K$3),J50&amp;I50,INDEX(pixel_shift_table.asm!$C$3:$R$114, K$2*16 + K$3 + INT($A50/16) + 1, MOD($A50, 16) + 1))</f>
        <v>AA</v>
      </c>
      <c r="L50" s="7" t="str" cm="1">
        <f t="array" ref="L50">IF(ISBLANK(L$3),K50&amp;J50,INDEX(pixel_shift_table.asm!$C$3:$R$114, L$2*16 + L$3 + INT($A50/16) + 1, MOD($A50, 16) + 1))</f>
        <v>AA66</v>
      </c>
      <c r="M50" s="6" t="str" cm="1">
        <f t="array" ref="M50">IF(ISBLANK(M$3),L50&amp;K50,INDEX(pixel_shift_table.asm!$C$3:$R$114, M$2*16 + M$3 + INT($A50/16) + 1, MOD($A50, 16) + 1))</f>
        <v>68</v>
      </c>
      <c r="N50" s="5" t="str" cm="1">
        <f t="array" ref="N50">IF(ISBLANK(N$3),M50&amp;L50,INDEX(pixel_shift_table.asm!$C$3:$R$114, N$2*16 + N$3 + INT($A50/16) + 1, MOD($A50, 16) + 1))</f>
        <v>AA</v>
      </c>
      <c r="O50" s="7" t="str" cm="1">
        <f t="array" ref="O50">IF(ISBLANK(O$3),N50&amp;M50,INDEX(pixel_shift_table.asm!$C$3:$R$114, O$2*16 + O$3 + INT($A50/16) + 1, MOD($A50, 16) + 1))</f>
        <v>AA68</v>
      </c>
      <c r="P50" s="6" t="str" cm="1">
        <f t="array" ref="P50">IF(ISBLANK(P$3),O50&amp;N50,INDEX(pixel_shift_table.asm!$C$3:$R$114, P$2*16 + P$3 + INT($A50/16) + 1, MOD($A50, 16) + 1))</f>
        <v>6A</v>
      </c>
      <c r="Q50" s="5" t="str" cm="1">
        <f t="array" ref="Q50">IF(ISBLANK(Q$3),P50&amp;O50,INDEX(pixel_shift_table.asm!$C$3:$R$114, Q$2*16 + Q$3 + INT($A50/16) + 1, MOD($A50, 16) + 1))</f>
        <v>AA</v>
      </c>
      <c r="R50" s="7" t="str" cm="1">
        <f t="array" ref="R50">IF(ISBLANK(R$3),Q50&amp;P50,INDEX(pixel_shift_table.asm!$C$3:$R$114, R$2*16 + R$3 + INT($A50/16) + 1, MOD($A50, 16) + 1))</f>
        <v>AA6A</v>
      </c>
      <c r="S50" s="6" t="str" cm="1">
        <f t="array" ref="S50">IF(ISBLANK(S$3),R50&amp;Q50,INDEX(pixel_shift_table.asm!$C$3:$R$114, S$2*16 + S$3 + INT($A50/16) + 1, MOD($A50, 16) + 1))</f>
        <v>6C</v>
      </c>
      <c r="T50" s="5" t="str" cm="1">
        <f t="array" ref="T50">IF(ISBLANK(T$3),S50&amp;R50,INDEX(pixel_shift_table.asm!$C$3:$R$114, T$2*16 + T$3 + INT($A50/16) + 1, MOD($A50, 16) + 1))</f>
        <v>AA</v>
      </c>
      <c r="U50" s="7" t="str" cm="1">
        <f t="array" ref="U50">IF(ISBLANK(U$3),T50&amp;S50,INDEX(pixel_shift_table.asm!$C$3:$R$114, U$2*16 + U$3 + INT($A50/16) + 1, MOD($A50, 16) + 1))</f>
        <v>AA6C</v>
      </c>
      <c r="V50" s="6" t="str" cm="1">
        <f t="array" ref="V50">IF(ISBLANK(V$3),U50&amp;T50,INDEX(pixel_shift_table.asm!$C$3:$R$114, V$2*16 + V$3 + INT($A50/16) + 1, MOD($A50, 16) + 1))</f>
        <v>6E</v>
      </c>
      <c r="W50" s="5" t="str" cm="1">
        <f t="array" ref="W50">IF(ISBLANK(W$3),V50&amp;U50,INDEX(pixel_shift_table.asm!$C$3:$R$114, W$2*16 + W$3 + INT($A50/16) + 1, MOD($A50, 16) + 1))</f>
        <v>AA</v>
      </c>
      <c r="X50" s="7" t="str" cm="1">
        <f t="array" ref="X50">IF(ISBLANK(X$3),W50&amp;V50,INDEX(pixel_shift_table.asm!$C$3:$R$114, X$2*16 + X$3 + INT($A50/16) + 1, MOD($A50, 16) + 1))</f>
        <v>AA6E</v>
      </c>
    </row>
    <row r="51" spans="1:24" x14ac:dyDescent="0.3">
      <c r="A51">
        <v>46</v>
      </c>
      <c r="B51" s="8">
        <v>1011.1</v>
      </c>
      <c r="C51" s="5" t="s">
        <v>795</v>
      </c>
      <c r="D51" s="6" t="str" cm="1">
        <f t="array" ref="D51">IF(ISBLANK(D$3),C51&amp;B51,INDEX(pixel_shift_table.asm!$C$3:$R$114, D$2*16 + D$3 + INT($A51/16) + 1, MOD($A51, 16) + 1))</f>
        <v>B4</v>
      </c>
      <c r="E51" s="5" t="str" cm="1">
        <f t="array" ref="E51">IF(ISBLANK(E$3),D51&amp;C51,INDEX(pixel_shift_table.asm!$C$3:$R$114, E$2*16 + E$3 + INT($A51/16) + 1, MOD($A51, 16) + 1))</f>
        <v>A9</v>
      </c>
      <c r="F51" s="7" t="str" cm="1">
        <f t="array" ref="F51">IF(ISBLANK(F$3),E51&amp;D51,INDEX(pixel_shift_table.asm!$C$3:$R$114, F$2*16 + F$3 + INT($A51/16) + 1, MOD($A51, 16) + 1))</f>
        <v>A9B4</v>
      </c>
      <c r="G51" s="6" t="str" cm="1">
        <f t="array" ref="G51">IF(ISBLANK(G$3),F51&amp;E51,INDEX(pixel_shift_table.asm!$C$3:$R$114, G$2*16 + G$3 + INT($A51/16) + 1, MOD($A51, 16) + 1))</f>
        <v>B6</v>
      </c>
      <c r="H51" s="5" t="str" cm="1">
        <f t="array" ref="H51">IF(ISBLANK(H$3),G51&amp;F51,INDEX(pixel_shift_table.asm!$C$3:$R$114, H$2*16 + H$3 + INT($A51/16) + 1, MOD($A51, 16) + 1))</f>
        <v>A9</v>
      </c>
      <c r="I51" s="7" t="str" cm="1">
        <f t="array" ref="I51">IF(ISBLANK(I$3),H51&amp;G51,INDEX(pixel_shift_table.asm!$C$3:$R$114, I$2*16 + I$3 + INT($A51/16) + 1, MOD($A51, 16) + 1))</f>
        <v>A9B6</v>
      </c>
      <c r="J51" s="6" t="str" cm="1">
        <f t="array" ref="J51">IF(ISBLANK(J$3),I51&amp;H51,INDEX(pixel_shift_table.asm!$C$3:$R$114, J$2*16 + J$3 + INT($A51/16) + 1, MOD($A51, 16) + 1))</f>
        <v>B8</v>
      </c>
      <c r="K51" s="5" t="str" cm="1">
        <f t="array" ref="K51">IF(ISBLANK(K$3),J51&amp;I51,INDEX(pixel_shift_table.asm!$C$3:$R$114, K$2*16 + K$3 + INT($A51/16) + 1, MOD($A51, 16) + 1))</f>
        <v>A9</v>
      </c>
      <c r="L51" s="7" t="str" cm="1">
        <f t="array" ref="L51">IF(ISBLANK(L$3),K51&amp;J51,INDEX(pixel_shift_table.asm!$C$3:$R$114, L$2*16 + L$3 + INT($A51/16) + 1, MOD($A51, 16) + 1))</f>
        <v>A9B8</v>
      </c>
      <c r="M51" s="6" t="str" cm="1">
        <f t="array" ref="M51">IF(ISBLANK(M$3),L51&amp;K51,INDEX(pixel_shift_table.asm!$C$3:$R$114, M$2*16 + M$3 + INT($A51/16) + 1, MOD($A51, 16) + 1))</f>
        <v>BA</v>
      </c>
      <c r="N51" s="5" t="str" cm="1">
        <f t="array" ref="N51">IF(ISBLANK(N$3),M51&amp;L51,INDEX(pixel_shift_table.asm!$C$3:$R$114, N$2*16 + N$3 + INT($A51/16) + 1, MOD($A51, 16) + 1))</f>
        <v>A9</v>
      </c>
      <c r="O51" s="7" t="str" cm="1">
        <f t="array" ref="O51">IF(ISBLANK(O$3),N51&amp;M51,INDEX(pixel_shift_table.asm!$C$3:$R$114, O$2*16 + O$3 + INT($A51/16) + 1, MOD($A51, 16) + 1))</f>
        <v>A9BA</v>
      </c>
      <c r="P51" s="6" t="str" cm="1">
        <f t="array" ref="P51">IF(ISBLANK(P$3),O51&amp;N51,INDEX(pixel_shift_table.asm!$C$3:$R$114, P$2*16 + P$3 + INT($A51/16) + 1, MOD($A51, 16) + 1))</f>
        <v>BC</v>
      </c>
      <c r="Q51" s="5" t="str" cm="1">
        <f t="array" ref="Q51">IF(ISBLANK(Q$3),P51&amp;O51,INDEX(pixel_shift_table.asm!$C$3:$R$114, Q$2*16 + Q$3 + INT($A51/16) + 1, MOD($A51, 16) + 1))</f>
        <v>A9</v>
      </c>
      <c r="R51" s="7" t="str" cm="1">
        <f t="array" ref="R51">IF(ISBLANK(R$3),Q51&amp;P51,INDEX(pixel_shift_table.asm!$C$3:$R$114, R$2*16 + R$3 + INT($A51/16) + 1, MOD($A51, 16) + 1))</f>
        <v>A9BC</v>
      </c>
      <c r="S51" s="6" t="str" cm="1">
        <f t="array" ref="S51">IF(ISBLANK(S$3),R51&amp;Q51,INDEX(pixel_shift_table.asm!$C$3:$R$114, S$2*16 + S$3 + INT($A51/16) + 1, MOD($A51, 16) + 1))</f>
        <v>BE</v>
      </c>
      <c r="T51" s="5" t="str" cm="1">
        <f t="array" ref="T51">IF(ISBLANK(T$3),S51&amp;R51,INDEX(pixel_shift_table.asm!$C$3:$R$114, T$2*16 + T$3 + INT($A51/16) + 1, MOD($A51, 16) + 1))</f>
        <v>A9</v>
      </c>
      <c r="U51" s="7" t="str" cm="1">
        <f t="array" ref="U51">IF(ISBLANK(U$3),T51&amp;S51,INDEX(pixel_shift_table.asm!$C$3:$R$114, U$2*16 + U$3 + INT($A51/16) + 1, MOD($A51, 16) + 1))</f>
        <v>A9BE</v>
      </c>
      <c r="V51" s="6" t="str" cm="1">
        <f t="array" ref="V51">IF(ISBLANK(V$3),U51&amp;T51,INDEX(pixel_shift_table.asm!$C$3:$R$114, V$2*16 + V$3 + INT($A51/16) + 1, MOD($A51, 16) + 1))</f>
        <v>70</v>
      </c>
      <c r="W51" s="5" t="str" cm="1">
        <f t="array" ref="W51">IF(ISBLANK(W$3),V51&amp;U51,INDEX(pixel_shift_table.asm!$C$3:$R$114, W$2*16 + W$3 + INT($A51/16) + 1, MOD($A51, 16) + 1))</f>
        <v>AA</v>
      </c>
      <c r="X51" s="7" t="str" cm="1">
        <f t="array" ref="X51">IF(ISBLANK(X$3),W51&amp;V51,INDEX(pixel_shift_table.asm!$C$3:$R$114, X$2*16 + X$3 + INT($A51/16) + 1, MOD($A51, 16) + 1))</f>
        <v>AA70</v>
      </c>
    </row>
    <row r="52" spans="1:24" x14ac:dyDescent="0.3">
      <c r="A52">
        <v>47</v>
      </c>
      <c r="B52" s="8">
        <v>1011.11</v>
      </c>
      <c r="C52" s="5" t="s">
        <v>796</v>
      </c>
      <c r="D52" s="6" t="str" cm="1">
        <f t="array" ref="D52">IF(ISBLANK(D$3),C52&amp;B52,INDEX(pixel_shift_table.asm!$C$3:$R$114, D$2*16 + D$3 + INT($A52/16) + 1, MOD($A52, 16) + 1))</f>
        <v>72</v>
      </c>
      <c r="E52" s="5" t="str" cm="1">
        <f t="array" ref="E52">IF(ISBLANK(E$3),D52&amp;C52,INDEX(pixel_shift_table.asm!$C$3:$R$114, E$2*16 + E$3 + INT($A52/16) + 1, MOD($A52, 16) + 1))</f>
        <v>AA</v>
      </c>
      <c r="F52" s="7" t="str" cm="1">
        <f t="array" ref="F52">IF(ISBLANK(F$3),E52&amp;D52,INDEX(pixel_shift_table.asm!$C$3:$R$114, F$2*16 + F$3 + INT($A52/16) + 1, MOD($A52, 16) + 1))</f>
        <v>AA72</v>
      </c>
      <c r="G52" s="6" t="str" cm="1">
        <f t="array" ref="G52">IF(ISBLANK(G$3),F52&amp;E52,INDEX(pixel_shift_table.asm!$C$3:$R$114, G$2*16 + G$3 + INT($A52/16) + 1, MOD($A52, 16) + 1))</f>
        <v>74</v>
      </c>
      <c r="H52" s="5" t="str" cm="1">
        <f t="array" ref="H52">IF(ISBLANK(H$3),G52&amp;F52,INDEX(pixel_shift_table.asm!$C$3:$R$114, H$2*16 + H$3 + INT($A52/16) + 1, MOD($A52, 16) + 1))</f>
        <v>AA</v>
      </c>
      <c r="I52" s="7" t="str" cm="1">
        <f t="array" ref="I52">IF(ISBLANK(I$3),H52&amp;G52,INDEX(pixel_shift_table.asm!$C$3:$R$114, I$2*16 + I$3 + INT($A52/16) + 1, MOD($A52, 16) + 1))</f>
        <v>AA74</v>
      </c>
      <c r="J52" s="6" t="str" cm="1">
        <f t="array" ref="J52">IF(ISBLANK(J$3),I52&amp;H52,INDEX(pixel_shift_table.asm!$C$3:$R$114, J$2*16 + J$3 + INT($A52/16) + 1, MOD($A52, 16) + 1))</f>
        <v>76</v>
      </c>
      <c r="K52" s="5" t="str" cm="1">
        <f t="array" ref="K52">IF(ISBLANK(K$3),J52&amp;I52,INDEX(pixel_shift_table.asm!$C$3:$R$114, K$2*16 + K$3 + INT($A52/16) + 1, MOD($A52, 16) + 1))</f>
        <v>AA</v>
      </c>
      <c r="L52" s="7" t="str" cm="1">
        <f t="array" ref="L52">IF(ISBLANK(L$3),K52&amp;J52,INDEX(pixel_shift_table.asm!$C$3:$R$114, L$2*16 + L$3 + INT($A52/16) + 1, MOD($A52, 16) + 1))</f>
        <v>AA76</v>
      </c>
      <c r="M52" s="6" t="str" cm="1">
        <f t="array" ref="M52">IF(ISBLANK(M$3),L52&amp;K52,INDEX(pixel_shift_table.asm!$C$3:$R$114, M$2*16 + M$3 + INT($A52/16) + 1, MOD($A52, 16) + 1))</f>
        <v>78</v>
      </c>
      <c r="N52" s="5" t="str" cm="1">
        <f t="array" ref="N52">IF(ISBLANK(N$3),M52&amp;L52,INDEX(pixel_shift_table.asm!$C$3:$R$114, N$2*16 + N$3 + INT($A52/16) + 1, MOD($A52, 16) + 1))</f>
        <v>AA</v>
      </c>
      <c r="O52" s="7" t="str" cm="1">
        <f t="array" ref="O52">IF(ISBLANK(O$3),N52&amp;M52,INDEX(pixel_shift_table.asm!$C$3:$R$114, O$2*16 + O$3 + INT($A52/16) + 1, MOD($A52, 16) + 1))</f>
        <v>AA78</v>
      </c>
      <c r="P52" s="6" t="str" cm="1">
        <f t="array" ref="P52">IF(ISBLANK(P$3),O52&amp;N52,INDEX(pixel_shift_table.asm!$C$3:$R$114, P$2*16 + P$3 + INT($A52/16) + 1, MOD($A52, 16) + 1))</f>
        <v>7A</v>
      </c>
      <c r="Q52" s="5" t="str" cm="1">
        <f t="array" ref="Q52">IF(ISBLANK(Q$3),P52&amp;O52,INDEX(pixel_shift_table.asm!$C$3:$R$114, Q$2*16 + Q$3 + INT($A52/16) + 1, MOD($A52, 16) + 1))</f>
        <v>AA</v>
      </c>
      <c r="R52" s="7" t="str" cm="1">
        <f t="array" ref="R52">IF(ISBLANK(R$3),Q52&amp;P52,INDEX(pixel_shift_table.asm!$C$3:$R$114, R$2*16 + R$3 + INT($A52/16) + 1, MOD($A52, 16) + 1))</f>
        <v>AA7A</v>
      </c>
      <c r="S52" s="6" t="str" cm="1">
        <f t="array" ref="S52">IF(ISBLANK(S$3),R52&amp;Q52,INDEX(pixel_shift_table.asm!$C$3:$R$114, S$2*16 + S$3 + INT($A52/16) + 1, MOD($A52, 16) + 1))</f>
        <v>7C</v>
      </c>
      <c r="T52" s="5" t="str" cm="1">
        <f t="array" ref="T52">IF(ISBLANK(T$3),S52&amp;R52,INDEX(pixel_shift_table.asm!$C$3:$R$114, T$2*16 + T$3 + INT($A52/16) + 1, MOD($A52, 16) + 1))</f>
        <v>AA</v>
      </c>
      <c r="U52" s="7" t="str" cm="1">
        <f t="array" ref="U52">IF(ISBLANK(U$3),T52&amp;S52,INDEX(pixel_shift_table.asm!$C$3:$R$114, U$2*16 + U$3 + INT($A52/16) + 1, MOD($A52, 16) + 1))</f>
        <v>AA7C</v>
      </c>
      <c r="V52" s="6" t="str" cm="1">
        <f t="array" ref="V52">IF(ISBLANK(V$3),U52&amp;T52,INDEX(pixel_shift_table.asm!$C$3:$R$114, V$2*16 + V$3 + INT($A52/16) + 1, MOD($A52, 16) + 1))</f>
        <v>7E</v>
      </c>
      <c r="W52" s="5" t="str" cm="1">
        <f t="array" ref="W52">IF(ISBLANK(W$3),V52&amp;U52,INDEX(pixel_shift_table.asm!$C$3:$R$114, W$2*16 + W$3 + INT($A52/16) + 1, MOD($A52, 16) + 1))</f>
        <v>AA</v>
      </c>
      <c r="X52" s="7" t="str" cm="1">
        <f t="array" ref="X52">IF(ISBLANK(X$3),W52&amp;V52,INDEX(pixel_shift_table.asm!$C$3:$R$114, X$2*16 + X$3 + INT($A52/16) + 1, MOD($A52, 16) + 1))</f>
        <v>AA7E</v>
      </c>
    </row>
    <row r="53" spans="1:24" x14ac:dyDescent="0.3">
      <c r="A53">
        <v>48</v>
      </c>
      <c r="B53" s="8">
        <v>1100</v>
      </c>
      <c r="C53" s="5" t="s">
        <v>797</v>
      </c>
      <c r="D53" s="6" t="str" cm="1">
        <f t="array" ref="D53">IF(ISBLANK(D$3),C53&amp;B53,INDEX(pixel_shift_table.asm!$C$3:$R$114, D$2*16 + D$3 + INT($A53/16) + 1, MOD($A53, 16) + 1))</f>
        <v>1A</v>
      </c>
      <c r="E53" s="5" t="str" cm="1">
        <f t="array" ref="E53">IF(ISBLANK(E$3),D53&amp;C53,INDEX(pixel_shift_table.asm!$C$3:$R$114, E$2*16 + E$3 + INT($A53/16) + 1, MOD($A53, 16) + 1))</f>
        <v>A9</v>
      </c>
      <c r="F53" s="7" t="str" cm="1">
        <f t="array" ref="F53">IF(ISBLANK(F$3),E53&amp;D53,INDEX(pixel_shift_table.asm!$C$3:$R$114, F$2*16 + F$3 + INT($A53/16) + 1, MOD($A53, 16) + 1))</f>
        <v>A91A</v>
      </c>
      <c r="G53" s="6" t="str" cm="1">
        <f t="array" ref="G53">IF(ISBLANK(G$3),F53&amp;E53,INDEX(pixel_shift_table.asm!$C$3:$R$114, G$2*16 + G$3 + INT($A53/16) + 1, MOD($A53, 16) + 1))</f>
        <v>1C</v>
      </c>
      <c r="H53" s="5" t="str" cm="1">
        <f t="array" ref="H53">IF(ISBLANK(H$3),G53&amp;F53,INDEX(pixel_shift_table.asm!$C$3:$R$114, H$2*16 + H$3 + INT($A53/16) + 1, MOD($A53, 16) + 1))</f>
        <v>A9</v>
      </c>
      <c r="I53" s="7" t="str" cm="1">
        <f t="array" ref="I53">IF(ISBLANK(I$3),H53&amp;G53,INDEX(pixel_shift_table.asm!$C$3:$R$114, I$2*16 + I$3 + INT($A53/16) + 1, MOD($A53, 16) + 1))</f>
        <v>A91C</v>
      </c>
      <c r="J53" s="6" t="str" cm="1">
        <f t="array" ref="J53">IF(ISBLANK(J$3),I53&amp;H53,INDEX(pixel_shift_table.asm!$C$3:$R$114, J$2*16 + J$3 + INT($A53/16) + 1, MOD($A53, 16) + 1))</f>
        <v>1E</v>
      </c>
      <c r="K53" s="5" t="str" cm="1">
        <f t="array" ref="K53">IF(ISBLANK(K$3),J53&amp;I53,INDEX(pixel_shift_table.asm!$C$3:$R$114, K$2*16 + K$3 + INT($A53/16) + 1, MOD($A53, 16) + 1))</f>
        <v>A9</v>
      </c>
      <c r="L53" s="7" t="str" cm="1">
        <f t="array" ref="L53">IF(ISBLANK(L$3),K53&amp;J53,INDEX(pixel_shift_table.asm!$C$3:$R$114, L$2*16 + L$3 + INT($A53/16) + 1, MOD($A53, 16) + 1))</f>
        <v>A91E</v>
      </c>
      <c r="M53" s="6" t="str" cm="1">
        <f t="array" ref="M53">IF(ISBLANK(M$3),L53&amp;K53,INDEX(pixel_shift_table.asm!$C$3:$R$114, M$2*16 + M$3 + INT($A53/16) + 1, MOD($A53, 16) + 1))</f>
        <v>30</v>
      </c>
      <c r="N53" s="5" t="str" cm="1">
        <f t="array" ref="N53">IF(ISBLANK(N$3),M53&amp;L53,INDEX(pixel_shift_table.asm!$C$3:$R$114, N$2*16 + N$3 + INT($A53/16) + 1, MOD($A53, 16) + 1))</f>
        <v>A9</v>
      </c>
      <c r="O53" s="7" t="str" cm="1">
        <f t="array" ref="O53">IF(ISBLANK(O$3),N53&amp;M53,INDEX(pixel_shift_table.asm!$C$3:$R$114, O$2*16 + O$3 + INT($A53/16) + 1, MOD($A53, 16) + 1))</f>
        <v>A930</v>
      </c>
      <c r="P53" s="6" t="str" cm="1">
        <f t="array" ref="P53">IF(ISBLANK(P$3),O53&amp;N53,INDEX(pixel_shift_table.asm!$C$3:$R$114, P$2*16 + P$3 + INT($A53/16) + 1, MOD($A53, 16) + 1))</f>
        <v>60</v>
      </c>
      <c r="Q53" s="5" t="str" cm="1">
        <f t="array" ref="Q53">IF(ISBLANK(Q$3),P53&amp;O53,INDEX(pixel_shift_table.asm!$C$3:$R$114, Q$2*16 + Q$3 + INT($A53/16) + 1, MOD($A53, 16) + 1))</f>
        <v>A9</v>
      </c>
      <c r="R53" s="7" t="str" cm="1">
        <f t="array" ref="R53">IF(ISBLANK(R$3),Q53&amp;P53,INDEX(pixel_shift_table.asm!$C$3:$R$114, R$2*16 + R$3 + INT($A53/16) + 1, MOD($A53, 16) + 1))</f>
        <v>A960</v>
      </c>
      <c r="S53" s="6" t="str" cm="1">
        <f t="array" ref="S53">IF(ISBLANK(S$3),R53&amp;Q53,INDEX(pixel_shift_table.asm!$C$3:$R$114, S$2*16 + S$3 + INT($A53/16) + 1, MOD($A53, 16) + 1))</f>
        <v>C0</v>
      </c>
      <c r="T53" s="5" t="str" cm="1">
        <f t="array" ref="T53">IF(ISBLANK(T$3),S53&amp;R53,INDEX(pixel_shift_table.asm!$C$3:$R$114, T$2*16 + T$3 + INT($A53/16) + 1, MOD($A53, 16) + 1))</f>
        <v>A9</v>
      </c>
      <c r="U53" s="7" t="str" cm="1">
        <f t="array" ref="U53">IF(ISBLANK(U$3),T53&amp;S53,INDEX(pixel_shift_table.asm!$C$3:$R$114, U$2*16 + U$3 + INT($A53/16) + 1, MOD($A53, 16) + 1))</f>
        <v>A9C0</v>
      </c>
      <c r="V53" s="6" t="str" cm="1">
        <f t="array" ref="V53">IF(ISBLANK(V$3),U53&amp;T53,INDEX(pixel_shift_table.asm!$C$3:$R$114, V$2*16 + V$3 + INT($A53/16) + 1, MOD($A53, 16) + 1))</f>
        <v>80</v>
      </c>
      <c r="W53" s="5" t="str" cm="1">
        <f t="array" ref="W53">IF(ISBLANK(W$3),V53&amp;U53,INDEX(pixel_shift_table.asm!$C$3:$R$114, W$2*16 + W$3 + INT($A53/16) + 1, MOD($A53, 16) + 1))</f>
        <v>AA</v>
      </c>
      <c r="X53" s="7" t="str" cm="1">
        <f t="array" ref="X53">IF(ISBLANK(X$3),W53&amp;V53,INDEX(pixel_shift_table.asm!$C$3:$R$114, X$2*16 + X$3 + INT($A53/16) + 1, MOD($A53, 16) + 1))</f>
        <v>AA80</v>
      </c>
    </row>
    <row r="54" spans="1:24" x14ac:dyDescent="0.3">
      <c r="A54">
        <v>49</v>
      </c>
      <c r="B54" s="8">
        <v>1100.01</v>
      </c>
      <c r="C54" s="5" t="s">
        <v>798</v>
      </c>
      <c r="D54" s="6" t="str" cm="1">
        <f t="array" ref="D54">IF(ISBLANK(D$3),C54&amp;B54,INDEX(pixel_shift_table.asm!$C$3:$R$114, D$2*16 + D$3 + INT($A54/16) + 1, MOD($A54, 16) + 1))</f>
        <v>82</v>
      </c>
      <c r="E54" s="5" t="str" cm="1">
        <f t="array" ref="E54">IF(ISBLANK(E$3),D54&amp;C54,INDEX(pixel_shift_table.asm!$C$3:$R$114, E$2*16 + E$3 + INT($A54/16) + 1, MOD($A54, 16) + 1))</f>
        <v>AA</v>
      </c>
      <c r="F54" s="7" t="str" cm="1">
        <f t="array" ref="F54">IF(ISBLANK(F$3),E54&amp;D54,INDEX(pixel_shift_table.asm!$C$3:$R$114, F$2*16 + F$3 + INT($A54/16) + 1, MOD($A54, 16) + 1))</f>
        <v>AA82</v>
      </c>
      <c r="G54" s="6" t="str" cm="1">
        <f t="array" ref="G54">IF(ISBLANK(G$3),F54&amp;E54,INDEX(pixel_shift_table.asm!$C$3:$R$114, G$2*16 + G$3 + INT($A54/16) + 1, MOD($A54, 16) + 1))</f>
        <v>84</v>
      </c>
      <c r="H54" s="5" t="str" cm="1">
        <f t="array" ref="H54">IF(ISBLANK(H$3),G54&amp;F54,INDEX(pixel_shift_table.asm!$C$3:$R$114, H$2*16 + H$3 + INT($A54/16) + 1, MOD($A54, 16) + 1))</f>
        <v>AA</v>
      </c>
      <c r="I54" s="7" t="str" cm="1">
        <f t="array" ref="I54">IF(ISBLANK(I$3),H54&amp;G54,INDEX(pixel_shift_table.asm!$C$3:$R$114, I$2*16 + I$3 + INT($A54/16) + 1, MOD($A54, 16) + 1))</f>
        <v>AA84</v>
      </c>
      <c r="J54" s="6" t="str" cm="1">
        <f t="array" ref="J54">IF(ISBLANK(J$3),I54&amp;H54,INDEX(pixel_shift_table.asm!$C$3:$R$114, J$2*16 + J$3 + INT($A54/16) + 1, MOD($A54, 16) + 1))</f>
        <v>86</v>
      </c>
      <c r="K54" s="5" t="str" cm="1">
        <f t="array" ref="K54">IF(ISBLANK(K$3),J54&amp;I54,INDEX(pixel_shift_table.asm!$C$3:$R$114, K$2*16 + K$3 + INT($A54/16) + 1, MOD($A54, 16) + 1))</f>
        <v>AA</v>
      </c>
      <c r="L54" s="7" t="str" cm="1">
        <f t="array" ref="L54">IF(ISBLANK(L$3),K54&amp;J54,INDEX(pixel_shift_table.asm!$C$3:$R$114, L$2*16 + L$3 + INT($A54/16) + 1, MOD($A54, 16) + 1))</f>
        <v>AA86</v>
      </c>
      <c r="M54" s="6" t="str" cm="1">
        <f t="array" ref="M54">IF(ISBLANK(M$3),L54&amp;K54,INDEX(pixel_shift_table.asm!$C$3:$R$114, M$2*16 + M$3 + INT($A54/16) + 1, MOD($A54, 16) + 1))</f>
        <v>88</v>
      </c>
      <c r="N54" s="5" t="str" cm="1">
        <f t="array" ref="N54">IF(ISBLANK(N$3),M54&amp;L54,INDEX(pixel_shift_table.asm!$C$3:$R$114, N$2*16 + N$3 + INT($A54/16) + 1, MOD($A54, 16) + 1))</f>
        <v>AA</v>
      </c>
      <c r="O54" s="7" t="str" cm="1">
        <f t="array" ref="O54">IF(ISBLANK(O$3),N54&amp;M54,INDEX(pixel_shift_table.asm!$C$3:$R$114, O$2*16 + O$3 + INT($A54/16) + 1, MOD($A54, 16) + 1))</f>
        <v>AA88</v>
      </c>
      <c r="P54" s="6" t="str" cm="1">
        <f t="array" ref="P54">IF(ISBLANK(P$3),O54&amp;N54,INDEX(pixel_shift_table.asm!$C$3:$R$114, P$2*16 + P$3 + INT($A54/16) + 1, MOD($A54, 16) + 1))</f>
        <v>8A</v>
      </c>
      <c r="Q54" s="5" t="str" cm="1">
        <f t="array" ref="Q54">IF(ISBLANK(Q$3),P54&amp;O54,INDEX(pixel_shift_table.asm!$C$3:$R$114, Q$2*16 + Q$3 + INT($A54/16) + 1, MOD($A54, 16) + 1))</f>
        <v>AA</v>
      </c>
      <c r="R54" s="7" t="str" cm="1">
        <f t="array" ref="R54">IF(ISBLANK(R$3),Q54&amp;P54,INDEX(pixel_shift_table.asm!$C$3:$R$114, R$2*16 + R$3 + INT($A54/16) + 1, MOD($A54, 16) + 1))</f>
        <v>AA8A</v>
      </c>
      <c r="S54" s="6" t="str" cm="1">
        <f t="array" ref="S54">IF(ISBLANK(S$3),R54&amp;Q54,INDEX(pixel_shift_table.asm!$C$3:$R$114, S$2*16 + S$3 + INT($A54/16) + 1, MOD($A54, 16) + 1))</f>
        <v>8C</v>
      </c>
      <c r="T54" s="5" t="str" cm="1">
        <f t="array" ref="T54">IF(ISBLANK(T$3),S54&amp;R54,INDEX(pixel_shift_table.asm!$C$3:$R$114, T$2*16 + T$3 + INT($A54/16) + 1, MOD($A54, 16) + 1))</f>
        <v>AA</v>
      </c>
      <c r="U54" s="7" t="str" cm="1">
        <f t="array" ref="U54">IF(ISBLANK(U$3),T54&amp;S54,INDEX(pixel_shift_table.asm!$C$3:$R$114, U$2*16 + U$3 + INT($A54/16) + 1, MOD($A54, 16) + 1))</f>
        <v>AA8C</v>
      </c>
      <c r="V54" s="6" t="str" cm="1">
        <f t="array" ref="V54">IF(ISBLANK(V$3),U54&amp;T54,INDEX(pixel_shift_table.asm!$C$3:$R$114, V$2*16 + V$3 + INT($A54/16) + 1, MOD($A54, 16) + 1))</f>
        <v>8E</v>
      </c>
      <c r="W54" s="5" t="str" cm="1">
        <f t="array" ref="W54">IF(ISBLANK(W$3),V54&amp;U54,INDEX(pixel_shift_table.asm!$C$3:$R$114, W$2*16 + W$3 + INT($A54/16) + 1, MOD($A54, 16) + 1))</f>
        <v>AA</v>
      </c>
      <c r="X54" s="7" t="str" cm="1">
        <f t="array" ref="X54">IF(ISBLANK(X$3),W54&amp;V54,INDEX(pixel_shift_table.asm!$C$3:$R$114, X$2*16 + X$3 + INT($A54/16) + 1, MOD($A54, 16) + 1))</f>
        <v>AA8E</v>
      </c>
    </row>
    <row r="55" spans="1:24" x14ac:dyDescent="0.3">
      <c r="A55">
        <v>50</v>
      </c>
      <c r="B55" s="8">
        <v>1100.0999999999999</v>
      </c>
      <c r="C55" s="5" t="s">
        <v>799</v>
      </c>
      <c r="D55" s="6" t="str" cm="1">
        <f t="array" ref="D55">IF(ISBLANK(D$3),C55&amp;B55,INDEX(pixel_shift_table.asm!$C$3:$R$114, D$2*16 + D$3 + INT($A55/16) + 1, MOD($A55, 16) + 1))</f>
        <v>C4</v>
      </c>
      <c r="E55" s="5" t="str" cm="1">
        <f t="array" ref="E55">IF(ISBLANK(E$3),D55&amp;C55,INDEX(pixel_shift_table.asm!$C$3:$R$114, E$2*16 + E$3 + INT($A55/16) + 1, MOD($A55, 16) + 1))</f>
        <v>A9</v>
      </c>
      <c r="F55" s="7" t="str" cm="1">
        <f t="array" ref="F55">IF(ISBLANK(F$3),E55&amp;D55,INDEX(pixel_shift_table.asm!$C$3:$R$114, F$2*16 + F$3 + INT($A55/16) + 1, MOD($A55, 16) + 1))</f>
        <v>A9C4</v>
      </c>
      <c r="G55" s="6" t="str" cm="1">
        <f t="array" ref="G55">IF(ISBLANK(G$3),F55&amp;E55,INDEX(pixel_shift_table.asm!$C$3:$R$114, G$2*16 + G$3 + INT($A55/16) + 1, MOD($A55, 16) + 1))</f>
        <v>C6</v>
      </c>
      <c r="H55" s="5" t="str" cm="1">
        <f t="array" ref="H55">IF(ISBLANK(H$3),G55&amp;F55,INDEX(pixel_shift_table.asm!$C$3:$R$114, H$2*16 + H$3 + INT($A55/16) + 1, MOD($A55, 16) + 1))</f>
        <v>A9</v>
      </c>
      <c r="I55" s="7" t="str" cm="1">
        <f t="array" ref="I55">IF(ISBLANK(I$3),H55&amp;G55,INDEX(pixel_shift_table.asm!$C$3:$R$114, I$2*16 + I$3 + INT($A55/16) + 1, MOD($A55, 16) + 1))</f>
        <v>A9C6</v>
      </c>
      <c r="J55" s="6" t="str" cm="1">
        <f t="array" ref="J55">IF(ISBLANK(J$3),I55&amp;H55,INDEX(pixel_shift_table.asm!$C$3:$R$114, J$2*16 + J$3 + INT($A55/16) + 1, MOD($A55, 16) + 1))</f>
        <v>C8</v>
      </c>
      <c r="K55" s="5" t="str" cm="1">
        <f t="array" ref="K55">IF(ISBLANK(K$3),J55&amp;I55,INDEX(pixel_shift_table.asm!$C$3:$R$114, K$2*16 + K$3 + INT($A55/16) + 1, MOD($A55, 16) + 1))</f>
        <v>A9</v>
      </c>
      <c r="L55" s="7" t="str" cm="1">
        <f t="array" ref="L55">IF(ISBLANK(L$3),K55&amp;J55,INDEX(pixel_shift_table.asm!$C$3:$R$114, L$2*16 + L$3 + INT($A55/16) + 1, MOD($A55, 16) + 1))</f>
        <v>A9C8</v>
      </c>
      <c r="M55" s="6" t="str" cm="1">
        <f t="array" ref="M55">IF(ISBLANK(M$3),L55&amp;K55,INDEX(pixel_shift_table.asm!$C$3:$R$114, M$2*16 + M$3 + INT($A55/16) + 1, MOD($A55, 16) + 1))</f>
        <v>CA</v>
      </c>
      <c r="N55" s="5" t="str" cm="1">
        <f t="array" ref="N55">IF(ISBLANK(N$3),M55&amp;L55,INDEX(pixel_shift_table.asm!$C$3:$R$114, N$2*16 + N$3 + INT($A55/16) + 1, MOD($A55, 16) + 1))</f>
        <v>A9</v>
      </c>
      <c r="O55" s="7" t="str" cm="1">
        <f t="array" ref="O55">IF(ISBLANK(O$3),N55&amp;M55,INDEX(pixel_shift_table.asm!$C$3:$R$114, O$2*16 + O$3 + INT($A55/16) + 1, MOD($A55, 16) + 1))</f>
        <v>A9CA</v>
      </c>
      <c r="P55" s="6" t="str" cm="1">
        <f t="array" ref="P55">IF(ISBLANK(P$3),O55&amp;N55,INDEX(pixel_shift_table.asm!$C$3:$R$114, P$2*16 + P$3 + INT($A55/16) + 1, MOD($A55, 16) + 1))</f>
        <v>CC</v>
      </c>
      <c r="Q55" s="5" t="str" cm="1">
        <f t="array" ref="Q55">IF(ISBLANK(Q$3),P55&amp;O55,INDEX(pixel_shift_table.asm!$C$3:$R$114, Q$2*16 + Q$3 + INT($A55/16) + 1, MOD($A55, 16) + 1))</f>
        <v>A9</v>
      </c>
      <c r="R55" s="7" t="str" cm="1">
        <f t="array" ref="R55">IF(ISBLANK(R$3),Q55&amp;P55,INDEX(pixel_shift_table.asm!$C$3:$R$114, R$2*16 + R$3 + INT($A55/16) + 1, MOD($A55, 16) + 1))</f>
        <v>A9CC</v>
      </c>
      <c r="S55" s="6" t="str" cm="1">
        <f t="array" ref="S55">IF(ISBLANK(S$3),R55&amp;Q55,INDEX(pixel_shift_table.asm!$C$3:$R$114, S$2*16 + S$3 + INT($A55/16) + 1, MOD($A55, 16) + 1))</f>
        <v>CE</v>
      </c>
      <c r="T55" s="5" t="str" cm="1">
        <f t="array" ref="T55">IF(ISBLANK(T$3),S55&amp;R55,INDEX(pixel_shift_table.asm!$C$3:$R$114, T$2*16 + T$3 + INT($A55/16) + 1, MOD($A55, 16) + 1))</f>
        <v>A9</v>
      </c>
      <c r="U55" s="7" t="str" cm="1">
        <f t="array" ref="U55">IF(ISBLANK(U$3),T55&amp;S55,INDEX(pixel_shift_table.asm!$C$3:$R$114, U$2*16 + U$3 + INT($A55/16) + 1, MOD($A55, 16) + 1))</f>
        <v>A9CE</v>
      </c>
      <c r="V55" s="6" t="str" cm="1">
        <f t="array" ref="V55">IF(ISBLANK(V$3),U55&amp;T55,INDEX(pixel_shift_table.asm!$C$3:$R$114, V$2*16 + V$3 + INT($A55/16) + 1, MOD($A55, 16) + 1))</f>
        <v>90</v>
      </c>
      <c r="W55" s="5" t="str" cm="1">
        <f t="array" ref="W55">IF(ISBLANK(W$3),V55&amp;U55,INDEX(pixel_shift_table.asm!$C$3:$R$114, W$2*16 + W$3 + INT($A55/16) + 1, MOD($A55, 16) + 1))</f>
        <v>AA</v>
      </c>
      <c r="X55" s="7" t="str" cm="1">
        <f t="array" ref="X55">IF(ISBLANK(X$3),W55&amp;V55,INDEX(pixel_shift_table.asm!$C$3:$R$114, X$2*16 + X$3 + INT($A55/16) + 1, MOD($A55, 16) + 1))</f>
        <v>AA90</v>
      </c>
    </row>
    <row r="56" spans="1:24" x14ac:dyDescent="0.3">
      <c r="A56">
        <v>51</v>
      </c>
      <c r="B56" s="8">
        <v>1100.1099999999999</v>
      </c>
      <c r="C56" s="5" t="s">
        <v>800</v>
      </c>
      <c r="D56" s="6" t="str" cm="1">
        <f t="array" ref="D56">IF(ISBLANK(D$3),C56&amp;B56,INDEX(pixel_shift_table.asm!$C$3:$R$114, D$2*16 + D$3 + INT($A56/16) + 1, MOD($A56, 16) + 1))</f>
        <v>92</v>
      </c>
      <c r="E56" s="5" t="str" cm="1">
        <f t="array" ref="E56">IF(ISBLANK(E$3),D56&amp;C56,INDEX(pixel_shift_table.asm!$C$3:$R$114, E$2*16 + E$3 + INT($A56/16) + 1, MOD($A56, 16) + 1))</f>
        <v>AA</v>
      </c>
      <c r="F56" s="7" t="str" cm="1">
        <f t="array" ref="F56">IF(ISBLANK(F$3),E56&amp;D56,INDEX(pixel_shift_table.asm!$C$3:$R$114, F$2*16 + F$3 + INT($A56/16) + 1, MOD($A56, 16) + 1))</f>
        <v>AA92</v>
      </c>
      <c r="G56" s="6" t="str" cm="1">
        <f t="array" ref="G56">IF(ISBLANK(G$3),F56&amp;E56,INDEX(pixel_shift_table.asm!$C$3:$R$114, G$2*16 + G$3 + INT($A56/16) + 1, MOD($A56, 16) + 1))</f>
        <v>94</v>
      </c>
      <c r="H56" s="5" t="str" cm="1">
        <f t="array" ref="H56">IF(ISBLANK(H$3),G56&amp;F56,INDEX(pixel_shift_table.asm!$C$3:$R$114, H$2*16 + H$3 + INT($A56/16) + 1, MOD($A56, 16) + 1))</f>
        <v>AA</v>
      </c>
      <c r="I56" s="7" t="str" cm="1">
        <f t="array" ref="I56">IF(ISBLANK(I$3),H56&amp;G56,INDEX(pixel_shift_table.asm!$C$3:$R$114, I$2*16 + I$3 + INT($A56/16) + 1, MOD($A56, 16) + 1))</f>
        <v>AA94</v>
      </c>
      <c r="J56" s="6" t="str" cm="1">
        <f t="array" ref="J56">IF(ISBLANK(J$3),I56&amp;H56,INDEX(pixel_shift_table.asm!$C$3:$R$114, J$2*16 + J$3 + INT($A56/16) + 1, MOD($A56, 16) + 1))</f>
        <v>96</v>
      </c>
      <c r="K56" s="5" t="str" cm="1">
        <f t="array" ref="K56">IF(ISBLANK(K$3),J56&amp;I56,INDEX(pixel_shift_table.asm!$C$3:$R$114, K$2*16 + K$3 + INT($A56/16) + 1, MOD($A56, 16) + 1))</f>
        <v>AA</v>
      </c>
      <c r="L56" s="7" t="str" cm="1">
        <f t="array" ref="L56">IF(ISBLANK(L$3),K56&amp;J56,INDEX(pixel_shift_table.asm!$C$3:$R$114, L$2*16 + L$3 + INT($A56/16) + 1, MOD($A56, 16) + 1))</f>
        <v>AA96</v>
      </c>
      <c r="M56" s="6" t="str" cm="1">
        <f t="array" ref="M56">IF(ISBLANK(M$3),L56&amp;K56,INDEX(pixel_shift_table.asm!$C$3:$R$114, M$2*16 + M$3 + INT($A56/16) + 1, MOD($A56, 16) + 1))</f>
        <v>98</v>
      </c>
      <c r="N56" s="5" t="str" cm="1">
        <f t="array" ref="N56">IF(ISBLANK(N$3),M56&amp;L56,INDEX(pixel_shift_table.asm!$C$3:$R$114, N$2*16 + N$3 + INT($A56/16) + 1, MOD($A56, 16) + 1))</f>
        <v>AA</v>
      </c>
      <c r="O56" s="7" t="str" cm="1">
        <f t="array" ref="O56">IF(ISBLANK(O$3),N56&amp;M56,INDEX(pixel_shift_table.asm!$C$3:$R$114, O$2*16 + O$3 + INT($A56/16) + 1, MOD($A56, 16) + 1))</f>
        <v>AA98</v>
      </c>
      <c r="P56" s="6" t="str" cm="1">
        <f t="array" ref="P56">IF(ISBLANK(P$3),O56&amp;N56,INDEX(pixel_shift_table.asm!$C$3:$R$114, P$2*16 + P$3 + INT($A56/16) + 1, MOD($A56, 16) + 1))</f>
        <v>9A</v>
      </c>
      <c r="Q56" s="5" t="str" cm="1">
        <f t="array" ref="Q56">IF(ISBLANK(Q$3),P56&amp;O56,INDEX(pixel_shift_table.asm!$C$3:$R$114, Q$2*16 + Q$3 + INT($A56/16) + 1, MOD($A56, 16) + 1))</f>
        <v>AA</v>
      </c>
      <c r="R56" s="7" t="str" cm="1">
        <f t="array" ref="R56">IF(ISBLANK(R$3),Q56&amp;P56,INDEX(pixel_shift_table.asm!$C$3:$R$114, R$2*16 + R$3 + INT($A56/16) + 1, MOD($A56, 16) + 1))</f>
        <v>AA9A</v>
      </c>
      <c r="S56" s="6" t="str" cm="1">
        <f t="array" ref="S56">IF(ISBLANK(S$3),R56&amp;Q56,INDEX(pixel_shift_table.asm!$C$3:$R$114, S$2*16 + S$3 + INT($A56/16) + 1, MOD($A56, 16) + 1))</f>
        <v>9C</v>
      </c>
      <c r="T56" s="5" t="str" cm="1">
        <f t="array" ref="T56">IF(ISBLANK(T$3),S56&amp;R56,INDEX(pixel_shift_table.asm!$C$3:$R$114, T$2*16 + T$3 + INT($A56/16) + 1, MOD($A56, 16) + 1))</f>
        <v>AA</v>
      </c>
      <c r="U56" s="7" t="str" cm="1">
        <f t="array" ref="U56">IF(ISBLANK(U$3),T56&amp;S56,INDEX(pixel_shift_table.asm!$C$3:$R$114, U$2*16 + U$3 + INT($A56/16) + 1, MOD($A56, 16) + 1))</f>
        <v>AA9C</v>
      </c>
      <c r="V56" s="6" t="str" cm="1">
        <f t="array" ref="V56">IF(ISBLANK(V$3),U56&amp;T56,INDEX(pixel_shift_table.asm!$C$3:$R$114, V$2*16 + V$3 + INT($A56/16) + 1, MOD($A56, 16) + 1))</f>
        <v>9E</v>
      </c>
      <c r="W56" s="5" t="str" cm="1">
        <f t="array" ref="W56">IF(ISBLANK(W$3),V56&amp;U56,INDEX(pixel_shift_table.asm!$C$3:$R$114, W$2*16 + W$3 + INT($A56/16) + 1, MOD($A56, 16) + 1))</f>
        <v>AA</v>
      </c>
      <c r="X56" s="7" t="str" cm="1">
        <f t="array" ref="X56">IF(ISBLANK(X$3),W56&amp;V56,INDEX(pixel_shift_table.asm!$C$3:$R$114, X$2*16 + X$3 + INT($A56/16) + 1, MOD($A56, 16) + 1))</f>
        <v>AA9E</v>
      </c>
    </row>
    <row r="57" spans="1:24" x14ac:dyDescent="0.3">
      <c r="A57">
        <v>52</v>
      </c>
      <c r="B57" s="8">
        <v>1101</v>
      </c>
      <c r="C57" s="5" t="s">
        <v>801</v>
      </c>
      <c r="D57" s="6" t="str" cm="1">
        <f t="array" ref="D57">IF(ISBLANK(D$3),C57&amp;B57,INDEX(pixel_shift_table.asm!$C$3:$R$114, D$2*16 + D$3 + INT($A57/16) + 1, MOD($A57, 16) + 1))</f>
        <v>66</v>
      </c>
      <c r="E57" s="5" t="str" cm="1">
        <f t="array" ref="E57">IF(ISBLANK(E$3),D57&amp;C57,INDEX(pixel_shift_table.asm!$C$3:$R$114, E$2*16 + E$3 + INT($A57/16) + 1, MOD($A57, 16) + 1))</f>
        <v>A9</v>
      </c>
      <c r="F57" s="7" t="str" cm="1">
        <f t="array" ref="F57">IF(ISBLANK(F$3),E57&amp;D57,INDEX(pixel_shift_table.asm!$C$3:$R$114, F$2*16 + F$3 + INT($A57/16) + 1, MOD($A57, 16) + 1))</f>
        <v>A966</v>
      </c>
      <c r="G57" s="6" t="str" cm="1">
        <f t="array" ref="G57">IF(ISBLANK(G$3),F57&amp;E57,INDEX(pixel_shift_table.asm!$C$3:$R$114, G$2*16 + G$3 + INT($A57/16) + 1, MOD($A57, 16) + 1))</f>
        <v>68</v>
      </c>
      <c r="H57" s="5" t="str" cm="1">
        <f t="array" ref="H57">IF(ISBLANK(H$3),G57&amp;F57,INDEX(pixel_shift_table.asm!$C$3:$R$114, H$2*16 + H$3 + INT($A57/16) + 1, MOD($A57, 16) + 1))</f>
        <v>A9</v>
      </c>
      <c r="I57" s="7" t="str" cm="1">
        <f t="array" ref="I57">IF(ISBLANK(I$3),H57&amp;G57,INDEX(pixel_shift_table.asm!$C$3:$R$114, I$2*16 + I$3 + INT($A57/16) + 1, MOD($A57, 16) + 1))</f>
        <v>A968</v>
      </c>
      <c r="J57" s="6" t="str" cm="1">
        <f t="array" ref="J57">IF(ISBLANK(J$3),I57&amp;H57,INDEX(pixel_shift_table.asm!$C$3:$R$114, J$2*16 + J$3 + INT($A57/16) + 1, MOD($A57, 16) + 1))</f>
        <v>6A</v>
      </c>
      <c r="K57" s="5" t="str" cm="1">
        <f t="array" ref="K57">IF(ISBLANK(K$3),J57&amp;I57,INDEX(pixel_shift_table.asm!$C$3:$R$114, K$2*16 + K$3 + INT($A57/16) + 1, MOD($A57, 16) + 1))</f>
        <v>A9</v>
      </c>
      <c r="L57" s="7" t="str" cm="1">
        <f t="array" ref="L57">IF(ISBLANK(L$3),K57&amp;J57,INDEX(pixel_shift_table.asm!$C$3:$R$114, L$2*16 + L$3 + INT($A57/16) + 1, MOD($A57, 16) + 1))</f>
        <v>A96A</v>
      </c>
      <c r="M57" s="6" t="str" cm="1">
        <f t="array" ref="M57">IF(ISBLANK(M$3),L57&amp;K57,INDEX(pixel_shift_table.asm!$C$3:$R$114, M$2*16 + M$3 + INT($A57/16) + 1, MOD($A57, 16) + 1))</f>
        <v>6C</v>
      </c>
      <c r="N57" s="5" t="str" cm="1">
        <f t="array" ref="N57">IF(ISBLANK(N$3),M57&amp;L57,INDEX(pixel_shift_table.asm!$C$3:$R$114, N$2*16 + N$3 + INT($A57/16) + 1, MOD($A57, 16) + 1))</f>
        <v>A9</v>
      </c>
      <c r="O57" s="7" t="str" cm="1">
        <f t="array" ref="O57">IF(ISBLANK(O$3),N57&amp;M57,INDEX(pixel_shift_table.asm!$C$3:$R$114, O$2*16 + O$3 + INT($A57/16) + 1, MOD($A57, 16) + 1))</f>
        <v>A96C</v>
      </c>
      <c r="P57" s="6" t="str" cm="1">
        <f t="array" ref="P57">IF(ISBLANK(P$3),O57&amp;N57,INDEX(pixel_shift_table.asm!$C$3:$R$114, P$2*16 + P$3 + INT($A57/16) + 1, MOD($A57, 16) + 1))</f>
        <v>6E</v>
      </c>
      <c r="Q57" s="5" t="str" cm="1">
        <f t="array" ref="Q57">IF(ISBLANK(Q$3),P57&amp;O57,INDEX(pixel_shift_table.asm!$C$3:$R$114, Q$2*16 + Q$3 + INT($A57/16) + 1, MOD($A57, 16) + 1))</f>
        <v>A9</v>
      </c>
      <c r="R57" s="7" t="str" cm="1">
        <f t="array" ref="R57">IF(ISBLANK(R$3),Q57&amp;P57,INDEX(pixel_shift_table.asm!$C$3:$R$114, R$2*16 + R$3 + INT($A57/16) + 1, MOD($A57, 16) + 1))</f>
        <v>A96E</v>
      </c>
      <c r="S57" s="6" t="str" cm="1">
        <f t="array" ref="S57">IF(ISBLANK(S$3),R57&amp;Q57,INDEX(pixel_shift_table.asm!$C$3:$R$114, S$2*16 + S$3 + INT($A57/16) + 1, MOD($A57, 16) + 1))</f>
        <v>D0</v>
      </c>
      <c r="T57" s="5" t="str" cm="1">
        <f t="array" ref="T57">IF(ISBLANK(T$3),S57&amp;R57,INDEX(pixel_shift_table.asm!$C$3:$R$114, T$2*16 + T$3 + INT($A57/16) + 1, MOD($A57, 16) + 1))</f>
        <v>A9</v>
      </c>
      <c r="U57" s="7" t="str" cm="1">
        <f t="array" ref="U57">IF(ISBLANK(U$3),T57&amp;S57,INDEX(pixel_shift_table.asm!$C$3:$R$114, U$2*16 + U$3 + INT($A57/16) + 1, MOD($A57, 16) + 1))</f>
        <v>A9D0</v>
      </c>
      <c r="V57" s="6" t="str" cm="1">
        <f t="array" ref="V57">IF(ISBLANK(V$3),U57&amp;T57,INDEX(pixel_shift_table.asm!$C$3:$R$114, V$2*16 + V$3 + INT($A57/16) + 1, MOD($A57, 16) + 1))</f>
        <v>A0</v>
      </c>
      <c r="W57" s="5" t="str" cm="1">
        <f t="array" ref="W57">IF(ISBLANK(W$3),V57&amp;U57,INDEX(pixel_shift_table.asm!$C$3:$R$114, W$2*16 + W$3 + INT($A57/16) + 1, MOD($A57, 16) + 1))</f>
        <v>AA</v>
      </c>
      <c r="X57" s="7" t="str" cm="1">
        <f t="array" ref="X57">IF(ISBLANK(X$3),W57&amp;V57,INDEX(pixel_shift_table.asm!$C$3:$R$114, X$2*16 + X$3 + INT($A57/16) + 1, MOD($A57, 16) + 1))</f>
        <v>AAA0</v>
      </c>
    </row>
    <row r="58" spans="1:24" x14ac:dyDescent="0.3">
      <c r="A58">
        <v>53</v>
      </c>
      <c r="B58" s="8">
        <v>1101.01</v>
      </c>
      <c r="C58" s="5" t="s">
        <v>802</v>
      </c>
      <c r="D58" s="6" t="str" cm="1">
        <f t="array" ref="D58">IF(ISBLANK(D$3),C58&amp;B58,INDEX(pixel_shift_table.asm!$C$3:$R$114, D$2*16 + D$3 + INT($A58/16) + 1, MOD($A58, 16) + 1))</f>
        <v>A2</v>
      </c>
      <c r="E58" s="5" t="str" cm="1">
        <f t="array" ref="E58">IF(ISBLANK(E$3),D58&amp;C58,INDEX(pixel_shift_table.asm!$C$3:$R$114, E$2*16 + E$3 + INT($A58/16) + 1, MOD($A58, 16) + 1))</f>
        <v>AA</v>
      </c>
      <c r="F58" s="7" t="str" cm="1">
        <f t="array" ref="F58">IF(ISBLANK(F$3),E58&amp;D58,INDEX(pixel_shift_table.asm!$C$3:$R$114, F$2*16 + F$3 + INT($A58/16) + 1, MOD($A58, 16) + 1))</f>
        <v>AAA2</v>
      </c>
      <c r="G58" s="6" t="str" cm="1">
        <f t="array" ref="G58">IF(ISBLANK(G$3),F58&amp;E58,INDEX(pixel_shift_table.asm!$C$3:$R$114, G$2*16 + G$3 + INT($A58/16) + 1, MOD($A58, 16) + 1))</f>
        <v>A4</v>
      </c>
      <c r="H58" s="5" t="str" cm="1">
        <f t="array" ref="H58">IF(ISBLANK(H$3),G58&amp;F58,INDEX(pixel_shift_table.asm!$C$3:$R$114, H$2*16 + H$3 + INT($A58/16) + 1, MOD($A58, 16) + 1))</f>
        <v>AA</v>
      </c>
      <c r="I58" s="7" t="str" cm="1">
        <f t="array" ref="I58">IF(ISBLANK(I$3),H58&amp;G58,INDEX(pixel_shift_table.asm!$C$3:$R$114, I$2*16 + I$3 + INT($A58/16) + 1, MOD($A58, 16) + 1))</f>
        <v>AAA4</v>
      </c>
      <c r="J58" s="6" t="str" cm="1">
        <f t="array" ref="J58">IF(ISBLANK(J$3),I58&amp;H58,INDEX(pixel_shift_table.asm!$C$3:$R$114, J$2*16 + J$3 + INT($A58/16) + 1, MOD($A58, 16) + 1))</f>
        <v>A6</v>
      </c>
      <c r="K58" s="5" t="str" cm="1">
        <f t="array" ref="K58">IF(ISBLANK(K$3),J58&amp;I58,INDEX(pixel_shift_table.asm!$C$3:$R$114, K$2*16 + K$3 + INT($A58/16) + 1, MOD($A58, 16) + 1))</f>
        <v>AA</v>
      </c>
      <c r="L58" s="7" t="str" cm="1">
        <f t="array" ref="L58">IF(ISBLANK(L$3),K58&amp;J58,INDEX(pixel_shift_table.asm!$C$3:$R$114, L$2*16 + L$3 + INT($A58/16) + 1, MOD($A58, 16) + 1))</f>
        <v>AAA6</v>
      </c>
      <c r="M58" s="6" t="str" cm="1">
        <f t="array" ref="M58">IF(ISBLANK(M$3),L58&amp;K58,INDEX(pixel_shift_table.asm!$C$3:$R$114, M$2*16 + M$3 + INT($A58/16) + 1, MOD($A58, 16) + 1))</f>
        <v>A8</v>
      </c>
      <c r="N58" s="5" t="str" cm="1">
        <f t="array" ref="N58">IF(ISBLANK(N$3),M58&amp;L58,INDEX(pixel_shift_table.asm!$C$3:$R$114, N$2*16 + N$3 + INT($A58/16) + 1, MOD($A58, 16) + 1))</f>
        <v>AA</v>
      </c>
      <c r="O58" s="7" t="str" cm="1">
        <f t="array" ref="O58">IF(ISBLANK(O$3),N58&amp;M58,INDEX(pixel_shift_table.asm!$C$3:$R$114, O$2*16 + O$3 + INT($A58/16) + 1, MOD($A58, 16) + 1))</f>
        <v>AAA8</v>
      </c>
      <c r="P58" s="6" t="str" cm="1">
        <f t="array" ref="P58">IF(ISBLANK(P$3),O58&amp;N58,INDEX(pixel_shift_table.asm!$C$3:$R$114, P$2*16 + P$3 + INT($A58/16) + 1, MOD($A58, 16) + 1))</f>
        <v>AA</v>
      </c>
      <c r="Q58" s="5" t="str" cm="1">
        <f t="array" ref="Q58">IF(ISBLANK(Q$3),P58&amp;O58,INDEX(pixel_shift_table.asm!$C$3:$R$114, Q$2*16 + Q$3 + INT($A58/16) + 1, MOD($A58, 16) + 1))</f>
        <v>AA</v>
      </c>
      <c r="R58" s="7" t="str" cm="1">
        <f t="array" ref="R58">IF(ISBLANK(R$3),Q58&amp;P58,INDEX(pixel_shift_table.asm!$C$3:$R$114, R$2*16 + R$3 + INT($A58/16) + 1, MOD($A58, 16) + 1))</f>
        <v>AAAA</v>
      </c>
      <c r="S58" s="6" t="str" cm="1">
        <f t="array" ref="S58">IF(ISBLANK(S$3),R58&amp;Q58,INDEX(pixel_shift_table.asm!$C$3:$R$114, S$2*16 + S$3 + INT($A58/16) + 1, MOD($A58, 16) + 1))</f>
        <v>AC</v>
      </c>
      <c r="T58" s="5" t="str" cm="1">
        <f t="array" ref="T58">IF(ISBLANK(T$3),S58&amp;R58,INDEX(pixel_shift_table.asm!$C$3:$R$114, T$2*16 + T$3 + INT($A58/16) + 1, MOD($A58, 16) + 1))</f>
        <v>AA</v>
      </c>
      <c r="U58" s="7" t="str" cm="1">
        <f t="array" ref="U58">IF(ISBLANK(U$3),T58&amp;S58,INDEX(pixel_shift_table.asm!$C$3:$R$114, U$2*16 + U$3 + INT($A58/16) + 1, MOD($A58, 16) + 1))</f>
        <v>AAAC</v>
      </c>
      <c r="V58" s="6" t="str" cm="1">
        <f t="array" ref="V58">IF(ISBLANK(V$3),U58&amp;T58,INDEX(pixel_shift_table.asm!$C$3:$R$114, V$2*16 + V$3 + INT($A58/16) + 1, MOD($A58, 16) + 1))</f>
        <v>AE</v>
      </c>
      <c r="W58" s="5" t="str" cm="1">
        <f t="array" ref="W58">IF(ISBLANK(W$3),V58&amp;U58,INDEX(pixel_shift_table.asm!$C$3:$R$114, W$2*16 + W$3 + INT($A58/16) + 1, MOD($A58, 16) + 1))</f>
        <v>AA</v>
      </c>
      <c r="X58" s="7" t="str" cm="1">
        <f t="array" ref="X58">IF(ISBLANK(X$3),W58&amp;V58,INDEX(pixel_shift_table.asm!$C$3:$R$114, X$2*16 + X$3 + INT($A58/16) + 1, MOD($A58, 16) + 1))</f>
        <v>AAAE</v>
      </c>
    </row>
    <row r="59" spans="1:24" x14ac:dyDescent="0.3">
      <c r="A59">
        <v>54</v>
      </c>
      <c r="B59" s="8">
        <v>1101.0999999999999</v>
      </c>
      <c r="C59" s="5" t="s">
        <v>803</v>
      </c>
      <c r="D59" s="6" t="str" cm="1">
        <f t="array" ref="D59">IF(ISBLANK(D$3),C59&amp;B59,INDEX(pixel_shift_table.asm!$C$3:$R$114, D$2*16 + D$3 + INT($A59/16) + 1, MOD($A59, 16) + 1))</f>
        <v>D4</v>
      </c>
      <c r="E59" s="5" t="str" cm="1">
        <f t="array" ref="E59">IF(ISBLANK(E$3),D59&amp;C59,INDEX(pixel_shift_table.asm!$C$3:$R$114, E$2*16 + E$3 + INT($A59/16) + 1, MOD($A59, 16) + 1))</f>
        <v>A9</v>
      </c>
      <c r="F59" s="7" t="str" cm="1">
        <f t="array" ref="F59">IF(ISBLANK(F$3),E59&amp;D59,INDEX(pixel_shift_table.asm!$C$3:$R$114, F$2*16 + F$3 + INT($A59/16) + 1, MOD($A59, 16) + 1))</f>
        <v>A9D4</v>
      </c>
      <c r="G59" s="6" t="str" cm="1">
        <f t="array" ref="G59">IF(ISBLANK(G$3),F59&amp;E59,INDEX(pixel_shift_table.asm!$C$3:$R$114, G$2*16 + G$3 + INT($A59/16) + 1, MOD($A59, 16) + 1))</f>
        <v>D6</v>
      </c>
      <c r="H59" s="5" t="str" cm="1">
        <f t="array" ref="H59">IF(ISBLANK(H$3),G59&amp;F59,INDEX(pixel_shift_table.asm!$C$3:$R$114, H$2*16 + H$3 + INT($A59/16) + 1, MOD($A59, 16) + 1))</f>
        <v>A9</v>
      </c>
      <c r="I59" s="7" t="str" cm="1">
        <f t="array" ref="I59">IF(ISBLANK(I$3),H59&amp;G59,INDEX(pixel_shift_table.asm!$C$3:$R$114, I$2*16 + I$3 + INT($A59/16) + 1, MOD($A59, 16) + 1))</f>
        <v>A9D6</v>
      </c>
      <c r="J59" s="6" t="str" cm="1">
        <f t="array" ref="J59">IF(ISBLANK(J$3),I59&amp;H59,INDEX(pixel_shift_table.asm!$C$3:$R$114, J$2*16 + J$3 + INT($A59/16) + 1, MOD($A59, 16) + 1))</f>
        <v>D8</v>
      </c>
      <c r="K59" s="5" t="str" cm="1">
        <f t="array" ref="K59">IF(ISBLANK(K$3),J59&amp;I59,INDEX(pixel_shift_table.asm!$C$3:$R$114, K$2*16 + K$3 + INT($A59/16) + 1, MOD($A59, 16) + 1))</f>
        <v>A9</v>
      </c>
      <c r="L59" s="7" t="str" cm="1">
        <f t="array" ref="L59">IF(ISBLANK(L$3),K59&amp;J59,INDEX(pixel_shift_table.asm!$C$3:$R$114, L$2*16 + L$3 + INT($A59/16) + 1, MOD($A59, 16) + 1))</f>
        <v>A9D8</v>
      </c>
      <c r="M59" s="6" t="str" cm="1">
        <f t="array" ref="M59">IF(ISBLANK(M$3),L59&amp;K59,INDEX(pixel_shift_table.asm!$C$3:$R$114, M$2*16 + M$3 + INT($A59/16) + 1, MOD($A59, 16) + 1))</f>
        <v>DA</v>
      </c>
      <c r="N59" s="5" t="str" cm="1">
        <f t="array" ref="N59">IF(ISBLANK(N$3),M59&amp;L59,INDEX(pixel_shift_table.asm!$C$3:$R$114, N$2*16 + N$3 + INT($A59/16) + 1, MOD($A59, 16) + 1))</f>
        <v>A9</v>
      </c>
      <c r="O59" s="7" t="str" cm="1">
        <f t="array" ref="O59">IF(ISBLANK(O$3),N59&amp;M59,INDEX(pixel_shift_table.asm!$C$3:$R$114, O$2*16 + O$3 + INT($A59/16) + 1, MOD($A59, 16) + 1))</f>
        <v>A9DA</v>
      </c>
      <c r="P59" s="6" t="str" cm="1">
        <f t="array" ref="P59">IF(ISBLANK(P$3),O59&amp;N59,INDEX(pixel_shift_table.asm!$C$3:$R$114, P$2*16 + P$3 + INT($A59/16) + 1, MOD($A59, 16) + 1))</f>
        <v>DC</v>
      </c>
      <c r="Q59" s="5" t="str" cm="1">
        <f t="array" ref="Q59">IF(ISBLANK(Q$3),P59&amp;O59,INDEX(pixel_shift_table.asm!$C$3:$R$114, Q$2*16 + Q$3 + INT($A59/16) + 1, MOD($A59, 16) + 1))</f>
        <v>A9</v>
      </c>
      <c r="R59" s="7" t="str" cm="1">
        <f t="array" ref="R59">IF(ISBLANK(R$3),Q59&amp;P59,INDEX(pixel_shift_table.asm!$C$3:$R$114, R$2*16 + R$3 + INT($A59/16) + 1, MOD($A59, 16) + 1))</f>
        <v>A9DC</v>
      </c>
      <c r="S59" s="6" t="str" cm="1">
        <f t="array" ref="S59">IF(ISBLANK(S$3),R59&amp;Q59,INDEX(pixel_shift_table.asm!$C$3:$R$114, S$2*16 + S$3 + INT($A59/16) + 1, MOD($A59, 16) + 1))</f>
        <v>DE</v>
      </c>
      <c r="T59" s="5" t="str" cm="1">
        <f t="array" ref="T59">IF(ISBLANK(T$3),S59&amp;R59,INDEX(pixel_shift_table.asm!$C$3:$R$114, T$2*16 + T$3 + INT($A59/16) + 1, MOD($A59, 16) + 1))</f>
        <v>A9</v>
      </c>
      <c r="U59" s="7" t="str" cm="1">
        <f t="array" ref="U59">IF(ISBLANK(U$3),T59&amp;S59,INDEX(pixel_shift_table.asm!$C$3:$R$114, U$2*16 + U$3 + INT($A59/16) + 1, MOD($A59, 16) + 1))</f>
        <v>A9DE</v>
      </c>
      <c r="V59" s="6" t="str" cm="1">
        <f t="array" ref="V59">IF(ISBLANK(V$3),U59&amp;T59,INDEX(pixel_shift_table.asm!$C$3:$R$114, V$2*16 + V$3 + INT($A59/16) + 1, MOD($A59, 16) + 1))</f>
        <v>B0</v>
      </c>
      <c r="W59" s="5" t="str" cm="1">
        <f t="array" ref="W59">IF(ISBLANK(W$3),V59&amp;U59,INDEX(pixel_shift_table.asm!$C$3:$R$114, W$2*16 + W$3 + INT($A59/16) + 1, MOD($A59, 16) + 1))</f>
        <v>AA</v>
      </c>
      <c r="X59" s="7" t="str" cm="1">
        <f t="array" ref="X59">IF(ISBLANK(X$3),W59&amp;V59,INDEX(pixel_shift_table.asm!$C$3:$R$114, X$2*16 + X$3 + INT($A59/16) + 1, MOD($A59, 16) + 1))</f>
        <v>AAB0</v>
      </c>
    </row>
    <row r="60" spans="1:24" x14ac:dyDescent="0.3">
      <c r="A60">
        <v>55</v>
      </c>
      <c r="B60" s="8">
        <v>1101.1099999999999</v>
      </c>
      <c r="C60" s="5" t="s">
        <v>804</v>
      </c>
      <c r="D60" s="6" t="str" cm="1">
        <f t="array" ref="D60">IF(ISBLANK(D$3),C60&amp;B60,INDEX(pixel_shift_table.asm!$C$3:$R$114, D$2*16 + D$3 + INT($A60/16) + 1, MOD($A60, 16) + 1))</f>
        <v>B2</v>
      </c>
      <c r="E60" s="5" t="str" cm="1">
        <f t="array" ref="E60">IF(ISBLANK(E$3),D60&amp;C60,INDEX(pixel_shift_table.asm!$C$3:$R$114, E$2*16 + E$3 + INT($A60/16) + 1, MOD($A60, 16) + 1))</f>
        <v>AA</v>
      </c>
      <c r="F60" s="7" t="str" cm="1">
        <f t="array" ref="F60">IF(ISBLANK(F$3),E60&amp;D60,INDEX(pixel_shift_table.asm!$C$3:$R$114, F$2*16 + F$3 + INT($A60/16) + 1, MOD($A60, 16) + 1))</f>
        <v>AAB2</v>
      </c>
      <c r="G60" s="6" t="str" cm="1">
        <f t="array" ref="G60">IF(ISBLANK(G$3),F60&amp;E60,INDEX(pixel_shift_table.asm!$C$3:$R$114, G$2*16 + G$3 + INT($A60/16) + 1, MOD($A60, 16) + 1))</f>
        <v>B4</v>
      </c>
      <c r="H60" s="5" t="str" cm="1">
        <f t="array" ref="H60">IF(ISBLANK(H$3),G60&amp;F60,INDEX(pixel_shift_table.asm!$C$3:$R$114, H$2*16 + H$3 + INT($A60/16) + 1, MOD($A60, 16) + 1))</f>
        <v>AA</v>
      </c>
      <c r="I60" s="7" t="str" cm="1">
        <f t="array" ref="I60">IF(ISBLANK(I$3),H60&amp;G60,INDEX(pixel_shift_table.asm!$C$3:$R$114, I$2*16 + I$3 + INT($A60/16) + 1, MOD($A60, 16) + 1))</f>
        <v>AAB4</v>
      </c>
      <c r="J60" s="6" t="str" cm="1">
        <f t="array" ref="J60">IF(ISBLANK(J$3),I60&amp;H60,INDEX(pixel_shift_table.asm!$C$3:$R$114, J$2*16 + J$3 + INT($A60/16) + 1, MOD($A60, 16) + 1))</f>
        <v>B6</v>
      </c>
      <c r="K60" s="5" t="str" cm="1">
        <f t="array" ref="K60">IF(ISBLANK(K$3),J60&amp;I60,INDEX(pixel_shift_table.asm!$C$3:$R$114, K$2*16 + K$3 + INT($A60/16) + 1, MOD($A60, 16) + 1))</f>
        <v>AA</v>
      </c>
      <c r="L60" s="7" t="str" cm="1">
        <f t="array" ref="L60">IF(ISBLANK(L$3),K60&amp;J60,INDEX(pixel_shift_table.asm!$C$3:$R$114, L$2*16 + L$3 + INT($A60/16) + 1, MOD($A60, 16) + 1))</f>
        <v>AAB6</v>
      </c>
      <c r="M60" s="6" t="str" cm="1">
        <f t="array" ref="M60">IF(ISBLANK(M$3),L60&amp;K60,INDEX(pixel_shift_table.asm!$C$3:$R$114, M$2*16 + M$3 + INT($A60/16) + 1, MOD($A60, 16) + 1))</f>
        <v>B8</v>
      </c>
      <c r="N60" s="5" t="str" cm="1">
        <f t="array" ref="N60">IF(ISBLANK(N$3),M60&amp;L60,INDEX(pixel_shift_table.asm!$C$3:$R$114, N$2*16 + N$3 + INT($A60/16) + 1, MOD($A60, 16) + 1))</f>
        <v>AA</v>
      </c>
      <c r="O60" s="7" t="str" cm="1">
        <f t="array" ref="O60">IF(ISBLANK(O$3),N60&amp;M60,INDEX(pixel_shift_table.asm!$C$3:$R$114, O$2*16 + O$3 + INT($A60/16) + 1, MOD($A60, 16) + 1))</f>
        <v>AAB8</v>
      </c>
      <c r="P60" s="6" t="str" cm="1">
        <f t="array" ref="P60">IF(ISBLANK(P$3),O60&amp;N60,INDEX(pixel_shift_table.asm!$C$3:$R$114, P$2*16 + P$3 + INT($A60/16) + 1, MOD($A60, 16) + 1))</f>
        <v>BA</v>
      </c>
      <c r="Q60" s="5" t="str" cm="1">
        <f t="array" ref="Q60">IF(ISBLANK(Q$3),P60&amp;O60,INDEX(pixel_shift_table.asm!$C$3:$R$114, Q$2*16 + Q$3 + INT($A60/16) + 1, MOD($A60, 16) + 1))</f>
        <v>AA</v>
      </c>
      <c r="R60" s="7" t="str" cm="1">
        <f t="array" ref="R60">IF(ISBLANK(R$3),Q60&amp;P60,INDEX(pixel_shift_table.asm!$C$3:$R$114, R$2*16 + R$3 + INT($A60/16) + 1, MOD($A60, 16) + 1))</f>
        <v>AABA</v>
      </c>
      <c r="S60" s="6" t="str" cm="1">
        <f t="array" ref="S60">IF(ISBLANK(S$3),R60&amp;Q60,INDEX(pixel_shift_table.asm!$C$3:$R$114, S$2*16 + S$3 + INT($A60/16) + 1, MOD($A60, 16) + 1))</f>
        <v>BC</v>
      </c>
      <c r="T60" s="5" t="str" cm="1">
        <f t="array" ref="T60">IF(ISBLANK(T$3),S60&amp;R60,INDEX(pixel_shift_table.asm!$C$3:$R$114, T$2*16 + T$3 + INT($A60/16) + 1, MOD($A60, 16) + 1))</f>
        <v>AA</v>
      </c>
      <c r="U60" s="7" t="str" cm="1">
        <f t="array" ref="U60">IF(ISBLANK(U$3),T60&amp;S60,INDEX(pixel_shift_table.asm!$C$3:$R$114, U$2*16 + U$3 + INT($A60/16) + 1, MOD($A60, 16) + 1))</f>
        <v>AABC</v>
      </c>
      <c r="V60" s="6" t="str" cm="1">
        <f t="array" ref="V60">IF(ISBLANK(V$3),U60&amp;T60,INDEX(pixel_shift_table.asm!$C$3:$R$114, V$2*16 + V$3 + INT($A60/16) + 1, MOD($A60, 16) + 1))</f>
        <v>BE</v>
      </c>
      <c r="W60" s="5" t="str" cm="1">
        <f t="array" ref="W60">IF(ISBLANK(W$3),V60&amp;U60,INDEX(pixel_shift_table.asm!$C$3:$R$114, W$2*16 + W$3 + INT($A60/16) + 1, MOD($A60, 16) + 1))</f>
        <v>AA</v>
      </c>
      <c r="X60" s="7" t="str" cm="1">
        <f t="array" ref="X60">IF(ISBLANK(X$3),W60&amp;V60,INDEX(pixel_shift_table.asm!$C$3:$R$114, X$2*16 + X$3 + INT($A60/16) + 1, MOD($A60, 16) + 1))</f>
        <v>AABE</v>
      </c>
    </row>
    <row r="61" spans="1:24" x14ac:dyDescent="0.3">
      <c r="A61">
        <v>56</v>
      </c>
      <c r="B61" s="8">
        <v>1110</v>
      </c>
      <c r="C61" s="5" t="s">
        <v>805</v>
      </c>
      <c r="D61" s="6" t="str" cm="1">
        <f t="array" ref="D61">IF(ISBLANK(D$3),C61&amp;B61,INDEX(pixel_shift_table.asm!$C$3:$R$114, D$2*16 + D$3 + INT($A61/16) + 1, MOD($A61, 16) + 1))</f>
        <v>38</v>
      </c>
      <c r="E61" s="5" t="str" cm="1">
        <f t="array" ref="E61">IF(ISBLANK(E$3),D61&amp;C61,INDEX(pixel_shift_table.asm!$C$3:$R$114, E$2*16 + E$3 + INT($A61/16) + 1, MOD($A61, 16) + 1))</f>
        <v>A9</v>
      </c>
      <c r="F61" s="7" t="str" cm="1">
        <f t="array" ref="F61">IF(ISBLANK(F$3),E61&amp;D61,INDEX(pixel_shift_table.asm!$C$3:$R$114, F$2*16 + F$3 + INT($A61/16) + 1, MOD($A61, 16) + 1))</f>
        <v>A938</v>
      </c>
      <c r="G61" s="6" t="str" cm="1">
        <f t="array" ref="G61">IF(ISBLANK(G$3),F61&amp;E61,INDEX(pixel_shift_table.asm!$C$3:$R$114, G$2*16 + G$3 + INT($A61/16) + 1, MOD($A61, 16) + 1))</f>
        <v>3A</v>
      </c>
      <c r="H61" s="5" t="str" cm="1">
        <f t="array" ref="H61">IF(ISBLANK(H$3),G61&amp;F61,INDEX(pixel_shift_table.asm!$C$3:$R$114, H$2*16 + H$3 + INT($A61/16) + 1, MOD($A61, 16) + 1))</f>
        <v>A9</v>
      </c>
      <c r="I61" s="7" t="str" cm="1">
        <f t="array" ref="I61">IF(ISBLANK(I$3),H61&amp;G61,INDEX(pixel_shift_table.asm!$C$3:$R$114, I$2*16 + I$3 + INT($A61/16) + 1, MOD($A61, 16) + 1))</f>
        <v>A93A</v>
      </c>
      <c r="J61" s="6" t="str" cm="1">
        <f t="array" ref="J61">IF(ISBLANK(J$3),I61&amp;H61,INDEX(pixel_shift_table.asm!$C$3:$R$114, J$2*16 + J$3 + INT($A61/16) + 1, MOD($A61, 16) + 1))</f>
        <v>3C</v>
      </c>
      <c r="K61" s="5" t="str" cm="1">
        <f t="array" ref="K61">IF(ISBLANK(K$3),J61&amp;I61,INDEX(pixel_shift_table.asm!$C$3:$R$114, K$2*16 + K$3 + INT($A61/16) + 1, MOD($A61, 16) + 1))</f>
        <v>A9</v>
      </c>
      <c r="L61" s="7" t="str" cm="1">
        <f t="array" ref="L61">IF(ISBLANK(L$3),K61&amp;J61,INDEX(pixel_shift_table.asm!$C$3:$R$114, L$2*16 + L$3 + INT($A61/16) + 1, MOD($A61, 16) + 1))</f>
        <v>A93C</v>
      </c>
      <c r="M61" s="6" t="str" cm="1">
        <f t="array" ref="M61">IF(ISBLANK(M$3),L61&amp;K61,INDEX(pixel_shift_table.asm!$C$3:$R$114, M$2*16 + M$3 + INT($A61/16) + 1, MOD($A61, 16) + 1))</f>
        <v>3E</v>
      </c>
      <c r="N61" s="5" t="str" cm="1">
        <f t="array" ref="N61">IF(ISBLANK(N$3),M61&amp;L61,INDEX(pixel_shift_table.asm!$C$3:$R$114, N$2*16 + N$3 + INT($A61/16) + 1, MOD($A61, 16) + 1))</f>
        <v>A9</v>
      </c>
      <c r="O61" s="7" t="str" cm="1">
        <f t="array" ref="O61">IF(ISBLANK(O$3),N61&amp;M61,INDEX(pixel_shift_table.asm!$C$3:$R$114, O$2*16 + O$3 + INT($A61/16) + 1, MOD($A61, 16) + 1))</f>
        <v>A93E</v>
      </c>
      <c r="P61" s="6" t="str" cm="1">
        <f t="array" ref="P61">IF(ISBLANK(P$3),O61&amp;N61,INDEX(pixel_shift_table.asm!$C$3:$R$114, P$2*16 + P$3 + INT($A61/16) + 1, MOD($A61, 16) + 1))</f>
        <v>70</v>
      </c>
      <c r="Q61" s="5" t="str" cm="1">
        <f t="array" ref="Q61">IF(ISBLANK(Q$3),P61&amp;O61,INDEX(pixel_shift_table.asm!$C$3:$R$114, Q$2*16 + Q$3 + INT($A61/16) + 1, MOD($A61, 16) + 1))</f>
        <v>A9</v>
      </c>
      <c r="R61" s="7" t="str" cm="1">
        <f t="array" ref="R61">IF(ISBLANK(R$3),Q61&amp;P61,INDEX(pixel_shift_table.asm!$C$3:$R$114, R$2*16 + R$3 + INT($A61/16) + 1, MOD($A61, 16) + 1))</f>
        <v>A970</v>
      </c>
      <c r="S61" s="6" t="str" cm="1">
        <f t="array" ref="S61">IF(ISBLANK(S$3),R61&amp;Q61,INDEX(pixel_shift_table.asm!$C$3:$R$114, S$2*16 + S$3 + INT($A61/16) + 1, MOD($A61, 16) + 1))</f>
        <v>E0</v>
      </c>
      <c r="T61" s="5" t="str" cm="1">
        <f t="array" ref="T61">IF(ISBLANK(T$3),S61&amp;R61,INDEX(pixel_shift_table.asm!$C$3:$R$114, T$2*16 + T$3 + INT($A61/16) + 1, MOD($A61, 16) + 1))</f>
        <v>A9</v>
      </c>
      <c r="U61" s="7" t="str" cm="1">
        <f t="array" ref="U61">IF(ISBLANK(U$3),T61&amp;S61,INDEX(pixel_shift_table.asm!$C$3:$R$114, U$2*16 + U$3 + INT($A61/16) + 1, MOD($A61, 16) + 1))</f>
        <v>A9E0</v>
      </c>
      <c r="V61" s="6" t="str" cm="1">
        <f t="array" ref="V61">IF(ISBLANK(V$3),U61&amp;T61,INDEX(pixel_shift_table.asm!$C$3:$R$114, V$2*16 + V$3 + INT($A61/16) + 1, MOD($A61, 16) + 1))</f>
        <v>C0</v>
      </c>
      <c r="W61" s="5" t="str" cm="1">
        <f t="array" ref="W61">IF(ISBLANK(W$3),V61&amp;U61,INDEX(pixel_shift_table.asm!$C$3:$R$114, W$2*16 + W$3 + INT($A61/16) + 1, MOD($A61, 16) + 1))</f>
        <v>AA</v>
      </c>
      <c r="X61" s="7" t="str" cm="1">
        <f t="array" ref="X61">IF(ISBLANK(X$3),W61&amp;V61,INDEX(pixel_shift_table.asm!$C$3:$R$114, X$2*16 + X$3 + INT($A61/16) + 1, MOD($A61, 16) + 1))</f>
        <v>AAC0</v>
      </c>
    </row>
    <row r="62" spans="1:24" x14ac:dyDescent="0.3">
      <c r="A62">
        <v>57</v>
      </c>
      <c r="B62" s="8">
        <v>1110.01</v>
      </c>
      <c r="C62" s="5" t="s">
        <v>806</v>
      </c>
      <c r="D62" s="6" t="str" cm="1">
        <f t="array" ref="D62">IF(ISBLANK(D$3),C62&amp;B62,INDEX(pixel_shift_table.asm!$C$3:$R$114, D$2*16 + D$3 + INT($A62/16) + 1, MOD($A62, 16) + 1))</f>
        <v>C2</v>
      </c>
      <c r="E62" s="5" t="str" cm="1">
        <f t="array" ref="E62">IF(ISBLANK(E$3),D62&amp;C62,INDEX(pixel_shift_table.asm!$C$3:$R$114, E$2*16 + E$3 + INT($A62/16) + 1, MOD($A62, 16) + 1))</f>
        <v>AA</v>
      </c>
      <c r="F62" s="7" t="str" cm="1">
        <f t="array" ref="F62">IF(ISBLANK(F$3),E62&amp;D62,INDEX(pixel_shift_table.asm!$C$3:$R$114, F$2*16 + F$3 + INT($A62/16) + 1, MOD($A62, 16) + 1))</f>
        <v>AAC2</v>
      </c>
      <c r="G62" s="6" t="str" cm="1">
        <f t="array" ref="G62">IF(ISBLANK(G$3),F62&amp;E62,INDEX(pixel_shift_table.asm!$C$3:$R$114, G$2*16 + G$3 + INT($A62/16) + 1, MOD($A62, 16) + 1))</f>
        <v>C4</v>
      </c>
      <c r="H62" s="5" t="str" cm="1">
        <f t="array" ref="H62">IF(ISBLANK(H$3),G62&amp;F62,INDEX(pixel_shift_table.asm!$C$3:$R$114, H$2*16 + H$3 + INT($A62/16) + 1, MOD($A62, 16) + 1))</f>
        <v>AA</v>
      </c>
      <c r="I62" s="7" t="str" cm="1">
        <f t="array" ref="I62">IF(ISBLANK(I$3),H62&amp;G62,INDEX(pixel_shift_table.asm!$C$3:$R$114, I$2*16 + I$3 + INT($A62/16) + 1, MOD($A62, 16) + 1))</f>
        <v>AAC4</v>
      </c>
      <c r="J62" s="6" t="str" cm="1">
        <f t="array" ref="J62">IF(ISBLANK(J$3),I62&amp;H62,INDEX(pixel_shift_table.asm!$C$3:$R$114, J$2*16 + J$3 + INT($A62/16) + 1, MOD($A62, 16) + 1))</f>
        <v>C6</v>
      </c>
      <c r="K62" s="5" t="str" cm="1">
        <f t="array" ref="K62">IF(ISBLANK(K$3),J62&amp;I62,INDEX(pixel_shift_table.asm!$C$3:$R$114, K$2*16 + K$3 + INT($A62/16) + 1, MOD($A62, 16) + 1))</f>
        <v>AA</v>
      </c>
      <c r="L62" s="7" t="str" cm="1">
        <f t="array" ref="L62">IF(ISBLANK(L$3),K62&amp;J62,INDEX(pixel_shift_table.asm!$C$3:$R$114, L$2*16 + L$3 + INT($A62/16) + 1, MOD($A62, 16) + 1))</f>
        <v>AAC6</v>
      </c>
      <c r="M62" s="6" t="str" cm="1">
        <f t="array" ref="M62">IF(ISBLANK(M$3),L62&amp;K62,INDEX(pixel_shift_table.asm!$C$3:$R$114, M$2*16 + M$3 + INT($A62/16) + 1, MOD($A62, 16) + 1))</f>
        <v>C8</v>
      </c>
      <c r="N62" s="5" t="str" cm="1">
        <f t="array" ref="N62">IF(ISBLANK(N$3),M62&amp;L62,INDEX(pixel_shift_table.asm!$C$3:$R$114, N$2*16 + N$3 + INT($A62/16) + 1, MOD($A62, 16) + 1))</f>
        <v>AA</v>
      </c>
      <c r="O62" s="7" t="str" cm="1">
        <f t="array" ref="O62">IF(ISBLANK(O$3),N62&amp;M62,INDEX(pixel_shift_table.asm!$C$3:$R$114, O$2*16 + O$3 + INT($A62/16) + 1, MOD($A62, 16) + 1))</f>
        <v>AAC8</v>
      </c>
      <c r="P62" s="6" t="str" cm="1">
        <f t="array" ref="P62">IF(ISBLANK(P$3),O62&amp;N62,INDEX(pixel_shift_table.asm!$C$3:$R$114, P$2*16 + P$3 + INT($A62/16) + 1, MOD($A62, 16) + 1))</f>
        <v>CA</v>
      </c>
      <c r="Q62" s="5" t="str" cm="1">
        <f t="array" ref="Q62">IF(ISBLANK(Q$3),P62&amp;O62,INDEX(pixel_shift_table.asm!$C$3:$R$114, Q$2*16 + Q$3 + INT($A62/16) + 1, MOD($A62, 16) + 1))</f>
        <v>AA</v>
      </c>
      <c r="R62" s="7" t="str" cm="1">
        <f t="array" ref="R62">IF(ISBLANK(R$3),Q62&amp;P62,INDEX(pixel_shift_table.asm!$C$3:$R$114, R$2*16 + R$3 + INT($A62/16) + 1, MOD($A62, 16) + 1))</f>
        <v>AACA</v>
      </c>
      <c r="S62" s="6" t="str" cm="1">
        <f t="array" ref="S62">IF(ISBLANK(S$3),R62&amp;Q62,INDEX(pixel_shift_table.asm!$C$3:$R$114, S$2*16 + S$3 + INT($A62/16) + 1, MOD($A62, 16) + 1))</f>
        <v>CC</v>
      </c>
      <c r="T62" s="5" t="str" cm="1">
        <f t="array" ref="T62">IF(ISBLANK(T$3),S62&amp;R62,INDEX(pixel_shift_table.asm!$C$3:$R$114, T$2*16 + T$3 + INT($A62/16) + 1, MOD($A62, 16) + 1))</f>
        <v>AA</v>
      </c>
      <c r="U62" s="7" t="str" cm="1">
        <f t="array" ref="U62">IF(ISBLANK(U$3),T62&amp;S62,INDEX(pixel_shift_table.asm!$C$3:$R$114, U$2*16 + U$3 + INT($A62/16) + 1, MOD($A62, 16) + 1))</f>
        <v>AACC</v>
      </c>
      <c r="V62" s="6" t="str" cm="1">
        <f t="array" ref="V62">IF(ISBLANK(V$3),U62&amp;T62,INDEX(pixel_shift_table.asm!$C$3:$R$114, V$2*16 + V$3 + INT($A62/16) + 1, MOD($A62, 16) + 1))</f>
        <v>CE</v>
      </c>
      <c r="W62" s="5" t="str" cm="1">
        <f t="array" ref="W62">IF(ISBLANK(W$3),V62&amp;U62,INDEX(pixel_shift_table.asm!$C$3:$R$114, W$2*16 + W$3 + INT($A62/16) + 1, MOD($A62, 16) + 1))</f>
        <v>AA</v>
      </c>
      <c r="X62" s="7" t="str" cm="1">
        <f t="array" ref="X62">IF(ISBLANK(X$3),W62&amp;V62,INDEX(pixel_shift_table.asm!$C$3:$R$114, X$2*16 + X$3 + INT($A62/16) + 1, MOD($A62, 16) + 1))</f>
        <v>AACE</v>
      </c>
    </row>
    <row r="63" spans="1:24" x14ac:dyDescent="0.3">
      <c r="A63">
        <v>58</v>
      </c>
      <c r="B63" s="8">
        <v>1110.0999999999999</v>
      </c>
      <c r="C63" s="5" t="s">
        <v>807</v>
      </c>
      <c r="D63" s="6" t="str" cm="1">
        <f t="array" ref="D63">IF(ISBLANK(D$3),C63&amp;B63,INDEX(pixel_shift_table.asm!$C$3:$R$114, D$2*16 + D$3 + INT($A63/16) + 1, MOD($A63, 16) + 1))</f>
        <v>E4</v>
      </c>
      <c r="E63" s="5" t="str" cm="1">
        <f t="array" ref="E63">IF(ISBLANK(E$3),D63&amp;C63,INDEX(pixel_shift_table.asm!$C$3:$R$114, E$2*16 + E$3 + INT($A63/16) + 1, MOD($A63, 16) + 1))</f>
        <v>A9</v>
      </c>
      <c r="F63" s="7" t="str" cm="1">
        <f t="array" ref="F63">IF(ISBLANK(F$3),E63&amp;D63,INDEX(pixel_shift_table.asm!$C$3:$R$114, F$2*16 + F$3 + INT($A63/16) + 1, MOD($A63, 16) + 1))</f>
        <v>A9E4</v>
      </c>
      <c r="G63" s="6" t="str" cm="1">
        <f t="array" ref="G63">IF(ISBLANK(G$3),F63&amp;E63,INDEX(pixel_shift_table.asm!$C$3:$R$114, G$2*16 + G$3 + INT($A63/16) + 1, MOD($A63, 16) + 1))</f>
        <v>E6</v>
      </c>
      <c r="H63" s="5" t="str" cm="1">
        <f t="array" ref="H63">IF(ISBLANK(H$3),G63&amp;F63,INDEX(pixel_shift_table.asm!$C$3:$R$114, H$2*16 + H$3 + INT($A63/16) + 1, MOD($A63, 16) + 1))</f>
        <v>A9</v>
      </c>
      <c r="I63" s="7" t="str" cm="1">
        <f t="array" ref="I63">IF(ISBLANK(I$3),H63&amp;G63,INDEX(pixel_shift_table.asm!$C$3:$R$114, I$2*16 + I$3 + INT($A63/16) + 1, MOD($A63, 16) + 1))</f>
        <v>A9E6</v>
      </c>
      <c r="J63" s="6" t="str" cm="1">
        <f t="array" ref="J63">IF(ISBLANK(J$3),I63&amp;H63,INDEX(pixel_shift_table.asm!$C$3:$R$114, J$2*16 + J$3 + INT($A63/16) + 1, MOD($A63, 16) + 1))</f>
        <v>E8</v>
      </c>
      <c r="K63" s="5" t="str" cm="1">
        <f t="array" ref="K63">IF(ISBLANK(K$3),J63&amp;I63,INDEX(pixel_shift_table.asm!$C$3:$R$114, K$2*16 + K$3 + INT($A63/16) + 1, MOD($A63, 16) + 1))</f>
        <v>A9</v>
      </c>
      <c r="L63" s="7" t="str" cm="1">
        <f t="array" ref="L63">IF(ISBLANK(L$3),K63&amp;J63,INDEX(pixel_shift_table.asm!$C$3:$R$114, L$2*16 + L$3 + INT($A63/16) + 1, MOD($A63, 16) + 1))</f>
        <v>A9E8</v>
      </c>
      <c r="M63" s="6" t="str" cm="1">
        <f t="array" ref="M63">IF(ISBLANK(M$3),L63&amp;K63,INDEX(pixel_shift_table.asm!$C$3:$R$114, M$2*16 + M$3 + INT($A63/16) + 1, MOD($A63, 16) + 1))</f>
        <v>EA</v>
      </c>
      <c r="N63" s="5" t="str" cm="1">
        <f t="array" ref="N63">IF(ISBLANK(N$3),M63&amp;L63,INDEX(pixel_shift_table.asm!$C$3:$R$114, N$2*16 + N$3 + INT($A63/16) + 1, MOD($A63, 16) + 1))</f>
        <v>A9</v>
      </c>
      <c r="O63" s="7" t="str" cm="1">
        <f t="array" ref="O63">IF(ISBLANK(O$3),N63&amp;M63,INDEX(pixel_shift_table.asm!$C$3:$R$114, O$2*16 + O$3 + INT($A63/16) + 1, MOD($A63, 16) + 1))</f>
        <v>A9EA</v>
      </c>
      <c r="P63" s="6" t="str" cm="1">
        <f t="array" ref="P63">IF(ISBLANK(P$3),O63&amp;N63,INDEX(pixel_shift_table.asm!$C$3:$R$114, P$2*16 + P$3 + INT($A63/16) + 1, MOD($A63, 16) + 1))</f>
        <v>EC</v>
      </c>
      <c r="Q63" s="5" t="str" cm="1">
        <f t="array" ref="Q63">IF(ISBLANK(Q$3),P63&amp;O63,INDEX(pixel_shift_table.asm!$C$3:$R$114, Q$2*16 + Q$3 + INT($A63/16) + 1, MOD($A63, 16) + 1))</f>
        <v>A9</v>
      </c>
      <c r="R63" s="7" t="str" cm="1">
        <f t="array" ref="R63">IF(ISBLANK(R$3),Q63&amp;P63,INDEX(pixel_shift_table.asm!$C$3:$R$114, R$2*16 + R$3 + INT($A63/16) + 1, MOD($A63, 16) + 1))</f>
        <v>A9EC</v>
      </c>
      <c r="S63" s="6" t="str" cm="1">
        <f t="array" ref="S63">IF(ISBLANK(S$3),R63&amp;Q63,INDEX(pixel_shift_table.asm!$C$3:$R$114, S$2*16 + S$3 + INT($A63/16) + 1, MOD($A63, 16) + 1))</f>
        <v>EE</v>
      </c>
      <c r="T63" s="5" t="str" cm="1">
        <f t="array" ref="T63">IF(ISBLANK(T$3),S63&amp;R63,INDEX(pixel_shift_table.asm!$C$3:$R$114, T$2*16 + T$3 + INT($A63/16) + 1, MOD($A63, 16) + 1))</f>
        <v>A9</v>
      </c>
      <c r="U63" s="7" t="str" cm="1">
        <f t="array" ref="U63">IF(ISBLANK(U$3),T63&amp;S63,INDEX(pixel_shift_table.asm!$C$3:$R$114, U$2*16 + U$3 + INT($A63/16) + 1, MOD($A63, 16) + 1))</f>
        <v>A9EE</v>
      </c>
      <c r="V63" s="6" t="str" cm="1">
        <f t="array" ref="V63">IF(ISBLANK(V$3),U63&amp;T63,INDEX(pixel_shift_table.asm!$C$3:$R$114, V$2*16 + V$3 + INT($A63/16) + 1, MOD($A63, 16) + 1))</f>
        <v>D0</v>
      </c>
      <c r="W63" s="5" t="str" cm="1">
        <f t="array" ref="W63">IF(ISBLANK(W$3),V63&amp;U63,INDEX(pixel_shift_table.asm!$C$3:$R$114, W$2*16 + W$3 + INT($A63/16) + 1, MOD($A63, 16) + 1))</f>
        <v>AA</v>
      </c>
      <c r="X63" s="7" t="str" cm="1">
        <f t="array" ref="X63">IF(ISBLANK(X$3),W63&amp;V63,INDEX(pixel_shift_table.asm!$C$3:$R$114, X$2*16 + X$3 + INT($A63/16) + 1, MOD($A63, 16) + 1))</f>
        <v>AAD0</v>
      </c>
    </row>
    <row r="64" spans="1:24" x14ac:dyDescent="0.3">
      <c r="A64">
        <v>59</v>
      </c>
      <c r="B64" s="8">
        <v>1110.1099999999999</v>
      </c>
      <c r="C64" s="5" t="s">
        <v>808</v>
      </c>
      <c r="D64" s="6" t="str" cm="1">
        <f t="array" ref="D64">IF(ISBLANK(D$3),C64&amp;B64,INDEX(pixel_shift_table.asm!$C$3:$R$114, D$2*16 + D$3 + INT($A64/16) + 1, MOD($A64, 16) + 1))</f>
        <v>D2</v>
      </c>
      <c r="E64" s="5" t="str" cm="1">
        <f t="array" ref="E64">IF(ISBLANK(E$3),D64&amp;C64,INDEX(pixel_shift_table.asm!$C$3:$R$114, E$2*16 + E$3 + INT($A64/16) + 1, MOD($A64, 16) + 1))</f>
        <v>AA</v>
      </c>
      <c r="F64" s="7" t="str" cm="1">
        <f t="array" ref="F64">IF(ISBLANK(F$3),E64&amp;D64,INDEX(pixel_shift_table.asm!$C$3:$R$114, F$2*16 + F$3 + INT($A64/16) + 1, MOD($A64, 16) + 1))</f>
        <v>AAD2</v>
      </c>
      <c r="G64" s="6" t="str" cm="1">
        <f t="array" ref="G64">IF(ISBLANK(G$3),F64&amp;E64,INDEX(pixel_shift_table.asm!$C$3:$R$114, G$2*16 + G$3 + INT($A64/16) + 1, MOD($A64, 16) + 1))</f>
        <v>D4</v>
      </c>
      <c r="H64" s="5" t="str" cm="1">
        <f t="array" ref="H64">IF(ISBLANK(H$3),G64&amp;F64,INDEX(pixel_shift_table.asm!$C$3:$R$114, H$2*16 + H$3 + INT($A64/16) + 1, MOD($A64, 16) + 1))</f>
        <v>AA</v>
      </c>
      <c r="I64" s="7" t="str" cm="1">
        <f t="array" ref="I64">IF(ISBLANK(I$3),H64&amp;G64,INDEX(pixel_shift_table.asm!$C$3:$R$114, I$2*16 + I$3 + INT($A64/16) + 1, MOD($A64, 16) + 1))</f>
        <v>AAD4</v>
      </c>
      <c r="J64" s="6" t="str" cm="1">
        <f t="array" ref="J64">IF(ISBLANK(J$3),I64&amp;H64,INDEX(pixel_shift_table.asm!$C$3:$R$114, J$2*16 + J$3 + INT($A64/16) + 1, MOD($A64, 16) + 1))</f>
        <v>D6</v>
      </c>
      <c r="K64" s="5" t="str" cm="1">
        <f t="array" ref="K64">IF(ISBLANK(K$3),J64&amp;I64,INDEX(pixel_shift_table.asm!$C$3:$R$114, K$2*16 + K$3 + INT($A64/16) + 1, MOD($A64, 16) + 1))</f>
        <v>AA</v>
      </c>
      <c r="L64" s="7" t="str" cm="1">
        <f t="array" ref="L64">IF(ISBLANK(L$3),K64&amp;J64,INDEX(pixel_shift_table.asm!$C$3:$R$114, L$2*16 + L$3 + INT($A64/16) + 1, MOD($A64, 16) + 1))</f>
        <v>AAD6</v>
      </c>
      <c r="M64" s="6" t="str" cm="1">
        <f t="array" ref="M64">IF(ISBLANK(M$3),L64&amp;K64,INDEX(pixel_shift_table.asm!$C$3:$R$114, M$2*16 + M$3 + INT($A64/16) + 1, MOD($A64, 16) + 1))</f>
        <v>D8</v>
      </c>
      <c r="N64" s="5" t="str" cm="1">
        <f t="array" ref="N64">IF(ISBLANK(N$3),M64&amp;L64,INDEX(pixel_shift_table.asm!$C$3:$R$114, N$2*16 + N$3 + INT($A64/16) + 1, MOD($A64, 16) + 1))</f>
        <v>AA</v>
      </c>
      <c r="O64" s="7" t="str" cm="1">
        <f t="array" ref="O64">IF(ISBLANK(O$3),N64&amp;M64,INDEX(pixel_shift_table.asm!$C$3:$R$114, O$2*16 + O$3 + INT($A64/16) + 1, MOD($A64, 16) + 1))</f>
        <v>AAD8</v>
      </c>
      <c r="P64" s="6" t="str" cm="1">
        <f t="array" ref="P64">IF(ISBLANK(P$3),O64&amp;N64,INDEX(pixel_shift_table.asm!$C$3:$R$114, P$2*16 + P$3 + INT($A64/16) + 1, MOD($A64, 16) + 1))</f>
        <v>DA</v>
      </c>
      <c r="Q64" s="5" t="str" cm="1">
        <f t="array" ref="Q64">IF(ISBLANK(Q$3),P64&amp;O64,INDEX(pixel_shift_table.asm!$C$3:$R$114, Q$2*16 + Q$3 + INT($A64/16) + 1, MOD($A64, 16) + 1))</f>
        <v>AA</v>
      </c>
      <c r="R64" s="7" t="str" cm="1">
        <f t="array" ref="R64">IF(ISBLANK(R$3),Q64&amp;P64,INDEX(pixel_shift_table.asm!$C$3:$R$114, R$2*16 + R$3 + INT($A64/16) + 1, MOD($A64, 16) + 1))</f>
        <v>AADA</v>
      </c>
      <c r="S64" s="6" t="str" cm="1">
        <f t="array" ref="S64">IF(ISBLANK(S$3),R64&amp;Q64,INDEX(pixel_shift_table.asm!$C$3:$R$114, S$2*16 + S$3 + INT($A64/16) + 1, MOD($A64, 16) + 1))</f>
        <v>DC</v>
      </c>
      <c r="T64" s="5" t="str" cm="1">
        <f t="array" ref="T64">IF(ISBLANK(T$3),S64&amp;R64,INDEX(pixel_shift_table.asm!$C$3:$R$114, T$2*16 + T$3 + INT($A64/16) + 1, MOD($A64, 16) + 1))</f>
        <v>AA</v>
      </c>
      <c r="U64" s="7" t="str" cm="1">
        <f t="array" ref="U64">IF(ISBLANK(U$3),T64&amp;S64,INDEX(pixel_shift_table.asm!$C$3:$R$114, U$2*16 + U$3 + INT($A64/16) + 1, MOD($A64, 16) + 1))</f>
        <v>AADC</v>
      </c>
      <c r="V64" s="6" t="str" cm="1">
        <f t="array" ref="V64">IF(ISBLANK(V$3),U64&amp;T64,INDEX(pixel_shift_table.asm!$C$3:$R$114, V$2*16 + V$3 + INT($A64/16) + 1, MOD($A64, 16) + 1))</f>
        <v>DE</v>
      </c>
      <c r="W64" s="5" t="str" cm="1">
        <f t="array" ref="W64">IF(ISBLANK(W$3),V64&amp;U64,INDEX(pixel_shift_table.asm!$C$3:$R$114, W$2*16 + W$3 + INT($A64/16) + 1, MOD($A64, 16) + 1))</f>
        <v>AA</v>
      </c>
      <c r="X64" s="7" t="str" cm="1">
        <f t="array" ref="X64">IF(ISBLANK(X$3),W64&amp;V64,INDEX(pixel_shift_table.asm!$C$3:$R$114, X$2*16 + X$3 + INT($A64/16) + 1, MOD($A64, 16) + 1))</f>
        <v>AADE</v>
      </c>
    </row>
    <row r="65" spans="1:24" x14ac:dyDescent="0.3">
      <c r="A65">
        <v>60</v>
      </c>
      <c r="B65" s="8">
        <v>1111</v>
      </c>
      <c r="C65" s="5" t="s">
        <v>809</v>
      </c>
      <c r="D65" s="6" t="str" cm="1">
        <f t="array" ref="D65">IF(ISBLANK(D$3),C65&amp;B65,INDEX(pixel_shift_table.asm!$C$3:$R$114, D$2*16 + D$3 + INT($A65/16) + 1, MOD($A65, 16) + 1))</f>
        <v>76</v>
      </c>
      <c r="E65" s="5" t="str" cm="1">
        <f t="array" ref="E65">IF(ISBLANK(E$3),D65&amp;C65,INDEX(pixel_shift_table.asm!$C$3:$R$114, E$2*16 + E$3 + INT($A65/16) + 1, MOD($A65, 16) + 1))</f>
        <v>A9</v>
      </c>
      <c r="F65" s="7" t="str" cm="1">
        <f t="array" ref="F65">IF(ISBLANK(F$3),E65&amp;D65,INDEX(pixel_shift_table.asm!$C$3:$R$114, F$2*16 + F$3 + INT($A65/16) + 1, MOD($A65, 16) + 1))</f>
        <v>A976</v>
      </c>
      <c r="G65" s="6" t="str" cm="1">
        <f t="array" ref="G65">IF(ISBLANK(G$3),F65&amp;E65,INDEX(pixel_shift_table.asm!$C$3:$R$114, G$2*16 + G$3 + INT($A65/16) + 1, MOD($A65, 16) + 1))</f>
        <v>78</v>
      </c>
      <c r="H65" s="5" t="str" cm="1">
        <f t="array" ref="H65">IF(ISBLANK(H$3),G65&amp;F65,INDEX(pixel_shift_table.asm!$C$3:$R$114, H$2*16 + H$3 + INT($A65/16) + 1, MOD($A65, 16) + 1))</f>
        <v>A9</v>
      </c>
      <c r="I65" s="7" t="str" cm="1">
        <f t="array" ref="I65">IF(ISBLANK(I$3),H65&amp;G65,INDEX(pixel_shift_table.asm!$C$3:$R$114, I$2*16 + I$3 + INT($A65/16) + 1, MOD($A65, 16) + 1))</f>
        <v>A978</v>
      </c>
      <c r="J65" s="6" t="str" cm="1">
        <f t="array" ref="J65">IF(ISBLANK(J$3),I65&amp;H65,INDEX(pixel_shift_table.asm!$C$3:$R$114, J$2*16 + J$3 + INT($A65/16) + 1, MOD($A65, 16) + 1))</f>
        <v>7A</v>
      </c>
      <c r="K65" s="5" t="str" cm="1">
        <f t="array" ref="K65">IF(ISBLANK(K$3),J65&amp;I65,INDEX(pixel_shift_table.asm!$C$3:$R$114, K$2*16 + K$3 + INT($A65/16) + 1, MOD($A65, 16) + 1))</f>
        <v>A9</v>
      </c>
      <c r="L65" s="7" t="str" cm="1">
        <f t="array" ref="L65">IF(ISBLANK(L$3),K65&amp;J65,INDEX(pixel_shift_table.asm!$C$3:$R$114, L$2*16 + L$3 + INT($A65/16) + 1, MOD($A65, 16) + 1))</f>
        <v>A97A</v>
      </c>
      <c r="M65" s="6" t="str" cm="1">
        <f t="array" ref="M65">IF(ISBLANK(M$3),L65&amp;K65,INDEX(pixel_shift_table.asm!$C$3:$R$114, M$2*16 + M$3 + INT($A65/16) + 1, MOD($A65, 16) + 1))</f>
        <v>7C</v>
      </c>
      <c r="N65" s="5" t="str" cm="1">
        <f t="array" ref="N65">IF(ISBLANK(N$3),M65&amp;L65,INDEX(pixel_shift_table.asm!$C$3:$R$114, N$2*16 + N$3 + INT($A65/16) + 1, MOD($A65, 16) + 1))</f>
        <v>A9</v>
      </c>
      <c r="O65" s="7" t="str" cm="1">
        <f t="array" ref="O65">IF(ISBLANK(O$3),N65&amp;M65,INDEX(pixel_shift_table.asm!$C$3:$R$114, O$2*16 + O$3 + INT($A65/16) + 1, MOD($A65, 16) + 1))</f>
        <v>A97C</v>
      </c>
      <c r="P65" s="6" t="str" cm="1">
        <f t="array" ref="P65">IF(ISBLANK(P$3),O65&amp;N65,INDEX(pixel_shift_table.asm!$C$3:$R$114, P$2*16 + P$3 + INT($A65/16) + 1, MOD($A65, 16) + 1))</f>
        <v>7E</v>
      </c>
      <c r="Q65" s="5" t="str" cm="1">
        <f t="array" ref="Q65">IF(ISBLANK(Q$3),P65&amp;O65,INDEX(pixel_shift_table.asm!$C$3:$R$114, Q$2*16 + Q$3 + INT($A65/16) + 1, MOD($A65, 16) + 1))</f>
        <v>A9</v>
      </c>
      <c r="R65" s="7" t="str" cm="1">
        <f t="array" ref="R65">IF(ISBLANK(R$3),Q65&amp;P65,INDEX(pixel_shift_table.asm!$C$3:$R$114, R$2*16 + R$3 + INT($A65/16) + 1, MOD($A65, 16) + 1))</f>
        <v>A97E</v>
      </c>
      <c r="S65" s="6" t="str" cm="1">
        <f t="array" ref="S65">IF(ISBLANK(S$3),R65&amp;Q65,INDEX(pixel_shift_table.asm!$C$3:$R$114, S$2*16 + S$3 + INT($A65/16) + 1, MOD($A65, 16) + 1))</f>
        <v>F0</v>
      </c>
      <c r="T65" s="5" t="str" cm="1">
        <f t="array" ref="T65">IF(ISBLANK(T$3),S65&amp;R65,INDEX(pixel_shift_table.asm!$C$3:$R$114, T$2*16 + T$3 + INT($A65/16) + 1, MOD($A65, 16) + 1))</f>
        <v>A9</v>
      </c>
      <c r="U65" s="7" t="str" cm="1">
        <f t="array" ref="U65">IF(ISBLANK(U$3),T65&amp;S65,INDEX(pixel_shift_table.asm!$C$3:$R$114, U$2*16 + U$3 + INT($A65/16) + 1, MOD($A65, 16) + 1))</f>
        <v>A9F0</v>
      </c>
      <c r="V65" s="6" t="str" cm="1">
        <f t="array" ref="V65">IF(ISBLANK(V$3),U65&amp;T65,INDEX(pixel_shift_table.asm!$C$3:$R$114, V$2*16 + V$3 + INT($A65/16) + 1, MOD($A65, 16) + 1))</f>
        <v>E0</v>
      </c>
      <c r="W65" s="5" t="str" cm="1">
        <f t="array" ref="W65">IF(ISBLANK(W$3),V65&amp;U65,INDEX(pixel_shift_table.asm!$C$3:$R$114, W$2*16 + W$3 + INT($A65/16) + 1, MOD($A65, 16) + 1))</f>
        <v>AA</v>
      </c>
      <c r="X65" s="7" t="str" cm="1">
        <f t="array" ref="X65">IF(ISBLANK(X$3),W65&amp;V65,INDEX(pixel_shift_table.asm!$C$3:$R$114, X$2*16 + X$3 + INT($A65/16) + 1, MOD($A65, 16) + 1))</f>
        <v>AAE0</v>
      </c>
    </row>
    <row r="66" spans="1:24" x14ac:dyDescent="0.3">
      <c r="A66">
        <v>61</v>
      </c>
      <c r="B66" s="8">
        <v>1111.01</v>
      </c>
      <c r="C66" s="5" t="s">
        <v>810</v>
      </c>
      <c r="D66" s="6" t="str" cm="1">
        <f t="array" ref="D66">IF(ISBLANK(D$3),C66&amp;B66,INDEX(pixel_shift_table.asm!$C$3:$R$114, D$2*16 + D$3 + INT($A66/16) + 1, MOD($A66, 16) + 1))</f>
        <v>E2</v>
      </c>
      <c r="E66" s="5" t="str" cm="1">
        <f t="array" ref="E66">IF(ISBLANK(E$3),D66&amp;C66,INDEX(pixel_shift_table.asm!$C$3:$R$114, E$2*16 + E$3 + INT($A66/16) + 1, MOD($A66, 16) + 1))</f>
        <v>AA</v>
      </c>
      <c r="F66" s="7" t="str" cm="1">
        <f t="array" ref="F66">IF(ISBLANK(F$3),E66&amp;D66,INDEX(pixel_shift_table.asm!$C$3:$R$114, F$2*16 + F$3 + INT($A66/16) + 1, MOD($A66, 16) + 1))</f>
        <v>AAE2</v>
      </c>
      <c r="G66" s="6" t="str" cm="1">
        <f t="array" ref="G66">IF(ISBLANK(G$3),F66&amp;E66,INDEX(pixel_shift_table.asm!$C$3:$R$114, G$2*16 + G$3 + INT($A66/16) + 1, MOD($A66, 16) + 1))</f>
        <v>E4</v>
      </c>
      <c r="H66" s="5" t="str" cm="1">
        <f t="array" ref="H66">IF(ISBLANK(H$3),G66&amp;F66,INDEX(pixel_shift_table.asm!$C$3:$R$114, H$2*16 + H$3 + INT($A66/16) + 1, MOD($A66, 16) + 1))</f>
        <v>AA</v>
      </c>
      <c r="I66" s="7" t="str" cm="1">
        <f t="array" ref="I66">IF(ISBLANK(I$3),H66&amp;G66,INDEX(pixel_shift_table.asm!$C$3:$R$114, I$2*16 + I$3 + INT($A66/16) + 1, MOD($A66, 16) + 1))</f>
        <v>AAE4</v>
      </c>
      <c r="J66" s="6" t="str" cm="1">
        <f t="array" ref="J66">IF(ISBLANK(J$3),I66&amp;H66,INDEX(pixel_shift_table.asm!$C$3:$R$114, J$2*16 + J$3 + INT($A66/16) + 1, MOD($A66, 16) + 1))</f>
        <v>E6</v>
      </c>
      <c r="K66" s="5" t="str" cm="1">
        <f t="array" ref="K66">IF(ISBLANK(K$3),J66&amp;I66,INDEX(pixel_shift_table.asm!$C$3:$R$114, K$2*16 + K$3 + INT($A66/16) + 1, MOD($A66, 16) + 1))</f>
        <v>AA</v>
      </c>
      <c r="L66" s="7" t="str" cm="1">
        <f t="array" ref="L66">IF(ISBLANK(L$3),K66&amp;J66,INDEX(pixel_shift_table.asm!$C$3:$R$114, L$2*16 + L$3 + INT($A66/16) + 1, MOD($A66, 16) + 1))</f>
        <v>AAE6</v>
      </c>
      <c r="M66" s="6" t="str" cm="1">
        <f t="array" ref="M66">IF(ISBLANK(M$3),L66&amp;K66,INDEX(pixel_shift_table.asm!$C$3:$R$114, M$2*16 + M$3 + INT($A66/16) + 1, MOD($A66, 16) + 1))</f>
        <v>E8</v>
      </c>
      <c r="N66" s="5" t="str" cm="1">
        <f t="array" ref="N66">IF(ISBLANK(N$3),M66&amp;L66,INDEX(pixel_shift_table.asm!$C$3:$R$114, N$2*16 + N$3 + INT($A66/16) + 1, MOD($A66, 16) + 1))</f>
        <v>AA</v>
      </c>
      <c r="O66" s="7" t="str" cm="1">
        <f t="array" ref="O66">IF(ISBLANK(O$3),N66&amp;M66,INDEX(pixel_shift_table.asm!$C$3:$R$114, O$2*16 + O$3 + INT($A66/16) + 1, MOD($A66, 16) + 1))</f>
        <v>AAE8</v>
      </c>
      <c r="P66" s="6" t="str" cm="1">
        <f t="array" ref="P66">IF(ISBLANK(P$3),O66&amp;N66,INDEX(pixel_shift_table.asm!$C$3:$R$114, P$2*16 + P$3 + INT($A66/16) + 1, MOD($A66, 16) + 1))</f>
        <v>EA</v>
      </c>
      <c r="Q66" s="5" t="str" cm="1">
        <f t="array" ref="Q66">IF(ISBLANK(Q$3),P66&amp;O66,INDEX(pixel_shift_table.asm!$C$3:$R$114, Q$2*16 + Q$3 + INT($A66/16) + 1, MOD($A66, 16) + 1))</f>
        <v>AA</v>
      </c>
      <c r="R66" s="7" t="str" cm="1">
        <f t="array" ref="R66">IF(ISBLANK(R$3),Q66&amp;P66,INDEX(pixel_shift_table.asm!$C$3:$R$114, R$2*16 + R$3 + INT($A66/16) + 1, MOD($A66, 16) + 1))</f>
        <v>AAEA</v>
      </c>
      <c r="S66" s="6" t="str" cm="1">
        <f t="array" ref="S66">IF(ISBLANK(S$3),R66&amp;Q66,INDEX(pixel_shift_table.asm!$C$3:$R$114, S$2*16 + S$3 + INT($A66/16) + 1, MOD($A66, 16) + 1))</f>
        <v>EC</v>
      </c>
      <c r="T66" s="5" t="str" cm="1">
        <f t="array" ref="T66">IF(ISBLANK(T$3),S66&amp;R66,INDEX(pixel_shift_table.asm!$C$3:$R$114, T$2*16 + T$3 + INT($A66/16) + 1, MOD($A66, 16) + 1))</f>
        <v>AA</v>
      </c>
      <c r="U66" s="7" t="str" cm="1">
        <f t="array" ref="U66">IF(ISBLANK(U$3),T66&amp;S66,INDEX(pixel_shift_table.asm!$C$3:$R$114, U$2*16 + U$3 + INT($A66/16) + 1, MOD($A66, 16) + 1))</f>
        <v>AAEC</v>
      </c>
      <c r="V66" s="6" t="str" cm="1">
        <f t="array" ref="V66">IF(ISBLANK(V$3),U66&amp;T66,INDEX(pixel_shift_table.asm!$C$3:$R$114, V$2*16 + V$3 + INT($A66/16) + 1, MOD($A66, 16) + 1))</f>
        <v>EE</v>
      </c>
      <c r="W66" s="5" t="str" cm="1">
        <f t="array" ref="W66">IF(ISBLANK(W$3),V66&amp;U66,INDEX(pixel_shift_table.asm!$C$3:$R$114, W$2*16 + W$3 + INT($A66/16) + 1, MOD($A66, 16) + 1))</f>
        <v>AA</v>
      </c>
      <c r="X66" s="7" t="str" cm="1">
        <f t="array" ref="X66">IF(ISBLANK(X$3),W66&amp;V66,INDEX(pixel_shift_table.asm!$C$3:$R$114, X$2*16 + X$3 + INT($A66/16) + 1, MOD($A66, 16) + 1))</f>
        <v>AAEE</v>
      </c>
    </row>
    <row r="67" spans="1:24" x14ac:dyDescent="0.3">
      <c r="A67">
        <v>62</v>
      </c>
      <c r="B67" s="8">
        <v>1111.0999999999999</v>
      </c>
      <c r="C67" s="5" t="s">
        <v>811</v>
      </c>
      <c r="D67" s="6" t="str" cm="1">
        <f t="array" ref="D67">IF(ISBLANK(D$3),C67&amp;B67,INDEX(pixel_shift_table.asm!$C$3:$R$114, D$2*16 + D$3 + INT($A67/16) + 1, MOD($A67, 16) + 1))</f>
        <v>F4</v>
      </c>
      <c r="E67" s="5" t="str" cm="1">
        <f t="array" ref="E67">IF(ISBLANK(E$3),D67&amp;C67,INDEX(pixel_shift_table.asm!$C$3:$R$114, E$2*16 + E$3 + INT($A67/16) + 1, MOD($A67, 16) + 1))</f>
        <v>A9</v>
      </c>
      <c r="F67" s="7" t="str" cm="1">
        <f t="array" ref="F67">IF(ISBLANK(F$3),E67&amp;D67,INDEX(pixel_shift_table.asm!$C$3:$R$114, F$2*16 + F$3 + INT($A67/16) + 1, MOD($A67, 16) + 1))</f>
        <v>A9F4</v>
      </c>
      <c r="G67" s="6" t="str" cm="1">
        <f t="array" ref="G67">IF(ISBLANK(G$3),F67&amp;E67,INDEX(pixel_shift_table.asm!$C$3:$R$114, G$2*16 + G$3 + INT($A67/16) + 1, MOD($A67, 16) + 1))</f>
        <v>F6</v>
      </c>
      <c r="H67" s="5" t="str" cm="1">
        <f t="array" ref="H67">IF(ISBLANK(H$3),G67&amp;F67,INDEX(pixel_shift_table.asm!$C$3:$R$114, H$2*16 + H$3 + INT($A67/16) + 1, MOD($A67, 16) + 1))</f>
        <v>A9</v>
      </c>
      <c r="I67" s="7" t="str" cm="1">
        <f t="array" ref="I67">IF(ISBLANK(I$3),H67&amp;G67,INDEX(pixel_shift_table.asm!$C$3:$R$114, I$2*16 + I$3 + INT($A67/16) + 1, MOD($A67, 16) + 1))</f>
        <v>A9F6</v>
      </c>
      <c r="J67" s="6" t="str" cm="1">
        <f t="array" ref="J67">IF(ISBLANK(J$3),I67&amp;H67,INDEX(pixel_shift_table.asm!$C$3:$R$114, J$2*16 + J$3 + INT($A67/16) + 1, MOD($A67, 16) + 1))</f>
        <v>F8</v>
      </c>
      <c r="K67" s="5" t="str" cm="1">
        <f t="array" ref="K67">IF(ISBLANK(K$3),J67&amp;I67,INDEX(pixel_shift_table.asm!$C$3:$R$114, K$2*16 + K$3 + INT($A67/16) + 1, MOD($A67, 16) + 1))</f>
        <v>A9</v>
      </c>
      <c r="L67" s="7" t="str" cm="1">
        <f t="array" ref="L67">IF(ISBLANK(L$3),K67&amp;J67,INDEX(pixel_shift_table.asm!$C$3:$R$114, L$2*16 + L$3 + INT($A67/16) + 1, MOD($A67, 16) + 1))</f>
        <v>A9F8</v>
      </c>
      <c r="M67" s="6" t="str" cm="1">
        <f t="array" ref="M67">IF(ISBLANK(M$3),L67&amp;K67,INDEX(pixel_shift_table.asm!$C$3:$R$114, M$2*16 + M$3 + INT($A67/16) + 1, MOD($A67, 16) + 1))</f>
        <v>FA</v>
      </c>
      <c r="N67" s="5" t="str" cm="1">
        <f t="array" ref="N67">IF(ISBLANK(N$3),M67&amp;L67,INDEX(pixel_shift_table.asm!$C$3:$R$114, N$2*16 + N$3 + INT($A67/16) + 1, MOD($A67, 16) + 1))</f>
        <v>A9</v>
      </c>
      <c r="O67" s="7" t="str" cm="1">
        <f t="array" ref="O67">IF(ISBLANK(O$3),N67&amp;M67,INDEX(pixel_shift_table.asm!$C$3:$R$114, O$2*16 + O$3 + INT($A67/16) + 1, MOD($A67, 16) + 1))</f>
        <v>A9FA</v>
      </c>
      <c r="P67" s="6" t="str" cm="1">
        <f t="array" ref="P67">IF(ISBLANK(P$3),O67&amp;N67,INDEX(pixel_shift_table.asm!$C$3:$R$114, P$2*16 + P$3 + INT($A67/16) + 1, MOD($A67, 16) + 1))</f>
        <v>FC</v>
      </c>
      <c r="Q67" s="5" t="str" cm="1">
        <f t="array" ref="Q67">IF(ISBLANK(Q$3),P67&amp;O67,INDEX(pixel_shift_table.asm!$C$3:$R$114, Q$2*16 + Q$3 + INT($A67/16) + 1, MOD($A67, 16) + 1))</f>
        <v>A9</v>
      </c>
      <c r="R67" s="7" t="str" cm="1">
        <f t="array" ref="R67">IF(ISBLANK(R$3),Q67&amp;P67,INDEX(pixel_shift_table.asm!$C$3:$R$114, R$2*16 + R$3 + INT($A67/16) + 1, MOD($A67, 16) + 1))</f>
        <v>A9FC</v>
      </c>
      <c r="S67" s="6" t="str" cm="1">
        <f t="array" ref="S67">IF(ISBLANK(S$3),R67&amp;Q67,INDEX(pixel_shift_table.asm!$C$3:$R$114, S$2*16 + S$3 + INT($A67/16) + 1, MOD($A67, 16) + 1))</f>
        <v>FE</v>
      </c>
      <c r="T67" s="5" t="str" cm="1">
        <f t="array" ref="T67">IF(ISBLANK(T$3),S67&amp;R67,INDEX(pixel_shift_table.asm!$C$3:$R$114, T$2*16 + T$3 + INT($A67/16) + 1, MOD($A67, 16) + 1))</f>
        <v>A9</v>
      </c>
      <c r="U67" s="7" t="str" cm="1">
        <f t="array" ref="U67">IF(ISBLANK(U$3),T67&amp;S67,INDEX(pixel_shift_table.asm!$C$3:$R$114, U$2*16 + U$3 + INT($A67/16) + 1, MOD($A67, 16) + 1))</f>
        <v>A9FE</v>
      </c>
      <c r="V67" s="6" t="str" cm="1">
        <f t="array" ref="V67">IF(ISBLANK(V$3),U67&amp;T67,INDEX(pixel_shift_table.asm!$C$3:$R$114, V$2*16 + V$3 + INT($A67/16) + 1, MOD($A67, 16) + 1))</f>
        <v>F0</v>
      </c>
      <c r="W67" s="5" t="str" cm="1">
        <f t="array" ref="W67">IF(ISBLANK(W$3),V67&amp;U67,INDEX(pixel_shift_table.asm!$C$3:$R$114, W$2*16 + W$3 + INT($A67/16) + 1, MOD($A67, 16) + 1))</f>
        <v>AA</v>
      </c>
      <c r="X67" s="7" t="str" cm="1">
        <f t="array" ref="X67">IF(ISBLANK(X$3),W67&amp;V67,INDEX(pixel_shift_table.asm!$C$3:$R$114, X$2*16 + X$3 + INT($A67/16) + 1, MOD($A67, 16) + 1))</f>
        <v>AAF0</v>
      </c>
    </row>
    <row r="68" spans="1:24" x14ac:dyDescent="0.3">
      <c r="A68">
        <v>63</v>
      </c>
      <c r="B68" s="8">
        <v>1111.1099999999999</v>
      </c>
      <c r="C68" s="5" t="s">
        <v>812</v>
      </c>
      <c r="D68" s="6" t="str" cm="1">
        <f t="array" ref="D68">IF(ISBLANK(D$3),C68&amp;B68,INDEX(pixel_shift_table.asm!$C$3:$R$114, D$2*16 + D$3 + INT($A68/16) + 1, MOD($A68, 16) + 1))</f>
        <v>F2</v>
      </c>
      <c r="E68" s="5" t="str" cm="1">
        <f t="array" ref="E68">IF(ISBLANK(E$3),D68&amp;C68,INDEX(pixel_shift_table.asm!$C$3:$R$114, E$2*16 + E$3 + INT($A68/16) + 1, MOD($A68, 16) + 1))</f>
        <v>AA</v>
      </c>
      <c r="F68" s="7" t="str" cm="1">
        <f t="array" ref="F68">IF(ISBLANK(F$3),E68&amp;D68,INDEX(pixel_shift_table.asm!$C$3:$R$114, F$2*16 + F$3 + INT($A68/16) + 1, MOD($A68, 16) + 1))</f>
        <v>AAF2</v>
      </c>
      <c r="G68" s="6" t="str" cm="1">
        <f t="array" ref="G68">IF(ISBLANK(G$3),F68&amp;E68,INDEX(pixel_shift_table.asm!$C$3:$R$114, G$2*16 + G$3 + INT($A68/16) + 1, MOD($A68, 16) + 1))</f>
        <v>F4</v>
      </c>
      <c r="H68" s="5" t="str" cm="1">
        <f t="array" ref="H68">IF(ISBLANK(H$3),G68&amp;F68,INDEX(pixel_shift_table.asm!$C$3:$R$114, H$2*16 + H$3 + INT($A68/16) + 1, MOD($A68, 16) + 1))</f>
        <v>AA</v>
      </c>
      <c r="I68" s="7" t="str" cm="1">
        <f t="array" ref="I68">IF(ISBLANK(I$3),H68&amp;G68,INDEX(pixel_shift_table.asm!$C$3:$R$114, I$2*16 + I$3 + INT($A68/16) + 1, MOD($A68, 16) + 1))</f>
        <v>AAF4</v>
      </c>
      <c r="J68" s="6" t="str" cm="1">
        <f t="array" ref="J68">IF(ISBLANK(J$3),I68&amp;H68,INDEX(pixel_shift_table.asm!$C$3:$R$114, J$2*16 + J$3 + INT($A68/16) + 1, MOD($A68, 16) + 1))</f>
        <v>F6</v>
      </c>
      <c r="K68" s="5" t="str" cm="1">
        <f t="array" ref="K68">IF(ISBLANK(K$3),J68&amp;I68,INDEX(pixel_shift_table.asm!$C$3:$R$114, K$2*16 + K$3 + INT($A68/16) + 1, MOD($A68, 16) + 1))</f>
        <v>AA</v>
      </c>
      <c r="L68" s="7" t="str" cm="1">
        <f t="array" ref="L68">IF(ISBLANK(L$3),K68&amp;J68,INDEX(pixel_shift_table.asm!$C$3:$R$114, L$2*16 + L$3 + INT($A68/16) + 1, MOD($A68, 16) + 1))</f>
        <v>AAF6</v>
      </c>
      <c r="M68" s="6" t="str" cm="1">
        <f t="array" ref="M68">IF(ISBLANK(M$3),L68&amp;K68,INDEX(pixel_shift_table.asm!$C$3:$R$114, M$2*16 + M$3 + INT($A68/16) + 1, MOD($A68, 16) + 1))</f>
        <v>F8</v>
      </c>
      <c r="N68" s="5" t="str" cm="1">
        <f t="array" ref="N68">IF(ISBLANK(N$3),M68&amp;L68,INDEX(pixel_shift_table.asm!$C$3:$R$114, N$2*16 + N$3 + INT($A68/16) + 1, MOD($A68, 16) + 1))</f>
        <v>AA</v>
      </c>
      <c r="O68" s="7" t="str" cm="1">
        <f t="array" ref="O68">IF(ISBLANK(O$3),N68&amp;M68,INDEX(pixel_shift_table.asm!$C$3:$R$114, O$2*16 + O$3 + INT($A68/16) + 1, MOD($A68, 16) + 1))</f>
        <v>AAF8</v>
      </c>
      <c r="P68" s="6" t="str" cm="1">
        <f t="array" ref="P68">IF(ISBLANK(P$3),O68&amp;N68,INDEX(pixel_shift_table.asm!$C$3:$R$114, P$2*16 + P$3 + INT($A68/16) + 1, MOD($A68, 16) + 1))</f>
        <v>FA</v>
      </c>
      <c r="Q68" s="5" t="str" cm="1">
        <f t="array" ref="Q68">IF(ISBLANK(Q$3),P68&amp;O68,INDEX(pixel_shift_table.asm!$C$3:$R$114, Q$2*16 + Q$3 + INT($A68/16) + 1, MOD($A68, 16) + 1))</f>
        <v>AA</v>
      </c>
      <c r="R68" s="7" t="str" cm="1">
        <f t="array" ref="R68">IF(ISBLANK(R$3),Q68&amp;P68,INDEX(pixel_shift_table.asm!$C$3:$R$114, R$2*16 + R$3 + INT($A68/16) + 1, MOD($A68, 16) + 1))</f>
        <v>AAFA</v>
      </c>
      <c r="S68" s="6" t="str" cm="1">
        <f t="array" ref="S68">IF(ISBLANK(S$3),R68&amp;Q68,INDEX(pixel_shift_table.asm!$C$3:$R$114, S$2*16 + S$3 + INT($A68/16) + 1, MOD($A68, 16) + 1))</f>
        <v>FC</v>
      </c>
      <c r="T68" s="5" t="str" cm="1">
        <f t="array" ref="T68">IF(ISBLANK(T$3),S68&amp;R68,INDEX(pixel_shift_table.asm!$C$3:$R$114, T$2*16 + T$3 + INT($A68/16) + 1, MOD($A68, 16) + 1))</f>
        <v>AA</v>
      </c>
      <c r="U68" s="7" t="str" cm="1">
        <f t="array" ref="U68">IF(ISBLANK(U$3),T68&amp;S68,INDEX(pixel_shift_table.asm!$C$3:$R$114, U$2*16 + U$3 + INT($A68/16) + 1, MOD($A68, 16) + 1))</f>
        <v>AAFC</v>
      </c>
      <c r="V68" s="6" t="str" cm="1">
        <f t="array" ref="V68">IF(ISBLANK(V$3),U68&amp;T68,INDEX(pixel_shift_table.asm!$C$3:$R$114, V$2*16 + V$3 + INT($A68/16) + 1, MOD($A68, 16) + 1))</f>
        <v>FE</v>
      </c>
      <c r="W68" s="5" t="str" cm="1">
        <f t="array" ref="W68">IF(ISBLANK(W$3),V68&amp;U68,INDEX(pixel_shift_table.asm!$C$3:$R$114, W$2*16 + W$3 + INT($A68/16) + 1, MOD($A68, 16) + 1))</f>
        <v>AA</v>
      </c>
      <c r="X68" s="7" t="str" cm="1">
        <f t="array" ref="X68">IF(ISBLANK(X$3),W68&amp;V68,INDEX(pixel_shift_table.asm!$C$3:$R$114, X$2*16 + X$3 + INT($A68/16) + 1, MOD($A68, 16) + 1))</f>
        <v>AAFE</v>
      </c>
    </row>
    <row r="69" spans="1:24" x14ac:dyDescent="0.3">
      <c r="A69">
        <v>64</v>
      </c>
      <c r="B69" s="8">
        <v>10000</v>
      </c>
      <c r="C69" s="5" t="s">
        <v>813</v>
      </c>
      <c r="D69" s="6" t="str" cm="1">
        <f t="array" ref="D69">IF(ISBLANK(D$3),C69&amp;B69,INDEX(pixel_shift_table.asm!$C$3:$R$114, D$2*16 + D$3 + INT($A69/16) + 1, MOD($A69, 16) + 1))</f>
        <v>0E</v>
      </c>
      <c r="E69" s="5" t="str" cm="1">
        <f t="array" ref="E69">IF(ISBLANK(E$3),D69&amp;C69,INDEX(pixel_shift_table.asm!$C$3:$R$114, E$2*16 + E$3 + INT($A69/16) + 1, MOD($A69, 16) + 1))</f>
        <v>A9</v>
      </c>
      <c r="F69" s="7" t="str" cm="1">
        <f t="array" ref="F69">IF(ISBLANK(F$3),E69&amp;D69,INDEX(pixel_shift_table.asm!$C$3:$R$114, F$2*16 + F$3 + INT($A69/16) + 1, MOD($A69, 16) + 1))</f>
        <v>A90E</v>
      </c>
      <c r="G69" s="6" t="str" cm="1">
        <f t="array" ref="G69">IF(ISBLANK(G$3),F69&amp;E69,INDEX(pixel_shift_table.asm!$C$3:$R$114, G$2*16 + G$3 + INT($A69/16) + 1, MOD($A69, 16) + 1))</f>
        <v>10</v>
      </c>
      <c r="H69" s="5" t="str" cm="1">
        <f t="array" ref="H69">IF(ISBLANK(H$3),G69&amp;F69,INDEX(pixel_shift_table.asm!$C$3:$R$114, H$2*16 + H$3 + INT($A69/16) + 1, MOD($A69, 16) + 1))</f>
        <v>A9</v>
      </c>
      <c r="I69" s="7" t="str" cm="1">
        <f t="array" ref="I69">IF(ISBLANK(I$3),H69&amp;G69,INDEX(pixel_shift_table.asm!$C$3:$R$114, I$2*16 + I$3 + INT($A69/16) + 1, MOD($A69, 16) + 1))</f>
        <v>A910</v>
      </c>
      <c r="J69" s="6" t="str" cm="1">
        <f t="array" ref="J69">IF(ISBLANK(J$3),I69&amp;H69,INDEX(pixel_shift_table.asm!$C$3:$R$114, J$2*16 + J$3 + INT($A69/16) + 1, MOD($A69, 16) + 1))</f>
        <v>20</v>
      </c>
      <c r="K69" s="5" t="str" cm="1">
        <f t="array" ref="K69">IF(ISBLANK(K$3),J69&amp;I69,INDEX(pixel_shift_table.asm!$C$3:$R$114, K$2*16 + K$3 + INT($A69/16) + 1, MOD($A69, 16) + 1))</f>
        <v>A9</v>
      </c>
      <c r="L69" s="7" t="str" cm="1">
        <f t="array" ref="L69">IF(ISBLANK(L$3),K69&amp;J69,INDEX(pixel_shift_table.asm!$C$3:$R$114, L$2*16 + L$3 + INT($A69/16) + 1, MOD($A69, 16) + 1))</f>
        <v>A920</v>
      </c>
      <c r="M69" s="6" t="str" cm="1">
        <f t="array" ref="M69">IF(ISBLANK(M$3),L69&amp;K69,INDEX(pixel_shift_table.asm!$C$3:$R$114, M$2*16 + M$3 + INT($A69/16) + 1, MOD($A69, 16) + 1))</f>
        <v>40</v>
      </c>
      <c r="N69" s="5" t="str" cm="1">
        <f t="array" ref="N69">IF(ISBLANK(N$3),M69&amp;L69,INDEX(pixel_shift_table.asm!$C$3:$R$114, N$2*16 + N$3 + INT($A69/16) + 1, MOD($A69, 16) + 1))</f>
        <v>A9</v>
      </c>
      <c r="O69" s="7" t="str" cm="1">
        <f t="array" ref="O69">IF(ISBLANK(O$3),N69&amp;M69,INDEX(pixel_shift_table.asm!$C$3:$R$114, O$2*16 + O$3 + INT($A69/16) + 1, MOD($A69, 16) + 1))</f>
        <v>A940</v>
      </c>
      <c r="P69" s="6" t="str" cm="1">
        <f t="array" ref="P69">IF(ISBLANK(P$3),O69&amp;N69,INDEX(pixel_shift_table.asm!$C$3:$R$114, P$2*16 + P$3 + INT($A69/16) + 1, MOD($A69, 16) + 1))</f>
        <v>80</v>
      </c>
      <c r="Q69" s="5" t="str" cm="1">
        <f t="array" ref="Q69">IF(ISBLANK(Q$3),P69&amp;O69,INDEX(pixel_shift_table.asm!$C$3:$R$114, Q$2*16 + Q$3 + INT($A69/16) + 1, MOD($A69, 16) + 1))</f>
        <v>A9</v>
      </c>
      <c r="R69" s="7" t="str" cm="1">
        <f t="array" ref="R69">IF(ISBLANK(R$3),Q69&amp;P69,INDEX(pixel_shift_table.asm!$C$3:$R$114, R$2*16 + R$3 + INT($A69/16) + 1, MOD($A69, 16) + 1))</f>
        <v>A980</v>
      </c>
      <c r="S69" s="6" t="str" cm="1">
        <f t="array" ref="S69">IF(ISBLANK(S$3),R69&amp;Q69,INDEX(pixel_shift_table.asm!$C$3:$R$114, S$2*16 + S$3 + INT($A69/16) + 1, MOD($A69, 16) + 1))</f>
        <v>00</v>
      </c>
      <c r="T69" s="5" t="str" cm="1">
        <f t="array" ref="T69">IF(ISBLANK(T$3),S69&amp;R69,INDEX(pixel_shift_table.asm!$C$3:$R$114, T$2*16 + T$3 + INT($A69/16) + 1, MOD($A69, 16) + 1))</f>
        <v>AA</v>
      </c>
      <c r="U69" s="7" t="str" cm="1">
        <f t="array" ref="U69">IF(ISBLANK(U$3),T69&amp;S69,INDEX(pixel_shift_table.asm!$C$3:$R$114, U$2*16 + U$3 + INT($A69/16) + 1, MOD($A69, 16) + 1))</f>
        <v>AA00</v>
      </c>
      <c r="V69" s="6" t="str" cm="1">
        <f t="array" ref="V69">IF(ISBLANK(V$3),U69&amp;T69,INDEX(pixel_shift_table.asm!$C$3:$R$114, V$2*16 + V$3 + INT($A69/16) + 1, MOD($A69, 16) + 1))</f>
        <v>00</v>
      </c>
      <c r="W69" s="5" t="str" cm="1">
        <f t="array" ref="W69">IF(ISBLANK(W$3),V69&amp;U69,INDEX(pixel_shift_table.asm!$C$3:$R$114, W$2*16 + W$3 + INT($A69/16) + 1, MOD($A69, 16) + 1))</f>
        <v>AB</v>
      </c>
      <c r="X69" s="7" t="str" cm="1">
        <f t="array" ref="X69">IF(ISBLANK(X$3),W69&amp;V69,INDEX(pixel_shift_table.asm!$C$3:$R$114, X$2*16 + X$3 + INT($A69/16) + 1, MOD($A69, 16) + 1))</f>
        <v>AB00</v>
      </c>
    </row>
    <row r="70" spans="1:24" x14ac:dyDescent="0.3">
      <c r="A70">
        <v>65</v>
      </c>
      <c r="B70" s="8">
        <v>10000.01</v>
      </c>
      <c r="C70" s="5" t="s">
        <v>814</v>
      </c>
      <c r="D70" s="6" t="str" cm="1">
        <f t="array" ref="D70">IF(ISBLANK(D$3),C70&amp;B70,INDEX(pixel_shift_table.asm!$C$3:$R$114, D$2*16 + D$3 + INT($A70/16) + 1, MOD($A70, 16) + 1))</f>
        <v>02</v>
      </c>
      <c r="E70" s="5" t="str" cm="1">
        <f t="array" ref="E70">IF(ISBLANK(E$3),D70&amp;C70,INDEX(pixel_shift_table.asm!$C$3:$R$114, E$2*16 + E$3 + INT($A70/16) + 1, MOD($A70, 16) + 1))</f>
        <v>AB</v>
      </c>
      <c r="F70" s="7" t="str" cm="1">
        <f t="array" ref="F70">IF(ISBLANK(F$3),E70&amp;D70,INDEX(pixel_shift_table.asm!$C$3:$R$114, F$2*16 + F$3 + INT($A70/16) + 1, MOD($A70, 16) + 1))</f>
        <v>AB02</v>
      </c>
      <c r="G70" s="6" t="str" cm="1">
        <f t="array" ref="G70">IF(ISBLANK(G$3),F70&amp;E70,INDEX(pixel_shift_table.asm!$C$3:$R$114, G$2*16 + G$3 + INT($A70/16) + 1, MOD($A70, 16) + 1))</f>
        <v>04</v>
      </c>
      <c r="H70" s="5" t="str" cm="1">
        <f t="array" ref="H70">IF(ISBLANK(H$3),G70&amp;F70,INDEX(pixel_shift_table.asm!$C$3:$R$114, H$2*16 + H$3 + INT($A70/16) + 1, MOD($A70, 16) + 1))</f>
        <v>AB</v>
      </c>
      <c r="I70" s="7" t="str" cm="1">
        <f t="array" ref="I70">IF(ISBLANK(I$3),H70&amp;G70,INDEX(pixel_shift_table.asm!$C$3:$R$114, I$2*16 + I$3 + INT($A70/16) + 1, MOD($A70, 16) + 1))</f>
        <v>AB04</v>
      </c>
      <c r="J70" s="6" t="str" cm="1">
        <f t="array" ref="J70">IF(ISBLANK(J$3),I70&amp;H70,INDEX(pixel_shift_table.asm!$C$3:$R$114, J$2*16 + J$3 + INT($A70/16) + 1, MOD($A70, 16) + 1))</f>
        <v>06</v>
      </c>
      <c r="K70" s="5" t="str" cm="1">
        <f t="array" ref="K70">IF(ISBLANK(K$3),J70&amp;I70,INDEX(pixel_shift_table.asm!$C$3:$R$114, K$2*16 + K$3 + INT($A70/16) + 1, MOD($A70, 16) + 1))</f>
        <v>AB</v>
      </c>
      <c r="L70" s="7" t="str" cm="1">
        <f t="array" ref="L70">IF(ISBLANK(L$3),K70&amp;J70,INDEX(pixel_shift_table.asm!$C$3:$R$114, L$2*16 + L$3 + INT($A70/16) + 1, MOD($A70, 16) + 1))</f>
        <v>AB06</v>
      </c>
      <c r="M70" s="6" t="str" cm="1">
        <f t="array" ref="M70">IF(ISBLANK(M$3),L70&amp;K70,INDEX(pixel_shift_table.asm!$C$3:$R$114, M$2*16 + M$3 + INT($A70/16) + 1, MOD($A70, 16) + 1))</f>
        <v>08</v>
      </c>
      <c r="N70" s="5" t="str" cm="1">
        <f t="array" ref="N70">IF(ISBLANK(N$3),M70&amp;L70,INDEX(pixel_shift_table.asm!$C$3:$R$114, N$2*16 + N$3 + INT($A70/16) + 1, MOD($A70, 16) + 1))</f>
        <v>AB</v>
      </c>
      <c r="O70" s="7" t="str" cm="1">
        <f t="array" ref="O70">IF(ISBLANK(O$3),N70&amp;M70,INDEX(pixel_shift_table.asm!$C$3:$R$114, O$2*16 + O$3 + INT($A70/16) + 1, MOD($A70, 16) + 1))</f>
        <v>AB08</v>
      </c>
      <c r="P70" s="6" t="str" cm="1">
        <f t="array" ref="P70">IF(ISBLANK(P$3),O70&amp;N70,INDEX(pixel_shift_table.asm!$C$3:$R$114, P$2*16 + P$3 + INT($A70/16) + 1, MOD($A70, 16) + 1))</f>
        <v>0A</v>
      </c>
      <c r="Q70" s="5" t="str" cm="1">
        <f t="array" ref="Q70">IF(ISBLANK(Q$3),P70&amp;O70,INDEX(pixel_shift_table.asm!$C$3:$R$114, Q$2*16 + Q$3 + INT($A70/16) + 1, MOD($A70, 16) + 1))</f>
        <v>AB</v>
      </c>
      <c r="R70" s="7" t="str" cm="1">
        <f t="array" ref="R70">IF(ISBLANK(R$3),Q70&amp;P70,INDEX(pixel_shift_table.asm!$C$3:$R$114, R$2*16 + R$3 + INT($A70/16) + 1, MOD($A70, 16) + 1))</f>
        <v>AB0A</v>
      </c>
      <c r="S70" s="6" t="str" cm="1">
        <f t="array" ref="S70">IF(ISBLANK(S$3),R70&amp;Q70,INDEX(pixel_shift_table.asm!$C$3:$R$114, S$2*16 + S$3 + INT($A70/16) + 1, MOD($A70, 16) + 1))</f>
        <v>0C</v>
      </c>
      <c r="T70" s="5" t="str" cm="1">
        <f t="array" ref="T70">IF(ISBLANK(T$3),S70&amp;R70,INDEX(pixel_shift_table.asm!$C$3:$R$114, T$2*16 + T$3 + INT($A70/16) + 1, MOD($A70, 16) + 1))</f>
        <v>AB</v>
      </c>
      <c r="U70" s="7" t="str" cm="1">
        <f t="array" ref="U70">IF(ISBLANK(U$3),T70&amp;S70,INDEX(pixel_shift_table.asm!$C$3:$R$114, U$2*16 + U$3 + INT($A70/16) + 1, MOD($A70, 16) + 1))</f>
        <v>AB0C</v>
      </c>
      <c r="V70" s="6" t="str" cm="1">
        <f t="array" ref="V70">IF(ISBLANK(V$3),U70&amp;T70,INDEX(pixel_shift_table.asm!$C$3:$R$114, V$2*16 + V$3 + INT($A70/16) + 1, MOD($A70, 16) + 1))</f>
        <v>0E</v>
      </c>
      <c r="W70" s="5" t="str" cm="1">
        <f t="array" ref="W70">IF(ISBLANK(W$3),V70&amp;U70,INDEX(pixel_shift_table.asm!$C$3:$R$114, W$2*16 + W$3 + INT($A70/16) + 1, MOD($A70, 16) + 1))</f>
        <v>AB</v>
      </c>
      <c r="X70" s="7" t="str" cm="1">
        <f t="array" ref="X70">IF(ISBLANK(X$3),W70&amp;V70,INDEX(pixel_shift_table.asm!$C$3:$R$114, X$2*16 + X$3 + INT($A70/16) + 1, MOD($A70, 16) + 1))</f>
        <v>AB0E</v>
      </c>
    </row>
    <row r="71" spans="1:24" x14ac:dyDescent="0.3">
      <c r="A71">
        <v>66</v>
      </c>
      <c r="B71" s="8">
        <v>10000.1</v>
      </c>
      <c r="C71" s="5" t="s">
        <v>815</v>
      </c>
      <c r="D71" s="6" t="str" cm="1">
        <f t="array" ref="D71">IF(ISBLANK(D$3),C71&amp;B71,INDEX(pixel_shift_table.asm!$C$3:$R$114, D$2*16 + D$3 + INT($A71/16) + 1, MOD($A71, 16) + 1))</f>
        <v>04</v>
      </c>
      <c r="E71" s="5" t="str" cm="1">
        <f t="array" ref="E71">IF(ISBLANK(E$3),D71&amp;C71,INDEX(pixel_shift_table.asm!$C$3:$R$114, E$2*16 + E$3 + INT($A71/16) + 1, MOD($A71, 16) + 1))</f>
        <v>AA</v>
      </c>
      <c r="F71" s="7" t="str" cm="1">
        <f t="array" ref="F71">IF(ISBLANK(F$3),E71&amp;D71,INDEX(pixel_shift_table.asm!$C$3:$R$114, F$2*16 + F$3 + INT($A71/16) + 1, MOD($A71, 16) + 1))</f>
        <v>AA04</v>
      </c>
      <c r="G71" s="6" t="str" cm="1">
        <f t="array" ref="G71">IF(ISBLANK(G$3),F71&amp;E71,INDEX(pixel_shift_table.asm!$C$3:$R$114, G$2*16 + G$3 + INT($A71/16) + 1, MOD($A71, 16) + 1))</f>
        <v>06</v>
      </c>
      <c r="H71" s="5" t="str" cm="1">
        <f t="array" ref="H71">IF(ISBLANK(H$3),G71&amp;F71,INDEX(pixel_shift_table.asm!$C$3:$R$114, H$2*16 + H$3 + INT($A71/16) + 1, MOD($A71, 16) + 1))</f>
        <v>AA</v>
      </c>
      <c r="I71" s="7" t="str" cm="1">
        <f t="array" ref="I71">IF(ISBLANK(I$3),H71&amp;G71,INDEX(pixel_shift_table.asm!$C$3:$R$114, I$2*16 + I$3 + INT($A71/16) + 1, MOD($A71, 16) + 1))</f>
        <v>AA06</v>
      </c>
      <c r="J71" s="6" t="str" cm="1">
        <f t="array" ref="J71">IF(ISBLANK(J$3),I71&amp;H71,INDEX(pixel_shift_table.asm!$C$3:$R$114, J$2*16 + J$3 + INT($A71/16) + 1, MOD($A71, 16) + 1))</f>
        <v>08</v>
      </c>
      <c r="K71" s="5" t="str" cm="1">
        <f t="array" ref="K71">IF(ISBLANK(K$3),J71&amp;I71,INDEX(pixel_shift_table.asm!$C$3:$R$114, K$2*16 + K$3 + INT($A71/16) + 1, MOD($A71, 16) + 1))</f>
        <v>AA</v>
      </c>
      <c r="L71" s="7" t="str" cm="1">
        <f t="array" ref="L71">IF(ISBLANK(L$3),K71&amp;J71,INDEX(pixel_shift_table.asm!$C$3:$R$114, L$2*16 + L$3 + INT($A71/16) + 1, MOD($A71, 16) + 1))</f>
        <v>AA08</v>
      </c>
      <c r="M71" s="6" t="str" cm="1">
        <f t="array" ref="M71">IF(ISBLANK(M$3),L71&amp;K71,INDEX(pixel_shift_table.asm!$C$3:$R$114, M$2*16 + M$3 + INT($A71/16) + 1, MOD($A71, 16) + 1))</f>
        <v>0A</v>
      </c>
      <c r="N71" s="5" t="str" cm="1">
        <f t="array" ref="N71">IF(ISBLANK(N$3),M71&amp;L71,INDEX(pixel_shift_table.asm!$C$3:$R$114, N$2*16 + N$3 + INT($A71/16) + 1, MOD($A71, 16) + 1))</f>
        <v>AA</v>
      </c>
      <c r="O71" s="7" t="str" cm="1">
        <f t="array" ref="O71">IF(ISBLANK(O$3),N71&amp;M71,INDEX(pixel_shift_table.asm!$C$3:$R$114, O$2*16 + O$3 + INT($A71/16) + 1, MOD($A71, 16) + 1))</f>
        <v>AA0A</v>
      </c>
      <c r="P71" s="6" t="str" cm="1">
        <f t="array" ref="P71">IF(ISBLANK(P$3),O71&amp;N71,INDEX(pixel_shift_table.asm!$C$3:$R$114, P$2*16 + P$3 + INT($A71/16) + 1, MOD($A71, 16) + 1))</f>
        <v>0C</v>
      </c>
      <c r="Q71" s="5" t="str" cm="1">
        <f t="array" ref="Q71">IF(ISBLANK(Q$3),P71&amp;O71,INDEX(pixel_shift_table.asm!$C$3:$R$114, Q$2*16 + Q$3 + INT($A71/16) + 1, MOD($A71, 16) + 1))</f>
        <v>AA</v>
      </c>
      <c r="R71" s="7" t="str" cm="1">
        <f t="array" ref="R71">IF(ISBLANK(R$3),Q71&amp;P71,INDEX(pixel_shift_table.asm!$C$3:$R$114, R$2*16 + R$3 + INT($A71/16) + 1, MOD($A71, 16) + 1))</f>
        <v>AA0C</v>
      </c>
      <c r="S71" s="6" t="str" cm="1">
        <f t="array" ref="S71">IF(ISBLANK(S$3),R71&amp;Q71,INDEX(pixel_shift_table.asm!$C$3:$R$114, S$2*16 + S$3 + INT($A71/16) + 1, MOD($A71, 16) + 1))</f>
        <v>0E</v>
      </c>
      <c r="T71" s="5" t="str" cm="1">
        <f t="array" ref="T71">IF(ISBLANK(T$3),S71&amp;R71,INDEX(pixel_shift_table.asm!$C$3:$R$114, T$2*16 + T$3 + INT($A71/16) + 1, MOD($A71, 16) + 1))</f>
        <v>AA</v>
      </c>
      <c r="U71" s="7" t="str" cm="1">
        <f t="array" ref="U71">IF(ISBLANK(U$3),T71&amp;S71,INDEX(pixel_shift_table.asm!$C$3:$R$114, U$2*16 + U$3 + INT($A71/16) + 1, MOD($A71, 16) + 1))</f>
        <v>AA0E</v>
      </c>
      <c r="V71" s="6" t="str" cm="1">
        <f t="array" ref="V71">IF(ISBLANK(V$3),U71&amp;T71,INDEX(pixel_shift_table.asm!$C$3:$R$114, V$2*16 + V$3 + INT($A71/16) + 1, MOD($A71, 16) + 1))</f>
        <v>10</v>
      </c>
      <c r="W71" s="5" t="str" cm="1">
        <f t="array" ref="W71">IF(ISBLANK(W$3),V71&amp;U71,INDEX(pixel_shift_table.asm!$C$3:$R$114, W$2*16 + W$3 + INT($A71/16) + 1, MOD($A71, 16) + 1))</f>
        <v>AB</v>
      </c>
      <c r="X71" s="7" t="str" cm="1">
        <f t="array" ref="X71">IF(ISBLANK(X$3),W71&amp;V71,INDEX(pixel_shift_table.asm!$C$3:$R$114, X$2*16 + X$3 + INT($A71/16) + 1, MOD($A71, 16) + 1))</f>
        <v>AB10</v>
      </c>
    </row>
    <row r="72" spans="1:24" x14ac:dyDescent="0.3">
      <c r="A72">
        <v>67</v>
      </c>
      <c r="B72" s="8">
        <v>10000.11</v>
      </c>
      <c r="C72" s="5" t="s">
        <v>816</v>
      </c>
      <c r="D72" s="6" t="str" cm="1">
        <f t="array" ref="D72">IF(ISBLANK(D$3),C72&amp;B72,INDEX(pixel_shift_table.asm!$C$3:$R$114, D$2*16 + D$3 + INT($A72/16) + 1, MOD($A72, 16) + 1))</f>
        <v>12</v>
      </c>
      <c r="E72" s="5" t="str" cm="1">
        <f t="array" ref="E72">IF(ISBLANK(E$3),D72&amp;C72,INDEX(pixel_shift_table.asm!$C$3:$R$114, E$2*16 + E$3 + INT($A72/16) + 1, MOD($A72, 16) + 1))</f>
        <v>AB</v>
      </c>
      <c r="F72" s="7" t="str" cm="1">
        <f t="array" ref="F72">IF(ISBLANK(F$3),E72&amp;D72,INDEX(pixel_shift_table.asm!$C$3:$R$114, F$2*16 + F$3 + INT($A72/16) + 1, MOD($A72, 16) + 1))</f>
        <v>AB12</v>
      </c>
      <c r="G72" s="6" t="str" cm="1">
        <f t="array" ref="G72">IF(ISBLANK(G$3),F72&amp;E72,INDEX(pixel_shift_table.asm!$C$3:$R$114, G$2*16 + G$3 + INT($A72/16) + 1, MOD($A72, 16) + 1))</f>
        <v>14</v>
      </c>
      <c r="H72" s="5" t="str" cm="1">
        <f t="array" ref="H72">IF(ISBLANK(H$3),G72&amp;F72,INDEX(pixel_shift_table.asm!$C$3:$R$114, H$2*16 + H$3 + INT($A72/16) + 1, MOD($A72, 16) + 1))</f>
        <v>AB</v>
      </c>
      <c r="I72" s="7" t="str" cm="1">
        <f t="array" ref="I72">IF(ISBLANK(I$3),H72&amp;G72,INDEX(pixel_shift_table.asm!$C$3:$R$114, I$2*16 + I$3 + INT($A72/16) + 1, MOD($A72, 16) + 1))</f>
        <v>AB14</v>
      </c>
      <c r="J72" s="6" t="str" cm="1">
        <f t="array" ref="J72">IF(ISBLANK(J$3),I72&amp;H72,INDEX(pixel_shift_table.asm!$C$3:$R$114, J$2*16 + J$3 + INT($A72/16) + 1, MOD($A72, 16) + 1))</f>
        <v>16</v>
      </c>
      <c r="K72" s="5" t="str" cm="1">
        <f t="array" ref="K72">IF(ISBLANK(K$3),J72&amp;I72,INDEX(pixel_shift_table.asm!$C$3:$R$114, K$2*16 + K$3 + INT($A72/16) + 1, MOD($A72, 16) + 1))</f>
        <v>AB</v>
      </c>
      <c r="L72" s="7" t="str" cm="1">
        <f t="array" ref="L72">IF(ISBLANK(L$3),K72&amp;J72,INDEX(pixel_shift_table.asm!$C$3:$R$114, L$2*16 + L$3 + INT($A72/16) + 1, MOD($A72, 16) + 1))</f>
        <v>AB16</v>
      </c>
      <c r="M72" s="6" t="str" cm="1">
        <f t="array" ref="M72">IF(ISBLANK(M$3),L72&amp;K72,INDEX(pixel_shift_table.asm!$C$3:$R$114, M$2*16 + M$3 + INT($A72/16) + 1, MOD($A72, 16) + 1))</f>
        <v>18</v>
      </c>
      <c r="N72" s="5" t="str" cm="1">
        <f t="array" ref="N72">IF(ISBLANK(N$3),M72&amp;L72,INDEX(pixel_shift_table.asm!$C$3:$R$114, N$2*16 + N$3 + INT($A72/16) + 1, MOD($A72, 16) + 1))</f>
        <v>AB</v>
      </c>
      <c r="O72" s="7" t="str" cm="1">
        <f t="array" ref="O72">IF(ISBLANK(O$3),N72&amp;M72,INDEX(pixel_shift_table.asm!$C$3:$R$114, O$2*16 + O$3 + INT($A72/16) + 1, MOD($A72, 16) + 1))</f>
        <v>AB18</v>
      </c>
      <c r="P72" s="6" t="str" cm="1">
        <f t="array" ref="P72">IF(ISBLANK(P$3),O72&amp;N72,INDEX(pixel_shift_table.asm!$C$3:$R$114, P$2*16 + P$3 + INT($A72/16) + 1, MOD($A72, 16) + 1))</f>
        <v>1A</v>
      </c>
      <c r="Q72" s="5" t="str" cm="1">
        <f t="array" ref="Q72">IF(ISBLANK(Q$3),P72&amp;O72,INDEX(pixel_shift_table.asm!$C$3:$R$114, Q$2*16 + Q$3 + INT($A72/16) + 1, MOD($A72, 16) + 1))</f>
        <v>AB</v>
      </c>
      <c r="R72" s="7" t="str" cm="1">
        <f t="array" ref="R72">IF(ISBLANK(R$3),Q72&amp;P72,INDEX(pixel_shift_table.asm!$C$3:$R$114, R$2*16 + R$3 + INT($A72/16) + 1, MOD($A72, 16) + 1))</f>
        <v>AB1A</v>
      </c>
      <c r="S72" s="6" t="str" cm="1">
        <f t="array" ref="S72">IF(ISBLANK(S$3),R72&amp;Q72,INDEX(pixel_shift_table.asm!$C$3:$R$114, S$2*16 + S$3 + INT($A72/16) + 1, MOD($A72, 16) + 1))</f>
        <v>1C</v>
      </c>
      <c r="T72" s="5" t="str" cm="1">
        <f t="array" ref="T72">IF(ISBLANK(T$3),S72&amp;R72,INDEX(pixel_shift_table.asm!$C$3:$R$114, T$2*16 + T$3 + INT($A72/16) + 1, MOD($A72, 16) + 1))</f>
        <v>AB</v>
      </c>
      <c r="U72" s="7" t="str" cm="1">
        <f t="array" ref="U72">IF(ISBLANK(U$3),T72&amp;S72,INDEX(pixel_shift_table.asm!$C$3:$R$114, U$2*16 + U$3 + INT($A72/16) + 1, MOD($A72, 16) + 1))</f>
        <v>AB1C</v>
      </c>
      <c r="V72" s="6" t="str" cm="1">
        <f t="array" ref="V72">IF(ISBLANK(V$3),U72&amp;T72,INDEX(pixel_shift_table.asm!$C$3:$R$114, V$2*16 + V$3 + INT($A72/16) + 1, MOD($A72, 16) + 1))</f>
        <v>1E</v>
      </c>
      <c r="W72" s="5" t="str" cm="1">
        <f t="array" ref="W72">IF(ISBLANK(W$3),V72&amp;U72,INDEX(pixel_shift_table.asm!$C$3:$R$114, W$2*16 + W$3 + INT($A72/16) + 1, MOD($A72, 16) + 1))</f>
        <v>AB</v>
      </c>
      <c r="X72" s="7" t="str" cm="1">
        <f t="array" ref="X72">IF(ISBLANK(X$3),W72&amp;V72,INDEX(pixel_shift_table.asm!$C$3:$R$114, X$2*16 + X$3 + INT($A72/16) + 1, MOD($A72, 16) + 1))</f>
        <v>AB1E</v>
      </c>
    </row>
    <row r="73" spans="1:24" x14ac:dyDescent="0.3">
      <c r="A73">
        <v>68</v>
      </c>
      <c r="B73" s="8">
        <v>10001</v>
      </c>
      <c r="C73" s="5" t="s">
        <v>817</v>
      </c>
      <c r="D73" s="6" t="str" cm="1">
        <f t="array" ref="D73">IF(ISBLANK(D$3),C73&amp;B73,INDEX(pixel_shift_table.asm!$C$3:$R$114, D$2*16 + D$3 + INT($A73/16) + 1, MOD($A73, 16) + 1))</f>
        <v>86</v>
      </c>
      <c r="E73" s="5" t="str" cm="1">
        <f t="array" ref="E73">IF(ISBLANK(E$3),D73&amp;C73,INDEX(pixel_shift_table.asm!$C$3:$R$114, E$2*16 + E$3 + INT($A73/16) + 1, MOD($A73, 16) + 1))</f>
        <v>A9</v>
      </c>
      <c r="F73" s="7" t="str" cm="1">
        <f t="array" ref="F73">IF(ISBLANK(F$3),E73&amp;D73,INDEX(pixel_shift_table.asm!$C$3:$R$114, F$2*16 + F$3 + INT($A73/16) + 1, MOD($A73, 16) + 1))</f>
        <v>A986</v>
      </c>
      <c r="G73" s="6" t="str" cm="1">
        <f t="array" ref="G73">IF(ISBLANK(G$3),F73&amp;E73,INDEX(pixel_shift_table.asm!$C$3:$R$114, G$2*16 + G$3 + INT($A73/16) + 1, MOD($A73, 16) + 1))</f>
        <v>88</v>
      </c>
      <c r="H73" s="5" t="str" cm="1">
        <f t="array" ref="H73">IF(ISBLANK(H$3),G73&amp;F73,INDEX(pixel_shift_table.asm!$C$3:$R$114, H$2*16 + H$3 + INT($A73/16) + 1, MOD($A73, 16) + 1))</f>
        <v>A9</v>
      </c>
      <c r="I73" s="7" t="str" cm="1">
        <f t="array" ref="I73">IF(ISBLANK(I$3),H73&amp;G73,INDEX(pixel_shift_table.asm!$C$3:$R$114, I$2*16 + I$3 + INT($A73/16) + 1, MOD($A73, 16) + 1))</f>
        <v>A988</v>
      </c>
      <c r="J73" s="6" t="str" cm="1">
        <f t="array" ref="J73">IF(ISBLANK(J$3),I73&amp;H73,INDEX(pixel_shift_table.asm!$C$3:$R$114, J$2*16 + J$3 + INT($A73/16) + 1, MOD($A73, 16) + 1))</f>
        <v>8A</v>
      </c>
      <c r="K73" s="5" t="str" cm="1">
        <f t="array" ref="K73">IF(ISBLANK(K$3),J73&amp;I73,INDEX(pixel_shift_table.asm!$C$3:$R$114, K$2*16 + K$3 + INT($A73/16) + 1, MOD($A73, 16) + 1))</f>
        <v>A9</v>
      </c>
      <c r="L73" s="7" t="str" cm="1">
        <f t="array" ref="L73">IF(ISBLANK(L$3),K73&amp;J73,INDEX(pixel_shift_table.asm!$C$3:$R$114, L$2*16 + L$3 + INT($A73/16) + 1, MOD($A73, 16) + 1))</f>
        <v>A98A</v>
      </c>
      <c r="M73" s="6" t="str" cm="1">
        <f t="array" ref="M73">IF(ISBLANK(M$3),L73&amp;K73,INDEX(pixel_shift_table.asm!$C$3:$R$114, M$2*16 + M$3 + INT($A73/16) + 1, MOD($A73, 16) + 1))</f>
        <v>8C</v>
      </c>
      <c r="N73" s="5" t="str" cm="1">
        <f t="array" ref="N73">IF(ISBLANK(N$3),M73&amp;L73,INDEX(pixel_shift_table.asm!$C$3:$R$114, N$2*16 + N$3 + INT($A73/16) + 1, MOD($A73, 16) + 1))</f>
        <v>A9</v>
      </c>
      <c r="O73" s="7" t="str" cm="1">
        <f t="array" ref="O73">IF(ISBLANK(O$3),N73&amp;M73,INDEX(pixel_shift_table.asm!$C$3:$R$114, O$2*16 + O$3 + INT($A73/16) + 1, MOD($A73, 16) + 1))</f>
        <v>A98C</v>
      </c>
      <c r="P73" s="6" t="str" cm="1">
        <f t="array" ref="P73">IF(ISBLANK(P$3),O73&amp;N73,INDEX(pixel_shift_table.asm!$C$3:$R$114, P$2*16 + P$3 + INT($A73/16) + 1, MOD($A73, 16) + 1))</f>
        <v>8E</v>
      </c>
      <c r="Q73" s="5" t="str" cm="1">
        <f t="array" ref="Q73">IF(ISBLANK(Q$3),P73&amp;O73,INDEX(pixel_shift_table.asm!$C$3:$R$114, Q$2*16 + Q$3 + INT($A73/16) + 1, MOD($A73, 16) + 1))</f>
        <v>A9</v>
      </c>
      <c r="R73" s="7" t="str" cm="1">
        <f t="array" ref="R73">IF(ISBLANK(R$3),Q73&amp;P73,INDEX(pixel_shift_table.asm!$C$3:$R$114, R$2*16 + R$3 + INT($A73/16) + 1, MOD($A73, 16) + 1))</f>
        <v>A98E</v>
      </c>
      <c r="S73" s="6" t="str" cm="1">
        <f t="array" ref="S73">IF(ISBLANK(S$3),R73&amp;Q73,INDEX(pixel_shift_table.asm!$C$3:$R$114, S$2*16 + S$3 + INT($A73/16) + 1, MOD($A73, 16) + 1))</f>
        <v>10</v>
      </c>
      <c r="T73" s="5" t="str" cm="1">
        <f t="array" ref="T73">IF(ISBLANK(T$3),S73&amp;R73,INDEX(pixel_shift_table.asm!$C$3:$R$114, T$2*16 + T$3 + INT($A73/16) + 1, MOD($A73, 16) + 1))</f>
        <v>AA</v>
      </c>
      <c r="U73" s="7" t="str" cm="1">
        <f t="array" ref="U73">IF(ISBLANK(U$3),T73&amp;S73,INDEX(pixel_shift_table.asm!$C$3:$R$114, U$2*16 + U$3 + INT($A73/16) + 1, MOD($A73, 16) + 1))</f>
        <v>AA10</v>
      </c>
      <c r="V73" s="6" t="str" cm="1">
        <f t="array" ref="V73">IF(ISBLANK(V$3),U73&amp;T73,INDEX(pixel_shift_table.asm!$C$3:$R$114, V$2*16 + V$3 + INT($A73/16) + 1, MOD($A73, 16) + 1))</f>
        <v>20</v>
      </c>
      <c r="W73" s="5" t="str" cm="1">
        <f t="array" ref="W73">IF(ISBLANK(W$3),V73&amp;U73,INDEX(pixel_shift_table.asm!$C$3:$R$114, W$2*16 + W$3 + INT($A73/16) + 1, MOD($A73, 16) + 1))</f>
        <v>AB</v>
      </c>
      <c r="X73" s="7" t="str" cm="1">
        <f t="array" ref="X73">IF(ISBLANK(X$3),W73&amp;V73,INDEX(pixel_shift_table.asm!$C$3:$R$114, X$2*16 + X$3 + INT($A73/16) + 1, MOD($A73, 16) + 1))</f>
        <v>AB20</v>
      </c>
    </row>
    <row r="74" spans="1:24" x14ac:dyDescent="0.3">
      <c r="A74">
        <v>69</v>
      </c>
      <c r="B74" s="8">
        <v>10001.01</v>
      </c>
      <c r="C74" s="5" t="s">
        <v>818</v>
      </c>
      <c r="D74" s="6" t="str" cm="1">
        <f t="array" ref="D74">IF(ISBLANK(D$3),C74&amp;B74,INDEX(pixel_shift_table.asm!$C$3:$R$114, D$2*16 + D$3 + INT($A74/16) + 1, MOD($A74, 16) + 1))</f>
        <v>22</v>
      </c>
      <c r="E74" s="5" t="str" cm="1">
        <f t="array" ref="E74">IF(ISBLANK(E$3),D74&amp;C74,INDEX(pixel_shift_table.asm!$C$3:$R$114, E$2*16 + E$3 + INT($A74/16) + 1, MOD($A74, 16) + 1))</f>
        <v>AB</v>
      </c>
      <c r="F74" s="7" t="str" cm="1">
        <f t="array" ref="F74">IF(ISBLANK(F$3),E74&amp;D74,INDEX(pixel_shift_table.asm!$C$3:$R$114, F$2*16 + F$3 + INT($A74/16) + 1, MOD($A74, 16) + 1))</f>
        <v>AB22</v>
      </c>
      <c r="G74" s="6" t="str" cm="1">
        <f t="array" ref="G74">IF(ISBLANK(G$3),F74&amp;E74,INDEX(pixel_shift_table.asm!$C$3:$R$114, G$2*16 + G$3 + INT($A74/16) + 1, MOD($A74, 16) + 1))</f>
        <v>24</v>
      </c>
      <c r="H74" s="5" t="str" cm="1">
        <f t="array" ref="H74">IF(ISBLANK(H$3),G74&amp;F74,INDEX(pixel_shift_table.asm!$C$3:$R$114, H$2*16 + H$3 + INT($A74/16) + 1, MOD($A74, 16) + 1))</f>
        <v>AB</v>
      </c>
      <c r="I74" s="7" t="str" cm="1">
        <f t="array" ref="I74">IF(ISBLANK(I$3),H74&amp;G74,INDEX(pixel_shift_table.asm!$C$3:$R$114, I$2*16 + I$3 + INT($A74/16) + 1, MOD($A74, 16) + 1))</f>
        <v>AB24</v>
      </c>
      <c r="J74" s="6" t="str" cm="1">
        <f t="array" ref="J74">IF(ISBLANK(J$3),I74&amp;H74,INDEX(pixel_shift_table.asm!$C$3:$R$114, J$2*16 + J$3 + INT($A74/16) + 1, MOD($A74, 16) + 1))</f>
        <v>26</v>
      </c>
      <c r="K74" s="5" t="str" cm="1">
        <f t="array" ref="K74">IF(ISBLANK(K$3),J74&amp;I74,INDEX(pixel_shift_table.asm!$C$3:$R$114, K$2*16 + K$3 + INT($A74/16) + 1, MOD($A74, 16) + 1))</f>
        <v>AB</v>
      </c>
      <c r="L74" s="7" t="str" cm="1">
        <f t="array" ref="L74">IF(ISBLANK(L$3),K74&amp;J74,INDEX(pixel_shift_table.asm!$C$3:$R$114, L$2*16 + L$3 + INT($A74/16) + 1, MOD($A74, 16) + 1))</f>
        <v>AB26</v>
      </c>
      <c r="M74" s="6" t="str" cm="1">
        <f t="array" ref="M74">IF(ISBLANK(M$3),L74&amp;K74,INDEX(pixel_shift_table.asm!$C$3:$R$114, M$2*16 + M$3 + INT($A74/16) + 1, MOD($A74, 16) + 1))</f>
        <v>28</v>
      </c>
      <c r="N74" s="5" t="str" cm="1">
        <f t="array" ref="N74">IF(ISBLANK(N$3),M74&amp;L74,INDEX(pixel_shift_table.asm!$C$3:$R$114, N$2*16 + N$3 + INT($A74/16) + 1, MOD($A74, 16) + 1))</f>
        <v>AB</v>
      </c>
      <c r="O74" s="7" t="str" cm="1">
        <f t="array" ref="O74">IF(ISBLANK(O$3),N74&amp;M74,INDEX(pixel_shift_table.asm!$C$3:$R$114, O$2*16 + O$3 + INT($A74/16) + 1, MOD($A74, 16) + 1))</f>
        <v>AB28</v>
      </c>
      <c r="P74" s="6" t="str" cm="1">
        <f t="array" ref="P74">IF(ISBLANK(P$3),O74&amp;N74,INDEX(pixel_shift_table.asm!$C$3:$R$114, P$2*16 + P$3 + INT($A74/16) + 1, MOD($A74, 16) + 1))</f>
        <v>2A</v>
      </c>
      <c r="Q74" s="5" t="str" cm="1">
        <f t="array" ref="Q74">IF(ISBLANK(Q$3),P74&amp;O74,INDEX(pixel_shift_table.asm!$C$3:$R$114, Q$2*16 + Q$3 + INT($A74/16) + 1, MOD($A74, 16) + 1))</f>
        <v>AB</v>
      </c>
      <c r="R74" s="7" t="str" cm="1">
        <f t="array" ref="R74">IF(ISBLANK(R$3),Q74&amp;P74,INDEX(pixel_shift_table.asm!$C$3:$R$114, R$2*16 + R$3 + INT($A74/16) + 1, MOD($A74, 16) + 1))</f>
        <v>AB2A</v>
      </c>
      <c r="S74" s="6" t="str" cm="1">
        <f t="array" ref="S74">IF(ISBLANK(S$3),R74&amp;Q74,INDEX(pixel_shift_table.asm!$C$3:$R$114, S$2*16 + S$3 + INT($A74/16) + 1, MOD($A74, 16) + 1))</f>
        <v>2C</v>
      </c>
      <c r="T74" s="5" t="str" cm="1">
        <f t="array" ref="T74">IF(ISBLANK(T$3),S74&amp;R74,INDEX(pixel_shift_table.asm!$C$3:$R$114, T$2*16 + T$3 + INT($A74/16) + 1, MOD($A74, 16) + 1))</f>
        <v>AB</v>
      </c>
      <c r="U74" s="7" t="str" cm="1">
        <f t="array" ref="U74">IF(ISBLANK(U$3),T74&amp;S74,INDEX(pixel_shift_table.asm!$C$3:$R$114, U$2*16 + U$3 + INT($A74/16) + 1, MOD($A74, 16) + 1))</f>
        <v>AB2C</v>
      </c>
      <c r="V74" s="6" t="str" cm="1">
        <f t="array" ref="V74">IF(ISBLANK(V$3),U74&amp;T74,INDEX(pixel_shift_table.asm!$C$3:$R$114, V$2*16 + V$3 + INT($A74/16) + 1, MOD($A74, 16) + 1))</f>
        <v>2E</v>
      </c>
      <c r="W74" s="5" t="str" cm="1">
        <f t="array" ref="W74">IF(ISBLANK(W$3),V74&amp;U74,INDEX(pixel_shift_table.asm!$C$3:$R$114, W$2*16 + W$3 + INT($A74/16) + 1, MOD($A74, 16) + 1))</f>
        <v>AB</v>
      </c>
      <c r="X74" s="7" t="str" cm="1">
        <f t="array" ref="X74">IF(ISBLANK(X$3),W74&amp;V74,INDEX(pixel_shift_table.asm!$C$3:$R$114, X$2*16 + X$3 + INT($A74/16) + 1, MOD($A74, 16) + 1))</f>
        <v>AB2E</v>
      </c>
    </row>
    <row r="75" spans="1:24" x14ac:dyDescent="0.3">
      <c r="A75">
        <v>70</v>
      </c>
      <c r="B75" s="8">
        <v>10001.1</v>
      </c>
      <c r="C75" s="5" t="s">
        <v>819</v>
      </c>
      <c r="D75" s="6" t="str" cm="1">
        <f t="array" ref="D75">IF(ISBLANK(D$3),C75&amp;B75,INDEX(pixel_shift_table.asm!$C$3:$R$114, D$2*16 + D$3 + INT($A75/16) + 1, MOD($A75, 16) + 1))</f>
        <v>14</v>
      </c>
      <c r="E75" s="5" t="str" cm="1">
        <f t="array" ref="E75">IF(ISBLANK(E$3),D75&amp;C75,INDEX(pixel_shift_table.asm!$C$3:$R$114, E$2*16 + E$3 + INT($A75/16) + 1, MOD($A75, 16) + 1))</f>
        <v>AA</v>
      </c>
      <c r="F75" s="7" t="str" cm="1">
        <f t="array" ref="F75">IF(ISBLANK(F$3),E75&amp;D75,INDEX(pixel_shift_table.asm!$C$3:$R$114, F$2*16 + F$3 + INT($A75/16) + 1, MOD($A75, 16) + 1))</f>
        <v>AA14</v>
      </c>
      <c r="G75" s="6" t="str" cm="1">
        <f t="array" ref="G75">IF(ISBLANK(G$3),F75&amp;E75,INDEX(pixel_shift_table.asm!$C$3:$R$114, G$2*16 + G$3 + INT($A75/16) + 1, MOD($A75, 16) + 1))</f>
        <v>16</v>
      </c>
      <c r="H75" s="5" t="str" cm="1">
        <f t="array" ref="H75">IF(ISBLANK(H$3),G75&amp;F75,INDEX(pixel_shift_table.asm!$C$3:$R$114, H$2*16 + H$3 + INT($A75/16) + 1, MOD($A75, 16) + 1))</f>
        <v>AA</v>
      </c>
      <c r="I75" s="7" t="str" cm="1">
        <f t="array" ref="I75">IF(ISBLANK(I$3),H75&amp;G75,INDEX(pixel_shift_table.asm!$C$3:$R$114, I$2*16 + I$3 + INT($A75/16) + 1, MOD($A75, 16) + 1))</f>
        <v>AA16</v>
      </c>
      <c r="J75" s="6" t="str" cm="1">
        <f t="array" ref="J75">IF(ISBLANK(J$3),I75&amp;H75,INDEX(pixel_shift_table.asm!$C$3:$R$114, J$2*16 + J$3 + INT($A75/16) + 1, MOD($A75, 16) + 1))</f>
        <v>18</v>
      </c>
      <c r="K75" s="5" t="str" cm="1">
        <f t="array" ref="K75">IF(ISBLANK(K$3),J75&amp;I75,INDEX(pixel_shift_table.asm!$C$3:$R$114, K$2*16 + K$3 + INT($A75/16) + 1, MOD($A75, 16) + 1))</f>
        <v>AA</v>
      </c>
      <c r="L75" s="7" t="str" cm="1">
        <f t="array" ref="L75">IF(ISBLANK(L$3),K75&amp;J75,INDEX(pixel_shift_table.asm!$C$3:$R$114, L$2*16 + L$3 + INT($A75/16) + 1, MOD($A75, 16) + 1))</f>
        <v>AA18</v>
      </c>
      <c r="M75" s="6" t="str" cm="1">
        <f t="array" ref="M75">IF(ISBLANK(M$3),L75&amp;K75,INDEX(pixel_shift_table.asm!$C$3:$R$114, M$2*16 + M$3 + INT($A75/16) + 1, MOD($A75, 16) + 1))</f>
        <v>1A</v>
      </c>
      <c r="N75" s="5" t="str" cm="1">
        <f t="array" ref="N75">IF(ISBLANK(N$3),M75&amp;L75,INDEX(pixel_shift_table.asm!$C$3:$R$114, N$2*16 + N$3 + INT($A75/16) + 1, MOD($A75, 16) + 1))</f>
        <v>AA</v>
      </c>
      <c r="O75" s="7" t="str" cm="1">
        <f t="array" ref="O75">IF(ISBLANK(O$3),N75&amp;M75,INDEX(pixel_shift_table.asm!$C$3:$R$114, O$2*16 + O$3 + INT($A75/16) + 1, MOD($A75, 16) + 1))</f>
        <v>AA1A</v>
      </c>
      <c r="P75" s="6" t="str" cm="1">
        <f t="array" ref="P75">IF(ISBLANK(P$3),O75&amp;N75,INDEX(pixel_shift_table.asm!$C$3:$R$114, P$2*16 + P$3 + INT($A75/16) + 1, MOD($A75, 16) + 1))</f>
        <v>1C</v>
      </c>
      <c r="Q75" s="5" t="str" cm="1">
        <f t="array" ref="Q75">IF(ISBLANK(Q$3),P75&amp;O75,INDEX(pixel_shift_table.asm!$C$3:$R$114, Q$2*16 + Q$3 + INT($A75/16) + 1, MOD($A75, 16) + 1))</f>
        <v>AA</v>
      </c>
      <c r="R75" s="7" t="str" cm="1">
        <f t="array" ref="R75">IF(ISBLANK(R$3),Q75&amp;P75,INDEX(pixel_shift_table.asm!$C$3:$R$114, R$2*16 + R$3 + INT($A75/16) + 1, MOD($A75, 16) + 1))</f>
        <v>AA1C</v>
      </c>
      <c r="S75" s="6" t="str" cm="1">
        <f t="array" ref="S75">IF(ISBLANK(S$3),R75&amp;Q75,INDEX(pixel_shift_table.asm!$C$3:$R$114, S$2*16 + S$3 + INT($A75/16) + 1, MOD($A75, 16) + 1))</f>
        <v>1E</v>
      </c>
      <c r="T75" s="5" t="str" cm="1">
        <f t="array" ref="T75">IF(ISBLANK(T$3),S75&amp;R75,INDEX(pixel_shift_table.asm!$C$3:$R$114, T$2*16 + T$3 + INT($A75/16) + 1, MOD($A75, 16) + 1))</f>
        <v>AA</v>
      </c>
      <c r="U75" s="7" t="str" cm="1">
        <f t="array" ref="U75">IF(ISBLANK(U$3),T75&amp;S75,INDEX(pixel_shift_table.asm!$C$3:$R$114, U$2*16 + U$3 + INT($A75/16) + 1, MOD($A75, 16) + 1))</f>
        <v>AA1E</v>
      </c>
      <c r="V75" s="6" t="str" cm="1">
        <f t="array" ref="V75">IF(ISBLANK(V$3),U75&amp;T75,INDEX(pixel_shift_table.asm!$C$3:$R$114, V$2*16 + V$3 + INT($A75/16) + 1, MOD($A75, 16) + 1))</f>
        <v>30</v>
      </c>
      <c r="W75" s="5" t="str" cm="1">
        <f t="array" ref="W75">IF(ISBLANK(W$3),V75&amp;U75,INDEX(pixel_shift_table.asm!$C$3:$R$114, W$2*16 + W$3 + INT($A75/16) + 1, MOD($A75, 16) + 1))</f>
        <v>AB</v>
      </c>
      <c r="X75" s="7" t="str" cm="1">
        <f t="array" ref="X75">IF(ISBLANK(X$3),W75&amp;V75,INDEX(pixel_shift_table.asm!$C$3:$R$114, X$2*16 + X$3 + INT($A75/16) + 1, MOD($A75, 16) + 1))</f>
        <v>AB30</v>
      </c>
    </row>
    <row r="76" spans="1:24" x14ac:dyDescent="0.3">
      <c r="A76">
        <v>71</v>
      </c>
      <c r="B76" s="8">
        <v>10001.11</v>
      </c>
      <c r="C76" s="5" t="s">
        <v>820</v>
      </c>
      <c r="D76" s="6" t="str" cm="1">
        <f t="array" ref="D76">IF(ISBLANK(D$3),C76&amp;B76,INDEX(pixel_shift_table.asm!$C$3:$R$114, D$2*16 + D$3 + INT($A76/16) + 1, MOD($A76, 16) + 1))</f>
        <v>32</v>
      </c>
      <c r="E76" s="5" t="str" cm="1">
        <f t="array" ref="E76">IF(ISBLANK(E$3),D76&amp;C76,INDEX(pixel_shift_table.asm!$C$3:$R$114, E$2*16 + E$3 + INT($A76/16) + 1, MOD($A76, 16) + 1))</f>
        <v>AB</v>
      </c>
      <c r="F76" s="7" t="str" cm="1">
        <f t="array" ref="F76">IF(ISBLANK(F$3),E76&amp;D76,INDEX(pixel_shift_table.asm!$C$3:$R$114, F$2*16 + F$3 + INT($A76/16) + 1, MOD($A76, 16) + 1))</f>
        <v>AB32</v>
      </c>
      <c r="G76" s="6" t="str" cm="1">
        <f t="array" ref="G76">IF(ISBLANK(G$3),F76&amp;E76,INDEX(pixel_shift_table.asm!$C$3:$R$114, G$2*16 + G$3 + INT($A76/16) + 1, MOD($A76, 16) + 1))</f>
        <v>34</v>
      </c>
      <c r="H76" s="5" t="str" cm="1">
        <f t="array" ref="H76">IF(ISBLANK(H$3),G76&amp;F76,INDEX(pixel_shift_table.asm!$C$3:$R$114, H$2*16 + H$3 + INT($A76/16) + 1, MOD($A76, 16) + 1))</f>
        <v>AB</v>
      </c>
      <c r="I76" s="7" t="str" cm="1">
        <f t="array" ref="I76">IF(ISBLANK(I$3),H76&amp;G76,INDEX(pixel_shift_table.asm!$C$3:$R$114, I$2*16 + I$3 + INT($A76/16) + 1, MOD($A76, 16) + 1))</f>
        <v>AB34</v>
      </c>
      <c r="J76" s="6" t="str" cm="1">
        <f t="array" ref="J76">IF(ISBLANK(J$3),I76&amp;H76,INDEX(pixel_shift_table.asm!$C$3:$R$114, J$2*16 + J$3 + INT($A76/16) + 1, MOD($A76, 16) + 1))</f>
        <v>36</v>
      </c>
      <c r="K76" s="5" t="str" cm="1">
        <f t="array" ref="K76">IF(ISBLANK(K$3),J76&amp;I76,INDEX(pixel_shift_table.asm!$C$3:$R$114, K$2*16 + K$3 + INT($A76/16) + 1, MOD($A76, 16) + 1))</f>
        <v>AB</v>
      </c>
      <c r="L76" s="7" t="str" cm="1">
        <f t="array" ref="L76">IF(ISBLANK(L$3),K76&amp;J76,INDEX(pixel_shift_table.asm!$C$3:$R$114, L$2*16 + L$3 + INT($A76/16) + 1, MOD($A76, 16) + 1))</f>
        <v>AB36</v>
      </c>
      <c r="M76" s="6" t="str" cm="1">
        <f t="array" ref="M76">IF(ISBLANK(M$3),L76&amp;K76,INDEX(pixel_shift_table.asm!$C$3:$R$114, M$2*16 + M$3 + INT($A76/16) + 1, MOD($A76, 16) + 1))</f>
        <v>38</v>
      </c>
      <c r="N76" s="5" t="str" cm="1">
        <f t="array" ref="N76">IF(ISBLANK(N$3),M76&amp;L76,INDEX(pixel_shift_table.asm!$C$3:$R$114, N$2*16 + N$3 + INT($A76/16) + 1, MOD($A76, 16) + 1))</f>
        <v>AB</v>
      </c>
      <c r="O76" s="7" t="str" cm="1">
        <f t="array" ref="O76">IF(ISBLANK(O$3),N76&amp;M76,INDEX(pixel_shift_table.asm!$C$3:$R$114, O$2*16 + O$3 + INT($A76/16) + 1, MOD($A76, 16) + 1))</f>
        <v>AB38</v>
      </c>
      <c r="P76" s="6" t="str" cm="1">
        <f t="array" ref="P76">IF(ISBLANK(P$3),O76&amp;N76,INDEX(pixel_shift_table.asm!$C$3:$R$114, P$2*16 + P$3 + INT($A76/16) + 1, MOD($A76, 16) + 1))</f>
        <v>3A</v>
      </c>
      <c r="Q76" s="5" t="str" cm="1">
        <f t="array" ref="Q76">IF(ISBLANK(Q$3),P76&amp;O76,INDEX(pixel_shift_table.asm!$C$3:$R$114, Q$2*16 + Q$3 + INT($A76/16) + 1, MOD($A76, 16) + 1))</f>
        <v>AB</v>
      </c>
      <c r="R76" s="7" t="str" cm="1">
        <f t="array" ref="R76">IF(ISBLANK(R$3),Q76&amp;P76,INDEX(pixel_shift_table.asm!$C$3:$R$114, R$2*16 + R$3 + INT($A76/16) + 1, MOD($A76, 16) + 1))</f>
        <v>AB3A</v>
      </c>
      <c r="S76" s="6" t="str" cm="1">
        <f t="array" ref="S76">IF(ISBLANK(S$3),R76&amp;Q76,INDEX(pixel_shift_table.asm!$C$3:$R$114, S$2*16 + S$3 + INT($A76/16) + 1, MOD($A76, 16) + 1))</f>
        <v>3C</v>
      </c>
      <c r="T76" s="5" t="str" cm="1">
        <f t="array" ref="T76">IF(ISBLANK(T$3),S76&amp;R76,INDEX(pixel_shift_table.asm!$C$3:$R$114, T$2*16 + T$3 + INT($A76/16) + 1, MOD($A76, 16) + 1))</f>
        <v>AB</v>
      </c>
      <c r="U76" s="7" t="str" cm="1">
        <f t="array" ref="U76">IF(ISBLANK(U$3),T76&amp;S76,INDEX(pixel_shift_table.asm!$C$3:$R$114, U$2*16 + U$3 + INT($A76/16) + 1, MOD($A76, 16) + 1))</f>
        <v>AB3C</v>
      </c>
      <c r="V76" s="6" t="str" cm="1">
        <f t="array" ref="V76">IF(ISBLANK(V$3),U76&amp;T76,INDEX(pixel_shift_table.asm!$C$3:$R$114, V$2*16 + V$3 + INT($A76/16) + 1, MOD($A76, 16) + 1))</f>
        <v>3E</v>
      </c>
      <c r="W76" s="5" t="str" cm="1">
        <f t="array" ref="W76">IF(ISBLANK(W$3),V76&amp;U76,INDEX(pixel_shift_table.asm!$C$3:$R$114, W$2*16 + W$3 + INT($A76/16) + 1, MOD($A76, 16) + 1))</f>
        <v>AB</v>
      </c>
      <c r="X76" s="7" t="str" cm="1">
        <f t="array" ref="X76">IF(ISBLANK(X$3),W76&amp;V76,INDEX(pixel_shift_table.asm!$C$3:$R$114, X$2*16 + X$3 + INT($A76/16) + 1, MOD($A76, 16) + 1))</f>
        <v>AB3E</v>
      </c>
    </row>
    <row r="77" spans="1:24" x14ac:dyDescent="0.3">
      <c r="A77">
        <v>72</v>
      </c>
      <c r="B77" s="8">
        <v>10010</v>
      </c>
      <c r="C77" s="5" t="s">
        <v>821</v>
      </c>
      <c r="D77" s="6" t="str" cm="1">
        <f t="array" ref="D77">IF(ISBLANK(D$3),C77&amp;B77,INDEX(pixel_shift_table.asm!$C$3:$R$114, D$2*16 + D$3 + INT($A77/16) + 1, MOD($A77, 16) + 1))</f>
        <v>48</v>
      </c>
      <c r="E77" s="5" t="str" cm="1">
        <f t="array" ref="E77">IF(ISBLANK(E$3),D77&amp;C77,INDEX(pixel_shift_table.asm!$C$3:$R$114, E$2*16 + E$3 + INT($A77/16) + 1, MOD($A77, 16) + 1))</f>
        <v>A9</v>
      </c>
      <c r="F77" s="7" t="str" cm="1">
        <f t="array" ref="F77">IF(ISBLANK(F$3),E77&amp;D77,INDEX(pixel_shift_table.asm!$C$3:$R$114, F$2*16 + F$3 + INT($A77/16) + 1, MOD($A77, 16) + 1))</f>
        <v>A948</v>
      </c>
      <c r="G77" s="6" t="str" cm="1">
        <f t="array" ref="G77">IF(ISBLANK(G$3),F77&amp;E77,INDEX(pixel_shift_table.asm!$C$3:$R$114, G$2*16 + G$3 + INT($A77/16) + 1, MOD($A77, 16) + 1))</f>
        <v>4A</v>
      </c>
      <c r="H77" s="5" t="str" cm="1">
        <f t="array" ref="H77">IF(ISBLANK(H$3),G77&amp;F77,INDEX(pixel_shift_table.asm!$C$3:$R$114, H$2*16 + H$3 + INT($A77/16) + 1, MOD($A77, 16) + 1))</f>
        <v>A9</v>
      </c>
      <c r="I77" s="7" t="str" cm="1">
        <f t="array" ref="I77">IF(ISBLANK(I$3),H77&amp;G77,INDEX(pixel_shift_table.asm!$C$3:$R$114, I$2*16 + I$3 + INT($A77/16) + 1, MOD($A77, 16) + 1))</f>
        <v>A94A</v>
      </c>
      <c r="J77" s="6" t="str" cm="1">
        <f t="array" ref="J77">IF(ISBLANK(J$3),I77&amp;H77,INDEX(pixel_shift_table.asm!$C$3:$R$114, J$2*16 + J$3 + INT($A77/16) + 1, MOD($A77, 16) + 1))</f>
        <v>4C</v>
      </c>
      <c r="K77" s="5" t="str" cm="1">
        <f t="array" ref="K77">IF(ISBLANK(K$3),J77&amp;I77,INDEX(pixel_shift_table.asm!$C$3:$R$114, K$2*16 + K$3 + INT($A77/16) + 1, MOD($A77, 16) + 1))</f>
        <v>A9</v>
      </c>
      <c r="L77" s="7" t="str" cm="1">
        <f t="array" ref="L77">IF(ISBLANK(L$3),K77&amp;J77,INDEX(pixel_shift_table.asm!$C$3:$R$114, L$2*16 + L$3 + INT($A77/16) + 1, MOD($A77, 16) + 1))</f>
        <v>A94C</v>
      </c>
      <c r="M77" s="6" t="str" cm="1">
        <f t="array" ref="M77">IF(ISBLANK(M$3),L77&amp;K77,INDEX(pixel_shift_table.asm!$C$3:$R$114, M$2*16 + M$3 + INT($A77/16) + 1, MOD($A77, 16) + 1))</f>
        <v>4E</v>
      </c>
      <c r="N77" s="5" t="str" cm="1">
        <f t="array" ref="N77">IF(ISBLANK(N$3),M77&amp;L77,INDEX(pixel_shift_table.asm!$C$3:$R$114, N$2*16 + N$3 + INT($A77/16) + 1, MOD($A77, 16) + 1))</f>
        <v>A9</v>
      </c>
      <c r="O77" s="7" t="str" cm="1">
        <f t="array" ref="O77">IF(ISBLANK(O$3),N77&amp;M77,INDEX(pixel_shift_table.asm!$C$3:$R$114, O$2*16 + O$3 + INT($A77/16) + 1, MOD($A77, 16) + 1))</f>
        <v>A94E</v>
      </c>
      <c r="P77" s="6" t="str" cm="1">
        <f t="array" ref="P77">IF(ISBLANK(P$3),O77&amp;N77,INDEX(pixel_shift_table.asm!$C$3:$R$114, P$2*16 + P$3 + INT($A77/16) + 1, MOD($A77, 16) + 1))</f>
        <v>90</v>
      </c>
      <c r="Q77" s="5" t="str" cm="1">
        <f t="array" ref="Q77">IF(ISBLANK(Q$3),P77&amp;O77,INDEX(pixel_shift_table.asm!$C$3:$R$114, Q$2*16 + Q$3 + INT($A77/16) + 1, MOD($A77, 16) + 1))</f>
        <v>A9</v>
      </c>
      <c r="R77" s="7" t="str" cm="1">
        <f t="array" ref="R77">IF(ISBLANK(R$3),Q77&amp;P77,INDEX(pixel_shift_table.asm!$C$3:$R$114, R$2*16 + R$3 + INT($A77/16) + 1, MOD($A77, 16) + 1))</f>
        <v>A990</v>
      </c>
      <c r="S77" s="6" t="str" cm="1">
        <f t="array" ref="S77">IF(ISBLANK(S$3),R77&amp;Q77,INDEX(pixel_shift_table.asm!$C$3:$R$114, S$2*16 + S$3 + INT($A77/16) + 1, MOD($A77, 16) + 1))</f>
        <v>20</v>
      </c>
      <c r="T77" s="5" t="str" cm="1">
        <f t="array" ref="T77">IF(ISBLANK(T$3),S77&amp;R77,INDEX(pixel_shift_table.asm!$C$3:$R$114, T$2*16 + T$3 + INT($A77/16) + 1, MOD($A77, 16) + 1))</f>
        <v>AA</v>
      </c>
      <c r="U77" s="7" t="str" cm="1">
        <f t="array" ref="U77">IF(ISBLANK(U$3),T77&amp;S77,INDEX(pixel_shift_table.asm!$C$3:$R$114, U$2*16 + U$3 + INT($A77/16) + 1, MOD($A77, 16) + 1))</f>
        <v>AA20</v>
      </c>
      <c r="V77" s="6" t="str" cm="1">
        <f t="array" ref="V77">IF(ISBLANK(V$3),U77&amp;T77,INDEX(pixel_shift_table.asm!$C$3:$R$114, V$2*16 + V$3 + INT($A77/16) + 1, MOD($A77, 16) + 1))</f>
        <v>40</v>
      </c>
      <c r="W77" s="5" t="str" cm="1">
        <f t="array" ref="W77">IF(ISBLANK(W$3),V77&amp;U77,INDEX(pixel_shift_table.asm!$C$3:$R$114, W$2*16 + W$3 + INT($A77/16) + 1, MOD($A77, 16) + 1))</f>
        <v>AB</v>
      </c>
      <c r="X77" s="7" t="str" cm="1">
        <f t="array" ref="X77">IF(ISBLANK(X$3),W77&amp;V77,INDEX(pixel_shift_table.asm!$C$3:$R$114, X$2*16 + X$3 + INT($A77/16) + 1, MOD($A77, 16) + 1))</f>
        <v>AB40</v>
      </c>
    </row>
    <row r="78" spans="1:24" x14ac:dyDescent="0.3">
      <c r="A78">
        <v>73</v>
      </c>
      <c r="B78" s="8">
        <v>10010.01</v>
      </c>
      <c r="C78" s="5" t="s">
        <v>822</v>
      </c>
      <c r="D78" s="6" t="str" cm="1">
        <f t="array" ref="D78">IF(ISBLANK(D$3),C78&amp;B78,INDEX(pixel_shift_table.asm!$C$3:$R$114, D$2*16 + D$3 + INT($A78/16) + 1, MOD($A78, 16) + 1))</f>
        <v>42</v>
      </c>
      <c r="E78" s="5" t="str" cm="1">
        <f t="array" ref="E78">IF(ISBLANK(E$3),D78&amp;C78,INDEX(pixel_shift_table.asm!$C$3:$R$114, E$2*16 + E$3 + INT($A78/16) + 1, MOD($A78, 16) + 1))</f>
        <v>AB</v>
      </c>
      <c r="F78" s="7" t="str" cm="1">
        <f t="array" ref="F78">IF(ISBLANK(F$3),E78&amp;D78,INDEX(pixel_shift_table.asm!$C$3:$R$114, F$2*16 + F$3 + INT($A78/16) + 1, MOD($A78, 16) + 1))</f>
        <v>AB42</v>
      </c>
      <c r="G78" s="6" t="str" cm="1">
        <f t="array" ref="G78">IF(ISBLANK(G$3),F78&amp;E78,INDEX(pixel_shift_table.asm!$C$3:$R$114, G$2*16 + G$3 + INT($A78/16) + 1, MOD($A78, 16) + 1))</f>
        <v>44</v>
      </c>
      <c r="H78" s="5" t="str" cm="1">
        <f t="array" ref="H78">IF(ISBLANK(H$3),G78&amp;F78,INDEX(pixel_shift_table.asm!$C$3:$R$114, H$2*16 + H$3 + INT($A78/16) + 1, MOD($A78, 16) + 1))</f>
        <v>AB</v>
      </c>
      <c r="I78" s="7" t="str" cm="1">
        <f t="array" ref="I78">IF(ISBLANK(I$3),H78&amp;G78,INDEX(pixel_shift_table.asm!$C$3:$R$114, I$2*16 + I$3 + INT($A78/16) + 1, MOD($A78, 16) + 1))</f>
        <v>AB44</v>
      </c>
      <c r="J78" s="6" t="str" cm="1">
        <f t="array" ref="J78">IF(ISBLANK(J$3),I78&amp;H78,INDEX(pixel_shift_table.asm!$C$3:$R$114, J$2*16 + J$3 + INT($A78/16) + 1, MOD($A78, 16) + 1))</f>
        <v>46</v>
      </c>
      <c r="K78" s="5" t="str" cm="1">
        <f t="array" ref="K78">IF(ISBLANK(K$3),J78&amp;I78,INDEX(pixel_shift_table.asm!$C$3:$R$114, K$2*16 + K$3 + INT($A78/16) + 1, MOD($A78, 16) + 1))</f>
        <v>AB</v>
      </c>
      <c r="L78" s="7" t="str" cm="1">
        <f t="array" ref="L78">IF(ISBLANK(L$3),K78&amp;J78,INDEX(pixel_shift_table.asm!$C$3:$R$114, L$2*16 + L$3 + INT($A78/16) + 1, MOD($A78, 16) + 1))</f>
        <v>AB46</v>
      </c>
      <c r="M78" s="6" t="str" cm="1">
        <f t="array" ref="M78">IF(ISBLANK(M$3),L78&amp;K78,INDEX(pixel_shift_table.asm!$C$3:$R$114, M$2*16 + M$3 + INT($A78/16) + 1, MOD($A78, 16) + 1))</f>
        <v>48</v>
      </c>
      <c r="N78" s="5" t="str" cm="1">
        <f t="array" ref="N78">IF(ISBLANK(N$3),M78&amp;L78,INDEX(pixel_shift_table.asm!$C$3:$R$114, N$2*16 + N$3 + INT($A78/16) + 1, MOD($A78, 16) + 1))</f>
        <v>AB</v>
      </c>
      <c r="O78" s="7" t="str" cm="1">
        <f t="array" ref="O78">IF(ISBLANK(O$3),N78&amp;M78,INDEX(pixel_shift_table.asm!$C$3:$R$114, O$2*16 + O$3 + INT($A78/16) + 1, MOD($A78, 16) + 1))</f>
        <v>AB48</v>
      </c>
      <c r="P78" s="6" t="str" cm="1">
        <f t="array" ref="P78">IF(ISBLANK(P$3),O78&amp;N78,INDEX(pixel_shift_table.asm!$C$3:$R$114, P$2*16 + P$3 + INT($A78/16) + 1, MOD($A78, 16) + 1))</f>
        <v>4A</v>
      </c>
      <c r="Q78" s="5" t="str" cm="1">
        <f t="array" ref="Q78">IF(ISBLANK(Q$3),P78&amp;O78,INDEX(pixel_shift_table.asm!$C$3:$R$114, Q$2*16 + Q$3 + INT($A78/16) + 1, MOD($A78, 16) + 1))</f>
        <v>AB</v>
      </c>
      <c r="R78" s="7" t="str" cm="1">
        <f t="array" ref="R78">IF(ISBLANK(R$3),Q78&amp;P78,INDEX(pixel_shift_table.asm!$C$3:$R$114, R$2*16 + R$3 + INT($A78/16) + 1, MOD($A78, 16) + 1))</f>
        <v>AB4A</v>
      </c>
      <c r="S78" s="6" t="str" cm="1">
        <f t="array" ref="S78">IF(ISBLANK(S$3),R78&amp;Q78,INDEX(pixel_shift_table.asm!$C$3:$R$114, S$2*16 + S$3 + INT($A78/16) + 1, MOD($A78, 16) + 1))</f>
        <v>4C</v>
      </c>
      <c r="T78" s="5" t="str" cm="1">
        <f t="array" ref="T78">IF(ISBLANK(T$3),S78&amp;R78,INDEX(pixel_shift_table.asm!$C$3:$R$114, T$2*16 + T$3 + INT($A78/16) + 1, MOD($A78, 16) + 1))</f>
        <v>AB</v>
      </c>
      <c r="U78" s="7" t="str" cm="1">
        <f t="array" ref="U78">IF(ISBLANK(U$3),T78&amp;S78,INDEX(pixel_shift_table.asm!$C$3:$R$114, U$2*16 + U$3 + INT($A78/16) + 1, MOD($A78, 16) + 1))</f>
        <v>AB4C</v>
      </c>
      <c r="V78" s="6" t="str" cm="1">
        <f t="array" ref="V78">IF(ISBLANK(V$3),U78&amp;T78,INDEX(pixel_shift_table.asm!$C$3:$R$114, V$2*16 + V$3 + INT($A78/16) + 1, MOD($A78, 16) + 1))</f>
        <v>4E</v>
      </c>
      <c r="W78" s="5" t="str" cm="1">
        <f t="array" ref="W78">IF(ISBLANK(W$3),V78&amp;U78,INDEX(pixel_shift_table.asm!$C$3:$R$114, W$2*16 + W$3 + INT($A78/16) + 1, MOD($A78, 16) + 1))</f>
        <v>AB</v>
      </c>
      <c r="X78" s="7" t="str" cm="1">
        <f t="array" ref="X78">IF(ISBLANK(X$3),W78&amp;V78,INDEX(pixel_shift_table.asm!$C$3:$R$114, X$2*16 + X$3 + INT($A78/16) + 1, MOD($A78, 16) + 1))</f>
        <v>AB4E</v>
      </c>
    </row>
    <row r="79" spans="1:24" x14ac:dyDescent="0.3">
      <c r="A79">
        <v>74</v>
      </c>
      <c r="B79" s="8">
        <v>10010.1</v>
      </c>
      <c r="C79" s="5" t="s">
        <v>823</v>
      </c>
      <c r="D79" s="6" t="str" cm="1">
        <f t="array" ref="D79">IF(ISBLANK(D$3),C79&amp;B79,INDEX(pixel_shift_table.asm!$C$3:$R$114, D$2*16 + D$3 + INT($A79/16) + 1, MOD($A79, 16) + 1))</f>
        <v>24</v>
      </c>
      <c r="E79" s="5" t="str" cm="1">
        <f t="array" ref="E79">IF(ISBLANK(E$3),D79&amp;C79,INDEX(pixel_shift_table.asm!$C$3:$R$114, E$2*16 + E$3 + INT($A79/16) + 1, MOD($A79, 16) + 1))</f>
        <v>AA</v>
      </c>
      <c r="F79" s="7" t="str" cm="1">
        <f t="array" ref="F79">IF(ISBLANK(F$3),E79&amp;D79,INDEX(pixel_shift_table.asm!$C$3:$R$114, F$2*16 + F$3 + INT($A79/16) + 1, MOD($A79, 16) + 1))</f>
        <v>AA24</v>
      </c>
      <c r="G79" s="6" t="str" cm="1">
        <f t="array" ref="G79">IF(ISBLANK(G$3),F79&amp;E79,INDEX(pixel_shift_table.asm!$C$3:$R$114, G$2*16 + G$3 + INT($A79/16) + 1, MOD($A79, 16) + 1))</f>
        <v>26</v>
      </c>
      <c r="H79" s="5" t="str" cm="1">
        <f t="array" ref="H79">IF(ISBLANK(H$3),G79&amp;F79,INDEX(pixel_shift_table.asm!$C$3:$R$114, H$2*16 + H$3 + INT($A79/16) + 1, MOD($A79, 16) + 1))</f>
        <v>AA</v>
      </c>
      <c r="I79" s="7" t="str" cm="1">
        <f t="array" ref="I79">IF(ISBLANK(I$3),H79&amp;G79,INDEX(pixel_shift_table.asm!$C$3:$R$114, I$2*16 + I$3 + INT($A79/16) + 1, MOD($A79, 16) + 1))</f>
        <v>AA26</v>
      </c>
      <c r="J79" s="6" t="str" cm="1">
        <f t="array" ref="J79">IF(ISBLANK(J$3),I79&amp;H79,INDEX(pixel_shift_table.asm!$C$3:$R$114, J$2*16 + J$3 + INT($A79/16) + 1, MOD($A79, 16) + 1))</f>
        <v>28</v>
      </c>
      <c r="K79" s="5" t="str" cm="1">
        <f t="array" ref="K79">IF(ISBLANK(K$3),J79&amp;I79,INDEX(pixel_shift_table.asm!$C$3:$R$114, K$2*16 + K$3 + INT($A79/16) + 1, MOD($A79, 16) + 1))</f>
        <v>AA</v>
      </c>
      <c r="L79" s="7" t="str" cm="1">
        <f t="array" ref="L79">IF(ISBLANK(L$3),K79&amp;J79,INDEX(pixel_shift_table.asm!$C$3:$R$114, L$2*16 + L$3 + INT($A79/16) + 1, MOD($A79, 16) + 1))</f>
        <v>AA28</v>
      </c>
      <c r="M79" s="6" t="str" cm="1">
        <f t="array" ref="M79">IF(ISBLANK(M$3),L79&amp;K79,INDEX(pixel_shift_table.asm!$C$3:$R$114, M$2*16 + M$3 + INT($A79/16) + 1, MOD($A79, 16) + 1))</f>
        <v>2A</v>
      </c>
      <c r="N79" s="5" t="str" cm="1">
        <f t="array" ref="N79">IF(ISBLANK(N$3),M79&amp;L79,INDEX(pixel_shift_table.asm!$C$3:$R$114, N$2*16 + N$3 + INT($A79/16) + 1, MOD($A79, 16) + 1))</f>
        <v>AA</v>
      </c>
      <c r="O79" s="7" t="str" cm="1">
        <f t="array" ref="O79">IF(ISBLANK(O$3),N79&amp;M79,INDEX(pixel_shift_table.asm!$C$3:$R$114, O$2*16 + O$3 + INT($A79/16) + 1, MOD($A79, 16) + 1))</f>
        <v>AA2A</v>
      </c>
      <c r="P79" s="6" t="str" cm="1">
        <f t="array" ref="P79">IF(ISBLANK(P$3),O79&amp;N79,INDEX(pixel_shift_table.asm!$C$3:$R$114, P$2*16 + P$3 + INT($A79/16) + 1, MOD($A79, 16) + 1))</f>
        <v>2C</v>
      </c>
      <c r="Q79" s="5" t="str" cm="1">
        <f t="array" ref="Q79">IF(ISBLANK(Q$3),P79&amp;O79,INDEX(pixel_shift_table.asm!$C$3:$R$114, Q$2*16 + Q$3 + INT($A79/16) + 1, MOD($A79, 16) + 1))</f>
        <v>AA</v>
      </c>
      <c r="R79" s="7" t="str" cm="1">
        <f t="array" ref="R79">IF(ISBLANK(R$3),Q79&amp;P79,INDEX(pixel_shift_table.asm!$C$3:$R$114, R$2*16 + R$3 + INT($A79/16) + 1, MOD($A79, 16) + 1))</f>
        <v>AA2C</v>
      </c>
      <c r="S79" s="6" t="str" cm="1">
        <f t="array" ref="S79">IF(ISBLANK(S$3),R79&amp;Q79,INDEX(pixel_shift_table.asm!$C$3:$R$114, S$2*16 + S$3 + INT($A79/16) + 1, MOD($A79, 16) + 1))</f>
        <v>2E</v>
      </c>
      <c r="T79" s="5" t="str" cm="1">
        <f t="array" ref="T79">IF(ISBLANK(T$3),S79&amp;R79,INDEX(pixel_shift_table.asm!$C$3:$R$114, T$2*16 + T$3 + INT($A79/16) + 1, MOD($A79, 16) + 1))</f>
        <v>AA</v>
      </c>
      <c r="U79" s="7" t="str" cm="1">
        <f t="array" ref="U79">IF(ISBLANK(U$3),T79&amp;S79,INDEX(pixel_shift_table.asm!$C$3:$R$114, U$2*16 + U$3 + INT($A79/16) + 1, MOD($A79, 16) + 1))</f>
        <v>AA2E</v>
      </c>
      <c r="V79" s="6" t="str" cm="1">
        <f t="array" ref="V79">IF(ISBLANK(V$3),U79&amp;T79,INDEX(pixel_shift_table.asm!$C$3:$R$114, V$2*16 + V$3 + INT($A79/16) + 1, MOD($A79, 16) + 1))</f>
        <v>50</v>
      </c>
      <c r="W79" s="5" t="str" cm="1">
        <f t="array" ref="W79">IF(ISBLANK(W$3),V79&amp;U79,INDEX(pixel_shift_table.asm!$C$3:$R$114, W$2*16 + W$3 + INT($A79/16) + 1, MOD($A79, 16) + 1))</f>
        <v>AB</v>
      </c>
      <c r="X79" s="7" t="str" cm="1">
        <f t="array" ref="X79">IF(ISBLANK(X$3),W79&amp;V79,INDEX(pixel_shift_table.asm!$C$3:$R$114, X$2*16 + X$3 + INT($A79/16) + 1, MOD($A79, 16) + 1))</f>
        <v>AB50</v>
      </c>
    </row>
    <row r="80" spans="1:24" x14ac:dyDescent="0.3">
      <c r="A80">
        <v>75</v>
      </c>
      <c r="B80" s="8">
        <v>10010.11</v>
      </c>
      <c r="C80" s="5" t="s">
        <v>824</v>
      </c>
      <c r="D80" s="6" t="str" cm="1">
        <f t="array" ref="D80">IF(ISBLANK(D$3),C80&amp;B80,INDEX(pixel_shift_table.asm!$C$3:$R$114, D$2*16 + D$3 + INT($A80/16) + 1, MOD($A80, 16) + 1))</f>
        <v>52</v>
      </c>
      <c r="E80" s="5" t="str" cm="1">
        <f t="array" ref="E80">IF(ISBLANK(E$3),D80&amp;C80,INDEX(pixel_shift_table.asm!$C$3:$R$114, E$2*16 + E$3 + INT($A80/16) + 1, MOD($A80, 16) + 1))</f>
        <v>AB</v>
      </c>
      <c r="F80" s="7" t="str" cm="1">
        <f t="array" ref="F80">IF(ISBLANK(F$3),E80&amp;D80,INDEX(pixel_shift_table.asm!$C$3:$R$114, F$2*16 + F$3 + INT($A80/16) + 1, MOD($A80, 16) + 1))</f>
        <v>AB52</v>
      </c>
      <c r="G80" s="6" t="str" cm="1">
        <f t="array" ref="G80">IF(ISBLANK(G$3),F80&amp;E80,INDEX(pixel_shift_table.asm!$C$3:$R$114, G$2*16 + G$3 + INT($A80/16) + 1, MOD($A80, 16) + 1))</f>
        <v>54</v>
      </c>
      <c r="H80" s="5" t="str" cm="1">
        <f t="array" ref="H80">IF(ISBLANK(H$3),G80&amp;F80,INDEX(pixel_shift_table.asm!$C$3:$R$114, H$2*16 + H$3 + INT($A80/16) + 1, MOD($A80, 16) + 1))</f>
        <v>AB</v>
      </c>
      <c r="I80" s="7" t="str" cm="1">
        <f t="array" ref="I80">IF(ISBLANK(I$3),H80&amp;G80,INDEX(pixel_shift_table.asm!$C$3:$R$114, I$2*16 + I$3 + INT($A80/16) + 1, MOD($A80, 16) + 1))</f>
        <v>AB54</v>
      </c>
      <c r="J80" s="6" t="str" cm="1">
        <f t="array" ref="J80">IF(ISBLANK(J$3),I80&amp;H80,INDEX(pixel_shift_table.asm!$C$3:$R$114, J$2*16 + J$3 + INT($A80/16) + 1, MOD($A80, 16) + 1))</f>
        <v>56</v>
      </c>
      <c r="K80" s="5" t="str" cm="1">
        <f t="array" ref="K80">IF(ISBLANK(K$3),J80&amp;I80,INDEX(pixel_shift_table.asm!$C$3:$R$114, K$2*16 + K$3 + INT($A80/16) + 1, MOD($A80, 16) + 1))</f>
        <v>AB</v>
      </c>
      <c r="L80" s="7" t="str" cm="1">
        <f t="array" ref="L80">IF(ISBLANK(L$3),K80&amp;J80,INDEX(pixel_shift_table.asm!$C$3:$R$114, L$2*16 + L$3 + INT($A80/16) + 1, MOD($A80, 16) + 1))</f>
        <v>AB56</v>
      </c>
      <c r="M80" s="6" t="str" cm="1">
        <f t="array" ref="M80">IF(ISBLANK(M$3),L80&amp;K80,INDEX(pixel_shift_table.asm!$C$3:$R$114, M$2*16 + M$3 + INT($A80/16) + 1, MOD($A80, 16) + 1))</f>
        <v>58</v>
      </c>
      <c r="N80" s="5" t="str" cm="1">
        <f t="array" ref="N80">IF(ISBLANK(N$3),M80&amp;L80,INDEX(pixel_shift_table.asm!$C$3:$R$114, N$2*16 + N$3 + INT($A80/16) + 1, MOD($A80, 16) + 1))</f>
        <v>AB</v>
      </c>
      <c r="O80" s="7" t="str" cm="1">
        <f t="array" ref="O80">IF(ISBLANK(O$3),N80&amp;M80,INDEX(pixel_shift_table.asm!$C$3:$R$114, O$2*16 + O$3 + INT($A80/16) + 1, MOD($A80, 16) + 1))</f>
        <v>AB58</v>
      </c>
      <c r="P80" s="6" t="str" cm="1">
        <f t="array" ref="P80">IF(ISBLANK(P$3),O80&amp;N80,INDEX(pixel_shift_table.asm!$C$3:$R$114, P$2*16 + P$3 + INT($A80/16) + 1, MOD($A80, 16) + 1))</f>
        <v>5A</v>
      </c>
      <c r="Q80" s="5" t="str" cm="1">
        <f t="array" ref="Q80">IF(ISBLANK(Q$3),P80&amp;O80,INDEX(pixel_shift_table.asm!$C$3:$R$114, Q$2*16 + Q$3 + INT($A80/16) + 1, MOD($A80, 16) + 1))</f>
        <v>AB</v>
      </c>
      <c r="R80" s="7" t="str" cm="1">
        <f t="array" ref="R80">IF(ISBLANK(R$3),Q80&amp;P80,INDEX(pixel_shift_table.asm!$C$3:$R$114, R$2*16 + R$3 + INT($A80/16) + 1, MOD($A80, 16) + 1))</f>
        <v>AB5A</v>
      </c>
      <c r="S80" s="6" t="str" cm="1">
        <f t="array" ref="S80">IF(ISBLANK(S$3),R80&amp;Q80,INDEX(pixel_shift_table.asm!$C$3:$R$114, S$2*16 + S$3 + INT($A80/16) + 1, MOD($A80, 16) + 1))</f>
        <v>5C</v>
      </c>
      <c r="T80" s="5" t="str" cm="1">
        <f t="array" ref="T80">IF(ISBLANK(T$3),S80&amp;R80,INDEX(pixel_shift_table.asm!$C$3:$R$114, T$2*16 + T$3 + INT($A80/16) + 1, MOD($A80, 16) + 1))</f>
        <v>AB</v>
      </c>
      <c r="U80" s="7" t="str" cm="1">
        <f t="array" ref="U80">IF(ISBLANK(U$3),T80&amp;S80,INDEX(pixel_shift_table.asm!$C$3:$R$114, U$2*16 + U$3 + INT($A80/16) + 1, MOD($A80, 16) + 1))</f>
        <v>AB5C</v>
      </c>
      <c r="V80" s="6" t="str" cm="1">
        <f t="array" ref="V80">IF(ISBLANK(V$3),U80&amp;T80,INDEX(pixel_shift_table.asm!$C$3:$R$114, V$2*16 + V$3 + INT($A80/16) + 1, MOD($A80, 16) + 1))</f>
        <v>5E</v>
      </c>
      <c r="W80" s="5" t="str" cm="1">
        <f t="array" ref="W80">IF(ISBLANK(W$3),V80&amp;U80,INDEX(pixel_shift_table.asm!$C$3:$R$114, W$2*16 + W$3 + INT($A80/16) + 1, MOD($A80, 16) + 1))</f>
        <v>AB</v>
      </c>
      <c r="X80" s="7" t="str" cm="1">
        <f t="array" ref="X80">IF(ISBLANK(X$3),W80&amp;V80,INDEX(pixel_shift_table.asm!$C$3:$R$114, X$2*16 + X$3 + INT($A80/16) + 1, MOD($A80, 16) + 1))</f>
        <v>AB5E</v>
      </c>
    </row>
    <row r="81" spans="1:24" x14ac:dyDescent="0.3">
      <c r="A81">
        <v>76</v>
      </c>
      <c r="B81" s="8">
        <v>10011</v>
      </c>
      <c r="C81" s="5" t="s">
        <v>825</v>
      </c>
      <c r="D81" s="6" t="str" cm="1">
        <f t="array" ref="D81">IF(ISBLANK(D$3),C81&amp;B81,INDEX(pixel_shift_table.asm!$C$3:$R$114, D$2*16 + D$3 + INT($A81/16) + 1, MOD($A81, 16) + 1))</f>
        <v>96</v>
      </c>
      <c r="E81" s="5" t="str" cm="1">
        <f t="array" ref="E81">IF(ISBLANK(E$3),D81&amp;C81,INDEX(pixel_shift_table.asm!$C$3:$R$114, E$2*16 + E$3 + INT($A81/16) + 1, MOD($A81, 16) + 1))</f>
        <v>A9</v>
      </c>
      <c r="F81" s="7" t="str" cm="1">
        <f t="array" ref="F81">IF(ISBLANK(F$3),E81&amp;D81,INDEX(pixel_shift_table.asm!$C$3:$R$114, F$2*16 + F$3 + INT($A81/16) + 1, MOD($A81, 16) + 1))</f>
        <v>A996</v>
      </c>
      <c r="G81" s="6" t="str" cm="1">
        <f t="array" ref="G81">IF(ISBLANK(G$3),F81&amp;E81,INDEX(pixel_shift_table.asm!$C$3:$R$114, G$2*16 + G$3 + INT($A81/16) + 1, MOD($A81, 16) + 1))</f>
        <v>98</v>
      </c>
      <c r="H81" s="5" t="str" cm="1">
        <f t="array" ref="H81">IF(ISBLANK(H$3),G81&amp;F81,INDEX(pixel_shift_table.asm!$C$3:$R$114, H$2*16 + H$3 + INT($A81/16) + 1, MOD($A81, 16) + 1))</f>
        <v>A9</v>
      </c>
      <c r="I81" s="7" t="str" cm="1">
        <f t="array" ref="I81">IF(ISBLANK(I$3),H81&amp;G81,INDEX(pixel_shift_table.asm!$C$3:$R$114, I$2*16 + I$3 + INT($A81/16) + 1, MOD($A81, 16) + 1))</f>
        <v>A998</v>
      </c>
      <c r="J81" s="6" t="str" cm="1">
        <f t="array" ref="J81">IF(ISBLANK(J$3),I81&amp;H81,INDEX(pixel_shift_table.asm!$C$3:$R$114, J$2*16 + J$3 + INT($A81/16) + 1, MOD($A81, 16) + 1))</f>
        <v>9A</v>
      </c>
      <c r="K81" s="5" t="str" cm="1">
        <f t="array" ref="K81">IF(ISBLANK(K$3),J81&amp;I81,INDEX(pixel_shift_table.asm!$C$3:$R$114, K$2*16 + K$3 + INT($A81/16) + 1, MOD($A81, 16) + 1))</f>
        <v>A9</v>
      </c>
      <c r="L81" s="7" t="str" cm="1">
        <f t="array" ref="L81">IF(ISBLANK(L$3),K81&amp;J81,INDEX(pixel_shift_table.asm!$C$3:$R$114, L$2*16 + L$3 + INT($A81/16) + 1, MOD($A81, 16) + 1))</f>
        <v>A99A</v>
      </c>
      <c r="M81" s="6" t="str" cm="1">
        <f t="array" ref="M81">IF(ISBLANK(M$3),L81&amp;K81,INDEX(pixel_shift_table.asm!$C$3:$R$114, M$2*16 + M$3 + INT($A81/16) + 1, MOD($A81, 16) + 1))</f>
        <v>9C</v>
      </c>
      <c r="N81" s="5" t="str" cm="1">
        <f t="array" ref="N81">IF(ISBLANK(N$3),M81&amp;L81,INDEX(pixel_shift_table.asm!$C$3:$R$114, N$2*16 + N$3 + INT($A81/16) + 1, MOD($A81, 16) + 1))</f>
        <v>A9</v>
      </c>
      <c r="O81" s="7" t="str" cm="1">
        <f t="array" ref="O81">IF(ISBLANK(O$3),N81&amp;M81,INDEX(pixel_shift_table.asm!$C$3:$R$114, O$2*16 + O$3 + INT($A81/16) + 1, MOD($A81, 16) + 1))</f>
        <v>A99C</v>
      </c>
      <c r="P81" s="6" t="str" cm="1">
        <f t="array" ref="P81">IF(ISBLANK(P$3),O81&amp;N81,INDEX(pixel_shift_table.asm!$C$3:$R$114, P$2*16 + P$3 + INT($A81/16) + 1, MOD($A81, 16) + 1))</f>
        <v>9E</v>
      </c>
      <c r="Q81" s="5" t="str" cm="1">
        <f t="array" ref="Q81">IF(ISBLANK(Q$3),P81&amp;O81,INDEX(pixel_shift_table.asm!$C$3:$R$114, Q$2*16 + Q$3 + INT($A81/16) + 1, MOD($A81, 16) + 1))</f>
        <v>A9</v>
      </c>
      <c r="R81" s="7" t="str" cm="1">
        <f t="array" ref="R81">IF(ISBLANK(R$3),Q81&amp;P81,INDEX(pixel_shift_table.asm!$C$3:$R$114, R$2*16 + R$3 + INT($A81/16) + 1, MOD($A81, 16) + 1))</f>
        <v>A99E</v>
      </c>
      <c r="S81" s="6" t="str" cm="1">
        <f t="array" ref="S81">IF(ISBLANK(S$3),R81&amp;Q81,INDEX(pixel_shift_table.asm!$C$3:$R$114, S$2*16 + S$3 + INT($A81/16) + 1, MOD($A81, 16) + 1))</f>
        <v>30</v>
      </c>
      <c r="T81" s="5" t="str" cm="1">
        <f t="array" ref="T81">IF(ISBLANK(T$3),S81&amp;R81,INDEX(pixel_shift_table.asm!$C$3:$R$114, T$2*16 + T$3 + INT($A81/16) + 1, MOD($A81, 16) + 1))</f>
        <v>AA</v>
      </c>
      <c r="U81" s="7" t="str" cm="1">
        <f t="array" ref="U81">IF(ISBLANK(U$3),T81&amp;S81,INDEX(pixel_shift_table.asm!$C$3:$R$114, U$2*16 + U$3 + INT($A81/16) + 1, MOD($A81, 16) + 1))</f>
        <v>AA30</v>
      </c>
      <c r="V81" s="6" t="str" cm="1">
        <f t="array" ref="V81">IF(ISBLANK(V$3),U81&amp;T81,INDEX(pixel_shift_table.asm!$C$3:$R$114, V$2*16 + V$3 + INT($A81/16) + 1, MOD($A81, 16) + 1))</f>
        <v>60</v>
      </c>
      <c r="W81" s="5" t="str" cm="1">
        <f t="array" ref="W81">IF(ISBLANK(W$3),V81&amp;U81,INDEX(pixel_shift_table.asm!$C$3:$R$114, W$2*16 + W$3 + INT($A81/16) + 1, MOD($A81, 16) + 1))</f>
        <v>AB</v>
      </c>
      <c r="X81" s="7" t="str" cm="1">
        <f t="array" ref="X81">IF(ISBLANK(X$3),W81&amp;V81,INDEX(pixel_shift_table.asm!$C$3:$R$114, X$2*16 + X$3 + INT($A81/16) + 1, MOD($A81, 16) + 1))</f>
        <v>AB60</v>
      </c>
    </row>
    <row r="82" spans="1:24" x14ac:dyDescent="0.3">
      <c r="A82">
        <v>77</v>
      </c>
      <c r="B82" s="8">
        <v>10011.01</v>
      </c>
      <c r="C82" s="5" t="s">
        <v>826</v>
      </c>
      <c r="D82" s="6" t="str" cm="1">
        <f t="array" ref="D82">IF(ISBLANK(D$3),C82&amp;B82,INDEX(pixel_shift_table.asm!$C$3:$R$114, D$2*16 + D$3 + INT($A82/16) + 1, MOD($A82, 16) + 1))</f>
        <v>62</v>
      </c>
      <c r="E82" s="5" t="str" cm="1">
        <f t="array" ref="E82">IF(ISBLANK(E$3),D82&amp;C82,INDEX(pixel_shift_table.asm!$C$3:$R$114, E$2*16 + E$3 + INT($A82/16) + 1, MOD($A82, 16) + 1))</f>
        <v>AB</v>
      </c>
      <c r="F82" s="7" t="str" cm="1">
        <f t="array" ref="F82">IF(ISBLANK(F$3),E82&amp;D82,INDEX(pixel_shift_table.asm!$C$3:$R$114, F$2*16 + F$3 + INT($A82/16) + 1, MOD($A82, 16) + 1))</f>
        <v>AB62</v>
      </c>
      <c r="G82" s="6" t="str" cm="1">
        <f t="array" ref="G82">IF(ISBLANK(G$3),F82&amp;E82,INDEX(pixel_shift_table.asm!$C$3:$R$114, G$2*16 + G$3 + INT($A82/16) + 1, MOD($A82, 16) + 1))</f>
        <v>64</v>
      </c>
      <c r="H82" s="5" t="str" cm="1">
        <f t="array" ref="H82">IF(ISBLANK(H$3),G82&amp;F82,INDEX(pixel_shift_table.asm!$C$3:$R$114, H$2*16 + H$3 + INT($A82/16) + 1, MOD($A82, 16) + 1))</f>
        <v>AB</v>
      </c>
      <c r="I82" s="7" t="str" cm="1">
        <f t="array" ref="I82">IF(ISBLANK(I$3),H82&amp;G82,INDEX(pixel_shift_table.asm!$C$3:$R$114, I$2*16 + I$3 + INT($A82/16) + 1, MOD($A82, 16) + 1))</f>
        <v>AB64</v>
      </c>
      <c r="J82" s="6" t="str" cm="1">
        <f t="array" ref="J82">IF(ISBLANK(J$3),I82&amp;H82,INDEX(pixel_shift_table.asm!$C$3:$R$114, J$2*16 + J$3 + INT($A82/16) + 1, MOD($A82, 16) + 1))</f>
        <v>66</v>
      </c>
      <c r="K82" s="5" t="str" cm="1">
        <f t="array" ref="K82">IF(ISBLANK(K$3),J82&amp;I82,INDEX(pixel_shift_table.asm!$C$3:$R$114, K$2*16 + K$3 + INT($A82/16) + 1, MOD($A82, 16) + 1))</f>
        <v>AB</v>
      </c>
      <c r="L82" s="7" t="str" cm="1">
        <f t="array" ref="L82">IF(ISBLANK(L$3),K82&amp;J82,INDEX(pixel_shift_table.asm!$C$3:$R$114, L$2*16 + L$3 + INT($A82/16) + 1, MOD($A82, 16) + 1))</f>
        <v>AB66</v>
      </c>
      <c r="M82" s="6" t="str" cm="1">
        <f t="array" ref="M82">IF(ISBLANK(M$3),L82&amp;K82,INDEX(pixel_shift_table.asm!$C$3:$R$114, M$2*16 + M$3 + INT($A82/16) + 1, MOD($A82, 16) + 1))</f>
        <v>68</v>
      </c>
      <c r="N82" s="5" t="str" cm="1">
        <f t="array" ref="N82">IF(ISBLANK(N$3),M82&amp;L82,INDEX(pixel_shift_table.asm!$C$3:$R$114, N$2*16 + N$3 + INT($A82/16) + 1, MOD($A82, 16) + 1))</f>
        <v>AB</v>
      </c>
      <c r="O82" s="7" t="str" cm="1">
        <f t="array" ref="O82">IF(ISBLANK(O$3),N82&amp;M82,INDEX(pixel_shift_table.asm!$C$3:$R$114, O$2*16 + O$3 + INT($A82/16) + 1, MOD($A82, 16) + 1))</f>
        <v>AB68</v>
      </c>
      <c r="P82" s="6" t="str" cm="1">
        <f t="array" ref="P82">IF(ISBLANK(P$3),O82&amp;N82,INDEX(pixel_shift_table.asm!$C$3:$R$114, P$2*16 + P$3 + INT($A82/16) + 1, MOD($A82, 16) + 1))</f>
        <v>6A</v>
      </c>
      <c r="Q82" s="5" t="str" cm="1">
        <f t="array" ref="Q82">IF(ISBLANK(Q$3),P82&amp;O82,INDEX(pixel_shift_table.asm!$C$3:$R$114, Q$2*16 + Q$3 + INT($A82/16) + 1, MOD($A82, 16) + 1))</f>
        <v>AB</v>
      </c>
      <c r="R82" s="7" t="str" cm="1">
        <f t="array" ref="R82">IF(ISBLANK(R$3),Q82&amp;P82,INDEX(pixel_shift_table.asm!$C$3:$R$114, R$2*16 + R$3 + INT($A82/16) + 1, MOD($A82, 16) + 1))</f>
        <v>AB6A</v>
      </c>
      <c r="S82" s="6" t="str" cm="1">
        <f t="array" ref="S82">IF(ISBLANK(S$3),R82&amp;Q82,INDEX(pixel_shift_table.asm!$C$3:$R$114, S$2*16 + S$3 + INT($A82/16) + 1, MOD($A82, 16) + 1))</f>
        <v>6C</v>
      </c>
      <c r="T82" s="5" t="str" cm="1">
        <f t="array" ref="T82">IF(ISBLANK(T$3),S82&amp;R82,INDEX(pixel_shift_table.asm!$C$3:$R$114, T$2*16 + T$3 + INT($A82/16) + 1, MOD($A82, 16) + 1))</f>
        <v>AB</v>
      </c>
      <c r="U82" s="7" t="str" cm="1">
        <f t="array" ref="U82">IF(ISBLANK(U$3),T82&amp;S82,INDEX(pixel_shift_table.asm!$C$3:$R$114, U$2*16 + U$3 + INT($A82/16) + 1, MOD($A82, 16) + 1))</f>
        <v>AB6C</v>
      </c>
      <c r="V82" s="6" t="str" cm="1">
        <f t="array" ref="V82">IF(ISBLANK(V$3),U82&amp;T82,INDEX(pixel_shift_table.asm!$C$3:$R$114, V$2*16 + V$3 + INT($A82/16) + 1, MOD($A82, 16) + 1))</f>
        <v>6E</v>
      </c>
      <c r="W82" s="5" t="str" cm="1">
        <f t="array" ref="W82">IF(ISBLANK(W$3),V82&amp;U82,INDEX(pixel_shift_table.asm!$C$3:$R$114, W$2*16 + W$3 + INT($A82/16) + 1, MOD($A82, 16) + 1))</f>
        <v>AB</v>
      </c>
      <c r="X82" s="7" t="str" cm="1">
        <f t="array" ref="X82">IF(ISBLANK(X$3),W82&amp;V82,INDEX(pixel_shift_table.asm!$C$3:$R$114, X$2*16 + X$3 + INT($A82/16) + 1, MOD($A82, 16) + 1))</f>
        <v>AB6E</v>
      </c>
    </row>
    <row r="83" spans="1:24" x14ac:dyDescent="0.3">
      <c r="A83">
        <v>78</v>
      </c>
      <c r="B83" s="8">
        <v>10011.1</v>
      </c>
      <c r="C83" s="5" t="s">
        <v>827</v>
      </c>
      <c r="D83" s="6" t="str" cm="1">
        <f t="array" ref="D83">IF(ISBLANK(D$3),C83&amp;B83,INDEX(pixel_shift_table.asm!$C$3:$R$114, D$2*16 + D$3 + INT($A83/16) + 1, MOD($A83, 16) + 1))</f>
        <v>34</v>
      </c>
      <c r="E83" s="5" t="str" cm="1">
        <f t="array" ref="E83">IF(ISBLANK(E$3),D83&amp;C83,INDEX(pixel_shift_table.asm!$C$3:$R$114, E$2*16 + E$3 + INT($A83/16) + 1, MOD($A83, 16) + 1))</f>
        <v>AA</v>
      </c>
      <c r="F83" s="7" t="str" cm="1">
        <f t="array" ref="F83">IF(ISBLANK(F$3),E83&amp;D83,INDEX(pixel_shift_table.asm!$C$3:$R$114, F$2*16 + F$3 + INT($A83/16) + 1, MOD($A83, 16) + 1))</f>
        <v>AA34</v>
      </c>
      <c r="G83" s="6" t="str" cm="1">
        <f t="array" ref="G83">IF(ISBLANK(G$3),F83&amp;E83,INDEX(pixel_shift_table.asm!$C$3:$R$114, G$2*16 + G$3 + INT($A83/16) + 1, MOD($A83, 16) + 1))</f>
        <v>36</v>
      </c>
      <c r="H83" s="5" t="str" cm="1">
        <f t="array" ref="H83">IF(ISBLANK(H$3),G83&amp;F83,INDEX(pixel_shift_table.asm!$C$3:$R$114, H$2*16 + H$3 + INT($A83/16) + 1, MOD($A83, 16) + 1))</f>
        <v>AA</v>
      </c>
      <c r="I83" s="7" t="str" cm="1">
        <f t="array" ref="I83">IF(ISBLANK(I$3),H83&amp;G83,INDEX(pixel_shift_table.asm!$C$3:$R$114, I$2*16 + I$3 + INT($A83/16) + 1, MOD($A83, 16) + 1))</f>
        <v>AA36</v>
      </c>
      <c r="J83" s="6" t="str" cm="1">
        <f t="array" ref="J83">IF(ISBLANK(J$3),I83&amp;H83,INDEX(pixel_shift_table.asm!$C$3:$R$114, J$2*16 + J$3 + INT($A83/16) + 1, MOD($A83, 16) + 1))</f>
        <v>38</v>
      </c>
      <c r="K83" s="5" t="str" cm="1">
        <f t="array" ref="K83">IF(ISBLANK(K$3),J83&amp;I83,INDEX(pixel_shift_table.asm!$C$3:$R$114, K$2*16 + K$3 + INT($A83/16) + 1, MOD($A83, 16) + 1))</f>
        <v>AA</v>
      </c>
      <c r="L83" s="7" t="str" cm="1">
        <f t="array" ref="L83">IF(ISBLANK(L$3),K83&amp;J83,INDEX(pixel_shift_table.asm!$C$3:$R$114, L$2*16 + L$3 + INT($A83/16) + 1, MOD($A83, 16) + 1))</f>
        <v>AA38</v>
      </c>
      <c r="M83" s="6" t="str" cm="1">
        <f t="array" ref="M83">IF(ISBLANK(M$3),L83&amp;K83,INDEX(pixel_shift_table.asm!$C$3:$R$114, M$2*16 + M$3 + INT($A83/16) + 1, MOD($A83, 16) + 1))</f>
        <v>3A</v>
      </c>
      <c r="N83" s="5" t="str" cm="1">
        <f t="array" ref="N83">IF(ISBLANK(N$3),M83&amp;L83,INDEX(pixel_shift_table.asm!$C$3:$R$114, N$2*16 + N$3 + INT($A83/16) + 1, MOD($A83, 16) + 1))</f>
        <v>AA</v>
      </c>
      <c r="O83" s="7" t="str" cm="1">
        <f t="array" ref="O83">IF(ISBLANK(O$3),N83&amp;M83,INDEX(pixel_shift_table.asm!$C$3:$R$114, O$2*16 + O$3 + INT($A83/16) + 1, MOD($A83, 16) + 1))</f>
        <v>AA3A</v>
      </c>
      <c r="P83" s="6" t="str" cm="1">
        <f t="array" ref="P83">IF(ISBLANK(P$3),O83&amp;N83,INDEX(pixel_shift_table.asm!$C$3:$R$114, P$2*16 + P$3 + INT($A83/16) + 1, MOD($A83, 16) + 1))</f>
        <v>3C</v>
      </c>
      <c r="Q83" s="5" t="str" cm="1">
        <f t="array" ref="Q83">IF(ISBLANK(Q$3),P83&amp;O83,INDEX(pixel_shift_table.asm!$C$3:$R$114, Q$2*16 + Q$3 + INT($A83/16) + 1, MOD($A83, 16) + 1))</f>
        <v>AA</v>
      </c>
      <c r="R83" s="7" t="str" cm="1">
        <f t="array" ref="R83">IF(ISBLANK(R$3),Q83&amp;P83,INDEX(pixel_shift_table.asm!$C$3:$R$114, R$2*16 + R$3 + INT($A83/16) + 1, MOD($A83, 16) + 1))</f>
        <v>AA3C</v>
      </c>
      <c r="S83" s="6" t="str" cm="1">
        <f t="array" ref="S83">IF(ISBLANK(S$3),R83&amp;Q83,INDEX(pixel_shift_table.asm!$C$3:$R$114, S$2*16 + S$3 + INT($A83/16) + 1, MOD($A83, 16) + 1))</f>
        <v>3E</v>
      </c>
      <c r="T83" s="5" t="str" cm="1">
        <f t="array" ref="T83">IF(ISBLANK(T$3),S83&amp;R83,INDEX(pixel_shift_table.asm!$C$3:$R$114, T$2*16 + T$3 + INT($A83/16) + 1, MOD($A83, 16) + 1))</f>
        <v>AA</v>
      </c>
      <c r="U83" s="7" t="str" cm="1">
        <f t="array" ref="U83">IF(ISBLANK(U$3),T83&amp;S83,INDEX(pixel_shift_table.asm!$C$3:$R$114, U$2*16 + U$3 + INT($A83/16) + 1, MOD($A83, 16) + 1))</f>
        <v>AA3E</v>
      </c>
      <c r="V83" s="6" t="str" cm="1">
        <f t="array" ref="V83">IF(ISBLANK(V$3),U83&amp;T83,INDEX(pixel_shift_table.asm!$C$3:$R$114, V$2*16 + V$3 + INT($A83/16) + 1, MOD($A83, 16) + 1))</f>
        <v>70</v>
      </c>
      <c r="W83" s="5" t="str" cm="1">
        <f t="array" ref="W83">IF(ISBLANK(W$3),V83&amp;U83,INDEX(pixel_shift_table.asm!$C$3:$R$114, W$2*16 + W$3 + INT($A83/16) + 1, MOD($A83, 16) + 1))</f>
        <v>AB</v>
      </c>
      <c r="X83" s="7" t="str" cm="1">
        <f t="array" ref="X83">IF(ISBLANK(X$3),W83&amp;V83,INDEX(pixel_shift_table.asm!$C$3:$R$114, X$2*16 + X$3 + INT($A83/16) + 1, MOD($A83, 16) + 1))</f>
        <v>AB70</v>
      </c>
    </row>
    <row r="84" spans="1:24" x14ac:dyDescent="0.3">
      <c r="A84">
        <v>79</v>
      </c>
      <c r="B84" s="8">
        <v>10011.11</v>
      </c>
      <c r="C84" s="5" t="s">
        <v>828</v>
      </c>
      <c r="D84" s="6" t="str" cm="1">
        <f t="array" ref="D84">IF(ISBLANK(D$3),C84&amp;B84,INDEX(pixel_shift_table.asm!$C$3:$R$114, D$2*16 + D$3 + INT($A84/16) + 1, MOD($A84, 16) + 1))</f>
        <v>72</v>
      </c>
      <c r="E84" s="5" t="str" cm="1">
        <f t="array" ref="E84">IF(ISBLANK(E$3),D84&amp;C84,INDEX(pixel_shift_table.asm!$C$3:$R$114, E$2*16 + E$3 + INT($A84/16) + 1, MOD($A84, 16) + 1))</f>
        <v>AB</v>
      </c>
      <c r="F84" s="7" t="str" cm="1">
        <f t="array" ref="F84">IF(ISBLANK(F$3),E84&amp;D84,INDEX(pixel_shift_table.asm!$C$3:$R$114, F$2*16 + F$3 + INT($A84/16) + 1, MOD($A84, 16) + 1))</f>
        <v>AB72</v>
      </c>
      <c r="G84" s="6" t="str" cm="1">
        <f t="array" ref="G84">IF(ISBLANK(G$3),F84&amp;E84,INDEX(pixel_shift_table.asm!$C$3:$R$114, G$2*16 + G$3 + INT($A84/16) + 1, MOD($A84, 16) + 1))</f>
        <v>74</v>
      </c>
      <c r="H84" s="5" t="str" cm="1">
        <f t="array" ref="H84">IF(ISBLANK(H$3),G84&amp;F84,INDEX(pixel_shift_table.asm!$C$3:$R$114, H$2*16 + H$3 + INT($A84/16) + 1, MOD($A84, 16) + 1))</f>
        <v>AB</v>
      </c>
      <c r="I84" s="7" t="str" cm="1">
        <f t="array" ref="I84">IF(ISBLANK(I$3),H84&amp;G84,INDEX(pixel_shift_table.asm!$C$3:$R$114, I$2*16 + I$3 + INT($A84/16) + 1, MOD($A84, 16) + 1))</f>
        <v>AB74</v>
      </c>
      <c r="J84" s="6" t="str" cm="1">
        <f t="array" ref="J84">IF(ISBLANK(J$3),I84&amp;H84,INDEX(pixel_shift_table.asm!$C$3:$R$114, J$2*16 + J$3 + INT($A84/16) + 1, MOD($A84, 16) + 1))</f>
        <v>76</v>
      </c>
      <c r="K84" s="5" t="str" cm="1">
        <f t="array" ref="K84">IF(ISBLANK(K$3),J84&amp;I84,INDEX(pixel_shift_table.asm!$C$3:$R$114, K$2*16 + K$3 + INT($A84/16) + 1, MOD($A84, 16) + 1))</f>
        <v>AB</v>
      </c>
      <c r="L84" s="7" t="str" cm="1">
        <f t="array" ref="L84">IF(ISBLANK(L$3),K84&amp;J84,INDEX(pixel_shift_table.asm!$C$3:$R$114, L$2*16 + L$3 + INT($A84/16) + 1, MOD($A84, 16) + 1))</f>
        <v>AB76</v>
      </c>
      <c r="M84" s="6" t="str" cm="1">
        <f t="array" ref="M84">IF(ISBLANK(M$3),L84&amp;K84,INDEX(pixel_shift_table.asm!$C$3:$R$114, M$2*16 + M$3 + INT($A84/16) + 1, MOD($A84, 16) + 1))</f>
        <v>78</v>
      </c>
      <c r="N84" s="5" t="str" cm="1">
        <f t="array" ref="N84">IF(ISBLANK(N$3),M84&amp;L84,INDEX(pixel_shift_table.asm!$C$3:$R$114, N$2*16 + N$3 + INT($A84/16) + 1, MOD($A84, 16) + 1))</f>
        <v>AB</v>
      </c>
      <c r="O84" s="7" t="str" cm="1">
        <f t="array" ref="O84">IF(ISBLANK(O$3),N84&amp;M84,INDEX(pixel_shift_table.asm!$C$3:$R$114, O$2*16 + O$3 + INT($A84/16) + 1, MOD($A84, 16) + 1))</f>
        <v>AB78</v>
      </c>
      <c r="P84" s="6" t="str" cm="1">
        <f t="array" ref="P84">IF(ISBLANK(P$3),O84&amp;N84,INDEX(pixel_shift_table.asm!$C$3:$R$114, P$2*16 + P$3 + INT($A84/16) + 1, MOD($A84, 16) + 1))</f>
        <v>7A</v>
      </c>
      <c r="Q84" s="5" t="str" cm="1">
        <f t="array" ref="Q84">IF(ISBLANK(Q$3),P84&amp;O84,INDEX(pixel_shift_table.asm!$C$3:$R$114, Q$2*16 + Q$3 + INT($A84/16) + 1, MOD($A84, 16) + 1))</f>
        <v>AB</v>
      </c>
      <c r="R84" s="7" t="str" cm="1">
        <f t="array" ref="R84">IF(ISBLANK(R$3),Q84&amp;P84,INDEX(pixel_shift_table.asm!$C$3:$R$114, R$2*16 + R$3 + INT($A84/16) + 1, MOD($A84, 16) + 1))</f>
        <v>AB7A</v>
      </c>
      <c r="S84" s="6" t="str" cm="1">
        <f t="array" ref="S84">IF(ISBLANK(S$3),R84&amp;Q84,INDEX(pixel_shift_table.asm!$C$3:$R$114, S$2*16 + S$3 + INT($A84/16) + 1, MOD($A84, 16) + 1))</f>
        <v>7C</v>
      </c>
      <c r="T84" s="5" t="str" cm="1">
        <f t="array" ref="T84">IF(ISBLANK(T$3),S84&amp;R84,INDEX(pixel_shift_table.asm!$C$3:$R$114, T$2*16 + T$3 + INT($A84/16) + 1, MOD($A84, 16) + 1))</f>
        <v>AB</v>
      </c>
      <c r="U84" s="7" t="str" cm="1">
        <f t="array" ref="U84">IF(ISBLANK(U$3),T84&amp;S84,INDEX(pixel_shift_table.asm!$C$3:$R$114, U$2*16 + U$3 + INT($A84/16) + 1, MOD($A84, 16) + 1))</f>
        <v>AB7C</v>
      </c>
      <c r="V84" s="6" t="str" cm="1">
        <f t="array" ref="V84">IF(ISBLANK(V$3),U84&amp;T84,INDEX(pixel_shift_table.asm!$C$3:$R$114, V$2*16 + V$3 + INT($A84/16) + 1, MOD($A84, 16) + 1))</f>
        <v>7E</v>
      </c>
      <c r="W84" s="5" t="str" cm="1">
        <f t="array" ref="W84">IF(ISBLANK(W$3),V84&amp;U84,INDEX(pixel_shift_table.asm!$C$3:$R$114, W$2*16 + W$3 + INT($A84/16) + 1, MOD($A84, 16) + 1))</f>
        <v>AB</v>
      </c>
      <c r="X84" s="7" t="str" cm="1">
        <f t="array" ref="X84">IF(ISBLANK(X$3),W84&amp;V84,INDEX(pixel_shift_table.asm!$C$3:$R$114, X$2*16 + X$3 + INT($A84/16) + 1, MOD($A84, 16) + 1))</f>
        <v>AB7E</v>
      </c>
    </row>
    <row r="85" spans="1:24" x14ac:dyDescent="0.3">
      <c r="A85">
        <v>80</v>
      </c>
      <c r="B85" s="8">
        <v>10100</v>
      </c>
      <c r="C85" s="5" t="s">
        <v>829</v>
      </c>
      <c r="D85" s="6" t="str" cm="1">
        <f t="array" ref="D85">IF(ISBLANK(D$3),C85&amp;B85,INDEX(pixel_shift_table.asm!$C$3:$R$114, D$2*16 + D$3 + INT($A85/16) + 1, MOD($A85, 16) + 1))</f>
        <v>2A</v>
      </c>
      <c r="E85" s="5" t="str" cm="1">
        <f t="array" ref="E85">IF(ISBLANK(E$3),D85&amp;C85,INDEX(pixel_shift_table.asm!$C$3:$R$114, E$2*16 + E$3 + INT($A85/16) + 1, MOD($A85, 16) + 1))</f>
        <v>A9</v>
      </c>
      <c r="F85" s="7" t="str" cm="1">
        <f t="array" ref="F85">IF(ISBLANK(F$3),E85&amp;D85,INDEX(pixel_shift_table.asm!$C$3:$R$114, F$2*16 + F$3 + INT($A85/16) + 1, MOD($A85, 16) + 1))</f>
        <v>A92A</v>
      </c>
      <c r="G85" s="6" t="str" cm="1">
        <f t="array" ref="G85">IF(ISBLANK(G$3),F85&amp;E85,INDEX(pixel_shift_table.asm!$C$3:$R$114, G$2*16 + G$3 + INT($A85/16) + 1, MOD($A85, 16) + 1))</f>
        <v>2C</v>
      </c>
      <c r="H85" s="5" t="str" cm="1">
        <f t="array" ref="H85">IF(ISBLANK(H$3),G85&amp;F85,INDEX(pixel_shift_table.asm!$C$3:$R$114, H$2*16 + H$3 + INT($A85/16) + 1, MOD($A85, 16) + 1))</f>
        <v>A9</v>
      </c>
      <c r="I85" s="7" t="str" cm="1">
        <f t="array" ref="I85">IF(ISBLANK(I$3),H85&amp;G85,INDEX(pixel_shift_table.asm!$C$3:$R$114, I$2*16 + I$3 + INT($A85/16) + 1, MOD($A85, 16) + 1))</f>
        <v>A92C</v>
      </c>
      <c r="J85" s="6" t="str" cm="1">
        <f t="array" ref="J85">IF(ISBLANK(J$3),I85&amp;H85,INDEX(pixel_shift_table.asm!$C$3:$R$114, J$2*16 + J$3 + INT($A85/16) + 1, MOD($A85, 16) + 1))</f>
        <v>2E</v>
      </c>
      <c r="K85" s="5" t="str" cm="1">
        <f t="array" ref="K85">IF(ISBLANK(K$3),J85&amp;I85,INDEX(pixel_shift_table.asm!$C$3:$R$114, K$2*16 + K$3 + INT($A85/16) + 1, MOD($A85, 16) + 1))</f>
        <v>A9</v>
      </c>
      <c r="L85" s="7" t="str" cm="1">
        <f t="array" ref="L85">IF(ISBLANK(L$3),K85&amp;J85,INDEX(pixel_shift_table.asm!$C$3:$R$114, L$2*16 + L$3 + INT($A85/16) + 1, MOD($A85, 16) + 1))</f>
        <v>A92E</v>
      </c>
      <c r="M85" s="6" t="str" cm="1">
        <f t="array" ref="M85">IF(ISBLANK(M$3),L85&amp;K85,INDEX(pixel_shift_table.asm!$C$3:$R$114, M$2*16 + M$3 + INT($A85/16) + 1, MOD($A85, 16) + 1))</f>
        <v>50</v>
      </c>
      <c r="N85" s="5" t="str" cm="1">
        <f t="array" ref="N85">IF(ISBLANK(N$3),M85&amp;L85,INDEX(pixel_shift_table.asm!$C$3:$R$114, N$2*16 + N$3 + INT($A85/16) + 1, MOD($A85, 16) + 1))</f>
        <v>A9</v>
      </c>
      <c r="O85" s="7" t="str" cm="1">
        <f t="array" ref="O85">IF(ISBLANK(O$3),N85&amp;M85,INDEX(pixel_shift_table.asm!$C$3:$R$114, O$2*16 + O$3 + INT($A85/16) + 1, MOD($A85, 16) + 1))</f>
        <v>A950</v>
      </c>
      <c r="P85" s="6" t="str" cm="1">
        <f t="array" ref="P85">IF(ISBLANK(P$3),O85&amp;N85,INDEX(pixel_shift_table.asm!$C$3:$R$114, P$2*16 + P$3 + INT($A85/16) + 1, MOD($A85, 16) + 1))</f>
        <v>A0</v>
      </c>
      <c r="Q85" s="5" t="str" cm="1">
        <f t="array" ref="Q85">IF(ISBLANK(Q$3),P85&amp;O85,INDEX(pixel_shift_table.asm!$C$3:$R$114, Q$2*16 + Q$3 + INT($A85/16) + 1, MOD($A85, 16) + 1))</f>
        <v>A9</v>
      </c>
      <c r="R85" s="7" t="str" cm="1">
        <f t="array" ref="R85">IF(ISBLANK(R$3),Q85&amp;P85,INDEX(pixel_shift_table.asm!$C$3:$R$114, R$2*16 + R$3 + INT($A85/16) + 1, MOD($A85, 16) + 1))</f>
        <v>A9A0</v>
      </c>
      <c r="S85" s="6" t="str" cm="1">
        <f t="array" ref="S85">IF(ISBLANK(S$3),R85&amp;Q85,INDEX(pixel_shift_table.asm!$C$3:$R$114, S$2*16 + S$3 + INT($A85/16) + 1, MOD($A85, 16) + 1))</f>
        <v>40</v>
      </c>
      <c r="T85" s="5" t="str" cm="1">
        <f t="array" ref="T85">IF(ISBLANK(T$3),S85&amp;R85,INDEX(pixel_shift_table.asm!$C$3:$R$114, T$2*16 + T$3 + INT($A85/16) + 1, MOD($A85, 16) + 1))</f>
        <v>AA</v>
      </c>
      <c r="U85" s="7" t="str" cm="1">
        <f t="array" ref="U85">IF(ISBLANK(U$3),T85&amp;S85,INDEX(pixel_shift_table.asm!$C$3:$R$114, U$2*16 + U$3 + INT($A85/16) + 1, MOD($A85, 16) + 1))</f>
        <v>AA40</v>
      </c>
      <c r="V85" s="6" t="str" cm="1">
        <f t="array" ref="V85">IF(ISBLANK(V$3),U85&amp;T85,INDEX(pixel_shift_table.asm!$C$3:$R$114, V$2*16 + V$3 + INT($A85/16) + 1, MOD($A85, 16) + 1))</f>
        <v>80</v>
      </c>
      <c r="W85" s="5" t="str" cm="1">
        <f t="array" ref="W85">IF(ISBLANK(W$3),V85&amp;U85,INDEX(pixel_shift_table.asm!$C$3:$R$114, W$2*16 + W$3 + INT($A85/16) + 1, MOD($A85, 16) + 1))</f>
        <v>AB</v>
      </c>
      <c r="X85" s="7" t="str" cm="1">
        <f t="array" ref="X85">IF(ISBLANK(X$3),W85&amp;V85,INDEX(pixel_shift_table.asm!$C$3:$R$114, X$2*16 + X$3 + INT($A85/16) + 1, MOD($A85, 16) + 1))</f>
        <v>AB80</v>
      </c>
    </row>
    <row r="86" spans="1:24" x14ac:dyDescent="0.3">
      <c r="A86">
        <v>81</v>
      </c>
      <c r="B86" s="8">
        <v>10100.01</v>
      </c>
      <c r="C86" s="5" t="s">
        <v>830</v>
      </c>
      <c r="D86" s="6" t="str" cm="1">
        <f t="array" ref="D86">IF(ISBLANK(D$3),C86&amp;B86,INDEX(pixel_shift_table.asm!$C$3:$R$114, D$2*16 + D$3 + INT($A86/16) + 1, MOD($A86, 16) + 1))</f>
        <v>82</v>
      </c>
      <c r="E86" s="5" t="str" cm="1">
        <f t="array" ref="E86">IF(ISBLANK(E$3),D86&amp;C86,INDEX(pixel_shift_table.asm!$C$3:$R$114, E$2*16 + E$3 + INT($A86/16) + 1, MOD($A86, 16) + 1))</f>
        <v>AB</v>
      </c>
      <c r="F86" s="7" t="str" cm="1">
        <f t="array" ref="F86">IF(ISBLANK(F$3),E86&amp;D86,INDEX(pixel_shift_table.asm!$C$3:$R$114, F$2*16 + F$3 + INT($A86/16) + 1, MOD($A86, 16) + 1))</f>
        <v>AB82</v>
      </c>
      <c r="G86" s="6" t="str" cm="1">
        <f t="array" ref="G86">IF(ISBLANK(G$3),F86&amp;E86,INDEX(pixel_shift_table.asm!$C$3:$R$114, G$2*16 + G$3 + INT($A86/16) + 1, MOD($A86, 16) + 1))</f>
        <v>84</v>
      </c>
      <c r="H86" s="5" t="str" cm="1">
        <f t="array" ref="H86">IF(ISBLANK(H$3),G86&amp;F86,INDEX(pixel_shift_table.asm!$C$3:$R$114, H$2*16 + H$3 + INT($A86/16) + 1, MOD($A86, 16) + 1))</f>
        <v>AB</v>
      </c>
      <c r="I86" s="7" t="str" cm="1">
        <f t="array" ref="I86">IF(ISBLANK(I$3),H86&amp;G86,INDEX(pixel_shift_table.asm!$C$3:$R$114, I$2*16 + I$3 + INT($A86/16) + 1, MOD($A86, 16) + 1))</f>
        <v>AB84</v>
      </c>
      <c r="J86" s="6" t="str" cm="1">
        <f t="array" ref="J86">IF(ISBLANK(J$3),I86&amp;H86,INDEX(pixel_shift_table.asm!$C$3:$R$114, J$2*16 + J$3 + INT($A86/16) + 1, MOD($A86, 16) + 1))</f>
        <v>86</v>
      </c>
      <c r="K86" s="5" t="str" cm="1">
        <f t="array" ref="K86">IF(ISBLANK(K$3),J86&amp;I86,INDEX(pixel_shift_table.asm!$C$3:$R$114, K$2*16 + K$3 + INT($A86/16) + 1, MOD($A86, 16) + 1))</f>
        <v>AB</v>
      </c>
      <c r="L86" s="7" t="str" cm="1">
        <f t="array" ref="L86">IF(ISBLANK(L$3),K86&amp;J86,INDEX(pixel_shift_table.asm!$C$3:$R$114, L$2*16 + L$3 + INT($A86/16) + 1, MOD($A86, 16) + 1))</f>
        <v>AB86</v>
      </c>
      <c r="M86" s="6" t="str" cm="1">
        <f t="array" ref="M86">IF(ISBLANK(M$3),L86&amp;K86,INDEX(pixel_shift_table.asm!$C$3:$R$114, M$2*16 + M$3 + INT($A86/16) + 1, MOD($A86, 16) + 1))</f>
        <v>88</v>
      </c>
      <c r="N86" s="5" t="str" cm="1">
        <f t="array" ref="N86">IF(ISBLANK(N$3),M86&amp;L86,INDEX(pixel_shift_table.asm!$C$3:$R$114, N$2*16 + N$3 + INT($A86/16) + 1, MOD($A86, 16) + 1))</f>
        <v>AB</v>
      </c>
      <c r="O86" s="7" t="str" cm="1">
        <f t="array" ref="O86">IF(ISBLANK(O$3),N86&amp;M86,INDEX(pixel_shift_table.asm!$C$3:$R$114, O$2*16 + O$3 + INT($A86/16) + 1, MOD($A86, 16) + 1))</f>
        <v>AB88</v>
      </c>
      <c r="P86" s="6" t="str" cm="1">
        <f t="array" ref="P86">IF(ISBLANK(P$3),O86&amp;N86,INDEX(pixel_shift_table.asm!$C$3:$R$114, P$2*16 + P$3 + INT($A86/16) + 1, MOD($A86, 16) + 1))</f>
        <v>8A</v>
      </c>
      <c r="Q86" s="5" t="str" cm="1">
        <f t="array" ref="Q86">IF(ISBLANK(Q$3),P86&amp;O86,INDEX(pixel_shift_table.asm!$C$3:$R$114, Q$2*16 + Q$3 + INT($A86/16) + 1, MOD($A86, 16) + 1))</f>
        <v>AB</v>
      </c>
      <c r="R86" s="7" t="str" cm="1">
        <f t="array" ref="R86">IF(ISBLANK(R$3),Q86&amp;P86,INDEX(pixel_shift_table.asm!$C$3:$R$114, R$2*16 + R$3 + INT($A86/16) + 1, MOD($A86, 16) + 1))</f>
        <v>AB8A</v>
      </c>
      <c r="S86" s="6" t="str" cm="1">
        <f t="array" ref="S86">IF(ISBLANK(S$3),R86&amp;Q86,INDEX(pixel_shift_table.asm!$C$3:$R$114, S$2*16 + S$3 + INT($A86/16) + 1, MOD($A86, 16) + 1))</f>
        <v>8C</v>
      </c>
      <c r="T86" s="5" t="str" cm="1">
        <f t="array" ref="T86">IF(ISBLANK(T$3),S86&amp;R86,INDEX(pixel_shift_table.asm!$C$3:$R$114, T$2*16 + T$3 + INT($A86/16) + 1, MOD($A86, 16) + 1))</f>
        <v>AB</v>
      </c>
      <c r="U86" s="7" t="str" cm="1">
        <f t="array" ref="U86">IF(ISBLANK(U$3),T86&amp;S86,INDEX(pixel_shift_table.asm!$C$3:$R$114, U$2*16 + U$3 + INT($A86/16) + 1, MOD($A86, 16) + 1))</f>
        <v>AB8C</v>
      </c>
      <c r="V86" s="6" t="str" cm="1">
        <f t="array" ref="V86">IF(ISBLANK(V$3),U86&amp;T86,INDEX(pixel_shift_table.asm!$C$3:$R$114, V$2*16 + V$3 + INT($A86/16) + 1, MOD($A86, 16) + 1))</f>
        <v>8E</v>
      </c>
      <c r="W86" s="5" t="str" cm="1">
        <f t="array" ref="W86">IF(ISBLANK(W$3),V86&amp;U86,INDEX(pixel_shift_table.asm!$C$3:$R$114, W$2*16 + W$3 + INT($A86/16) + 1, MOD($A86, 16) + 1))</f>
        <v>AB</v>
      </c>
      <c r="X86" s="7" t="str" cm="1">
        <f t="array" ref="X86">IF(ISBLANK(X$3),W86&amp;V86,INDEX(pixel_shift_table.asm!$C$3:$R$114, X$2*16 + X$3 + INT($A86/16) + 1, MOD($A86, 16) + 1))</f>
        <v>AB8E</v>
      </c>
    </row>
    <row r="87" spans="1:24" x14ac:dyDescent="0.3">
      <c r="A87">
        <v>82</v>
      </c>
      <c r="B87" s="8">
        <v>10100.1</v>
      </c>
      <c r="C87" s="5" t="s">
        <v>831</v>
      </c>
      <c r="D87" s="6" t="str" cm="1">
        <f t="array" ref="D87">IF(ISBLANK(D$3),C87&amp;B87,INDEX(pixel_shift_table.asm!$C$3:$R$114, D$2*16 + D$3 + INT($A87/16) + 1, MOD($A87, 16) + 1))</f>
        <v>44</v>
      </c>
      <c r="E87" s="5" t="str" cm="1">
        <f t="array" ref="E87">IF(ISBLANK(E$3),D87&amp;C87,INDEX(pixel_shift_table.asm!$C$3:$R$114, E$2*16 + E$3 + INT($A87/16) + 1, MOD($A87, 16) + 1))</f>
        <v>AA</v>
      </c>
      <c r="F87" s="7" t="str" cm="1">
        <f t="array" ref="F87">IF(ISBLANK(F$3),E87&amp;D87,INDEX(pixel_shift_table.asm!$C$3:$R$114, F$2*16 + F$3 + INT($A87/16) + 1, MOD($A87, 16) + 1))</f>
        <v>AA44</v>
      </c>
      <c r="G87" s="6" t="str" cm="1">
        <f t="array" ref="G87">IF(ISBLANK(G$3),F87&amp;E87,INDEX(pixel_shift_table.asm!$C$3:$R$114, G$2*16 + G$3 + INT($A87/16) + 1, MOD($A87, 16) + 1))</f>
        <v>46</v>
      </c>
      <c r="H87" s="5" t="str" cm="1">
        <f t="array" ref="H87">IF(ISBLANK(H$3),G87&amp;F87,INDEX(pixel_shift_table.asm!$C$3:$R$114, H$2*16 + H$3 + INT($A87/16) + 1, MOD($A87, 16) + 1))</f>
        <v>AA</v>
      </c>
      <c r="I87" s="7" t="str" cm="1">
        <f t="array" ref="I87">IF(ISBLANK(I$3),H87&amp;G87,INDEX(pixel_shift_table.asm!$C$3:$R$114, I$2*16 + I$3 + INT($A87/16) + 1, MOD($A87, 16) + 1))</f>
        <v>AA46</v>
      </c>
      <c r="J87" s="6" t="str" cm="1">
        <f t="array" ref="J87">IF(ISBLANK(J$3),I87&amp;H87,INDEX(pixel_shift_table.asm!$C$3:$R$114, J$2*16 + J$3 + INT($A87/16) + 1, MOD($A87, 16) + 1))</f>
        <v>48</v>
      </c>
      <c r="K87" s="5" t="str" cm="1">
        <f t="array" ref="K87">IF(ISBLANK(K$3),J87&amp;I87,INDEX(pixel_shift_table.asm!$C$3:$R$114, K$2*16 + K$3 + INT($A87/16) + 1, MOD($A87, 16) + 1))</f>
        <v>AA</v>
      </c>
      <c r="L87" s="7" t="str" cm="1">
        <f t="array" ref="L87">IF(ISBLANK(L$3),K87&amp;J87,INDEX(pixel_shift_table.asm!$C$3:$R$114, L$2*16 + L$3 + INT($A87/16) + 1, MOD($A87, 16) + 1))</f>
        <v>AA48</v>
      </c>
      <c r="M87" s="6" t="str" cm="1">
        <f t="array" ref="M87">IF(ISBLANK(M$3),L87&amp;K87,INDEX(pixel_shift_table.asm!$C$3:$R$114, M$2*16 + M$3 + INT($A87/16) + 1, MOD($A87, 16) + 1))</f>
        <v>4A</v>
      </c>
      <c r="N87" s="5" t="str" cm="1">
        <f t="array" ref="N87">IF(ISBLANK(N$3),M87&amp;L87,INDEX(pixel_shift_table.asm!$C$3:$R$114, N$2*16 + N$3 + INT($A87/16) + 1, MOD($A87, 16) + 1))</f>
        <v>AA</v>
      </c>
      <c r="O87" s="7" t="str" cm="1">
        <f t="array" ref="O87">IF(ISBLANK(O$3),N87&amp;M87,INDEX(pixel_shift_table.asm!$C$3:$R$114, O$2*16 + O$3 + INT($A87/16) + 1, MOD($A87, 16) + 1))</f>
        <v>AA4A</v>
      </c>
      <c r="P87" s="6" t="str" cm="1">
        <f t="array" ref="P87">IF(ISBLANK(P$3),O87&amp;N87,INDEX(pixel_shift_table.asm!$C$3:$R$114, P$2*16 + P$3 + INT($A87/16) + 1, MOD($A87, 16) + 1))</f>
        <v>4C</v>
      </c>
      <c r="Q87" s="5" t="str" cm="1">
        <f t="array" ref="Q87">IF(ISBLANK(Q$3),P87&amp;O87,INDEX(pixel_shift_table.asm!$C$3:$R$114, Q$2*16 + Q$3 + INT($A87/16) + 1, MOD($A87, 16) + 1))</f>
        <v>AA</v>
      </c>
      <c r="R87" s="7" t="str" cm="1">
        <f t="array" ref="R87">IF(ISBLANK(R$3),Q87&amp;P87,INDEX(pixel_shift_table.asm!$C$3:$R$114, R$2*16 + R$3 + INT($A87/16) + 1, MOD($A87, 16) + 1))</f>
        <v>AA4C</v>
      </c>
      <c r="S87" s="6" t="str" cm="1">
        <f t="array" ref="S87">IF(ISBLANK(S$3),R87&amp;Q87,INDEX(pixel_shift_table.asm!$C$3:$R$114, S$2*16 + S$3 + INT($A87/16) + 1, MOD($A87, 16) + 1))</f>
        <v>4E</v>
      </c>
      <c r="T87" s="5" t="str" cm="1">
        <f t="array" ref="T87">IF(ISBLANK(T$3),S87&amp;R87,INDEX(pixel_shift_table.asm!$C$3:$R$114, T$2*16 + T$3 + INT($A87/16) + 1, MOD($A87, 16) + 1))</f>
        <v>AA</v>
      </c>
      <c r="U87" s="7" t="str" cm="1">
        <f t="array" ref="U87">IF(ISBLANK(U$3),T87&amp;S87,INDEX(pixel_shift_table.asm!$C$3:$R$114, U$2*16 + U$3 + INT($A87/16) + 1, MOD($A87, 16) + 1))</f>
        <v>AA4E</v>
      </c>
      <c r="V87" s="6" t="str" cm="1">
        <f t="array" ref="V87">IF(ISBLANK(V$3),U87&amp;T87,INDEX(pixel_shift_table.asm!$C$3:$R$114, V$2*16 + V$3 + INT($A87/16) + 1, MOD($A87, 16) + 1))</f>
        <v>90</v>
      </c>
      <c r="W87" s="5" t="str" cm="1">
        <f t="array" ref="W87">IF(ISBLANK(W$3),V87&amp;U87,INDEX(pixel_shift_table.asm!$C$3:$R$114, W$2*16 + W$3 + INT($A87/16) + 1, MOD($A87, 16) + 1))</f>
        <v>AB</v>
      </c>
      <c r="X87" s="7" t="str" cm="1">
        <f t="array" ref="X87">IF(ISBLANK(X$3),W87&amp;V87,INDEX(pixel_shift_table.asm!$C$3:$R$114, X$2*16 + X$3 + INT($A87/16) + 1, MOD($A87, 16) + 1))</f>
        <v>AB90</v>
      </c>
    </row>
    <row r="88" spans="1:24" x14ac:dyDescent="0.3">
      <c r="A88">
        <v>83</v>
      </c>
      <c r="B88" s="8">
        <v>10100.11</v>
      </c>
      <c r="C88" s="5" t="s">
        <v>832</v>
      </c>
      <c r="D88" s="6" t="str" cm="1">
        <f t="array" ref="D88">IF(ISBLANK(D$3),C88&amp;B88,INDEX(pixel_shift_table.asm!$C$3:$R$114, D$2*16 + D$3 + INT($A88/16) + 1, MOD($A88, 16) + 1))</f>
        <v>92</v>
      </c>
      <c r="E88" s="5" t="str" cm="1">
        <f t="array" ref="E88">IF(ISBLANK(E$3),D88&amp;C88,INDEX(pixel_shift_table.asm!$C$3:$R$114, E$2*16 + E$3 + INT($A88/16) + 1, MOD($A88, 16) + 1))</f>
        <v>AB</v>
      </c>
      <c r="F88" s="7" t="str" cm="1">
        <f t="array" ref="F88">IF(ISBLANK(F$3),E88&amp;D88,INDEX(pixel_shift_table.asm!$C$3:$R$114, F$2*16 + F$3 + INT($A88/16) + 1, MOD($A88, 16) + 1))</f>
        <v>AB92</v>
      </c>
      <c r="G88" s="6" t="str" cm="1">
        <f t="array" ref="G88">IF(ISBLANK(G$3),F88&amp;E88,INDEX(pixel_shift_table.asm!$C$3:$R$114, G$2*16 + G$3 + INT($A88/16) + 1, MOD($A88, 16) + 1))</f>
        <v>94</v>
      </c>
      <c r="H88" s="5" t="str" cm="1">
        <f t="array" ref="H88">IF(ISBLANK(H$3),G88&amp;F88,INDEX(pixel_shift_table.asm!$C$3:$R$114, H$2*16 + H$3 + INT($A88/16) + 1, MOD($A88, 16) + 1))</f>
        <v>AB</v>
      </c>
      <c r="I88" s="7" t="str" cm="1">
        <f t="array" ref="I88">IF(ISBLANK(I$3),H88&amp;G88,INDEX(pixel_shift_table.asm!$C$3:$R$114, I$2*16 + I$3 + INT($A88/16) + 1, MOD($A88, 16) + 1))</f>
        <v>AB94</v>
      </c>
      <c r="J88" s="6" t="str" cm="1">
        <f t="array" ref="J88">IF(ISBLANK(J$3),I88&amp;H88,INDEX(pixel_shift_table.asm!$C$3:$R$114, J$2*16 + J$3 + INT($A88/16) + 1, MOD($A88, 16) + 1))</f>
        <v>96</v>
      </c>
      <c r="K88" s="5" t="str" cm="1">
        <f t="array" ref="K88">IF(ISBLANK(K$3),J88&amp;I88,INDEX(pixel_shift_table.asm!$C$3:$R$114, K$2*16 + K$3 + INT($A88/16) + 1, MOD($A88, 16) + 1))</f>
        <v>AB</v>
      </c>
      <c r="L88" s="7" t="str" cm="1">
        <f t="array" ref="L88">IF(ISBLANK(L$3),K88&amp;J88,INDEX(pixel_shift_table.asm!$C$3:$R$114, L$2*16 + L$3 + INT($A88/16) + 1, MOD($A88, 16) + 1))</f>
        <v>AB96</v>
      </c>
      <c r="M88" s="6" t="str" cm="1">
        <f t="array" ref="M88">IF(ISBLANK(M$3),L88&amp;K88,INDEX(pixel_shift_table.asm!$C$3:$R$114, M$2*16 + M$3 + INT($A88/16) + 1, MOD($A88, 16) + 1))</f>
        <v>98</v>
      </c>
      <c r="N88" s="5" t="str" cm="1">
        <f t="array" ref="N88">IF(ISBLANK(N$3),M88&amp;L88,INDEX(pixel_shift_table.asm!$C$3:$R$114, N$2*16 + N$3 + INT($A88/16) + 1, MOD($A88, 16) + 1))</f>
        <v>AB</v>
      </c>
      <c r="O88" s="7" t="str" cm="1">
        <f t="array" ref="O88">IF(ISBLANK(O$3),N88&amp;M88,INDEX(pixel_shift_table.asm!$C$3:$R$114, O$2*16 + O$3 + INT($A88/16) + 1, MOD($A88, 16) + 1))</f>
        <v>AB98</v>
      </c>
      <c r="P88" s="6" t="str" cm="1">
        <f t="array" ref="P88">IF(ISBLANK(P$3),O88&amp;N88,INDEX(pixel_shift_table.asm!$C$3:$R$114, P$2*16 + P$3 + INT($A88/16) + 1, MOD($A88, 16) + 1))</f>
        <v>9A</v>
      </c>
      <c r="Q88" s="5" t="str" cm="1">
        <f t="array" ref="Q88">IF(ISBLANK(Q$3),P88&amp;O88,INDEX(pixel_shift_table.asm!$C$3:$R$114, Q$2*16 + Q$3 + INT($A88/16) + 1, MOD($A88, 16) + 1))</f>
        <v>AB</v>
      </c>
      <c r="R88" s="7" t="str" cm="1">
        <f t="array" ref="R88">IF(ISBLANK(R$3),Q88&amp;P88,INDEX(pixel_shift_table.asm!$C$3:$R$114, R$2*16 + R$3 + INT($A88/16) + 1, MOD($A88, 16) + 1))</f>
        <v>AB9A</v>
      </c>
      <c r="S88" s="6" t="str" cm="1">
        <f t="array" ref="S88">IF(ISBLANK(S$3),R88&amp;Q88,INDEX(pixel_shift_table.asm!$C$3:$R$114, S$2*16 + S$3 + INT($A88/16) + 1, MOD($A88, 16) + 1))</f>
        <v>9C</v>
      </c>
      <c r="T88" s="5" t="str" cm="1">
        <f t="array" ref="T88">IF(ISBLANK(T$3),S88&amp;R88,INDEX(pixel_shift_table.asm!$C$3:$R$114, T$2*16 + T$3 + INT($A88/16) + 1, MOD($A88, 16) + 1))</f>
        <v>AB</v>
      </c>
      <c r="U88" s="7" t="str" cm="1">
        <f t="array" ref="U88">IF(ISBLANK(U$3),T88&amp;S88,INDEX(pixel_shift_table.asm!$C$3:$R$114, U$2*16 + U$3 + INT($A88/16) + 1, MOD($A88, 16) + 1))</f>
        <v>AB9C</v>
      </c>
      <c r="V88" s="6" t="str" cm="1">
        <f t="array" ref="V88">IF(ISBLANK(V$3),U88&amp;T88,INDEX(pixel_shift_table.asm!$C$3:$R$114, V$2*16 + V$3 + INT($A88/16) + 1, MOD($A88, 16) + 1))</f>
        <v>9E</v>
      </c>
      <c r="W88" s="5" t="str" cm="1">
        <f t="array" ref="W88">IF(ISBLANK(W$3),V88&amp;U88,INDEX(pixel_shift_table.asm!$C$3:$R$114, W$2*16 + W$3 + INT($A88/16) + 1, MOD($A88, 16) + 1))</f>
        <v>AB</v>
      </c>
      <c r="X88" s="7" t="str" cm="1">
        <f t="array" ref="X88">IF(ISBLANK(X$3),W88&amp;V88,INDEX(pixel_shift_table.asm!$C$3:$R$114, X$2*16 + X$3 + INT($A88/16) + 1, MOD($A88, 16) + 1))</f>
        <v>AB9E</v>
      </c>
    </row>
    <row r="89" spans="1:24" x14ac:dyDescent="0.3">
      <c r="A89">
        <v>84</v>
      </c>
      <c r="B89" s="8">
        <v>10101</v>
      </c>
      <c r="C89" s="5" t="s">
        <v>833</v>
      </c>
      <c r="D89" s="6" t="str" cm="1">
        <f t="array" ref="D89">IF(ISBLANK(D$3),C89&amp;B89,INDEX(pixel_shift_table.asm!$C$3:$R$114, D$2*16 + D$3 + INT($A89/16) + 1, MOD($A89, 16) + 1))</f>
        <v>A6</v>
      </c>
      <c r="E89" s="5" t="str" cm="1">
        <f t="array" ref="E89">IF(ISBLANK(E$3),D89&amp;C89,INDEX(pixel_shift_table.asm!$C$3:$R$114, E$2*16 + E$3 + INT($A89/16) + 1, MOD($A89, 16) + 1))</f>
        <v>A9</v>
      </c>
      <c r="F89" s="7" t="str" cm="1">
        <f t="array" ref="F89">IF(ISBLANK(F$3),E89&amp;D89,INDEX(pixel_shift_table.asm!$C$3:$R$114, F$2*16 + F$3 + INT($A89/16) + 1, MOD($A89, 16) + 1))</f>
        <v>A9A6</v>
      </c>
      <c r="G89" s="6" t="str" cm="1">
        <f t="array" ref="G89">IF(ISBLANK(G$3),F89&amp;E89,INDEX(pixel_shift_table.asm!$C$3:$R$114, G$2*16 + G$3 + INT($A89/16) + 1, MOD($A89, 16) + 1))</f>
        <v>A8</v>
      </c>
      <c r="H89" s="5" t="str" cm="1">
        <f t="array" ref="H89">IF(ISBLANK(H$3),G89&amp;F89,INDEX(pixel_shift_table.asm!$C$3:$R$114, H$2*16 + H$3 + INT($A89/16) + 1, MOD($A89, 16) + 1))</f>
        <v>A9</v>
      </c>
      <c r="I89" s="7" t="str" cm="1">
        <f t="array" ref="I89">IF(ISBLANK(I$3),H89&amp;G89,INDEX(pixel_shift_table.asm!$C$3:$R$114, I$2*16 + I$3 + INT($A89/16) + 1, MOD($A89, 16) + 1))</f>
        <v>A9A8</v>
      </c>
      <c r="J89" s="6" t="str" cm="1">
        <f t="array" ref="J89">IF(ISBLANK(J$3),I89&amp;H89,INDEX(pixel_shift_table.asm!$C$3:$R$114, J$2*16 + J$3 + INT($A89/16) + 1, MOD($A89, 16) + 1))</f>
        <v>AA</v>
      </c>
      <c r="K89" s="5" t="str" cm="1">
        <f t="array" ref="K89">IF(ISBLANK(K$3),J89&amp;I89,INDEX(pixel_shift_table.asm!$C$3:$R$114, K$2*16 + K$3 + INT($A89/16) + 1, MOD($A89, 16) + 1))</f>
        <v>A9</v>
      </c>
      <c r="L89" s="7" t="str" cm="1">
        <f t="array" ref="L89">IF(ISBLANK(L$3),K89&amp;J89,INDEX(pixel_shift_table.asm!$C$3:$R$114, L$2*16 + L$3 + INT($A89/16) + 1, MOD($A89, 16) + 1))</f>
        <v>A9AA</v>
      </c>
      <c r="M89" s="6" t="str" cm="1">
        <f t="array" ref="M89">IF(ISBLANK(M$3),L89&amp;K89,INDEX(pixel_shift_table.asm!$C$3:$R$114, M$2*16 + M$3 + INT($A89/16) + 1, MOD($A89, 16) + 1))</f>
        <v>AC</v>
      </c>
      <c r="N89" s="5" t="str" cm="1">
        <f t="array" ref="N89">IF(ISBLANK(N$3),M89&amp;L89,INDEX(pixel_shift_table.asm!$C$3:$R$114, N$2*16 + N$3 + INT($A89/16) + 1, MOD($A89, 16) + 1))</f>
        <v>A9</v>
      </c>
      <c r="O89" s="7" t="str" cm="1">
        <f t="array" ref="O89">IF(ISBLANK(O$3),N89&amp;M89,INDEX(pixel_shift_table.asm!$C$3:$R$114, O$2*16 + O$3 + INT($A89/16) + 1, MOD($A89, 16) + 1))</f>
        <v>A9AC</v>
      </c>
      <c r="P89" s="6" t="str" cm="1">
        <f t="array" ref="P89">IF(ISBLANK(P$3),O89&amp;N89,INDEX(pixel_shift_table.asm!$C$3:$R$114, P$2*16 + P$3 + INT($A89/16) + 1, MOD($A89, 16) + 1))</f>
        <v>AE</v>
      </c>
      <c r="Q89" s="5" t="str" cm="1">
        <f t="array" ref="Q89">IF(ISBLANK(Q$3),P89&amp;O89,INDEX(pixel_shift_table.asm!$C$3:$R$114, Q$2*16 + Q$3 + INT($A89/16) + 1, MOD($A89, 16) + 1))</f>
        <v>A9</v>
      </c>
      <c r="R89" s="7" t="str" cm="1">
        <f t="array" ref="R89">IF(ISBLANK(R$3),Q89&amp;P89,INDEX(pixel_shift_table.asm!$C$3:$R$114, R$2*16 + R$3 + INT($A89/16) + 1, MOD($A89, 16) + 1))</f>
        <v>A9AE</v>
      </c>
      <c r="S89" s="6" t="str" cm="1">
        <f t="array" ref="S89">IF(ISBLANK(S$3),R89&amp;Q89,INDEX(pixel_shift_table.asm!$C$3:$R$114, S$2*16 + S$3 + INT($A89/16) + 1, MOD($A89, 16) + 1))</f>
        <v>50</v>
      </c>
      <c r="T89" s="5" t="str" cm="1">
        <f t="array" ref="T89">IF(ISBLANK(T$3),S89&amp;R89,INDEX(pixel_shift_table.asm!$C$3:$R$114, T$2*16 + T$3 + INT($A89/16) + 1, MOD($A89, 16) + 1))</f>
        <v>AA</v>
      </c>
      <c r="U89" s="7" t="str" cm="1">
        <f t="array" ref="U89">IF(ISBLANK(U$3),T89&amp;S89,INDEX(pixel_shift_table.asm!$C$3:$R$114, U$2*16 + U$3 + INT($A89/16) + 1, MOD($A89, 16) + 1))</f>
        <v>AA50</v>
      </c>
      <c r="V89" s="6" t="str" cm="1">
        <f t="array" ref="V89">IF(ISBLANK(V$3),U89&amp;T89,INDEX(pixel_shift_table.asm!$C$3:$R$114, V$2*16 + V$3 + INT($A89/16) + 1, MOD($A89, 16) + 1))</f>
        <v>A0</v>
      </c>
      <c r="W89" s="5" t="str" cm="1">
        <f t="array" ref="W89">IF(ISBLANK(W$3),V89&amp;U89,INDEX(pixel_shift_table.asm!$C$3:$R$114, W$2*16 + W$3 + INT($A89/16) + 1, MOD($A89, 16) + 1))</f>
        <v>AB</v>
      </c>
      <c r="X89" s="7" t="str" cm="1">
        <f t="array" ref="X89">IF(ISBLANK(X$3),W89&amp;V89,INDEX(pixel_shift_table.asm!$C$3:$R$114, X$2*16 + X$3 + INT($A89/16) + 1, MOD($A89, 16) + 1))</f>
        <v>ABA0</v>
      </c>
    </row>
    <row r="90" spans="1:24" x14ac:dyDescent="0.3">
      <c r="A90">
        <v>85</v>
      </c>
      <c r="B90" s="8">
        <v>10101.01</v>
      </c>
      <c r="C90" s="5" t="s">
        <v>834</v>
      </c>
      <c r="D90" s="6" t="str" cm="1">
        <f t="array" ref="D90">IF(ISBLANK(D$3),C90&amp;B90,INDEX(pixel_shift_table.asm!$C$3:$R$114, D$2*16 + D$3 + INT($A90/16) + 1, MOD($A90, 16) + 1))</f>
        <v>A2</v>
      </c>
      <c r="E90" s="5" t="str" cm="1">
        <f t="array" ref="E90">IF(ISBLANK(E$3),D90&amp;C90,INDEX(pixel_shift_table.asm!$C$3:$R$114, E$2*16 + E$3 + INT($A90/16) + 1, MOD($A90, 16) + 1))</f>
        <v>AB</v>
      </c>
      <c r="F90" s="7" t="str" cm="1">
        <f t="array" ref="F90">IF(ISBLANK(F$3),E90&amp;D90,INDEX(pixel_shift_table.asm!$C$3:$R$114, F$2*16 + F$3 + INT($A90/16) + 1, MOD($A90, 16) + 1))</f>
        <v>ABA2</v>
      </c>
      <c r="G90" s="6" t="str" cm="1">
        <f t="array" ref="G90">IF(ISBLANK(G$3),F90&amp;E90,INDEX(pixel_shift_table.asm!$C$3:$R$114, G$2*16 + G$3 + INT($A90/16) + 1, MOD($A90, 16) + 1))</f>
        <v>A4</v>
      </c>
      <c r="H90" s="5" t="str" cm="1">
        <f t="array" ref="H90">IF(ISBLANK(H$3),G90&amp;F90,INDEX(pixel_shift_table.asm!$C$3:$R$114, H$2*16 + H$3 + INT($A90/16) + 1, MOD($A90, 16) + 1))</f>
        <v>AB</v>
      </c>
      <c r="I90" s="7" t="str" cm="1">
        <f t="array" ref="I90">IF(ISBLANK(I$3),H90&amp;G90,INDEX(pixel_shift_table.asm!$C$3:$R$114, I$2*16 + I$3 + INT($A90/16) + 1, MOD($A90, 16) + 1))</f>
        <v>ABA4</v>
      </c>
      <c r="J90" s="6" t="str" cm="1">
        <f t="array" ref="J90">IF(ISBLANK(J$3),I90&amp;H90,INDEX(pixel_shift_table.asm!$C$3:$R$114, J$2*16 + J$3 + INT($A90/16) + 1, MOD($A90, 16) + 1))</f>
        <v>A6</v>
      </c>
      <c r="K90" s="5" t="str" cm="1">
        <f t="array" ref="K90">IF(ISBLANK(K$3),J90&amp;I90,INDEX(pixel_shift_table.asm!$C$3:$R$114, K$2*16 + K$3 + INT($A90/16) + 1, MOD($A90, 16) + 1))</f>
        <v>AB</v>
      </c>
      <c r="L90" s="7" t="str" cm="1">
        <f t="array" ref="L90">IF(ISBLANK(L$3),K90&amp;J90,INDEX(pixel_shift_table.asm!$C$3:$R$114, L$2*16 + L$3 + INT($A90/16) + 1, MOD($A90, 16) + 1))</f>
        <v>ABA6</v>
      </c>
      <c r="M90" s="6" t="str" cm="1">
        <f t="array" ref="M90">IF(ISBLANK(M$3),L90&amp;K90,INDEX(pixel_shift_table.asm!$C$3:$R$114, M$2*16 + M$3 + INT($A90/16) + 1, MOD($A90, 16) + 1))</f>
        <v>A8</v>
      </c>
      <c r="N90" s="5" t="str" cm="1">
        <f t="array" ref="N90">IF(ISBLANK(N$3),M90&amp;L90,INDEX(pixel_shift_table.asm!$C$3:$R$114, N$2*16 + N$3 + INT($A90/16) + 1, MOD($A90, 16) + 1))</f>
        <v>AB</v>
      </c>
      <c r="O90" s="7" t="str" cm="1">
        <f t="array" ref="O90">IF(ISBLANK(O$3),N90&amp;M90,INDEX(pixel_shift_table.asm!$C$3:$R$114, O$2*16 + O$3 + INT($A90/16) + 1, MOD($A90, 16) + 1))</f>
        <v>ABA8</v>
      </c>
      <c r="P90" s="6" t="str" cm="1">
        <f t="array" ref="P90">IF(ISBLANK(P$3),O90&amp;N90,INDEX(pixel_shift_table.asm!$C$3:$R$114, P$2*16 + P$3 + INT($A90/16) + 1, MOD($A90, 16) + 1))</f>
        <v>AA</v>
      </c>
      <c r="Q90" s="5" t="str" cm="1">
        <f t="array" ref="Q90">IF(ISBLANK(Q$3),P90&amp;O90,INDEX(pixel_shift_table.asm!$C$3:$R$114, Q$2*16 + Q$3 + INT($A90/16) + 1, MOD($A90, 16) + 1))</f>
        <v>AB</v>
      </c>
      <c r="R90" s="7" t="str" cm="1">
        <f t="array" ref="R90">IF(ISBLANK(R$3),Q90&amp;P90,INDEX(pixel_shift_table.asm!$C$3:$R$114, R$2*16 + R$3 + INT($A90/16) + 1, MOD($A90, 16) + 1))</f>
        <v>ABAA</v>
      </c>
      <c r="S90" s="6" t="str" cm="1">
        <f t="array" ref="S90">IF(ISBLANK(S$3),R90&amp;Q90,INDEX(pixel_shift_table.asm!$C$3:$R$114, S$2*16 + S$3 + INT($A90/16) + 1, MOD($A90, 16) + 1))</f>
        <v>AC</v>
      </c>
      <c r="T90" s="5" t="str" cm="1">
        <f t="array" ref="T90">IF(ISBLANK(T$3),S90&amp;R90,INDEX(pixel_shift_table.asm!$C$3:$R$114, T$2*16 + T$3 + INT($A90/16) + 1, MOD($A90, 16) + 1))</f>
        <v>AB</v>
      </c>
      <c r="U90" s="7" t="str" cm="1">
        <f t="array" ref="U90">IF(ISBLANK(U$3),T90&amp;S90,INDEX(pixel_shift_table.asm!$C$3:$R$114, U$2*16 + U$3 + INT($A90/16) + 1, MOD($A90, 16) + 1))</f>
        <v>ABAC</v>
      </c>
      <c r="V90" s="6" t="str" cm="1">
        <f t="array" ref="V90">IF(ISBLANK(V$3),U90&amp;T90,INDEX(pixel_shift_table.asm!$C$3:$R$114, V$2*16 + V$3 + INT($A90/16) + 1, MOD($A90, 16) + 1))</f>
        <v>AE</v>
      </c>
      <c r="W90" s="5" t="str" cm="1">
        <f t="array" ref="W90">IF(ISBLANK(W$3),V90&amp;U90,INDEX(pixel_shift_table.asm!$C$3:$R$114, W$2*16 + W$3 + INT($A90/16) + 1, MOD($A90, 16) + 1))</f>
        <v>AB</v>
      </c>
      <c r="X90" s="7" t="str" cm="1">
        <f t="array" ref="X90">IF(ISBLANK(X$3),W90&amp;V90,INDEX(pixel_shift_table.asm!$C$3:$R$114, X$2*16 + X$3 + INT($A90/16) + 1, MOD($A90, 16) + 1))</f>
        <v>ABAE</v>
      </c>
    </row>
    <row r="91" spans="1:24" x14ac:dyDescent="0.3">
      <c r="A91">
        <v>86</v>
      </c>
      <c r="B91" s="8">
        <v>10101.1</v>
      </c>
      <c r="C91" s="5" t="s">
        <v>835</v>
      </c>
      <c r="D91" s="6" t="str" cm="1">
        <f t="array" ref="D91">IF(ISBLANK(D$3),C91&amp;B91,INDEX(pixel_shift_table.asm!$C$3:$R$114, D$2*16 + D$3 + INT($A91/16) + 1, MOD($A91, 16) + 1))</f>
        <v>54</v>
      </c>
      <c r="E91" s="5" t="str" cm="1">
        <f t="array" ref="E91">IF(ISBLANK(E$3),D91&amp;C91,INDEX(pixel_shift_table.asm!$C$3:$R$114, E$2*16 + E$3 + INT($A91/16) + 1, MOD($A91, 16) + 1))</f>
        <v>AA</v>
      </c>
      <c r="F91" s="7" t="str" cm="1">
        <f t="array" ref="F91">IF(ISBLANK(F$3),E91&amp;D91,INDEX(pixel_shift_table.asm!$C$3:$R$114, F$2*16 + F$3 + INT($A91/16) + 1, MOD($A91, 16) + 1))</f>
        <v>AA54</v>
      </c>
      <c r="G91" s="6" t="str" cm="1">
        <f t="array" ref="G91">IF(ISBLANK(G$3),F91&amp;E91,INDEX(pixel_shift_table.asm!$C$3:$R$114, G$2*16 + G$3 + INT($A91/16) + 1, MOD($A91, 16) + 1))</f>
        <v>56</v>
      </c>
      <c r="H91" s="5" t="str" cm="1">
        <f t="array" ref="H91">IF(ISBLANK(H$3),G91&amp;F91,INDEX(pixel_shift_table.asm!$C$3:$R$114, H$2*16 + H$3 + INT($A91/16) + 1, MOD($A91, 16) + 1))</f>
        <v>AA</v>
      </c>
      <c r="I91" s="7" t="str" cm="1">
        <f t="array" ref="I91">IF(ISBLANK(I$3),H91&amp;G91,INDEX(pixel_shift_table.asm!$C$3:$R$114, I$2*16 + I$3 + INT($A91/16) + 1, MOD($A91, 16) + 1))</f>
        <v>AA56</v>
      </c>
      <c r="J91" s="6" t="str" cm="1">
        <f t="array" ref="J91">IF(ISBLANK(J$3),I91&amp;H91,INDEX(pixel_shift_table.asm!$C$3:$R$114, J$2*16 + J$3 + INT($A91/16) + 1, MOD($A91, 16) + 1))</f>
        <v>58</v>
      </c>
      <c r="K91" s="5" t="str" cm="1">
        <f t="array" ref="K91">IF(ISBLANK(K$3),J91&amp;I91,INDEX(pixel_shift_table.asm!$C$3:$R$114, K$2*16 + K$3 + INT($A91/16) + 1, MOD($A91, 16) + 1))</f>
        <v>AA</v>
      </c>
      <c r="L91" s="7" t="str" cm="1">
        <f t="array" ref="L91">IF(ISBLANK(L$3),K91&amp;J91,INDEX(pixel_shift_table.asm!$C$3:$R$114, L$2*16 + L$3 + INT($A91/16) + 1, MOD($A91, 16) + 1))</f>
        <v>AA58</v>
      </c>
      <c r="M91" s="6" t="str" cm="1">
        <f t="array" ref="M91">IF(ISBLANK(M$3),L91&amp;K91,INDEX(pixel_shift_table.asm!$C$3:$R$114, M$2*16 + M$3 + INT($A91/16) + 1, MOD($A91, 16) + 1))</f>
        <v>5A</v>
      </c>
      <c r="N91" s="5" t="str" cm="1">
        <f t="array" ref="N91">IF(ISBLANK(N$3),M91&amp;L91,INDEX(pixel_shift_table.asm!$C$3:$R$114, N$2*16 + N$3 + INT($A91/16) + 1, MOD($A91, 16) + 1))</f>
        <v>AA</v>
      </c>
      <c r="O91" s="7" t="str" cm="1">
        <f t="array" ref="O91">IF(ISBLANK(O$3),N91&amp;M91,INDEX(pixel_shift_table.asm!$C$3:$R$114, O$2*16 + O$3 + INT($A91/16) + 1, MOD($A91, 16) + 1))</f>
        <v>AA5A</v>
      </c>
      <c r="P91" s="6" t="str" cm="1">
        <f t="array" ref="P91">IF(ISBLANK(P$3),O91&amp;N91,INDEX(pixel_shift_table.asm!$C$3:$R$114, P$2*16 + P$3 + INT($A91/16) + 1, MOD($A91, 16) + 1))</f>
        <v>5C</v>
      </c>
      <c r="Q91" s="5" t="str" cm="1">
        <f t="array" ref="Q91">IF(ISBLANK(Q$3),P91&amp;O91,INDEX(pixel_shift_table.asm!$C$3:$R$114, Q$2*16 + Q$3 + INT($A91/16) + 1, MOD($A91, 16) + 1))</f>
        <v>AA</v>
      </c>
      <c r="R91" s="7" t="str" cm="1">
        <f t="array" ref="R91">IF(ISBLANK(R$3),Q91&amp;P91,INDEX(pixel_shift_table.asm!$C$3:$R$114, R$2*16 + R$3 + INT($A91/16) + 1, MOD($A91, 16) + 1))</f>
        <v>AA5C</v>
      </c>
      <c r="S91" s="6" t="str" cm="1">
        <f t="array" ref="S91">IF(ISBLANK(S$3),R91&amp;Q91,INDEX(pixel_shift_table.asm!$C$3:$R$114, S$2*16 + S$3 + INT($A91/16) + 1, MOD($A91, 16) + 1))</f>
        <v>5E</v>
      </c>
      <c r="T91" s="5" t="str" cm="1">
        <f t="array" ref="T91">IF(ISBLANK(T$3),S91&amp;R91,INDEX(pixel_shift_table.asm!$C$3:$R$114, T$2*16 + T$3 + INT($A91/16) + 1, MOD($A91, 16) + 1))</f>
        <v>AA</v>
      </c>
      <c r="U91" s="7" t="str" cm="1">
        <f t="array" ref="U91">IF(ISBLANK(U$3),T91&amp;S91,INDEX(pixel_shift_table.asm!$C$3:$R$114, U$2*16 + U$3 + INT($A91/16) + 1, MOD($A91, 16) + 1))</f>
        <v>AA5E</v>
      </c>
      <c r="V91" s="6" t="str" cm="1">
        <f t="array" ref="V91">IF(ISBLANK(V$3),U91&amp;T91,INDEX(pixel_shift_table.asm!$C$3:$R$114, V$2*16 + V$3 + INT($A91/16) + 1, MOD($A91, 16) + 1))</f>
        <v>B0</v>
      </c>
      <c r="W91" s="5" t="str" cm="1">
        <f t="array" ref="W91">IF(ISBLANK(W$3),V91&amp;U91,INDEX(pixel_shift_table.asm!$C$3:$R$114, W$2*16 + W$3 + INT($A91/16) + 1, MOD($A91, 16) + 1))</f>
        <v>AB</v>
      </c>
      <c r="X91" s="7" t="str" cm="1">
        <f t="array" ref="X91">IF(ISBLANK(X$3),W91&amp;V91,INDEX(pixel_shift_table.asm!$C$3:$R$114, X$2*16 + X$3 + INT($A91/16) + 1, MOD($A91, 16) + 1))</f>
        <v>ABB0</v>
      </c>
    </row>
    <row r="92" spans="1:24" x14ac:dyDescent="0.3">
      <c r="A92">
        <v>87</v>
      </c>
      <c r="B92" s="8">
        <v>10101.11</v>
      </c>
      <c r="C92" s="5" t="s">
        <v>836</v>
      </c>
      <c r="D92" s="6" t="str" cm="1">
        <f t="array" ref="D92">IF(ISBLANK(D$3),C92&amp;B92,INDEX(pixel_shift_table.asm!$C$3:$R$114, D$2*16 + D$3 + INT($A92/16) + 1, MOD($A92, 16) + 1))</f>
        <v>B2</v>
      </c>
      <c r="E92" s="5" t="str" cm="1">
        <f t="array" ref="E92">IF(ISBLANK(E$3),D92&amp;C92,INDEX(pixel_shift_table.asm!$C$3:$R$114, E$2*16 + E$3 + INT($A92/16) + 1, MOD($A92, 16) + 1))</f>
        <v>AB</v>
      </c>
      <c r="F92" s="7" t="str" cm="1">
        <f t="array" ref="F92">IF(ISBLANK(F$3),E92&amp;D92,INDEX(pixel_shift_table.asm!$C$3:$R$114, F$2*16 + F$3 + INT($A92/16) + 1, MOD($A92, 16) + 1))</f>
        <v>ABB2</v>
      </c>
      <c r="G92" s="6" t="str" cm="1">
        <f t="array" ref="G92">IF(ISBLANK(G$3),F92&amp;E92,INDEX(pixel_shift_table.asm!$C$3:$R$114, G$2*16 + G$3 + INT($A92/16) + 1, MOD($A92, 16) + 1))</f>
        <v>B4</v>
      </c>
      <c r="H92" s="5" t="str" cm="1">
        <f t="array" ref="H92">IF(ISBLANK(H$3),G92&amp;F92,INDEX(pixel_shift_table.asm!$C$3:$R$114, H$2*16 + H$3 + INT($A92/16) + 1, MOD($A92, 16) + 1))</f>
        <v>AB</v>
      </c>
      <c r="I92" s="7" t="str" cm="1">
        <f t="array" ref="I92">IF(ISBLANK(I$3),H92&amp;G92,INDEX(pixel_shift_table.asm!$C$3:$R$114, I$2*16 + I$3 + INT($A92/16) + 1, MOD($A92, 16) + 1))</f>
        <v>ABB4</v>
      </c>
      <c r="J92" s="6" t="str" cm="1">
        <f t="array" ref="J92">IF(ISBLANK(J$3),I92&amp;H92,INDEX(pixel_shift_table.asm!$C$3:$R$114, J$2*16 + J$3 + INT($A92/16) + 1, MOD($A92, 16) + 1))</f>
        <v>B6</v>
      </c>
      <c r="K92" s="5" t="str" cm="1">
        <f t="array" ref="K92">IF(ISBLANK(K$3),J92&amp;I92,INDEX(pixel_shift_table.asm!$C$3:$R$114, K$2*16 + K$3 + INT($A92/16) + 1, MOD($A92, 16) + 1))</f>
        <v>AB</v>
      </c>
      <c r="L92" s="7" t="str" cm="1">
        <f t="array" ref="L92">IF(ISBLANK(L$3),K92&amp;J92,INDEX(pixel_shift_table.asm!$C$3:$R$114, L$2*16 + L$3 + INT($A92/16) + 1, MOD($A92, 16) + 1))</f>
        <v>ABB6</v>
      </c>
      <c r="M92" s="6" t="str" cm="1">
        <f t="array" ref="M92">IF(ISBLANK(M$3),L92&amp;K92,INDEX(pixel_shift_table.asm!$C$3:$R$114, M$2*16 + M$3 + INT($A92/16) + 1, MOD($A92, 16) + 1))</f>
        <v>B8</v>
      </c>
      <c r="N92" s="5" t="str" cm="1">
        <f t="array" ref="N92">IF(ISBLANK(N$3),M92&amp;L92,INDEX(pixel_shift_table.asm!$C$3:$R$114, N$2*16 + N$3 + INT($A92/16) + 1, MOD($A92, 16) + 1))</f>
        <v>AB</v>
      </c>
      <c r="O92" s="7" t="str" cm="1">
        <f t="array" ref="O92">IF(ISBLANK(O$3),N92&amp;M92,INDEX(pixel_shift_table.asm!$C$3:$R$114, O$2*16 + O$3 + INT($A92/16) + 1, MOD($A92, 16) + 1))</f>
        <v>ABB8</v>
      </c>
      <c r="P92" s="6" t="str" cm="1">
        <f t="array" ref="P92">IF(ISBLANK(P$3),O92&amp;N92,INDEX(pixel_shift_table.asm!$C$3:$R$114, P$2*16 + P$3 + INT($A92/16) + 1, MOD($A92, 16) + 1))</f>
        <v>BA</v>
      </c>
      <c r="Q92" s="5" t="str" cm="1">
        <f t="array" ref="Q92">IF(ISBLANK(Q$3),P92&amp;O92,INDEX(pixel_shift_table.asm!$C$3:$R$114, Q$2*16 + Q$3 + INT($A92/16) + 1, MOD($A92, 16) + 1))</f>
        <v>AB</v>
      </c>
      <c r="R92" s="7" t="str" cm="1">
        <f t="array" ref="R92">IF(ISBLANK(R$3),Q92&amp;P92,INDEX(pixel_shift_table.asm!$C$3:$R$114, R$2*16 + R$3 + INT($A92/16) + 1, MOD($A92, 16) + 1))</f>
        <v>ABBA</v>
      </c>
      <c r="S92" s="6" t="str" cm="1">
        <f t="array" ref="S92">IF(ISBLANK(S$3),R92&amp;Q92,INDEX(pixel_shift_table.asm!$C$3:$R$114, S$2*16 + S$3 + INT($A92/16) + 1, MOD($A92, 16) + 1))</f>
        <v>BC</v>
      </c>
      <c r="T92" s="5" t="str" cm="1">
        <f t="array" ref="T92">IF(ISBLANK(T$3),S92&amp;R92,INDEX(pixel_shift_table.asm!$C$3:$R$114, T$2*16 + T$3 + INT($A92/16) + 1, MOD($A92, 16) + 1))</f>
        <v>AB</v>
      </c>
      <c r="U92" s="7" t="str" cm="1">
        <f t="array" ref="U92">IF(ISBLANK(U$3),T92&amp;S92,INDEX(pixel_shift_table.asm!$C$3:$R$114, U$2*16 + U$3 + INT($A92/16) + 1, MOD($A92, 16) + 1))</f>
        <v>ABBC</v>
      </c>
      <c r="V92" s="6" t="str" cm="1">
        <f t="array" ref="V92">IF(ISBLANK(V$3),U92&amp;T92,INDEX(pixel_shift_table.asm!$C$3:$R$114, V$2*16 + V$3 + INT($A92/16) + 1, MOD($A92, 16) + 1))</f>
        <v>BE</v>
      </c>
      <c r="W92" s="5" t="str" cm="1">
        <f t="array" ref="W92">IF(ISBLANK(W$3),V92&amp;U92,INDEX(pixel_shift_table.asm!$C$3:$R$114, W$2*16 + W$3 + INT($A92/16) + 1, MOD($A92, 16) + 1))</f>
        <v>AB</v>
      </c>
      <c r="X92" s="7" t="str" cm="1">
        <f t="array" ref="X92">IF(ISBLANK(X$3),W92&amp;V92,INDEX(pixel_shift_table.asm!$C$3:$R$114, X$2*16 + X$3 + INT($A92/16) + 1, MOD($A92, 16) + 1))</f>
        <v>ABBE</v>
      </c>
    </row>
    <row r="93" spans="1:24" x14ac:dyDescent="0.3">
      <c r="A93">
        <v>88</v>
      </c>
      <c r="B93" s="8">
        <v>10110</v>
      </c>
      <c r="C93" s="5" t="s">
        <v>837</v>
      </c>
      <c r="D93" s="6" t="str" cm="1">
        <f t="array" ref="D93">IF(ISBLANK(D$3),C93&amp;B93,INDEX(pixel_shift_table.asm!$C$3:$R$114, D$2*16 + D$3 + INT($A93/16) + 1, MOD($A93, 16) + 1))</f>
        <v>58</v>
      </c>
      <c r="E93" s="5" t="str" cm="1">
        <f t="array" ref="E93">IF(ISBLANK(E$3),D93&amp;C93,INDEX(pixel_shift_table.asm!$C$3:$R$114, E$2*16 + E$3 + INT($A93/16) + 1, MOD($A93, 16) + 1))</f>
        <v>A9</v>
      </c>
      <c r="F93" s="7" t="str" cm="1">
        <f t="array" ref="F93">IF(ISBLANK(F$3),E93&amp;D93,INDEX(pixel_shift_table.asm!$C$3:$R$114, F$2*16 + F$3 + INT($A93/16) + 1, MOD($A93, 16) + 1))</f>
        <v>A958</v>
      </c>
      <c r="G93" s="6" t="str" cm="1">
        <f t="array" ref="G93">IF(ISBLANK(G$3),F93&amp;E93,INDEX(pixel_shift_table.asm!$C$3:$R$114, G$2*16 + G$3 + INT($A93/16) + 1, MOD($A93, 16) + 1))</f>
        <v>5A</v>
      </c>
      <c r="H93" s="5" t="str" cm="1">
        <f t="array" ref="H93">IF(ISBLANK(H$3),G93&amp;F93,INDEX(pixel_shift_table.asm!$C$3:$R$114, H$2*16 + H$3 + INT($A93/16) + 1, MOD($A93, 16) + 1))</f>
        <v>A9</v>
      </c>
      <c r="I93" s="7" t="str" cm="1">
        <f t="array" ref="I93">IF(ISBLANK(I$3),H93&amp;G93,INDEX(pixel_shift_table.asm!$C$3:$R$114, I$2*16 + I$3 + INT($A93/16) + 1, MOD($A93, 16) + 1))</f>
        <v>A95A</v>
      </c>
      <c r="J93" s="6" t="str" cm="1">
        <f t="array" ref="J93">IF(ISBLANK(J$3),I93&amp;H93,INDEX(pixel_shift_table.asm!$C$3:$R$114, J$2*16 + J$3 + INT($A93/16) + 1, MOD($A93, 16) + 1))</f>
        <v>5C</v>
      </c>
      <c r="K93" s="5" t="str" cm="1">
        <f t="array" ref="K93">IF(ISBLANK(K$3),J93&amp;I93,INDEX(pixel_shift_table.asm!$C$3:$R$114, K$2*16 + K$3 + INT($A93/16) + 1, MOD($A93, 16) + 1))</f>
        <v>A9</v>
      </c>
      <c r="L93" s="7" t="str" cm="1">
        <f t="array" ref="L93">IF(ISBLANK(L$3),K93&amp;J93,INDEX(pixel_shift_table.asm!$C$3:$R$114, L$2*16 + L$3 + INT($A93/16) + 1, MOD($A93, 16) + 1))</f>
        <v>A95C</v>
      </c>
      <c r="M93" s="6" t="str" cm="1">
        <f t="array" ref="M93">IF(ISBLANK(M$3),L93&amp;K93,INDEX(pixel_shift_table.asm!$C$3:$R$114, M$2*16 + M$3 + INT($A93/16) + 1, MOD($A93, 16) + 1))</f>
        <v>5E</v>
      </c>
      <c r="N93" s="5" t="str" cm="1">
        <f t="array" ref="N93">IF(ISBLANK(N$3),M93&amp;L93,INDEX(pixel_shift_table.asm!$C$3:$R$114, N$2*16 + N$3 + INT($A93/16) + 1, MOD($A93, 16) + 1))</f>
        <v>A9</v>
      </c>
      <c r="O93" s="7" t="str" cm="1">
        <f t="array" ref="O93">IF(ISBLANK(O$3),N93&amp;M93,INDEX(pixel_shift_table.asm!$C$3:$R$114, O$2*16 + O$3 + INT($A93/16) + 1, MOD($A93, 16) + 1))</f>
        <v>A95E</v>
      </c>
      <c r="P93" s="6" t="str" cm="1">
        <f t="array" ref="P93">IF(ISBLANK(P$3),O93&amp;N93,INDEX(pixel_shift_table.asm!$C$3:$R$114, P$2*16 + P$3 + INT($A93/16) + 1, MOD($A93, 16) + 1))</f>
        <v>B0</v>
      </c>
      <c r="Q93" s="5" t="str" cm="1">
        <f t="array" ref="Q93">IF(ISBLANK(Q$3),P93&amp;O93,INDEX(pixel_shift_table.asm!$C$3:$R$114, Q$2*16 + Q$3 + INT($A93/16) + 1, MOD($A93, 16) + 1))</f>
        <v>A9</v>
      </c>
      <c r="R93" s="7" t="str" cm="1">
        <f t="array" ref="R93">IF(ISBLANK(R$3),Q93&amp;P93,INDEX(pixel_shift_table.asm!$C$3:$R$114, R$2*16 + R$3 + INT($A93/16) + 1, MOD($A93, 16) + 1))</f>
        <v>A9B0</v>
      </c>
      <c r="S93" s="6" t="str" cm="1">
        <f t="array" ref="S93">IF(ISBLANK(S$3),R93&amp;Q93,INDEX(pixel_shift_table.asm!$C$3:$R$114, S$2*16 + S$3 + INT($A93/16) + 1, MOD($A93, 16) + 1))</f>
        <v>60</v>
      </c>
      <c r="T93" s="5" t="str" cm="1">
        <f t="array" ref="T93">IF(ISBLANK(T$3),S93&amp;R93,INDEX(pixel_shift_table.asm!$C$3:$R$114, T$2*16 + T$3 + INT($A93/16) + 1, MOD($A93, 16) + 1))</f>
        <v>AA</v>
      </c>
      <c r="U93" s="7" t="str" cm="1">
        <f t="array" ref="U93">IF(ISBLANK(U$3),T93&amp;S93,INDEX(pixel_shift_table.asm!$C$3:$R$114, U$2*16 + U$3 + INT($A93/16) + 1, MOD($A93, 16) + 1))</f>
        <v>AA60</v>
      </c>
      <c r="V93" s="6" t="str" cm="1">
        <f t="array" ref="V93">IF(ISBLANK(V$3),U93&amp;T93,INDEX(pixel_shift_table.asm!$C$3:$R$114, V$2*16 + V$3 + INT($A93/16) + 1, MOD($A93, 16) + 1))</f>
        <v>C0</v>
      </c>
      <c r="W93" s="5" t="str" cm="1">
        <f t="array" ref="W93">IF(ISBLANK(W$3),V93&amp;U93,INDEX(pixel_shift_table.asm!$C$3:$R$114, W$2*16 + W$3 + INT($A93/16) + 1, MOD($A93, 16) + 1))</f>
        <v>AB</v>
      </c>
      <c r="X93" s="7" t="str" cm="1">
        <f t="array" ref="X93">IF(ISBLANK(X$3),W93&amp;V93,INDEX(pixel_shift_table.asm!$C$3:$R$114, X$2*16 + X$3 + INT($A93/16) + 1, MOD($A93, 16) + 1))</f>
        <v>ABC0</v>
      </c>
    </row>
    <row r="94" spans="1:24" x14ac:dyDescent="0.3">
      <c r="A94">
        <v>89</v>
      </c>
      <c r="B94" s="8">
        <v>10110.01</v>
      </c>
      <c r="C94" s="5" t="s">
        <v>838</v>
      </c>
      <c r="D94" s="6" t="str" cm="1">
        <f t="array" ref="D94">IF(ISBLANK(D$3),C94&amp;B94,INDEX(pixel_shift_table.asm!$C$3:$R$114, D$2*16 + D$3 + INT($A94/16) + 1, MOD($A94, 16) + 1))</f>
        <v>C2</v>
      </c>
      <c r="E94" s="5" t="str" cm="1">
        <f t="array" ref="E94">IF(ISBLANK(E$3),D94&amp;C94,INDEX(pixel_shift_table.asm!$C$3:$R$114, E$2*16 + E$3 + INT($A94/16) + 1, MOD($A94, 16) + 1))</f>
        <v>AB</v>
      </c>
      <c r="F94" s="7" t="str" cm="1">
        <f t="array" ref="F94">IF(ISBLANK(F$3),E94&amp;D94,INDEX(pixel_shift_table.asm!$C$3:$R$114, F$2*16 + F$3 + INT($A94/16) + 1, MOD($A94, 16) + 1))</f>
        <v>ABC2</v>
      </c>
      <c r="G94" s="6" t="str" cm="1">
        <f t="array" ref="G94">IF(ISBLANK(G$3),F94&amp;E94,INDEX(pixel_shift_table.asm!$C$3:$R$114, G$2*16 + G$3 + INT($A94/16) + 1, MOD($A94, 16) + 1))</f>
        <v>C4</v>
      </c>
      <c r="H94" s="5" t="str" cm="1">
        <f t="array" ref="H94">IF(ISBLANK(H$3),G94&amp;F94,INDEX(pixel_shift_table.asm!$C$3:$R$114, H$2*16 + H$3 + INT($A94/16) + 1, MOD($A94, 16) + 1))</f>
        <v>AB</v>
      </c>
      <c r="I94" s="7" t="str" cm="1">
        <f t="array" ref="I94">IF(ISBLANK(I$3),H94&amp;G94,INDEX(pixel_shift_table.asm!$C$3:$R$114, I$2*16 + I$3 + INT($A94/16) + 1, MOD($A94, 16) + 1))</f>
        <v>ABC4</v>
      </c>
      <c r="J94" s="6" t="str" cm="1">
        <f t="array" ref="J94">IF(ISBLANK(J$3),I94&amp;H94,INDEX(pixel_shift_table.asm!$C$3:$R$114, J$2*16 + J$3 + INT($A94/16) + 1, MOD($A94, 16) + 1))</f>
        <v>C6</v>
      </c>
      <c r="K94" s="5" t="str" cm="1">
        <f t="array" ref="K94">IF(ISBLANK(K$3),J94&amp;I94,INDEX(pixel_shift_table.asm!$C$3:$R$114, K$2*16 + K$3 + INT($A94/16) + 1, MOD($A94, 16) + 1))</f>
        <v>AB</v>
      </c>
      <c r="L94" s="7" t="str" cm="1">
        <f t="array" ref="L94">IF(ISBLANK(L$3),K94&amp;J94,INDEX(pixel_shift_table.asm!$C$3:$R$114, L$2*16 + L$3 + INT($A94/16) + 1, MOD($A94, 16) + 1))</f>
        <v>ABC6</v>
      </c>
      <c r="M94" s="6" t="str" cm="1">
        <f t="array" ref="M94">IF(ISBLANK(M$3),L94&amp;K94,INDEX(pixel_shift_table.asm!$C$3:$R$114, M$2*16 + M$3 + INT($A94/16) + 1, MOD($A94, 16) + 1))</f>
        <v>C8</v>
      </c>
      <c r="N94" s="5" t="str" cm="1">
        <f t="array" ref="N94">IF(ISBLANK(N$3),M94&amp;L94,INDEX(pixel_shift_table.asm!$C$3:$R$114, N$2*16 + N$3 + INT($A94/16) + 1, MOD($A94, 16) + 1))</f>
        <v>AB</v>
      </c>
      <c r="O94" s="7" t="str" cm="1">
        <f t="array" ref="O94">IF(ISBLANK(O$3),N94&amp;M94,INDEX(pixel_shift_table.asm!$C$3:$R$114, O$2*16 + O$3 + INT($A94/16) + 1, MOD($A94, 16) + 1))</f>
        <v>ABC8</v>
      </c>
      <c r="P94" s="6" t="str" cm="1">
        <f t="array" ref="P94">IF(ISBLANK(P$3),O94&amp;N94,INDEX(pixel_shift_table.asm!$C$3:$R$114, P$2*16 + P$3 + INT($A94/16) + 1, MOD($A94, 16) + 1))</f>
        <v>CA</v>
      </c>
      <c r="Q94" s="5" t="str" cm="1">
        <f t="array" ref="Q94">IF(ISBLANK(Q$3),P94&amp;O94,INDEX(pixel_shift_table.asm!$C$3:$R$114, Q$2*16 + Q$3 + INT($A94/16) + 1, MOD($A94, 16) + 1))</f>
        <v>AB</v>
      </c>
      <c r="R94" s="7" t="str" cm="1">
        <f t="array" ref="R94">IF(ISBLANK(R$3),Q94&amp;P94,INDEX(pixel_shift_table.asm!$C$3:$R$114, R$2*16 + R$3 + INT($A94/16) + 1, MOD($A94, 16) + 1))</f>
        <v>ABCA</v>
      </c>
      <c r="S94" s="6" t="str" cm="1">
        <f t="array" ref="S94">IF(ISBLANK(S$3),R94&amp;Q94,INDEX(pixel_shift_table.asm!$C$3:$R$114, S$2*16 + S$3 + INT($A94/16) + 1, MOD($A94, 16) + 1))</f>
        <v>CC</v>
      </c>
      <c r="T94" s="5" t="str" cm="1">
        <f t="array" ref="T94">IF(ISBLANK(T$3),S94&amp;R94,INDEX(pixel_shift_table.asm!$C$3:$R$114, T$2*16 + T$3 + INT($A94/16) + 1, MOD($A94, 16) + 1))</f>
        <v>AB</v>
      </c>
      <c r="U94" s="7" t="str" cm="1">
        <f t="array" ref="U94">IF(ISBLANK(U$3),T94&amp;S94,INDEX(pixel_shift_table.asm!$C$3:$R$114, U$2*16 + U$3 + INT($A94/16) + 1, MOD($A94, 16) + 1))</f>
        <v>ABCC</v>
      </c>
      <c r="V94" s="6" t="str" cm="1">
        <f t="array" ref="V94">IF(ISBLANK(V$3),U94&amp;T94,INDEX(pixel_shift_table.asm!$C$3:$R$114, V$2*16 + V$3 + INT($A94/16) + 1, MOD($A94, 16) + 1))</f>
        <v>CE</v>
      </c>
      <c r="W94" s="5" t="str" cm="1">
        <f t="array" ref="W94">IF(ISBLANK(W$3),V94&amp;U94,INDEX(pixel_shift_table.asm!$C$3:$R$114, W$2*16 + W$3 + INT($A94/16) + 1, MOD($A94, 16) + 1))</f>
        <v>AB</v>
      </c>
      <c r="X94" s="7" t="str" cm="1">
        <f t="array" ref="X94">IF(ISBLANK(X$3),W94&amp;V94,INDEX(pixel_shift_table.asm!$C$3:$R$114, X$2*16 + X$3 + INT($A94/16) + 1, MOD($A94, 16) + 1))</f>
        <v>ABCE</v>
      </c>
    </row>
    <row r="95" spans="1:24" x14ac:dyDescent="0.3">
      <c r="A95">
        <v>90</v>
      </c>
      <c r="B95" s="8">
        <v>10110.1</v>
      </c>
      <c r="C95" s="5" t="s">
        <v>839</v>
      </c>
      <c r="D95" s="6" t="str" cm="1">
        <f t="array" ref="D95">IF(ISBLANK(D$3),C95&amp;B95,INDEX(pixel_shift_table.asm!$C$3:$R$114, D$2*16 + D$3 + INT($A95/16) + 1, MOD($A95, 16) + 1))</f>
        <v>64</v>
      </c>
      <c r="E95" s="5" t="str" cm="1">
        <f t="array" ref="E95">IF(ISBLANK(E$3),D95&amp;C95,INDEX(pixel_shift_table.asm!$C$3:$R$114, E$2*16 + E$3 + INT($A95/16) + 1, MOD($A95, 16) + 1))</f>
        <v>AA</v>
      </c>
      <c r="F95" s="7" t="str" cm="1">
        <f t="array" ref="F95">IF(ISBLANK(F$3),E95&amp;D95,INDEX(pixel_shift_table.asm!$C$3:$R$114, F$2*16 + F$3 + INT($A95/16) + 1, MOD($A95, 16) + 1))</f>
        <v>AA64</v>
      </c>
      <c r="G95" s="6" t="str" cm="1">
        <f t="array" ref="G95">IF(ISBLANK(G$3),F95&amp;E95,INDEX(pixel_shift_table.asm!$C$3:$R$114, G$2*16 + G$3 + INT($A95/16) + 1, MOD($A95, 16) + 1))</f>
        <v>66</v>
      </c>
      <c r="H95" s="5" t="str" cm="1">
        <f t="array" ref="H95">IF(ISBLANK(H$3),G95&amp;F95,INDEX(pixel_shift_table.asm!$C$3:$R$114, H$2*16 + H$3 + INT($A95/16) + 1, MOD($A95, 16) + 1))</f>
        <v>AA</v>
      </c>
      <c r="I95" s="7" t="str" cm="1">
        <f t="array" ref="I95">IF(ISBLANK(I$3),H95&amp;G95,INDEX(pixel_shift_table.asm!$C$3:$R$114, I$2*16 + I$3 + INT($A95/16) + 1, MOD($A95, 16) + 1))</f>
        <v>AA66</v>
      </c>
      <c r="J95" s="6" t="str" cm="1">
        <f t="array" ref="J95">IF(ISBLANK(J$3),I95&amp;H95,INDEX(pixel_shift_table.asm!$C$3:$R$114, J$2*16 + J$3 + INT($A95/16) + 1, MOD($A95, 16) + 1))</f>
        <v>68</v>
      </c>
      <c r="K95" s="5" t="str" cm="1">
        <f t="array" ref="K95">IF(ISBLANK(K$3),J95&amp;I95,INDEX(pixel_shift_table.asm!$C$3:$R$114, K$2*16 + K$3 + INT($A95/16) + 1, MOD($A95, 16) + 1))</f>
        <v>AA</v>
      </c>
      <c r="L95" s="7" t="str" cm="1">
        <f t="array" ref="L95">IF(ISBLANK(L$3),K95&amp;J95,INDEX(pixel_shift_table.asm!$C$3:$R$114, L$2*16 + L$3 + INT($A95/16) + 1, MOD($A95, 16) + 1))</f>
        <v>AA68</v>
      </c>
      <c r="M95" s="6" t="str" cm="1">
        <f t="array" ref="M95">IF(ISBLANK(M$3),L95&amp;K95,INDEX(pixel_shift_table.asm!$C$3:$R$114, M$2*16 + M$3 + INT($A95/16) + 1, MOD($A95, 16) + 1))</f>
        <v>6A</v>
      </c>
      <c r="N95" s="5" t="str" cm="1">
        <f t="array" ref="N95">IF(ISBLANK(N$3),M95&amp;L95,INDEX(pixel_shift_table.asm!$C$3:$R$114, N$2*16 + N$3 + INT($A95/16) + 1, MOD($A95, 16) + 1))</f>
        <v>AA</v>
      </c>
      <c r="O95" s="7" t="str" cm="1">
        <f t="array" ref="O95">IF(ISBLANK(O$3),N95&amp;M95,INDEX(pixel_shift_table.asm!$C$3:$R$114, O$2*16 + O$3 + INT($A95/16) + 1, MOD($A95, 16) + 1))</f>
        <v>AA6A</v>
      </c>
      <c r="P95" s="6" t="str" cm="1">
        <f t="array" ref="P95">IF(ISBLANK(P$3),O95&amp;N95,INDEX(pixel_shift_table.asm!$C$3:$R$114, P$2*16 + P$3 + INT($A95/16) + 1, MOD($A95, 16) + 1))</f>
        <v>6C</v>
      </c>
      <c r="Q95" s="5" t="str" cm="1">
        <f t="array" ref="Q95">IF(ISBLANK(Q$3),P95&amp;O95,INDEX(pixel_shift_table.asm!$C$3:$R$114, Q$2*16 + Q$3 + INT($A95/16) + 1, MOD($A95, 16) + 1))</f>
        <v>AA</v>
      </c>
      <c r="R95" s="7" t="str" cm="1">
        <f t="array" ref="R95">IF(ISBLANK(R$3),Q95&amp;P95,INDEX(pixel_shift_table.asm!$C$3:$R$114, R$2*16 + R$3 + INT($A95/16) + 1, MOD($A95, 16) + 1))</f>
        <v>AA6C</v>
      </c>
      <c r="S95" s="6" t="str" cm="1">
        <f t="array" ref="S95">IF(ISBLANK(S$3),R95&amp;Q95,INDEX(pixel_shift_table.asm!$C$3:$R$114, S$2*16 + S$3 + INT($A95/16) + 1, MOD($A95, 16) + 1))</f>
        <v>6E</v>
      </c>
      <c r="T95" s="5" t="str" cm="1">
        <f t="array" ref="T95">IF(ISBLANK(T$3),S95&amp;R95,INDEX(pixel_shift_table.asm!$C$3:$R$114, T$2*16 + T$3 + INT($A95/16) + 1, MOD($A95, 16) + 1))</f>
        <v>AA</v>
      </c>
      <c r="U95" s="7" t="str" cm="1">
        <f t="array" ref="U95">IF(ISBLANK(U$3),T95&amp;S95,INDEX(pixel_shift_table.asm!$C$3:$R$114, U$2*16 + U$3 + INT($A95/16) + 1, MOD($A95, 16) + 1))</f>
        <v>AA6E</v>
      </c>
      <c r="V95" s="6" t="str" cm="1">
        <f t="array" ref="V95">IF(ISBLANK(V$3),U95&amp;T95,INDEX(pixel_shift_table.asm!$C$3:$R$114, V$2*16 + V$3 + INT($A95/16) + 1, MOD($A95, 16) + 1))</f>
        <v>D0</v>
      </c>
      <c r="W95" s="5" t="str" cm="1">
        <f t="array" ref="W95">IF(ISBLANK(W$3),V95&amp;U95,INDEX(pixel_shift_table.asm!$C$3:$R$114, W$2*16 + W$3 + INT($A95/16) + 1, MOD($A95, 16) + 1))</f>
        <v>AB</v>
      </c>
      <c r="X95" s="7" t="str" cm="1">
        <f t="array" ref="X95">IF(ISBLANK(X$3),W95&amp;V95,INDEX(pixel_shift_table.asm!$C$3:$R$114, X$2*16 + X$3 + INT($A95/16) + 1, MOD($A95, 16) + 1))</f>
        <v>ABD0</v>
      </c>
    </row>
    <row r="96" spans="1:24" x14ac:dyDescent="0.3">
      <c r="A96">
        <v>91</v>
      </c>
      <c r="B96" s="8">
        <v>10110.11</v>
      </c>
      <c r="C96" s="5" t="s">
        <v>840</v>
      </c>
      <c r="D96" s="6" t="str" cm="1">
        <f t="array" ref="D96">IF(ISBLANK(D$3),C96&amp;B96,INDEX(pixel_shift_table.asm!$C$3:$R$114, D$2*16 + D$3 + INT($A96/16) + 1, MOD($A96, 16) + 1))</f>
        <v>D2</v>
      </c>
      <c r="E96" s="5" t="str" cm="1">
        <f t="array" ref="E96">IF(ISBLANK(E$3),D96&amp;C96,INDEX(pixel_shift_table.asm!$C$3:$R$114, E$2*16 + E$3 + INT($A96/16) + 1, MOD($A96, 16) + 1))</f>
        <v>AB</v>
      </c>
      <c r="F96" s="7" t="str" cm="1">
        <f t="array" ref="F96">IF(ISBLANK(F$3),E96&amp;D96,INDEX(pixel_shift_table.asm!$C$3:$R$114, F$2*16 + F$3 + INT($A96/16) + 1, MOD($A96, 16) + 1))</f>
        <v>ABD2</v>
      </c>
      <c r="G96" s="6" t="str" cm="1">
        <f t="array" ref="G96">IF(ISBLANK(G$3),F96&amp;E96,INDEX(pixel_shift_table.asm!$C$3:$R$114, G$2*16 + G$3 + INT($A96/16) + 1, MOD($A96, 16) + 1))</f>
        <v>D4</v>
      </c>
      <c r="H96" s="5" t="str" cm="1">
        <f t="array" ref="H96">IF(ISBLANK(H$3),G96&amp;F96,INDEX(pixel_shift_table.asm!$C$3:$R$114, H$2*16 + H$3 + INT($A96/16) + 1, MOD($A96, 16) + 1))</f>
        <v>AB</v>
      </c>
      <c r="I96" s="7" t="str" cm="1">
        <f t="array" ref="I96">IF(ISBLANK(I$3),H96&amp;G96,INDEX(pixel_shift_table.asm!$C$3:$R$114, I$2*16 + I$3 + INT($A96/16) + 1, MOD($A96, 16) + 1))</f>
        <v>ABD4</v>
      </c>
      <c r="J96" s="6" t="str" cm="1">
        <f t="array" ref="J96">IF(ISBLANK(J$3),I96&amp;H96,INDEX(pixel_shift_table.asm!$C$3:$R$114, J$2*16 + J$3 + INT($A96/16) + 1, MOD($A96, 16) + 1))</f>
        <v>D6</v>
      </c>
      <c r="K96" s="5" t="str" cm="1">
        <f t="array" ref="K96">IF(ISBLANK(K$3),J96&amp;I96,INDEX(pixel_shift_table.asm!$C$3:$R$114, K$2*16 + K$3 + INT($A96/16) + 1, MOD($A96, 16) + 1))</f>
        <v>AB</v>
      </c>
      <c r="L96" s="7" t="str" cm="1">
        <f t="array" ref="L96">IF(ISBLANK(L$3),K96&amp;J96,INDEX(pixel_shift_table.asm!$C$3:$R$114, L$2*16 + L$3 + INT($A96/16) + 1, MOD($A96, 16) + 1))</f>
        <v>ABD6</v>
      </c>
      <c r="M96" s="6" t="str" cm="1">
        <f t="array" ref="M96">IF(ISBLANK(M$3),L96&amp;K96,INDEX(pixel_shift_table.asm!$C$3:$R$114, M$2*16 + M$3 + INT($A96/16) + 1, MOD($A96, 16) + 1))</f>
        <v>D8</v>
      </c>
      <c r="N96" s="5" t="str" cm="1">
        <f t="array" ref="N96">IF(ISBLANK(N$3),M96&amp;L96,INDEX(pixel_shift_table.asm!$C$3:$R$114, N$2*16 + N$3 + INT($A96/16) + 1, MOD($A96, 16) + 1))</f>
        <v>AB</v>
      </c>
      <c r="O96" s="7" t="str" cm="1">
        <f t="array" ref="O96">IF(ISBLANK(O$3),N96&amp;M96,INDEX(pixel_shift_table.asm!$C$3:$R$114, O$2*16 + O$3 + INT($A96/16) + 1, MOD($A96, 16) + 1))</f>
        <v>ABD8</v>
      </c>
      <c r="P96" s="6" t="str" cm="1">
        <f t="array" ref="P96">IF(ISBLANK(P$3),O96&amp;N96,INDEX(pixel_shift_table.asm!$C$3:$R$114, P$2*16 + P$3 + INT($A96/16) + 1, MOD($A96, 16) + 1))</f>
        <v>DA</v>
      </c>
      <c r="Q96" s="5" t="str" cm="1">
        <f t="array" ref="Q96">IF(ISBLANK(Q$3),P96&amp;O96,INDEX(pixel_shift_table.asm!$C$3:$R$114, Q$2*16 + Q$3 + INT($A96/16) + 1, MOD($A96, 16) + 1))</f>
        <v>AB</v>
      </c>
      <c r="R96" s="7" t="str" cm="1">
        <f t="array" ref="R96">IF(ISBLANK(R$3),Q96&amp;P96,INDEX(pixel_shift_table.asm!$C$3:$R$114, R$2*16 + R$3 + INT($A96/16) + 1, MOD($A96, 16) + 1))</f>
        <v>ABDA</v>
      </c>
      <c r="S96" s="6" t="str" cm="1">
        <f t="array" ref="S96">IF(ISBLANK(S$3),R96&amp;Q96,INDEX(pixel_shift_table.asm!$C$3:$R$114, S$2*16 + S$3 + INT($A96/16) + 1, MOD($A96, 16) + 1))</f>
        <v>DC</v>
      </c>
      <c r="T96" s="5" t="str" cm="1">
        <f t="array" ref="T96">IF(ISBLANK(T$3),S96&amp;R96,INDEX(pixel_shift_table.asm!$C$3:$R$114, T$2*16 + T$3 + INT($A96/16) + 1, MOD($A96, 16) + 1))</f>
        <v>AB</v>
      </c>
      <c r="U96" s="7" t="str" cm="1">
        <f t="array" ref="U96">IF(ISBLANK(U$3),T96&amp;S96,INDEX(pixel_shift_table.asm!$C$3:$R$114, U$2*16 + U$3 + INT($A96/16) + 1, MOD($A96, 16) + 1))</f>
        <v>ABDC</v>
      </c>
      <c r="V96" s="6" t="str" cm="1">
        <f t="array" ref="V96">IF(ISBLANK(V$3),U96&amp;T96,INDEX(pixel_shift_table.asm!$C$3:$R$114, V$2*16 + V$3 + INT($A96/16) + 1, MOD($A96, 16) + 1))</f>
        <v>DE</v>
      </c>
      <c r="W96" s="5" t="str" cm="1">
        <f t="array" ref="W96">IF(ISBLANK(W$3),V96&amp;U96,INDEX(pixel_shift_table.asm!$C$3:$R$114, W$2*16 + W$3 + INT($A96/16) + 1, MOD($A96, 16) + 1))</f>
        <v>AB</v>
      </c>
      <c r="X96" s="7" t="str" cm="1">
        <f t="array" ref="X96">IF(ISBLANK(X$3),W96&amp;V96,INDEX(pixel_shift_table.asm!$C$3:$R$114, X$2*16 + X$3 + INT($A96/16) + 1, MOD($A96, 16) + 1))</f>
        <v>ABDE</v>
      </c>
    </row>
    <row r="97" spans="1:24" x14ac:dyDescent="0.3">
      <c r="A97">
        <v>92</v>
      </c>
      <c r="B97" s="8">
        <v>10111</v>
      </c>
      <c r="C97" s="5" t="s">
        <v>841</v>
      </c>
      <c r="D97" s="6" t="str" cm="1">
        <f t="array" ref="D97">IF(ISBLANK(D$3),C97&amp;B97,INDEX(pixel_shift_table.asm!$C$3:$R$114, D$2*16 + D$3 + INT($A97/16) + 1, MOD($A97, 16) + 1))</f>
        <v>B6</v>
      </c>
      <c r="E97" s="5" t="str" cm="1">
        <f t="array" ref="E97">IF(ISBLANK(E$3),D97&amp;C97,INDEX(pixel_shift_table.asm!$C$3:$R$114, E$2*16 + E$3 + INT($A97/16) + 1, MOD($A97, 16) + 1))</f>
        <v>A9</v>
      </c>
      <c r="F97" s="7" t="str" cm="1">
        <f t="array" ref="F97">IF(ISBLANK(F$3),E97&amp;D97,INDEX(pixel_shift_table.asm!$C$3:$R$114, F$2*16 + F$3 + INT($A97/16) + 1, MOD($A97, 16) + 1))</f>
        <v>A9B6</v>
      </c>
      <c r="G97" s="6" t="str" cm="1">
        <f t="array" ref="G97">IF(ISBLANK(G$3),F97&amp;E97,INDEX(pixel_shift_table.asm!$C$3:$R$114, G$2*16 + G$3 + INT($A97/16) + 1, MOD($A97, 16) + 1))</f>
        <v>B8</v>
      </c>
      <c r="H97" s="5" t="str" cm="1">
        <f t="array" ref="H97">IF(ISBLANK(H$3),G97&amp;F97,INDEX(pixel_shift_table.asm!$C$3:$R$114, H$2*16 + H$3 + INT($A97/16) + 1, MOD($A97, 16) + 1))</f>
        <v>A9</v>
      </c>
      <c r="I97" s="7" t="str" cm="1">
        <f t="array" ref="I97">IF(ISBLANK(I$3),H97&amp;G97,INDEX(pixel_shift_table.asm!$C$3:$R$114, I$2*16 + I$3 + INT($A97/16) + 1, MOD($A97, 16) + 1))</f>
        <v>A9B8</v>
      </c>
      <c r="J97" s="6" t="str" cm="1">
        <f t="array" ref="J97">IF(ISBLANK(J$3),I97&amp;H97,INDEX(pixel_shift_table.asm!$C$3:$R$114, J$2*16 + J$3 + INT($A97/16) + 1, MOD($A97, 16) + 1))</f>
        <v>BA</v>
      </c>
      <c r="K97" s="5" t="str" cm="1">
        <f t="array" ref="K97">IF(ISBLANK(K$3),J97&amp;I97,INDEX(pixel_shift_table.asm!$C$3:$R$114, K$2*16 + K$3 + INT($A97/16) + 1, MOD($A97, 16) + 1))</f>
        <v>A9</v>
      </c>
      <c r="L97" s="7" t="str" cm="1">
        <f t="array" ref="L97">IF(ISBLANK(L$3),K97&amp;J97,INDEX(pixel_shift_table.asm!$C$3:$R$114, L$2*16 + L$3 + INT($A97/16) + 1, MOD($A97, 16) + 1))</f>
        <v>A9BA</v>
      </c>
      <c r="M97" s="6" t="str" cm="1">
        <f t="array" ref="M97">IF(ISBLANK(M$3),L97&amp;K97,INDEX(pixel_shift_table.asm!$C$3:$R$114, M$2*16 + M$3 + INT($A97/16) + 1, MOD($A97, 16) + 1))</f>
        <v>BC</v>
      </c>
      <c r="N97" s="5" t="str" cm="1">
        <f t="array" ref="N97">IF(ISBLANK(N$3),M97&amp;L97,INDEX(pixel_shift_table.asm!$C$3:$R$114, N$2*16 + N$3 + INT($A97/16) + 1, MOD($A97, 16) + 1))</f>
        <v>A9</v>
      </c>
      <c r="O97" s="7" t="str" cm="1">
        <f t="array" ref="O97">IF(ISBLANK(O$3),N97&amp;M97,INDEX(pixel_shift_table.asm!$C$3:$R$114, O$2*16 + O$3 + INT($A97/16) + 1, MOD($A97, 16) + 1))</f>
        <v>A9BC</v>
      </c>
      <c r="P97" s="6" t="str" cm="1">
        <f t="array" ref="P97">IF(ISBLANK(P$3),O97&amp;N97,INDEX(pixel_shift_table.asm!$C$3:$R$114, P$2*16 + P$3 + INT($A97/16) + 1, MOD($A97, 16) + 1))</f>
        <v>BE</v>
      </c>
      <c r="Q97" s="5" t="str" cm="1">
        <f t="array" ref="Q97">IF(ISBLANK(Q$3),P97&amp;O97,INDEX(pixel_shift_table.asm!$C$3:$R$114, Q$2*16 + Q$3 + INT($A97/16) + 1, MOD($A97, 16) + 1))</f>
        <v>A9</v>
      </c>
      <c r="R97" s="7" t="str" cm="1">
        <f t="array" ref="R97">IF(ISBLANK(R$3),Q97&amp;P97,INDEX(pixel_shift_table.asm!$C$3:$R$114, R$2*16 + R$3 + INT($A97/16) + 1, MOD($A97, 16) + 1))</f>
        <v>A9BE</v>
      </c>
      <c r="S97" s="6" t="str" cm="1">
        <f t="array" ref="S97">IF(ISBLANK(S$3),R97&amp;Q97,INDEX(pixel_shift_table.asm!$C$3:$R$114, S$2*16 + S$3 + INT($A97/16) + 1, MOD($A97, 16) + 1))</f>
        <v>70</v>
      </c>
      <c r="T97" s="5" t="str" cm="1">
        <f t="array" ref="T97">IF(ISBLANK(T$3),S97&amp;R97,INDEX(pixel_shift_table.asm!$C$3:$R$114, T$2*16 + T$3 + INT($A97/16) + 1, MOD($A97, 16) + 1))</f>
        <v>AA</v>
      </c>
      <c r="U97" s="7" t="str" cm="1">
        <f t="array" ref="U97">IF(ISBLANK(U$3),T97&amp;S97,INDEX(pixel_shift_table.asm!$C$3:$R$114, U$2*16 + U$3 + INT($A97/16) + 1, MOD($A97, 16) + 1))</f>
        <v>AA70</v>
      </c>
      <c r="V97" s="6" t="str" cm="1">
        <f t="array" ref="V97">IF(ISBLANK(V$3),U97&amp;T97,INDEX(pixel_shift_table.asm!$C$3:$R$114, V$2*16 + V$3 + INT($A97/16) + 1, MOD($A97, 16) + 1))</f>
        <v>E0</v>
      </c>
      <c r="W97" s="5" t="str" cm="1">
        <f t="array" ref="W97">IF(ISBLANK(W$3),V97&amp;U97,INDEX(pixel_shift_table.asm!$C$3:$R$114, W$2*16 + W$3 + INT($A97/16) + 1, MOD($A97, 16) + 1))</f>
        <v>AB</v>
      </c>
      <c r="X97" s="7" t="str" cm="1">
        <f t="array" ref="X97">IF(ISBLANK(X$3),W97&amp;V97,INDEX(pixel_shift_table.asm!$C$3:$R$114, X$2*16 + X$3 + INT($A97/16) + 1, MOD($A97, 16) + 1))</f>
        <v>ABE0</v>
      </c>
    </row>
    <row r="98" spans="1:24" x14ac:dyDescent="0.3">
      <c r="A98">
        <v>93</v>
      </c>
      <c r="B98" s="8">
        <v>10111.01</v>
      </c>
      <c r="C98" s="5" t="s">
        <v>842</v>
      </c>
      <c r="D98" s="6" t="str" cm="1">
        <f t="array" ref="D98">IF(ISBLANK(D$3),C98&amp;B98,INDEX(pixel_shift_table.asm!$C$3:$R$114, D$2*16 + D$3 + INT($A98/16) + 1, MOD($A98, 16) + 1))</f>
        <v>E2</v>
      </c>
      <c r="E98" s="5" t="str" cm="1">
        <f t="array" ref="E98">IF(ISBLANK(E$3),D98&amp;C98,INDEX(pixel_shift_table.asm!$C$3:$R$114, E$2*16 + E$3 + INT($A98/16) + 1, MOD($A98, 16) + 1))</f>
        <v>AB</v>
      </c>
      <c r="F98" s="7" t="str" cm="1">
        <f t="array" ref="F98">IF(ISBLANK(F$3),E98&amp;D98,INDEX(pixel_shift_table.asm!$C$3:$R$114, F$2*16 + F$3 + INT($A98/16) + 1, MOD($A98, 16) + 1))</f>
        <v>ABE2</v>
      </c>
      <c r="G98" s="6" t="str" cm="1">
        <f t="array" ref="G98">IF(ISBLANK(G$3),F98&amp;E98,INDEX(pixel_shift_table.asm!$C$3:$R$114, G$2*16 + G$3 + INT($A98/16) + 1, MOD($A98, 16) + 1))</f>
        <v>E4</v>
      </c>
      <c r="H98" s="5" t="str" cm="1">
        <f t="array" ref="H98">IF(ISBLANK(H$3),G98&amp;F98,INDEX(pixel_shift_table.asm!$C$3:$R$114, H$2*16 + H$3 + INT($A98/16) + 1, MOD($A98, 16) + 1))</f>
        <v>AB</v>
      </c>
      <c r="I98" s="7" t="str" cm="1">
        <f t="array" ref="I98">IF(ISBLANK(I$3),H98&amp;G98,INDEX(pixel_shift_table.asm!$C$3:$R$114, I$2*16 + I$3 + INT($A98/16) + 1, MOD($A98, 16) + 1))</f>
        <v>ABE4</v>
      </c>
      <c r="J98" s="6" t="str" cm="1">
        <f t="array" ref="J98">IF(ISBLANK(J$3),I98&amp;H98,INDEX(pixel_shift_table.asm!$C$3:$R$114, J$2*16 + J$3 + INT($A98/16) + 1, MOD($A98, 16) + 1))</f>
        <v>E6</v>
      </c>
      <c r="K98" s="5" t="str" cm="1">
        <f t="array" ref="K98">IF(ISBLANK(K$3),J98&amp;I98,INDEX(pixel_shift_table.asm!$C$3:$R$114, K$2*16 + K$3 + INT($A98/16) + 1, MOD($A98, 16) + 1))</f>
        <v>AB</v>
      </c>
      <c r="L98" s="7" t="str" cm="1">
        <f t="array" ref="L98">IF(ISBLANK(L$3),K98&amp;J98,INDEX(pixel_shift_table.asm!$C$3:$R$114, L$2*16 + L$3 + INT($A98/16) + 1, MOD($A98, 16) + 1))</f>
        <v>ABE6</v>
      </c>
      <c r="M98" s="6" t="str" cm="1">
        <f t="array" ref="M98">IF(ISBLANK(M$3),L98&amp;K98,INDEX(pixel_shift_table.asm!$C$3:$R$114, M$2*16 + M$3 + INT($A98/16) + 1, MOD($A98, 16) + 1))</f>
        <v>E8</v>
      </c>
      <c r="N98" s="5" t="str" cm="1">
        <f t="array" ref="N98">IF(ISBLANK(N$3),M98&amp;L98,INDEX(pixel_shift_table.asm!$C$3:$R$114, N$2*16 + N$3 + INT($A98/16) + 1, MOD($A98, 16) + 1))</f>
        <v>AB</v>
      </c>
      <c r="O98" s="7" t="str" cm="1">
        <f t="array" ref="O98">IF(ISBLANK(O$3),N98&amp;M98,INDEX(pixel_shift_table.asm!$C$3:$R$114, O$2*16 + O$3 + INT($A98/16) + 1, MOD($A98, 16) + 1))</f>
        <v>ABE8</v>
      </c>
      <c r="P98" s="6" t="str" cm="1">
        <f t="array" ref="P98">IF(ISBLANK(P$3),O98&amp;N98,INDEX(pixel_shift_table.asm!$C$3:$R$114, P$2*16 + P$3 + INT($A98/16) + 1, MOD($A98, 16) + 1))</f>
        <v>EA</v>
      </c>
      <c r="Q98" s="5" t="str" cm="1">
        <f t="array" ref="Q98">IF(ISBLANK(Q$3),P98&amp;O98,INDEX(pixel_shift_table.asm!$C$3:$R$114, Q$2*16 + Q$3 + INT($A98/16) + 1, MOD($A98, 16) + 1))</f>
        <v>AB</v>
      </c>
      <c r="R98" s="7" t="str" cm="1">
        <f t="array" ref="R98">IF(ISBLANK(R$3),Q98&amp;P98,INDEX(pixel_shift_table.asm!$C$3:$R$114, R$2*16 + R$3 + INT($A98/16) + 1, MOD($A98, 16) + 1))</f>
        <v>ABEA</v>
      </c>
      <c r="S98" s="6" t="str" cm="1">
        <f t="array" ref="S98">IF(ISBLANK(S$3),R98&amp;Q98,INDEX(pixel_shift_table.asm!$C$3:$R$114, S$2*16 + S$3 + INT($A98/16) + 1, MOD($A98, 16) + 1))</f>
        <v>EC</v>
      </c>
      <c r="T98" s="5" t="str" cm="1">
        <f t="array" ref="T98">IF(ISBLANK(T$3),S98&amp;R98,INDEX(pixel_shift_table.asm!$C$3:$R$114, T$2*16 + T$3 + INT($A98/16) + 1, MOD($A98, 16) + 1))</f>
        <v>AB</v>
      </c>
      <c r="U98" s="7" t="str" cm="1">
        <f t="array" ref="U98">IF(ISBLANK(U$3),T98&amp;S98,INDEX(pixel_shift_table.asm!$C$3:$R$114, U$2*16 + U$3 + INT($A98/16) + 1, MOD($A98, 16) + 1))</f>
        <v>ABEC</v>
      </c>
      <c r="V98" s="6" t="str" cm="1">
        <f t="array" ref="V98">IF(ISBLANK(V$3),U98&amp;T98,INDEX(pixel_shift_table.asm!$C$3:$R$114, V$2*16 + V$3 + INT($A98/16) + 1, MOD($A98, 16) + 1))</f>
        <v>EE</v>
      </c>
      <c r="W98" s="5" t="str" cm="1">
        <f t="array" ref="W98">IF(ISBLANK(W$3),V98&amp;U98,INDEX(pixel_shift_table.asm!$C$3:$R$114, W$2*16 + W$3 + INT($A98/16) + 1, MOD($A98, 16) + 1))</f>
        <v>AB</v>
      </c>
      <c r="X98" s="7" t="str" cm="1">
        <f t="array" ref="X98">IF(ISBLANK(X$3),W98&amp;V98,INDEX(pixel_shift_table.asm!$C$3:$R$114, X$2*16 + X$3 + INT($A98/16) + 1, MOD($A98, 16) + 1))</f>
        <v>ABEE</v>
      </c>
    </row>
    <row r="99" spans="1:24" x14ac:dyDescent="0.3">
      <c r="A99">
        <v>94</v>
      </c>
      <c r="B99" s="8">
        <v>10111.1</v>
      </c>
      <c r="C99" s="5" t="s">
        <v>843</v>
      </c>
      <c r="D99" s="6" t="str" cm="1">
        <f t="array" ref="D99">IF(ISBLANK(D$3),C99&amp;B99,INDEX(pixel_shift_table.asm!$C$3:$R$114, D$2*16 + D$3 + INT($A99/16) + 1, MOD($A99, 16) + 1))</f>
        <v>74</v>
      </c>
      <c r="E99" s="5" t="str" cm="1">
        <f t="array" ref="E99">IF(ISBLANK(E$3),D99&amp;C99,INDEX(pixel_shift_table.asm!$C$3:$R$114, E$2*16 + E$3 + INT($A99/16) + 1, MOD($A99, 16) + 1))</f>
        <v>AA</v>
      </c>
      <c r="F99" s="7" t="str" cm="1">
        <f t="array" ref="F99">IF(ISBLANK(F$3),E99&amp;D99,INDEX(pixel_shift_table.asm!$C$3:$R$114, F$2*16 + F$3 + INT($A99/16) + 1, MOD($A99, 16) + 1))</f>
        <v>AA74</v>
      </c>
      <c r="G99" s="6" t="str" cm="1">
        <f t="array" ref="G99">IF(ISBLANK(G$3),F99&amp;E99,INDEX(pixel_shift_table.asm!$C$3:$R$114, G$2*16 + G$3 + INT($A99/16) + 1, MOD($A99, 16) + 1))</f>
        <v>76</v>
      </c>
      <c r="H99" s="5" t="str" cm="1">
        <f t="array" ref="H99">IF(ISBLANK(H$3),G99&amp;F99,INDEX(pixel_shift_table.asm!$C$3:$R$114, H$2*16 + H$3 + INT($A99/16) + 1, MOD($A99, 16) + 1))</f>
        <v>AA</v>
      </c>
      <c r="I99" s="7" t="str" cm="1">
        <f t="array" ref="I99">IF(ISBLANK(I$3),H99&amp;G99,INDEX(pixel_shift_table.asm!$C$3:$R$114, I$2*16 + I$3 + INT($A99/16) + 1, MOD($A99, 16) + 1))</f>
        <v>AA76</v>
      </c>
      <c r="J99" s="6" t="str" cm="1">
        <f t="array" ref="J99">IF(ISBLANK(J$3),I99&amp;H99,INDEX(pixel_shift_table.asm!$C$3:$R$114, J$2*16 + J$3 + INT($A99/16) + 1, MOD($A99, 16) + 1))</f>
        <v>78</v>
      </c>
      <c r="K99" s="5" t="str" cm="1">
        <f t="array" ref="K99">IF(ISBLANK(K$3),J99&amp;I99,INDEX(pixel_shift_table.asm!$C$3:$R$114, K$2*16 + K$3 + INT($A99/16) + 1, MOD($A99, 16) + 1))</f>
        <v>AA</v>
      </c>
      <c r="L99" s="7" t="str" cm="1">
        <f t="array" ref="L99">IF(ISBLANK(L$3),K99&amp;J99,INDEX(pixel_shift_table.asm!$C$3:$R$114, L$2*16 + L$3 + INT($A99/16) + 1, MOD($A99, 16) + 1))</f>
        <v>AA78</v>
      </c>
      <c r="M99" s="6" t="str" cm="1">
        <f t="array" ref="M99">IF(ISBLANK(M$3),L99&amp;K99,INDEX(pixel_shift_table.asm!$C$3:$R$114, M$2*16 + M$3 + INT($A99/16) + 1, MOD($A99, 16) + 1))</f>
        <v>7A</v>
      </c>
      <c r="N99" s="5" t="str" cm="1">
        <f t="array" ref="N99">IF(ISBLANK(N$3),M99&amp;L99,INDEX(pixel_shift_table.asm!$C$3:$R$114, N$2*16 + N$3 + INT($A99/16) + 1, MOD($A99, 16) + 1))</f>
        <v>AA</v>
      </c>
      <c r="O99" s="7" t="str" cm="1">
        <f t="array" ref="O99">IF(ISBLANK(O$3),N99&amp;M99,INDEX(pixel_shift_table.asm!$C$3:$R$114, O$2*16 + O$3 + INT($A99/16) + 1, MOD($A99, 16) + 1))</f>
        <v>AA7A</v>
      </c>
      <c r="P99" s="6" t="str" cm="1">
        <f t="array" ref="P99">IF(ISBLANK(P$3),O99&amp;N99,INDEX(pixel_shift_table.asm!$C$3:$R$114, P$2*16 + P$3 + INT($A99/16) + 1, MOD($A99, 16) + 1))</f>
        <v>7C</v>
      </c>
      <c r="Q99" s="5" t="str" cm="1">
        <f t="array" ref="Q99">IF(ISBLANK(Q$3),P99&amp;O99,INDEX(pixel_shift_table.asm!$C$3:$R$114, Q$2*16 + Q$3 + INT($A99/16) + 1, MOD($A99, 16) + 1))</f>
        <v>AA</v>
      </c>
      <c r="R99" s="7" t="str" cm="1">
        <f t="array" ref="R99">IF(ISBLANK(R$3),Q99&amp;P99,INDEX(pixel_shift_table.asm!$C$3:$R$114, R$2*16 + R$3 + INT($A99/16) + 1, MOD($A99, 16) + 1))</f>
        <v>AA7C</v>
      </c>
      <c r="S99" s="6" t="str" cm="1">
        <f t="array" ref="S99">IF(ISBLANK(S$3),R99&amp;Q99,INDEX(pixel_shift_table.asm!$C$3:$R$114, S$2*16 + S$3 + INT($A99/16) + 1, MOD($A99, 16) + 1))</f>
        <v>7E</v>
      </c>
      <c r="T99" s="5" t="str" cm="1">
        <f t="array" ref="T99">IF(ISBLANK(T$3),S99&amp;R99,INDEX(pixel_shift_table.asm!$C$3:$R$114, T$2*16 + T$3 + INT($A99/16) + 1, MOD($A99, 16) + 1))</f>
        <v>AA</v>
      </c>
      <c r="U99" s="7" t="str" cm="1">
        <f t="array" ref="U99">IF(ISBLANK(U$3),T99&amp;S99,INDEX(pixel_shift_table.asm!$C$3:$R$114, U$2*16 + U$3 + INT($A99/16) + 1, MOD($A99, 16) + 1))</f>
        <v>AA7E</v>
      </c>
      <c r="V99" s="6" t="str" cm="1">
        <f t="array" ref="V99">IF(ISBLANK(V$3),U99&amp;T99,INDEX(pixel_shift_table.asm!$C$3:$R$114, V$2*16 + V$3 + INT($A99/16) + 1, MOD($A99, 16) + 1))</f>
        <v>F0</v>
      </c>
      <c r="W99" s="5" t="str" cm="1">
        <f t="array" ref="W99">IF(ISBLANK(W$3),V99&amp;U99,INDEX(pixel_shift_table.asm!$C$3:$R$114, W$2*16 + W$3 + INT($A99/16) + 1, MOD($A99, 16) + 1))</f>
        <v>AB</v>
      </c>
      <c r="X99" s="7" t="str" cm="1">
        <f t="array" ref="X99">IF(ISBLANK(X$3),W99&amp;V99,INDEX(pixel_shift_table.asm!$C$3:$R$114, X$2*16 + X$3 + INT($A99/16) + 1, MOD($A99, 16) + 1))</f>
        <v>ABF0</v>
      </c>
    </row>
    <row r="100" spans="1:24" x14ac:dyDescent="0.3">
      <c r="A100">
        <v>95</v>
      </c>
      <c r="B100" s="8">
        <v>10111.11</v>
      </c>
      <c r="C100" s="5" t="s">
        <v>844</v>
      </c>
      <c r="D100" s="6" t="str" cm="1">
        <f t="array" ref="D100">IF(ISBLANK(D$3),C100&amp;B100,INDEX(pixel_shift_table.asm!$C$3:$R$114, D$2*16 + D$3 + INT($A100/16) + 1, MOD($A100, 16) + 1))</f>
        <v>F2</v>
      </c>
      <c r="E100" s="5" t="str" cm="1">
        <f t="array" ref="E100">IF(ISBLANK(E$3),D100&amp;C100,INDEX(pixel_shift_table.asm!$C$3:$R$114, E$2*16 + E$3 + INT($A100/16) + 1, MOD($A100, 16) + 1))</f>
        <v>AB</v>
      </c>
      <c r="F100" s="7" t="str" cm="1">
        <f t="array" ref="F100">IF(ISBLANK(F$3),E100&amp;D100,INDEX(pixel_shift_table.asm!$C$3:$R$114, F$2*16 + F$3 + INT($A100/16) + 1, MOD($A100, 16) + 1))</f>
        <v>ABF2</v>
      </c>
      <c r="G100" s="6" t="str" cm="1">
        <f t="array" ref="G100">IF(ISBLANK(G$3),F100&amp;E100,INDEX(pixel_shift_table.asm!$C$3:$R$114, G$2*16 + G$3 + INT($A100/16) + 1, MOD($A100, 16) + 1))</f>
        <v>F4</v>
      </c>
      <c r="H100" s="5" t="str" cm="1">
        <f t="array" ref="H100">IF(ISBLANK(H$3),G100&amp;F100,INDEX(pixel_shift_table.asm!$C$3:$R$114, H$2*16 + H$3 + INT($A100/16) + 1, MOD($A100, 16) + 1))</f>
        <v>AB</v>
      </c>
      <c r="I100" s="7" t="str" cm="1">
        <f t="array" ref="I100">IF(ISBLANK(I$3),H100&amp;G100,INDEX(pixel_shift_table.asm!$C$3:$R$114, I$2*16 + I$3 + INT($A100/16) + 1, MOD($A100, 16) + 1))</f>
        <v>ABF4</v>
      </c>
      <c r="J100" s="6" t="str" cm="1">
        <f t="array" ref="J100">IF(ISBLANK(J$3),I100&amp;H100,INDEX(pixel_shift_table.asm!$C$3:$R$114, J$2*16 + J$3 + INT($A100/16) + 1, MOD($A100, 16) + 1))</f>
        <v>F6</v>
      </c>
      <c r="K100" s="5" t="str" cm="1">
        <f t="array" ref="K100">IF(ISBLANK(K$3),J100&amp;I100,INDEX(pixel_shift_table.asm!$C$3:$R$114, K$2*16 + K$3 + INT($A100/16) + 1, MOD($A100, 16) + 1))</f>
        <v>AB</v>
      </c>
      <c r="L100" s="7" t="str" cm="1">
        <f t="array" ref="L100">IF(ISBLANK(L$3),K100&amp;J100,INDEX(pixel_shift_table.asm!$C$3:$R$114, L$2*16 + L$3 + INT($A100/16) + 1, MOD($A100, 16) + 1))</f>
        <v>ABF6</v>
      </c>
      <c r="M100" s="6" t="str" cm="1">
        <f t="array" ref="M100">IF(ISBLANK(M$3),L100&amp;K100,INDEX(pixel_shift_table.asm!$C$3:$R$114, M$2*16 + M$3 + INT($A100/16) + 1, MOD($A100, 16) + 1))</f>
        <v>F8</v>
      </c>
      <c r="N100" s="5" t="str" cm="1">
        <f t="array" ref="N100">IF(ISBLANK(N$3),M100&amp;L100,INDEX(pixel_shift_table.asm!$C$3:$R$114, N$2*16 + N$3 + INT($A100/16) + 1, MOD($A100, 16) + 1))</f>
        <v>AB</v>
      </c>
      <c r="O100" s="7" t="str" cm="1">
        <f t="array" ref="O100">IF(ISBLANK(O$3),N100&amp;M100,INDEX(pixel_shift_table.asm!$C$3:$R$114, O$2*16 + O$3 + INT($A100/16) + 1, MOD($A100, 16) + 1))</f>
        <v>ABF8</v>
      </c>
      <c r="P100" s="6" t="str" cm="1">
        <f t="array" ref="P100">IF(ISBLANK(P$3),O100&amp;N100,INDEX(pixel_shift_table.asm!$C$3:$R$114, P$2*16 + P$3 + INT($A100/16) + 1, MOD($A100, 16) + 1))</f>
        <v>FA</v>
      </c>
      <c r="Q100" s="5" t="str" cm="1">
        <f t="array" ref="Q100">IF(ISBLANK(Q$3),P100&amp;O100,INDEX(pixel_shift_table.asm!$C$3:$R$114, Q$2*16 + Q$3 + INT($A100/16) + 1, MOD($A100, 16) + 1))</f>
        <v>AB</v>
      </c>
      <c r="R100" s="7" t="str" cm="1">
        <f t="array" ref="R100">IF(ISBLANK(R$3),Q100&amp;P100,INDEX(pixel_shift_table.asm!$C$3:$R$114, R$2*16 + R$3 + INT($A100/16) + 1, MOD($A100, 16) + 1))</f>
        <v>ABFA</v>
      </c>
      <c r="S100" s="6" t="str" cm="1">
        <f t="array" ref="S100">IF(ISBLANK(S$3),R100&amp;Q100,INDEX(pixel_shift_table.asm!$C$3:$R$114, S$2*16 + S$3 + INT($A100/16) + 1, MOD($A100, 16) + 1))</f>
        <v>FC</v>
      </c>
      <c r="T100" s="5" t="str" cm="1">
        <f t="array" ref="T100">IF(ISBLANK(T$3),S100&amp;R100,INDEX(pixel_shift_table.asm!$C$3:$R$114, T$2*16 + T$3 + INT($A100/16) + 1, MOD($A100, 16) + 1))</f>
        <v>AB</v>
      </c>
      <c r="U100" s="7" t="str" cm="1">
        <f t="array" ref="U100">IF(ISBLANK(U$3),T100&amp;S100,INDEX(pixel_shift_table.asm!$C$3:$R$114, U$2*16 + U$3 + INT($A100/16) + 1, MOD($A100, 16) + 1))</f>
        <v>ABFC</v>
      </c>
      <c r="V100" s="6" t="str" cm="1">
        <f t="array" ref="V100">IF(ISBLANK(V$3),U100&amp;T100,INDEX(pixel_shift_table.asm!$C$3:$R$114, V$2*16 + V$3 + INT($A100/16) + 1, MOD($A100, 16) + 1))</f>
        <v>FE</v>
      </c>
      <c r="W100" s="5" t="str" cm="1">
        <f t="array" ref="W100">IF(ISBLANK(W$3),V100&amp;U100,INDEX(pixel_shift_table.asm!$C$3:$R$114, W$2*16 + W$3 + INT($A100/16) + 1, MOD($A100, 16) + 1))</f>
        <v>AB</v>
      </c>
      <c r="X100" s="7" t="str" cm="1">
        <f t="array" ref="X100">IF(ISBLANK(X$3),W100&amp;V100,INDEX(pixel_shift_table.asm!$C$3:$R$114, X$2*16 + X$3 + INT($A100/16) + 1, MOD($A100, 16) + 1))</f>
        <v>ABFE</v>
      </c>
    </row>
    <row r="101" spans="1:24" x14ac:dyDescent="0.3">
      <c r="A101">
        <v>96</v>
      </c>
      <c r="B101" s="8">
        <v>11000</v>
      </c>
      <c r="C101" s="5" t="s">
        <v>845</v>
      </c>
      <c r="D101" s="6" t="str" cm="1">
        <f t="array" ref="D101">IF(ISBLANK(D$3),C101&amp;B101,INDEX(pixel_shift_table.asm!$C$3:$R$114, D$2*16 + D$3 + INT($A101/16) + 1, MOD($A101, 16) + 1))</f>
        <v>1C</v>
      </c>
      <c r="E101" s="5" t="str" cm="1">
        <f t="array" ref="E101">IF(ISBLANK(E$3),D101&amp;C101,INDEX(pixel_shift_table.asm!$C$3:$R$114, E$2*16 + E$3 + INT($A101/16) + 1, MOD($A101, 16) + 1))</f>
        <v>A9</v>
      </c>
      <c r="F101" s="7" t="str" cm="1">
        <f t="array" ref="F101">IF(ISBLANK(F$3),E101&amp;D101,INDEX(pixel_shift_table.asm!$C$3:$R$114, F$2*16 + F$3 + INT($A101/16) + 1, MOD($A101, 16) + 1))</f>
        <v>A91C</v>
      </c>
      <c r="G101" s="6" t="str" cm="1">
        <f t="array" ref="G101">IF(ISBLANK(G$3),F101&amp;E101,INDEX(pixel_shift_table.asm!$C$3:$R$114, G$2*16 + G$3 + INT($A101/16) + 1, MOD($A101, 16) + 1))</f>
        <v>1E</v>
      </c>
      <c r="H101" s="5" t="str" cm="1">
        <f t="array" ref="H101">IF(ISBLANK(H$3),G101&amp;F101,INDEX(pixel_shift_table.asm!$C$3:$R$114, H$2*16 + H$3 + INT($A101/16) + 1, MOD($A101, 16) + 1))</f>
        <v>A9</v>
      </c>
      <c r="I101" s="7" t="str" cm="1">
        <f t="array" ref="I101">IF(ISBLANK(I$3),H101&amp;G101,INDEX(pixel_shift_table.asm!$C$3:$R$114, I$2*16 + I$3 + INT($A101/16) + 1, MOD($A101, 16) + 1))</f>
        <v>A91E</v>
      </c>
      <c r="J101" s="6" t="str" cm="1">
        <f t="array" ref="J101">IF(ISBLANK(J$3),I101&amp;H101,INDEX(pixel_shift_table.asm!$C$3:$R$114, J$2*16 + J$3 + INT($A101/16) + 1, MOD($A101, 16) + 1))</f>
        <v>30</v>
      </c>
      <c r="K101" s="5" t="str" cm="1">
        <f t="array" ref="K101">IF(ISBLANK(K$3),J101&amp;I101,INDEX(pixel_shift_table.asm!$C$3:$R$114, K$2*16 + K$3 + INT($A101/16) + 1, MOD($A101, 16) + 1))</f>
        <v>A9</v>
      </c>
      <c r="L101" s="7" t="str" cm="1">
        <f t="array" ref="L101">IF(ISBLANK(L$3),K101&amp;J101,INDEX(pixel_shift_table.asm!$C$3:$R$114, L$2*16 + L$3 + INT($A101/16) + 1, MOD($A101, 16) + 1))</f>
        <v>A930</v>
      </c>
      <c r="M101" s="6" t="str" cm="1">
        <f t="array" ref="M101">IF(ISBLANK(M$3),L101&amp;K101,INDEX(pixel_shift_table.asm!$C$3:$R$114, M$2*16 + M$3 + INT($A101/16) + 1, MOD($A101, 16) + 1))</f>
        <v>60</v>
      </c>
      <c r="N101" s="5" t="str" cm="1">
        <f t="array" ref="N101">IF(ISBLANK(N$3),M101&amp;L101,INDEX(pixel_shift_table.asm!$C$3:$R$114, N$2*16 + N$3 + INT($A101/16) + 1, MOD($A101, 16) + 1))</f>
        <v>A9</v>
      </c>
      <c r="O101" s="7" t="str" cm="1">
        <f t="array" ref="O101">IF(ISBLANK(O$3),N101&amp;M101,INDEX(pixel_shift_table.asm!$C$3:$R$114, O$2*16 + O$3 + INT($A101/16) + 1, MOD($A101, 16) + 1))</f>
        <v>A960</v>
      </c>
      <c r="P101" s="6" t="str" cm="1">
        <f t="array" ref="P101">IF(ISBLANK(P$3),O101&amp;N101,INDEX(pixel_shift_table.asm!$C$3:$R$114, P$2*16 + P$3 + INT($A101/16) + 1, MOD($A101, 16) + 1))</f>
        <v>C0</v>
      </c>
      <c r="Q101" s="5" t="str" cm="1">
        <f t="array" ref="Q101">IF(ISBLANK(Q$3),P101&amp;O101,INDEX(pixel_shift_table.asm!$C$3:$R$114, Q$2*16 + Q$3 + INT($A101/16) + 1, MOD($A101, 16) + 1))</f>
        <v>A9</v>
      </c>
      <c r="R101" s="7" t="str" cm="1">
        <f t="array" ref="R101">IF(ISBLANK(R$3),Q101&amp;P101,INDEX(pixel_shift_table.asm!$C$3:$R$114, R$2*16 + R$3 + INT($A101/16) + 1, MOD($A101, 16) + 1))</f>
        <v>A9C0</v>
      </c>
      <c r="S101" s="6" t="str" cm="1">
        <f t="array" ref="S101">IF(ISBLANK(S$3),R101&amp;Q101,INDEX(pixel_shift_table.asm!$C$3:$R$114, S$2*16 + S$3 + INT($A101/16) + 1, MOD($A101, 16) + 1))</f>
        <v>80</v>
      </c>
      <c r="T101" s="5" t="str" cm="1">
        <f t="array" ref="T101">IF(ISBLANK(T$3),S101&amp;R101,INDEX(pixel_shift_table.asm!$C$3:$R$114, T$2*16 + T$3 + INT($A101/16) + 1, MOD($A101, 16) + 1))</f>
        <v>AA</v>
      </c>
      <c r="U101" s="7" t="str" cm="1">
        <f t="array" ref="U101">IF(ISBLANK(U$3),T101&amp;S101,INDEX(pixel_shift_table.asm!$C$3:$R$114, U$2*16 + U$3 + INT($A101/16) + 1, MOD($A101, 16) + 1))</f>
        <v>AA80</v>
      </c>
      <c r="V101" s="6" t="str" cm="1">
        <f t="array" ref="V101">IF(ISBLANK(V$3),U101&amp;T101,INDEX(pixel_shift_table.asm!$C$3:$R$114, V$2*16 + V$3 + INT($A101/16) + 1, MOD($A101, 16) + 1))</f>
        <v>00</v>
      </c>
      <c r="W101" s="5" t="str" cm="1">
        <f t="array" ref="W101">IF(ISBLANK(W$3),V101&amp;U101,INDEX(pixel_shift_table.asm!$C$3:$R$114, W$2*16 + W$3 + INT($A101/16) + 1, MOD($A101, 16) + 1))</f>
        <v>AC</v>
      </c>
      <c r="X101" s="7" t="str" cm="1">
        <f t="array" ref="X101">IF(ISBLANK(X$3),W101&amp;V101,INDEX(pixel_shift_table.asm!$C$3:$R$114, X$2*16 + X$3 + INT($A101/16) + 1, MOD($A101, 16) + 1))</f>
        <v>AC00</v>
      </c>
    </row>
    <row r="102" spans="1:24" x14ac:dyDescent="0.3">
      <c r="A102">
        <v>97</v>
      </c>
      <c r="B102" s="8">
        <v>11000.01</v>
      </c>
      <c r="C102" s="5" t="s">
        <v>846</v>
      </c>
      <c r="D102" s="6" t="str" cm="1">
        <f t="array" ref="D102">IF(ISBLANK(D$3),C102&amp;B102,INDEX(pixel_shift_table.asm!$C$3:$R$114, D$2*16 + D$3 + INT($A102/16) + 1, MOD($A102, 16) + 1))</f>
        <v>02</v>
      </c>
      <c r="E102" s="5" t="str" cm="1">
        <f t="array" ref="E102">IF(ISBLANK(E$3),D102&amp;C102,INDEX(pixel_shift_table.asm!$C$3:$R$114, E$2*16 + E$3 + INT($A102/16) + 1, MOD($A102, 16) + 1))</f>
        <v>AC</v>
      </c>
      <c r="F102" s="7" t="str" cm="1">
        <f t="array" ref="F102">IF(ISBLANK(F$3),E102&amp;D102,INDEX(pixel_shift_table.asm!$C$3:$R$114, F$2*16 + F$3 + INT($A102/16) + 1, MOD($A102, 16) + 1))</f>
        <v>AC02</v>
      </c>
      <c r="G102" s="6" t="str" cm="1">
        <f t="array" ref="G102">IF(ISBLANK(G$3),F102&amp;E102,INDEX(pixel_shift_table.asm!$C$3:$R$114, G$2*16 + G$3 + INT($A102/16) + 1, MOD($A102, 16) + 1))</f>
        <v>04</v>
      </c>
      <c r="H102" s="5" t="str" cm="1">
        <f t="array" ref="H102">IF(ISBLANK(H$3),G102&amp;F102,INDEX(pixel_shift_table.asm!$C$3:$R$114, H$2*16 + H$3 + INT($A102/16) + 1, MOD($A102, 16) + 1))</f>
        <v>AC</v>
      </c>
      <c r="I102" s="7" t="str" cm="1">
        <f t="array" ref="I102">IF(ISBLANK(I$3),H102&amp;G102,INDEX(pixel_shift_table.asm!$C$3:$R$114, I$2*16 + I$3 + INT($A102/16) + 1, MOD($A102, 16) + 1))</f>
        <v>AC04</v>
      </c>
      <c r="J102" s="6" t="str" cm="1">
        <f t="array" ref="J102">IF(ISBLANK(J$3),I102&amp;H102,INDEX(pixel_shift_table.asm!$C$3:$R$114, J$2*16 + J$3 + INT($A102/16) + 1, MOD($A102, 16) + 1))</f>
        <v>06</v>
      </c>
      <c r="K102" s="5" t="str" cm="1">
        <f t="array" ref="K102">IF(ISBLANK(K$3),J102&amp;I102,INDEX(pixel_shift_table.asm!$C$3:$R$114, K$2*16 + K$3 + INT($A102/16) + 1, MOD($A102, 16) + 1))</f>
        <v>AC</v>
      </c>
      <c r="L102" s="7" t="str" cm="1">
        <f t="array" ref="L102">IF(ISBLANK(L$3),K102&amp;J102,INDEX(pixel_shift_table.asm!$C$3:$R$114, L$2*16 + L$3 + INT($A102/16) + 1, MOD($A102, 16) + 1))</f>
        <v>AC06</v>
      </c>
      <c r="M102" s="6" t="str" cm="1">
        <f t="array" ref="M102">IF(ISBLANK(M$3),L102&amp;K102,INDEX(pixel_shift_table.asm!$C$3:$R$114, M$2*16 + M$3 + INT($A102/16) + 1, MOD($A102, 16) + 1))</f>
        <v>08</v>
      </c>
      <c r="N102" s="5" t="str" cm="1">
        <f t="array" ref="N102">IF(ISBLANK(N$3),M102&amp;L102,INDEX(pixel_shift_table.asm!$C$3:$R$114, N$2*16 + N$3 + INT($A102/16) + 1, MOD($A102, 16) + 1))</f>
        <v>AC</v>
      </c>
      <c r="O102" s="7" t="str" cm="1">
        <f t="array" ref="O102">IF(ISBLANK(O$3),N102&amp;M102,INDEX(pixel_shift_table.asm!$C$3:$R$114, O$2*16 + O$3 + INT($A102/16) + 1, MOD($A102, 16) + 1))</f>
        <v>AC08</v>
      </c>
      <c r="P102" s="6" t="str" cm="1">
        <f t="array" ref="P102">IF(ISBLANK(P$3),O102&amp;N102,INDEX(pixel_shift_table.asm!$C$3:$R$114, P$2*16 + P$3 + INT($A102/16) + 1, MOD($A102, 16) + 1))</f>
        <v>0A</v>
      </c>
      <c r="Q102" s="5" t="str" cm="1">
        <f t="array" ref="Q102">IF(ISBLANK(Q$3),P102&amp;O102,INDEX(pixel_shift_table.asm!$C$3:$R$114, Q$2*16 + Q$3 + INT($A102/16) + 1, MOD($A102, 16) + 1))</f>
        <v>AC</v>
      </c>
      <c r="R102" s="7" t="str" cm="1">
        <f t="array" ref="R102">IF(ISBLANK(R$3),Q102&amp;P102,INDEX(pixel_shift_table.asm!$C$3:$R$114, R$2*16 + R$3 + INT($A102/16) + 1, MOD($A102, 16) + 1))</f>
        <v>AC0A</v>
      </c>
      <c r="S102" s="6" t="str" cm="1">
        <f t="array" ref="S102">IF(ISBLANK(S$3),R102&amp;Q102,INDEX(pixel_shift_table.asm!$C$3:$R$114, S$2*16 + S$3 + INT($A102/16) + 1, MOD($A102, 16) + 1))</f>
        <v>0C</v>
      </c>
      <c r="T102" s="5" t="str" cm="1">
        <f t="array" ref="T102">IF(ISBLANK(T$3),S102&amp;R102,INDEX(pixel_shift_table.asm!$C$3:$R$114, T$2*16 + T$3 + INT($A102/16) + 1, MOD($A102, 16) + 1))</f>
        <v>AC</v>
      </c>
      <c r="U102" s="7" t="str" cm="1">
        <f t="array" ref="U102">IF(ISBLANK(U$3),T102&amp;S102,INDEX(pixel_shift_table.asm!$C$3:$R$114, U$2*16 + U$3 + INT($A102/16) + 1, MOD($A102, 16) + 1))</f>
        <v>AC0C</v>
      </c>
      <c r="V102" s="6" t="str" cm="1">
        <f t="array" ref="V102">IF(ISBLANK(V$3),U102&amp;T102,INDEX(pixel_shift_table.asm!$C$3:$R$114, V$2*16 + V$3 + INT($A102/16) + 1, MOD($A102, 16) + 1))</f>
        <v>0E</v>
      </c>
      <c r="W102" s="5" t="str" cm="1">
        <f t="array" ref="W102">IF(ISBLANK(W$3),V102&amp;U102,INDEX(pixel_shift_table.asm!$C$3:$R$114, W$2*16 + W$3 + INT($A102/16) + 1, MOD($A102, 16) + 1))</f>
        <v>AC</v>
      </c>
      <c r="X102" s="7" t="str" cm="1">
        <f t="array" ref="X102">IF(ISBLANK(X$3),W102&amp;V102,INDEX(pixel_shift_table.asm!$C$3:$R$114, X$2*16 + X$3 + INT($A102/16) + 1, MOD($A102, 16) + 1))</f>
        <v>AC0E</v>
      </c>
    </row>
    <row r="103" spans="1:24" x14ac:dyDescent="0.3">
      <c r="A103">
        <v>98</v>
      </c>
      <c r="B103" s="8">
        <v>11000.1</v>
      </c>
      <c r="C103" s="5" t="s">
        <v>847</v>
      </c>
      <c r="D103" s="6" t="str" cm="1">
        <f t="array" ref="D103">IF(ISBLANK(D$3),C103&amp;B103,INDEX(pixel_shift_table.asm!$C$3:$R$114, D$2*16 + D$3 + INT($A103/16) + 1, MOD($A103, 16) + 1))</f>
        <v>84</v>
      </c>
      <c r="E103" s="5" t="str" cm="1">
        <f t="array" ref="E103">IF(ISBLANK(E$3),D103&amp;C103,INDEX(pixel_shift_table.asm!$C$3:$R$114, E$2*16 + E$3 + INT($A103/16) + 1, MOD($A103, 16) + 1))</f>
        <v>AA</v>
      </c>
      <c r="F103" s="7" t="str" cm="1">
        <f t="array" ref="F103">IF(ISBLANK(F$3),E103&amp;D103,INDEX(pixel_shift_table.asm!$C$3:$R$114, F$2*16 + F$3 + INT($A103/16) + 1, MOD($A103, 16) + 1))</f>
        <v>AA84</v>
      </c>
      <c r="G103" s="6" t="str" cm="1">
        <f t="array" ref="G103">IF(ISBLANK(G$3),F103&amp;E103,INDEX(pixel_shift_table.asm!$C$3:$R$114, G$2*16 + G$3 + INT($A103/16) + 1, MOD($A103, 16) + 1))</f>
        <v>86</v>
      </c>
      <c r="H103" s="5" t="str" cm="1">
        <f t="array" ref="H103">IF(ISBLANK(H$3),G103&amp;F103,INDEX(pixel_shift_table.asm!$C$3:$R$114, H$2*16 + H$3 + INT($A103/16) + 1, MOD($A103, 16) + 1))</f>
        <v>AA</v>
      </c>
      <c r="I103" s="7" t="str" cm="1">
        <f t="array" ref="I103">IF(ISBLANK(I$3),H103&amp;G103,INDEX(pixel_shift_table.asm!$C$3:$R$114, I$2*16 + I$3 + INT($A103/16) + 1, MOD($A103, 16) + 1))</f>
        <v>AA86</v>
      </c>
      <c r="J103" s="6" t="str" cm="1">
        <f t="array" ref="J103">IF(ISBLANK(J$3),I103&amp;H103,INDEX(pixel_shift_table.asm!$C$3:$R$114, J$2*16 + J$3 + INT($A103/16) + 1, MOD($A103, 16) + 1))</f>
        <v>88</v>
      </c>
      <c r="K103" s="5" t="str" cm="1">
        <f t="array" ref="K103">IF(ISBLANK(K$3),J103&amp;I103,INDEX(pixel_shift_table.asm!$C$3:$R$114, K$2*16 + K$3 + INT($A103/16) + 1, MOD($A103, 16) + 1))</f>
        <v>AA</v>
      </c>
      <c r="L103" s="7" t="str" cm="1">
        <f t="array" ref="L103">IF(ISBLANK(L$3),K103&amp;J103,INDEX(pixel_shift_table.asm!$C$3:$R$114, L$2*16 + L$3 + INT($A103/16) + 1, MOD($A103, 16) + 1))</f>
        <v>AA88</v>
      </c>
      <c r="M103" s="6" t="str" cm="1">
        <f t="array" ref="M103">IF(ISBLANK(M$3),L103&amp;K103,INDEX(pixel_shift_table.asm!$C$3:$R$114, M$2*16 + M$3 + INT($A103/16) + 1, MOD($A103, 16) + 1))</f>
        <v>8A</v>
      </c>
      <c r="N103" s="5" t="str" cm="1">
        <f t="array" ref="N103">IF(ISBLANK(N$3),M103&amp;L103,INDEX(pixel_shift_table.asm!$C$3:$R$114, N$2*16 + N$3 + INT($A103/16) + 1, MOD($A103, 16) + 1))</f>
        <v>AA</v>
      </c>
      <c r="O103" s="7" t="str" cm="1">
        <f t="array" ref="O103">IF(ISBLANK(O$3),N103&amp;M103,INDEX(pixel_shift_table.asm!$C$3:$R$114, O$2*16 + O$3 + INT($A103/16) + 1, MOD($A103, 16) + 1))</f>
        <v>AA8A</v>
      </c>
      <c r="P103" s="6" t="str" cm="1">
        <f t="array" ref="P103">IF(ISBLANK(P$3),O103&amp;N103,INDEX(pixel_shift_table.asm!$C$3:$R$114, P$2*16 + P$3 + INT($A103/16) + 1, MOD($A103, 16) + 1))</f>
        <v>8C</v>
      </c>
      <c r="Q103" s="5" t="str" cm="1">
        <f t="array" ref="Q103">IF(ISBLANK(Q$3),P103&amp;O103,INDEX(pixel_shift_table.asm!$C$3:$R$114, Q$2*16 + Q$3 + INT($A103/16) + 1, MOD($A103, 16) + 1))</f>
        <v>AA</v>
      </c>
      <c r="R103" s="7" t="str" cm="1">
        <f t="array" ref="R103">IF(ISBLANK(R$3),Q103&amp;P103,INDEX(pixel_shift_table.asm!$C$3:$R$114, R$2*16 + R$3 + INT($A103/16) + 1, MOD($A103, 16) + 1))</f>
        <v>AA8C</v>
      </c>
      <c r="S103" s="6" t="str" cm="1">
        <f t="array" ref="S103">IF(ISBLANK(S$3),R103&amp;Q103,INDEX(pixel_shift_table.asm!$C$3:$R$114, S$2*16 + S$3 + INT($A103/16) + 1, MOD($A103, 16) + 1))</f>
        <v>8E</v>
      </c>
      <c r="T103" s="5" t="str" cm="1">
        <f t="array" ref="T103">IF(ISBLANK(T$3),S103&amp;R103,INDEX(pixel_shift_table.asm!$C$3:$R$114, T$2*16 + T$3 + INT($A103/16) + 1, MOD($A103, 16) + 1))</f>
        <v>AA</v>
      </c>
      <c r="U103" s="7" t="str" cm="1">
        <f t="array" ref="U103">IF(ISBLANK(U$3),T103&amp;S103,INDEX(pixel_shift_table.asm!$C$3:$R$114, U$2*16 + U$3 + INT($A103/16) + 1, MOD($A103, 16) + 1))</f>
        <v>AA8E</v>
      </c>
      <c r="V103" s="6" t="str" cm="1">
        <f t="array" ref="V103">IF(ISBLANK(V$3),U103&amp;T103,INDEX(pixel_shift_table.asm!$C$3:$R$114, V$2*16 + V$3 + INT($A103/16) + 1, MOD($A103, 16) + 1))</f>
        <v>10</v>
      </c>
      <c r="W103" s="5" t="str" cm="1">
        <f t="array" ref="W103">IF(ISBLANK(W$3),V103&amp;U103,INDEX(pixel_shift_table.asm!$C$3:$R$114, W$2*16 + W$3 + INT($A103/16) + 1, MOD($A103, 16) + 1))</f>
        <v>AC</v>
      </c>
      <c r="X103" s="7" t="str" cm="1">
        <f t="array" ref="X103">IF(ISBLANK(X$3),W103&amp;V103,INDEX(pixel_shift_table.asm!$C$3:$R$114, X$2*16 + X$3 + INT($A103/16) + 1, MOD($A103, 16) + 1))</f>
        <v>AC10</v>
      </c>
    </row>
    <row r="104" spans="1:24" x14ac:dyDescent="0.3">
      <c r="A104">
        <v>99</v>
      </c>
      <c r="B104" s="8">
        <v>11000.11</v>
      </c>
      <c r="C104" s="5" t="s">
        <v>848</v>
      </c>
      <c r="D104" s="6" t="str" cm="1">
        <f t="array" ref="D104">IF(ISBLANK(D$3),C104&amp;B104,INDEX(pixel_shift_table.asm!$C$3:$R$114, D$2*16 + D$3 + INT($A104/16) + 1, MOD($A104, 16) + 1))</f>
        <v>12</v>
      </c>
      <c r="E104" s="5" t="str" cm="1">
        <f t="array" ref="E104">IF(ISBLANK(E$3),D104&amp;C104,INDEX(pixel_shift_table.asm!$C$3:$R$114, E$2*16 + E$3 + INT($A104/16) + 1, MOD($A104, 16) + 1))</f>
        <v>AC</v>
      </c>
      <c r="F104" s="7" t="str" cm="1">
        <f t="array" ref="F104">IF(ISBLANK(F$3),E104&amp;D104,INDEX(pixel_shift_table.asm!$C$3:$R$114, F$2*16 + F$3 + INT($A104/16) + 1, MOD($A104, 16) + 1))</f>
        <v>AC12</v>
      </c>
      <c r="G104" s="6" t="str" cm="1">
        <f t="array" ref="G104">IF(ISBLANK(G$3),F104&amp;E104,INDEX(pixel_shift_table.asm!$C$3:$R$114, G$2*16 + G$3 + INT($A104/16) + 1, MOD($A104, 16) + 1))</f>
        <v>14</v>
      </c>
      <c r="H104" s="5" t="str" cm="1">
        <f t="array" ref="H104">IF(ISBLANK(H$3),G104&amp;F104,INDEX(pixel_shift_table.asm!$C$3:$R$114, H$2*16 + H$3 + INT($A104/16) + 1, MOD($A104, 16) + 1))</f>
        <v>AC</v>
      </c>
      <c r="I104" s="7" t="str" cm="1">
        <f t="array" ref="I104">IF(ISBLANK(I$3),H104&amp;G104,INDEX(pixel_shift_table.asm!$C$3:$R$114, I$2*16 + I$3 + INT($A104/16) + 1, MOD($A104, 16) + 1))</f>
        <v>AC14</v>
      </c>
      <c r="J104" s="6" t="str" cm="1">
        <f t="array" ref="J104">IF(ISBLANK(J$3),I104&amp;H104,INDEX(pixel_shift_table.asm!$C$3:$R$114, J$2*16 + J$3 + INT($A104/16) + 1, MOD($A104, 16) + 1))</f>
        <v>16</v>
      </c>
      <c r="K104" s="5" t="str" cm="1">
        <f t="array" ref="K104">IF(ISBLANK(K$3),J104&amp;I104,INDEX(pixel_shift_table.asm!$C$3:$R$114, K$2*16 + K$3 + INT($A104/16) + 1, MOD($A104, 16) + 1))</f>
        <v>AC</v>
      </c>
      <c r="L104" s="7" t="str" cm="1">
        <f t="array" ref="L104">IF(ISBLANK(L$3),K104&amp;J104,INDEX(pixel_shift_table.asm!$C$3:$R$114, L$2*16 + L$3 + INT($A104/16) + 1, MOD($A104, 16) + 1))</f>
        <v>AC16</v>
      </c>
      <c r="M104" s="6" t="str" cm="1">
        <f t="array" ref="M104">IF(ISBLANK(M$3),L104&amp;K104,INDEX(pixel_shift_table.asm!$C$3:$R$114, M$2*16 + M$3 + INT($A104/16) + 1, MOD($A104, 16) + 1))</f>
        <v>18</v>
      </c>
      <c r="N104" s="5" t="str" cm="1">
        <f t="array" ref="N104">IF(ISBLANK(N$3),M104&amp;L104,INDEX(pixel_shift_table.asm!$C$3:$R$114, N$2*16 + N$3 + INT($A104/16) + 1, MOD($A104, 16) + 1))</f>
        <v>AC</v>
      </c>
      <c r="O104" s="7" t="str" cm="1">
        <f t="array" ref="O104">IF(ISBLANK(O$3),N104&amp;M104,INDEX(pixel_shift_table.asm!$C$3:$R$114, O$2*16 + O$3 + INT($A104/16) + 1, MOD($A104, 16) + 1))</f>
        <v>AC18</v>
      </c>
      <c r="P104" s="6" t="str" cm="1">
        <f t="array" ref="P104">IF(ISBLANK(P$3),O104&amp;N104,INDEX(pixel_shift_table.asm!$C$3:$R$114, P$2*16 + P$3 + INT($A104/16) + 1, MOD($A104, 16) + 1))</f>
        <v>1A</v>
      </c>
      <c r="Q104" s="5" t="str" cm="1">
        <f t="array" ref="Q104">IF(ISBLANK(Q$3),P104&amp;O104,INDEX(pixel_shift_table.asm!$C$3:$R$114, Q$2*16 + Q$3 + INT($A104/16) + 1, MOD($A104, 16) + 1))</f>
        <v>AC</v>
      </c>
      <c r="R104" s="7" t="str" cm="1">
        <f t="array" ref="R104">IF(ISBLANK(R$3),Q104&amp;P104,INDEX(pixel_shift_table.asm!$C$3:$R$114, R$2*16 + R$3 + INT($A104/16) + 1, MOD($A104, 16) + 1))</f>
        <v>AC1A</v>
      </c>
      <c r="S104" s="6" t="str" cm="1">
        <f t="array" ref="S104">IF(ISBLANK(S$3),R104&amp;Q104,INDEX(pixel_shift_table.asm!$C$3:$R$114, S$2*16 + S$3 + INT($A104/16) + 1, MOD($A104, 16) + 1))</f>
        <v>1C</v>
      </c>
      <c r="T104" s="5" t="str" cm="1">
        <f t="array" ref="T104">IF(ISBLANK(T$3),S104&amp;R104,INDEX(pixel_shift_table.asm!$C$3:$R$114, T$2*16 + T$3 + INT($A104/16) + 1, MOD($A104, 16) + 1))</f>
        <v>AC</v>
      </c>
      <c r="U104" s="7" t="str" cm="1">
        <f t="array" ref="U104">IF(ISBLANK(U$3),T104&amp;S104,INDEX(pixel_shift_table.asm!$C$3:$R$114, U$2*16 + U$3 + INT($A104/16) + 1, MOD($A104, 16) + 1))</f>
        <v>AC1C</v>
      </c>
      <c r="V104" s="6" t="str" cm="1">
        <f t="array" ref="V104">IF(ISBLANK(V$3),U104&amp;T104,INDEX(pixel_shift_table.asm!$C$3:$R$114, V$2*16 + V$3 + INT($A104/16) + 1, MOD($A104, 16) + 1))</f>
        <v>1E</v>
      </c>
      <c r="W104" s="5" t="str" cm="1">
        <f t="array" ref="W104">IF(ISBLANK(W$3),V104&amp;U104,INDEX(pixel_shift_table.asm!$C$3:$R$114, W$2*16 + W$3 + INT($A104/16) + 1, MOD($A104, 16) + 1))</f>
        <v>AC</v>
      </c>
      <c r="X104" s="7" t="str" cm="1">
        <f t="array" ref="X104">IF(ISBLANK(X$3),W104&amp;V104,INDEX(pixel_shift_table.asm!$C$3:$R$114, X$2*16 + X$3 + INT($A104/16) + 1, MOD($A104, 16) + 1))</f>
        <v>AC1E</v>
      </c>
    </row>
    <row r="105" spans="1:24" x14ac:dyDescent="0.3">
      <c r="A105">
        <v>100</v>
      </c>
      <c r="B105" s="8">
        <v>11001</v>
      </c>
      <c r="C105" s="5" t="s">
        <v>849</v>
      </c>
      <c r="D105" s="6" t="str" cm="1">
        <f t="array" ref="D105">IF(ISBLANK(D$3),C105&amp;B105,INDEX(pixel_shift_table.asm!$C$3:$R$114, D$2*16 + D$3 + INT($A105/16) + 1, MOD($A105, 16) + 1))</f>
        <v>C6</v>
      </c>
      <c r="E105" s="5" t="str" cm="1">
        <f t="array" ref="E105">IF(ISBLANK(E$3),D105&amp;C105,INDEX(pixel_shift_table.asm!$C$3:$R$114, E$2*16 + E$3 + INT($A105/16) + 1, MOD($A105, 16) + 1))</f>
        <v>A9</v>
      </c>
      <c r="F105" s="7" t="str" cm="1">
        <f t="array" ref="F105">IF(ISBLANK(F$3),E105&amp;D105,INDEX(pixel_shift_table.asm!$C$3:$R$114, F$2*16 + F$3 + INT($A105/16) + 1, MOD($A105, 16) + 1))</f>
        <v>A9C6</v>
      </c>
      <c r="G105" s="6" t="str" cm="1">
        <f t="array" ref="G105">IF(ISBLANK(G$3),F105&amp;E105,INDEX(pixel_shift_table.asm!$C$3:$R$114, G$2*16 + G$3 + INT($A105/16) + 1, MOD($A105, 16) + 1))</f>
        <v>C8</v>
      </c>
      <c r="H105" s="5" t="str" cm="1">
        <f t="array" ref="H105">IF(ISBLANK(H$3),G105&amp;F105,INDEX(pixel_shift_table.asm!$C$3:$R$114, H$2*16 + H$3 + INT($A105/16) + 1, MOD($A105, 16) + 1))</f>
        <v>A9</v>
      </c>
      <c r="I105" s="7" t="str" cm="1">
        <f t="array" ref="I105">IF(ISBLANK(I$3),H105&amp;G105,INDEX(pixel_shift_table.asm!$C$3:$R$114, I$2*16 + I$3 + INT($A105/16) + 1, MOD($A105, 16) + 1))</f>
        <v>A9C8</v>
      </c>
      <c r="J105" s="6" t="str" cm="1">
        <f t="array" ref="J105">IF(ISBLANK(J$3),I105&amp;H105,INDEX(pixel_shift_table.asm!$C$3:$R$114, J$2*16 + J$3 + INT($A105/16) + 1, MOD($A105, 16) + 1))</f>
        <v>CA</v>
      </c>
      <c r="K105" s="5" t="str" cm="1">
        <f t="array" ref="K105">IF(ISBLANK(K$3),J105&amp;I105,INDEX(pixel_shift_table.asm!$C$3:$R$114, K$2*16 + K$3 + INT($A105/16) + 1, MOD($A105, 16) + 1))</f>
        <v>A9</v>
      </c>
      <c r="L105" s="7" t="str" cm="1">
        <f t="array" ref="L105">IF(ISBLANK(L$3),K105&amp;J105,INDEX(pixel_shift_table.asm!$C$3:$R$114, L$2*16 + L$3 + INT($A105/16) + 1, MOD($A105, 16) + 1))</f>
        <v>A9CA</v>
      </c>
      <c r="M105" s="6" t="str" cm="1">
        <f t="array" ref="M105">IF(ISBLANK(M$3),L105&amp;K105,INDEX(pixel_shift_table.asm!$C$3:$R$114, M$2*16 + M$3 + INT($A105/16) + 1, MOD($A105, 16) + 1))</f>
        <v>CC</v>
      </c>
      <c r="N105" s="5" t="str" cm="1">
        <f t="array" ref="N105">IF(ISBLANK(N$3),M105&amp;L105,INDEX(pixel_shift_table.asm!$C$3:$R$114, N$2*16 + N$3 + INT($A105/16) + 1, MOD($A105, 16) + 1))</f>
        <v>A9</v>
      </c>
      <c r="O105" s="7" t="str" cm="1">
        <f t="array" ref="O105">IF(ISBLANK(O$3),N105&amp;M105,INDEX(pixel_shift_table.asm!$C$3:$R$114, O$2*16 + O$3 + INT($A105/16) + 1, MOD($A105, 16) + 1))</f>
        <v>A9CC</v>
      </c>
      <c r="P105" s="6" t="str" cm="1">
        <f t="array" ref="P105">IF(ISBLANK(P$3),O105&amp;N105,INDEX(pixel_shift_table.asm!$C$3:$R$114, P$2*16 + P$3 + INT($A105/16) + 1, MOD($A105, 16) + 1))</f>
        <v>CE</v>
      </c>
      <c r="Q105" s="5" t="str" cm="1">
        <f t="array" ref="Q105">IF(ISBLANK(Q$3),P105&amp;O105,INDEX(pixel_shift_table.asm!$C$3:$R$114, Q$2*16 + Q$3 + INT($A105/16) + 1, MOD($A105, 16) + 1))</f>
        <v>A9</v>
      </c>
      <c r="R105" s="7" t="str" cm="1">
        <f t="array" ref="R105">IF(ISBLANK(R$3),Q105&amp;P105,INDEX(pixel_shift_table.asm!$C$3:$R$114, R$2*16 + R$3 + INT($A105/16) + 1, MOD($A105, 16) + 1))</f>
        <v>A9CE</v>
      </c>
      <c r="S105" s="6" t="str" cm="1">
        <f t="array" ref="S105">IF(ISBLANK(S$3),R105&amp;Q105,INDEX(pixel_shift_table.asm!$C$3:$R$114, S$2*16 + S$3 + INT($A105/16) + 1, MOD($A105, 16) + 1))</f>
        <v>90</v>
      </c>
      <c r="T105" s="5" t="str" cm="1">
        <f t="array" ref="T105">IF(ISBLANK(T$3),S105&amp;R105,INDEX(pixel_shift_table.asm!$C$3:$R$114, T$2*16 + T$3 + INT($A105/16) + 1, MOD($A105, 16) + 1))</f>
        <v>AA</v>
      </c>
      <c r="U105" s="7" t="str" cm="1">
        <f t="array" ref="U105">IF(ISBLANK(U$3),T105&amp;S105,INDEX(pixel_shift_table.asm!$C$3:$R$114, U$2*16 + U$3 + INT($A105/16) + 1, MOD($A105, 16) + 1))</f>
        <v>AA90</v>
      </c>
      <c r="V105" s="6" t="str" cm="1">
        <f t="array" ref="V105">IF(ISBLANK(V$3),U105&amp;T105,INDEX(pixel_shift_table.asm!$C$3:$R$114, V$2*16 + V$3 + INT($A105/16) + 1, MOD($A105, 16) + 1))</f>
        <v>20</v>
      </c>
      <c r="W105" s="5" t="str" cm="1">
        <f t="array" ref="W105">IF(ISBLANK(W$3),V105&amp;U105,INDEX(pixel_shift_table.asm!$C$3:$R$114, W$2*16 + W$3 + INT($A105/16) + 1, MOD($A105, 16) + 1))</f>
        <v>AC</v>
      </c>
      <c r="X105" s="7" t="str" cm="1">
        <f t="array" ref="X105">IF(ISBLANK(X$3),W105&amp;V105,INDEX(pixel_shift_table.asm!$C$3:$R$114, X$2*16 + X$3 + INT($A105/16) + 1, MOD($A105, 16) + 1))</f>
        <v>AC20</v>
      </c>
    </row>
    <row r="106" spans="1:24" x14ac:dyDescent="0.3">
      <c r="A106">
        <v>101</v>
      </c>
      <c r="B106" s="8">
        <v>11001.01</v>
      </c>
      <c r="C106" s="5" t="s">
        <v>850</v>
      </c>
      <c r="D106" s="6" t="str" cm="1">
        <f t="array" ref="D106">IF(ISBLANK(D$3),C106&amp;B106,INDEX(pixel_shift_table.asm!$C$3:$R$114, D$2*16 + D$3 + INT($A106/16) + 1, MOD($A106, 16) + 1))</f>
        <v>22</v>
      </c>
      <c r="E106" s="5" t="str" cm="1">
        <f t="array" ref="E106">IF(ISBLANK(E$3),D106&amp;C106,INDEX(pixel_shift_table.asm!$C$3:$R$114, E$2*16 + E$3 + INT($A106/16) + 1, MOD($A106, 16) + 1))</f>
        <v>AC</v>
      </c>
      <c r="F106" s="7" t="str" cm="1">
        <f t="array" ref="F106">IF(ISBLANK(F$3),E106&amp;D106,INDEX(pixel_shift_table.asm!$C$3:$R$114, F$2*16 + F$3 + INT($A106/16) + 1, MOD($A106, 16) + 1))</f>
        <v>AC22</v>
      </c>
      <c r="G106" s="6" t="str" cm="1">
        <f t="array" ref="G106">IF(ISBLANK(G$3),F106&amp;E106,INDEX(pixel_shift_table.asm!$C$3:$R$114, G$2*16 + G$3 + INT($A106/16) + 1, MOD($A106, 16) + 1))</f>
        <v>24</v>
      </c>
      <c r="H106" s="5" t="str" cm="1">
        <f t="array" ref="H106">IF(ISBLANK(H$3),G106&amp;F106,INDEX(pixel_shift_table.asm!$C$3:$R$114, H$2*16 + H$3 + INT($A106/16) + 1, MOD($A106, 16) + 1))</f>
        <v>AC</v>
      </c>
      <c r="I106" s="7" t="str" cm="1">
        <f t="array" ref="I106">IF(ISBLANK(I$3),H106&amp;G106,INDEX(pixel_shift_table.asm!$C$3:$R$114, I$2*16 + I$3 + INT($A106/16) + 1, MOD($A106, 16) + 1))</f>
        <v>AC24</v>
      </c>
      <c r="J106" s="6" t="str" cm="1">
        <f t="array" ref="J106">IF(ISBLANK(J$3),I106&amp;H106,INDEX(pixel_shift_table.asm!$C$3:$R$114, J$2*16 + J$3 + INT($A106/16) + 1, MOD($A106, 16) + 1))</f>
        <v>26</v>
      </c>
      <c r="K106" s="5" t="str" cm="1">
        <f t="array" ref="K106">IF(ISBLANK(K$3),J106&amp;I106,INDEX(pixel_shift_table.asm!$C$3:$R$114, K$2*16 + K$3 + INT($A106/16) + 1, MOD($A106, 16) + 1))</f>
        <v>AC</v>
      </c>
      <c r="L106" s="7" t="str" cm="1">
        <f t="array" ref="L106">IF(ISBLANK(L$3),K106&amp;J106,INDEX(pixel_shift_table.asm!$C$3:$R$114, L$2*16 + L$3 + INT($A106/16) + 1, MOD($A106, 16) + 1))</f>
        <v>AC26</v>
      </c>
      <c r="M106" s="6" t="str" cm="1">
        <f t="array" ref="M106">IF(ISBLANK(M$3),L106&amp;K106,INDEX(pixel_shift_table.asm!$C$3:$R$114, M$2*16 + M$3 + INT($A106/16) + 1, MOD($A106, 16) + 1))</f>
        <v>28</v>
      </c>
      <c r="N106" s="5" t="str" cm="1">
        <f t="array" ref="N106">IF(ISBLANK(N$3),M106&amp;L106,INDEX(pixel_shift_table.asm!$C$3:$R$114, N$2*16 + N$3 + INT($A106/16) + 1, MOD($A106, 16) + 1))</f>
        <v>AC</v>
      </c>
      <c r="O106" s="7" t="str" cm="1">
        <f t="array" ref="O106">IF(ISBLANK(O$3),N106&amp;M106,INDEX(pixel_shift_table.asm!$C$3:$R$114, O$2*16 + O$3 + INT($A106/16) + 1, MOD($A106, 16) + 1))</f>
        <v>AC28</v>
      </c>
      <c r="P106" s="6" t="str" cm="1">
        <f t="array" ref="P106">IF(ISBLANK(P$3),O106&amp;N106,INDEX(pixel_shift_table.asm!$C$3:$R$114, P$2*16 + P$3 + INT($A106/16) + 1, MOD($A106, 16) + 1))</f>
        <v>2A</v>
      </c>
      <c r="Q106" s="5" t="str" cm="1">
        <f t="array" ref="Q106">IF(ISBLANK(Q$3),P106&amp;O106,INDEX(pixel_shift_table.asm!$C$3:$R$114, Q$2*16 + Q$3 + INT($A106/16) + 1, MOD($A106, 16) + 1))</f>
        <v>AC</v>
      </c>
      <c r="R106" s="7" t="str" cm="1">
        <f t="array" ref="R106">IF(ISBLANK(R$3),Q106&amp;P106,INDEX(pixel_shift_table.asm!$C$3:$R$114, R$2*16 + R$3 + INT($A106/16) + 1, MOD($A106, 16) + 1))</f>
        <v>AC2A</v>
      </c>
      <c r="S106" s="6" t="str" cm="1">
        <f t="array" ref="S106">IF(ISBLANK(S$3),R106&amp;Q106,INDEX(pixel_shift_table.asm!$C$3:$R$114, S$2*16 + S$3 + INT($A106/16) + 1, MOD($A106, 16) + 1))</f>
        <v>2C</v>
      </c>
      <c r="T106" s="5" t="str" cm="1">
        <f t="array" ref="T106">IF(ISBLANK(T$3),S106&amp;R106,INDEX(pixel_shift_table.asm!$C$3:$R$114, T$2*16 + T$3 + INT($A106/16) + 1, MOD($A106, 16) + 1))</f>
        <v>AC</v>
      </c>
      <c r="U106" s="7" t="str" cm="1">
        <f t="array" ref="U106">IF(ISBLANK(U$3),T106&amp;S106,INDEX(pixel_shift_table.asm!$C$3:$R$114, U$2*16 + U$3 + INT($A106/16) + 1, MOD($A106, 16) + 1))</f>
        <v>AC2C</v>
      </c>
      <c r="V106" s="6" t="str" cm="1">
        <f t="array" ref="V106">IF(ISBLANK(V$3),U106&amp;T106,INDEX(pixel_shift_table.asm!$C$3:$R$114, V$2*16 + V$3 + INT($A106/16) + 1, MOD($A106, 16) + 1))</f>
        <v>2E</v>
      </c>
      <c r="W106" s="5" t="str" cm="1">
        <f t="array" ref="W106">IF(ISBLANK(W$3),V106&amp;U106,INDEX(pixel_shift_table.asm!$C$3:$R$114, W$2*16 + W$3 + INT($A106/16) + 1, MOD($A106, 16) + 1))</f>
        <v>AC</v>
      </c>
      <c r="X106" s="7" t="str" cm="1">
        <f t="array" ref="X106">IF(ISBLANK(X$3),W106&amp;V106,INDEX(pixel_shift_table.asm!$C$3:$R$114, X$2*16 + X$3 + INT($A106/16) + 1, MOD($A106, 16) + 1))</f>
        <v>AC2E</v>
      </c>
    </row>
    <row r="107" spans="1:24" x14ac:dyDescent="0.3">
      <c r="A107">
        <v>102</v>
      </c>
      <c r="B107" s="8">
        <v>11001.1</v>
      </c>
      <c r="C107" s="5" t="s">
        <v>851</v>
      </c>
      <c r="D107" s="6" t="str" cm="1">
        <f t="array" ref="D107">IF(ISBLANK(D$3),C107&amp;B107,INDEX(pixel_shift_table.asm!$C$3:$R$114, D$2*16 + D$3 + INT($A107/16) + 1, MOD($A107, 16) + 1))</f>
        <v>94</v>
      </c>
      <c r="E107" s="5" t="str" cm="1">
        <f t="array" ref="E107">IF(ISBLANK(E$3),D107&amp;C107,INDEX(pixel_shift_table.asm!$C$3:$R$114, E$2*16 + E$3 + INT($A107/16) + 1, MOD($A107, 16) + 1))</f>
        <v>AA</v>
      </c>
      <c r="F107" s="7" t="str" cm="1">
        <f t="array" ref="F107">IF(ISBLANK(F$3),E107&amp;D107,INDEX(pixel_shift_table.asm!$C$3:$R$114, F$2*16 + F$3 + INT($A107/16) + 1, MOD($A107, 16) + 1))</f>
        <v>AA94</v>
      </c>
      <c r="G107" s="6" t="str" cm="1">
        <f t="array" ref="G107">IF(ISBLANK(G$3),F107&amp;E107,INDEX(pixel_shift_table.asm!$C$3:$R$114, G$2*16 + G$3 + INT($A107/16) + 1, MOD($A107, 16) + 1))</f>
        <v>96</v>
      </c>
      <c r="H107" s="5" t="str" cm="1">
        <f t="array" ref="H107">IF(ISBLANK(H$3),G107&amp;F107,INDEX(pixel_shift_table.asm!$C$3:$R$114, H$2*16 + H$3 + INT($A107/16) + 1, MOD($A107, 16) + 1))</f>
        <v>AA</v>
      </c>
      <c r="I107" s="7" t="str" cm="1">
        <f t="array" ref="I107">IF(ISBLANK(I$3),H107&amp;G107,INDEX(pixel_shift_table.asm!$C$3:$R$114, I$2*16 + I$3 + INT($A107/16) + 1, MOD($A107, 16) + 1))</f>
        <v>AA96</v>
      </c>
      <c r="J107" s="6" t="str" cm="1">
        <f t="array" ref="J107">IF(ISBLANK(J$3),I107&amp;H107,INDEX(pixel_shift_table.asm!$C$3:$R$114, J$2*16 + J$3 + INT($A107/16) + 1, MOD($A107, 16) + 1))</f>
        <v>98</v>
      </c>
      <c r="K107" s="5" t="str" cm="1">
        <f t="array" ref="K107">IF(ISBLANK(K$3),J107&amp;I107,INDEX(pixel_shift_table.asm!$C$3:$R$114, K$2*16 + K$3 + INT($A107/16) + 1, MOD($A107, 16) + 1))</f>
        <v>AA</v>
      </c>
      <c r="L107" s="7" t="str" cm="1">
        <f t="array" ref="L107">IF(ISBLANK(L$3),K107&amp;J107,INDEX(pixel_shift_table.asm!$C$3:$R$114, L$2*16 + L$3 + INT($A107/16) + 1, MOD($A107, 16) + 1))</f>
        <v>AA98</v>
      </c>
      <c r="M107" s="6" t="str" cm="1">
        <f t="array" ref="M107">IF(ISBLANK(M$3),L107&amp;K107,INDEX(pixel_shift_table.asm!$C$3:$R$114, M$2*16 + M$3 + INT($A107/16) + 1, MOD($A107, 16) + 1))</f>
        <v>9A</v>
      </c>
      <c r="N107" s="5" t="str" cm="1">
        <f t="array" ref="N107">IF(ISBLANK(N$3),M107&amp;L107,INDEX(pixel_shift_table.asm!$C$3:$R$114, N$2*16 + N$3 + INT($A107/16) + 1, MOD($A107, 16) + 1))</f>
        <v>AA</v>
      </c>
      <c r="O107" s="7" t="str" cm="1">
        <f t="array" ref="O107">IF(ISBLANK(O$3),N107&amp;M107,INDEX(pixel_shift_table.asm!$C$3:$R$114, O$2*16 + O$3 + INT($A107/16) + 1, MOD($A107, 16) + 1))</f>
        <v>AA9A</v>
      </c>
      <c r="P107" s="6" t="str" cm="1">
        <f t="array" ref="P107">IF(ISBLANK(P$3),O107&amp;N107,INDEX(pixel_shift_table.asm!$C$3:$R$114, P$2*16 + P$3 + INT($A107/16) + 1, MOD($A107, 16) + 1))</f>
        <v>9C</v>
      </c>
      <c r="Q107" s="5" t="str" cm="1">
        <f t="array" ref="Q107">IF(ISBLANK(Q$3),P107&amp;O107,INDEX(pixel_shift_table.asm!$C$3:$R$114, Q$2*16 + Q$3 + INT($A107/16) + 1, MOD($A107, 16) + 1))</f>
        <v>AA</v>
      </c>
      <c r="R107" s="7" t="str" cm="1">
        <f t="array" ref="R107">IF(ISBLANK(R$3),Q107&amp;P107,INDEX(pixel_shift_table.asm!$C$3:$R$114, R$2*16 + R$3 + INT($A107/16) + 1, MOD($A107, 16) + 1))</f>
        <v>AA9C</v>
      </c>
      <c r="S107" s="6" t="str" cm="1">
        <f t="array" ref="S107">IF(ISBLANK(S$3),R107&amp;Q107,INDEX(pixel_shift_table.asm!$C$3:$R$114, S$2*16 + S$3 + INT($A107/16) + 1, MOD($A107, 16) + 1))</f>
        <v>9E</v>
      </c>
      <c r="T107" s="5" t="str" cm="1">
        <f t="array" ref="T107">IF(ISBLANK(T$3),S107&amp;R107,INDEX(pixel_shift_table.asm!$C$3:$R$114, T$2*16 + T$3 + INT($A107/16) + 1, MOD($A107, 16) + 1))</f>
        <v>AA</v>
      </c>
      <c r="U107" s="7" t="str" cm="1">
        <f t="array" ref="U107">IF(ISBLANK(U$3),T107&amp;S107,INDEX(pixel_shift_table.asm!$C$3:$R$114, U$2*16 + U$3 + INT($A107/16) + 1, MOD($A107, 16) + 1))</f>
        <v>AA9E</v>
      </c>
      <c r="V107" s="6" t="str" cm="1">
        <f t="array" ref="V107">IF(ISBLANK(V$3),U107&amp;T107,INDEX(pixel_shift_table.asm!$C$3:$R$114, V$2*16 + V$3 + INT($A107/16) + 1, MOD($A107, 16) + 1))</f>
        <v>30</v>
      </c>
      <c r="W107" s="5" t="str" cm="1">
        <f t="array" ref="W107">IF(ISBLANK(W$3),V107&amp;U107,INDEX(pixel_shift_table.asm!$C$3:$R$114, W$2*16 + W$3 + INT($A107/16) + 1, MOD($A107, 16) + 1))</f>
        <v>AC</v>
      </c>
      <c r="X107" s="7" t="str" cm="1">
        <f t="array" ref="X107">IF(ISBLANK(X$3),W107&amp;V107,INDEX(pixel_shift_table.asm!$C$3:$R$114, X$2*16 + X$3 + INT($A107/16) + 1, MOD($A107, 16) + 1))</f>
        <v>AC30</v>
      </c>
    </row>
    <row r="108" spans="1:24" x14ac:dyDescent="0.3">
      <c r="A108">
        <v>103</v>
      </c>
      <c r="B108" s="8">
        <v>11001.11</v>
      </c>
      <c r="C108" s="5" t="s">
        <v>852</v>
      </c>
      <c r="D108" s="6" t="str" cm="1">
        <f t="array" ref="D108">IF(ISBLANK(D$3),C108&amp;B108,INDEX(pixel_shift_table.asm!$C$3:$R$114, D$2*16 + D$3 + INT($A108/16) + 1, MOD($A108, 16) + 1))</f>
        <v>32</v>
      </c>
      <c r="E108" s="5" t="str" cm="1">
        <f t="array" ref="E108">IF(ISBLANK(E$3),D108&amp;C108,INDEX(pixel_shift_table.asm!$C$3:$R$114, E$2*16 + E$3 + INT($A108/16) + 1, MOD($A108, 16) + 1))</f>
        <v>AC</v>
      </c>
      <c r="F108" s="7" t="str" cm="1">
        <f t="array" ref="F108">IF(ISBLANK(F$3),E108&amp;D108,INDEX(pixel_shift_table.asm!$C$3:$R$114, F$2*16 + F$3 + INT($A108/16) + 1, MOD($A108, 16) + 1))</f>
        <v>AC32</v>
      </c>
      <c r="G108" s="6" t="str" cm="1">
        <f t="array" ref="G108">IF(ISBLANK(G$3),F108&amp;E108,INDEX(pixel_shift_table.asm!$C$3:$R$114, G$2*16 + G$3 + INT($A108/16) + 1, MOD($A108, 16) + 1))</f>
        <v>34</v>
      </c>
      <c r="H108" s="5" t="str" cm="1">
        <f t="array" ref="H108">IF(ISBLANK(H$3),G108&amp;F108,INDEX(pixel_shift_table.asm!$C$3:$R$114, H$2*16 + H$3 + INT($A108/16) + 1, MOD($A108, 16) + 1))</f>
        <v>AC</v>
      </c>
      <c r="I108" s="7" t="str" cm="1">
        <f t="array" ref="I108">IF(ISBLANK(I$3),H108&amp;G108,INDEX(pixel_shift_table.asm!$C$3:$R$114, I$2*16 + I$3 + INT($A108/16) + 1, MOD($A108, 16) + 1))</f>
        <v>AC34</v>
      </c>
      <c r="J108" s="6" t="str" cm="1">
        <f t="array" ref="J108">IF(ISBLANK(J$3),I108&amp;H108,INDEX(pixel_shift_table.asm!$C$3:$R$114, J$2*16 + J$3 + INT($A108/16) + 1, MOD($A108, 16) + 1))</f>
        <v>36</v>
      </c>
      <c r="K108" s="5" t="str" cm="1">
        <f t="array" ref="K108">IF(ISBLANK(K$3),J108&amp;I108,INDEX(pixel_shift_table.asm!$C$3:$R$114, K$2*16 + K$3 + INT($A108/16) + 1, MOD($A108, 16) + 1))</f>
        <v>AC</v>
      </c>
      <c r="L108" s="7" t="str" cm="1">
        <f t="array" ref="L108">IF(ISBLANK(L$3),K108&amp;J108,INDEX(pixel_shift_table.asm!$C$3:$R$114, L$2*16 + L$3 + INT($A108/16) + 1, MOD($A108, 16) + 1))</f>
        <v>AC36</v>
      </c>
      <c r="M108" s="6" t="str" cm="1">
        <f t="array" ref="M108">IF(ISBLANK(M$3),L108&amp;K108,INDEX(pixel_shift_table.asm!$C$3:$R$114, M$2*16 + M$3 + INT($A108/16) + 1, MOD($A108, 16) + 1))</f>
        <v>38</v>
      </c>
      <c r="N108" s="5" t="str" cm="1">
        <f t="array" ref="N108">IF(ISBLANK(N$3),M108&amp;L108,INDEX(pixel_shift_table.asm!$C$3:$R$114, N$2*16 + N$3 + INT($A108/16) + 1, MOD($A108, 16) + 1))</f>
        <v>AC</v>
      </c>
      <c r="O108" s="7" t="str" cm="1">
        <f t="array" ref="O108">IF(ISBLANK(O$3),N108&amp;M108,INDEX(pixel_shift_table.asm!$C$3:$R$114, O$2*16 + O$3 + INT($A108/16) + 1, MOD($A108, 16) + 1))</f>
        <v>AC38</v>
      </c>
      <c r="P108" s="6" t="str" cm="1">
        <f t="array" ref="P108">IF(ISBLANK(P$3),O108&amp;N108,INDEX(pixel_shift_table.asm!$C$3:$R$114, P$2*16 + P$3 + INT($A108/16) + 1, MOD($A108, 16) + 1))</f>
        <v>3A</v>
      </c>
      <c r="Q108" s="5" t="str" cm="1">
        <f t="array" ref="Q108">IF(ISBLANK(Q$3),P108&amp;O108,INDEX(pixel_shift_table.asm!$C$3:$R$114, Q$2*16 + Q$3 + INT($A108/16) + 1, MOD($A108, 16) + 1))</f>
        <v>AC</v>
      </c>
      <c r="R108" s="7" t="str" cm="1">
        <f t="array" ref="R108">IF(ISBLANK(R$3),Q108&amp;P108,INDEX(pixel_shift_table.asm!$C$3:$R$114, R$2*16 + R$3 + INT($A108/16) + 1, MOD($A108, 16) + 1))</f>
        <v>AC3A</v>
      </c>
      <c r="S108" s="6" t="str" cm="1">
        <f t="array" ref="S108">IF(ISBLANK(S$3),R108&amp;Q108,INDEX(pixel_shift_table.asm!$C$3:$R$114, S$2*16 + S$3 + INT($A108/16) + 1, MOD($A108, 16) + 1))</f>
        <v>3C</v>
      </c>
      <c r="T108" s="5" t="str" cm="1">
        <f t="array" ref="T108">IF(ISBLANK(T$3),S108&amp;R108,INDEX(pixel_shift_table.asm!$C$3:$R$114, T$2*16 + T$3 + INT($A108/16) + 1, MOD($A108, 16) + 1))</f>
        <v>AC</v>
      </c>
      <c r="U108" s="7" t="str" cm="1">
        <f t="array" ref="U108">IF(ISBLANK(U$3),T108&amp;S108,INDEX(pixel_shift_table.asm!$C$3:$R$114, U$2*16 + U$3 + INT($A108/16) + 1, MOD($A108, 16) + 1))</f>
        <v>AC3C</v>
      </c>
      <c r="V108" s="6" t="str" cm="1">
        <f t="array" ref="V108">IF(ISBLANK(V$3),U108&amp;T108,INDEX(pixel_shift_table.asm!$C$3:$R$114, V$2*16 + V$3 + INT($A108/16) + 1, MOD($A108, 16) + 1))</f>
        <v>3E</v>
      </c>
      <c r="W108" s="5" t="str" cm="1">
        <f t="array" ref="W108">IF(ISBLANK(W$3),V108&amp;U108,INDEX(pixel_shift_table.asm!$C$3:$R$114, W$2*16 + W$3 + INT($A108/16) + 1, MOD($A108, 16) + 1))</f>
        <v>AC</v>
      </c>
      <c r="X108" s="7" t="str" cm="1">
        <f t="array" ref="X108">IF(ISBLANK(X$3),W108&amp;V108,INDEX(pixel_shift_table.asm!$C$3:$R$114, X$2*16 + X$3 + INT($A108/16) + 1, MOD($A108, 16) + 1))</f>
        <v>AC3E</v>
      </c>
    </row>
    <row r="109" spans="1:24" x14ac:dyDescent="0.3">
      <c r="A109">
        <v>104</v>
      </c>
      <c r="B109" s="8">
        <v>11010</v>
      </c>
      <c r="C109" s="5" t="s">
        <v>853</v>
      </c>
      <c r="D109" s="6" t="str" cm="1">
        <f t="array" ref="D109">IF(ISBLANK(D$3),C109&amp;B109,INDEX(pixel_shift_table.asm!$C$3:$R$114, D$2*16 + D$3 + INT($A109/16) + 1, MOD($A109, 16) + 1))</f>
        <v>68</v>
      </c>
      <c r="E109" s="5" t="str" cm="1">
        <f t="array" ref="E109">IF(ISBLANK(E$3),D109&amp;C109,INDEX(pixel_shift_table.asm!$C$3:$R$114, E$2*16 + E$3 + INT($A109/16) + 1, MOD($A109, 16) + 1))</f>
        <v>A9</v>
      </c>
      <c r="F109" s="7" t="str" cm="1">
        <f t="array" ref="F109">IF(ISBLANK(F$3),E109&amp;D109,INDEX(pixel_shift_table.asm!$C$3:$R$114, F$2*16 + F$3 + INT($A109/16) + 1, MOD($A109, 16) + 1))</f>
        <v>A968</v>
      </c>
      <c r="G109" s="6" t="str" cm="1">
        <f t="array" ref="G109">IF(ISBLANK(G$3),F109&amp;E109,INDEX(pixel_shift_table.asm!$C$3:$R$114, G$2*16 + G$3 + INT($A109/16) + 1, MOD($A109, 16) + 1))</f>
        <v>6A</v>
      </c>
      <c r="H109" s="5" t="str" cm="1">
        <f t="array" ref="H109">IF(ISBLANK(H$3),G109&amp;F109,INDEX(pixel_shift_table.asm!$C$3:$R$114, H$2*16 + H$3 + INT($A109/16) + 1, MOD($A109, 16) + 1))</f>
        <v>A9</v>
      </c>
      <c r="I109" s="7" t="str" cm="1">
        <f t="array" ref="I109">IF(ISBLANK(I$3),H109&amp;G109,INDEX(pixel_shift_table.asm!$C$3:$R$114, I$2*16 + I$3 + INT($A109/16) + 1, MOD($A109, 16) + 1))</f>
        <v>A96A</v>
      </c>
      <c r="J109" s="6" t="str" cm="1">
        <f t="array" ref="J109">IF(ISBLANK(J$3),I109&amp;H109,INDEX(pixel_shift_table.asm!$C$3:$R$114, J$2*16 + J$3 + INT($A109/16) + 1, MOD($A109, 16) + 1))</f>
        <v>6C</v>
      </c>
      <c r="K109" s="5" t="str" cm="1">
        <f t="array" ref="K109">IF(ISBLANK(K$3),J109&amp;I109,INDEX(pixel_shift_table.asm!$C$3:$R$114, K$2*16 + K$3 + INT($A109/16) + 1, MOD($A109, 16) + 1))</f>
        <v>A9</v>
      </c>
      <c r="L109" s="7" t="str" cm="1">
        <f t="array" ref="L109">IF(ISBLANK(L$3),K109&amp;J109,INDEX(pixel_shift_table.asm!$C$3:$R$114, L$2*16 + L$3 + INT($A109/16) + 1, MOD($A109, 16) + 1))</f>
        <v>A96C</v>
      </c>
      <c r="M109" s="6" t="str" cm="1">
        <f t="array" ref="M109">IF(ISBLANK(M$3),L109&amp;K109,INDEX(pixel_shift_table.asm!$C$3:$R$114, M$2*16 + M$3 + INT($A109/16) + 1, MOD($A109, 16) + 1))</f>
        <v>6E</v>
      </c>
      <c r="N109" s="5" t="str" cm="1">
        <f t="array" ref="N109">IF(ISBLANK(N$3),M109&amp;L109,INDEX(pixel_shift_table.asm!$C$3:$R$114, N$2*16 + N$3 + INT($A109/16) + 1, MOD($A109, 16) + 1))</f>
        <v>A9</v>
      </c>
      <c r="O109" s="7" t="str" cm="1">
        <f t="array" ref="O109">IF(ISBLANK(O$3),N109&amp;M109,INDEX(pixel_shift_table.asm!$C$3:$R$114, O$2*16 + O$3 + INT($A109/16) + 1, MOD($A109, 16) + 1))</f>
        <v>A96E</v>
      </c>
      <c r="P109" s="6" t="str" cm="1">
        <f t="array" ref="P109">IF(ISBLANK(P$3),O109&amp;N109,INDEX(pixel_shift_table.asm!$C$3:$R$114, P$2*16 + P$3 + INT($A109/16) + 1, MOD($A109, 16) + 1))</f>
        <v>D0</v>
      </c>
      <c r="Q109" s="5" t="str" cm="1">
        <f t="array" ref="Q109">IF(ISBLANK(Q$3),P109&amp;O109,INDEX(pixel_shift_table.asm!$C$3:$R$114, Q$2*16 + Q$3 + INT($A109/16) + 1, MOD($A109, 16) + 1))</f>
        <v>A9</v>
      </c>
      <c r="R109" s="7" t="str" cm="1">
        <f t="array" ref="R109">IF(ISBLANK(R$3),Q109&amp;P109,INDEX(pixel_shift_table.asm!$C$3:$R$114, R$2*16 + R$3 + INT($A109/16) + 1, MOD($A109, 16) + 1))</f>
        <v>A9D0</v>
      </c>
      <c r="S109" s="6" t="str" cm="1">
        <f t="array" ref="S109">IF(ISBLANK(S$3),R109&amp;Q109,INDEX(pixel_shift_table.asm!$C$3:$R$114, S$2*16 + S$3 + INT($A109/16) + 1, MOD($A109, 16) + 1))</f>
        <v>A0</v>
      </c>
      <c r="T109" s="5" t="str" cm="1">
        <f t="array" ref="T109">IF(ISBLANK(T$3),S109&amp;R109,INDEX(pixel_shift_table.asm!$C$3:$R$114, T$2*16 + T$3 + INT($A109/16) + 1, MOD($A109, 16) + 1))</f>
        <v>AA</v>
      </c>
      <c r="U109" s="7" t="str" cm="1">
        <f t="array" ref="U109">IF(ISBLANK(U$3),T109&amp;S109,INDEX(pixel_shift_table.asm!$C$3:$R$114, U$2*16 + U$3 + INT($A109/16) + 1, MOD($A109, 16) + 1))</f>
        <v>AAA0</v>
      </c>
      <c r="V109" s="6" t="str" cm="1">
        <f t="array" ref="V109">IF(ISBLANK(V$3),U109&amp;T109,INDEX(pixel_shift_table.asm!$C$3:$R$114, V$2*16 + V$3 + INT($A109/16) + 1, MOD($A109, 16) + 1))</f>
        <v>40</v>
      </c>
      <c r="W109" s="5" t="str" cm="1">
        <f t="array" ref="W109">IF(ISBLANK(W$3),V109&amp;U109,INDEX(pixel_shift_table.asm!$C$3:$R$114, W$2*16 + W$3 + INT($A109/16) + 1, MOD($A109, 16) + 1))</f>
        <v>AC</v>
      </c>
      <c r="X109" s="7" t="str" cm="1">
        <f t="array" ref="X109">IF(ISBLANK(X$3),W109&amp;V109,INDEX(pixel_shift_table.asm!$C$3:$R$114, X$2*16 + X$3 + INT($A109/16) + 1, MOD($A109, 16) + 1))</f>
        <v>AC40</v>
      </c>
    </row>
    <row r="110" spans="1:24" x14ac:dyDescent="0.3">
      <c r="A110">
        <v>105</v>
      </c>
      <c r="B110" s="8">
        <v>11010.01</v>
      </c>
      <c r="C110" s="5" t="s">
        <v>854</v>
      </c>
      <c r="D110" s="6" t="str" cm="1">
        <f t="array" ref="D110">IF(ISBLANK(D$3),C110&amp;B110,INDEX(pixel_shift_table.asm!$C$3:$R$114, D$2*16 + D$3 + INT($A110/16) + 1, MOD($A110, 16) + 1))</f>
        <v>42</v>
      </c>
      <c r="E110" s="5" t="str" cm="1">
        <f t="array" ref="E110">IF(ISBLANK(E$3),D110&amp;C110,INDEX(pixel_shift_table.asm!$C$3:$R$114, E$2*16 + E$3 + INT($A110/16) + 1, MOD($A110, 16) + 1))</f>
        <v>AC</v>
      </c>
      <c r="F110" s="7" t="str" cm="1">
        <f t="array" ref="F110">IF(ISBLANK(F$3),E110&amp;D110,INDEX(pixel_shift_table.asm!$C$3:$R$114, F$2*16 + F$3 + INT($A110/16) + 1, MOD($A110, 16) + 1))</f>
        <v>AC42</v>
      </c>
      <c r="G110" s="6" t="str" cm="1">
        <f t="array" ref="G110">IF(ISBLANK(G$3),F110&amp;E110,INDEX(pixel_shift_table.asm!$C$3:$R$114, G$2*16 + G$3 + INT($A110/16) + 1, MOD($A110, 16) + 1))</f>
        <v>44</v>
      </c>
      <c r="H110" s="5" t="str" cm="1">
        <f t="array" ref="H110">IF(ISBLANK(H$3),G110&amp;F110,INDEX(pixel_shift_table.asm!$C$3:$R$114, H$2*16 + H$3 + INT($A110/16) + 1, MOD($A110, 16) + 1))</f>
        <v>AC</v>
      </c>
      <c r="I110" s="7" t="str" cm="1">
        <f t="array" ref="I110">IF(ISBLANK(I$3),H110&amp;G110,INDEX(pixel_shift_table.asm!$C$3:$R$114, I$2*16 + I$3 + INT($A110/16) + 1, MOD($A110, 16) + 1))</f>
        <v>AC44</v>
      </c>
      <c r="J110" s="6" t="str" cm="1">
        <f t="array" ref="J110">IF(ISBLANK(J$3),I110&amp;H110,INDEX(pixel_shift_table.asm!$C$3:$R$114, J$2*16 + J$3 + INT($A110/16) + 1, MOD($A110, 16) + 1))</f>
        <v>46</v>
      </c>
      <c r="K110" s="5" t="str" cm="1">
        <f t="array" ref="K110">IF(ISBLANK(K$3),J110&amp;I110,INDEX(pixel_shift_table.asm!$C$3:$R$114, K$2*16 + K$3 + INT($A110/16) + 1, MOD($A110, 16) + 1))</f>
        <v>AC</v>
      </c>
      <c r="L110" s="7" t="str" cm="1">
        <f t="array" ref="L110">IF(ISBLANK(L$3),K110&amp;J110,INDEX(pixel_shift_table.asm!$C$3:$R$114, L$2*16 + L$3 + INT($A110/16) + 1, MOD($A110, 16) + 1))</f>
        <v>AC46</v>
      </c>
      <c r="M110" s="6" t="str" cm="1">
        <f t="array" ref="M110">IF(ISBLANK(M$3),L110&amp;K110,INDEX(pixel_shift_table.asm!$C$3:$R$114, M$2*16 + M$3 + INT($A110/16) + 1, MOD($A110, 16) + 1))</f>
        <v>48</v>
      </c>
      <c r="N110" s="5" t="str" cm="1">
        <f t="array" ref="N110">IF(ISBLANK(N$3),M110&amp;L110,INDEX(pixel_shift_table.asm!$C$3:$R$114, N$2*16 + N$3 + INT($A110/16) + 1, MOD($A110, 16) + 1))</f>
        <v>AC</v>
      </c>
      <c r="O110" s="7" t="str" cm="1">
        <f t="array" ref="O110">IF(ISBLANK(O$3),N110&amp;M110,INDEX(pixel_shift_table.asm!$C$3:$R$114, O$2*16 + O$3 + INT($A110/16) + 1, MOD($A110, 16) + 1))</f>
        <v>AC48</v>
      </c>
      <c r="P110" s="6" t="str" cm="1">
        <f t="array" ref="P110">IF(ISBLANK(P$3),O110&amp;N110,INDEX(pixel_shift_table.asm!$C$3:$R$114, P$2*16 + P$3 + INT($A110/16) + 1, MOD($A110, 16) + 1))</f>
        <v>4A</v>
      </c>
      <c r="Q110" s="5" t="str" cm="1">
        <f t="array" ref="Q110">IF(ISBLANK(Q$3),P110&amp;O110,INDEX(pixel_shift_table.asm!$C$3:$R$114, Q$2*16 + Q$3 + INT($A110/16) + 1, MOD($A110, 16) + 1))</f>
        <v>AC</v>
      </c>
      <c r="R110" s="7" t="str" cm="1">
        <f t="array" ref="R110">IF(ISBLANK(R$3),Q110&amp;P110,INDEX(pixel_shift_table.asm!$C$3:$R$114, R$2*16 + R$3 + INT($A110/16) + 1, MOD($A110, 16) + 1))</f>
        <v>AC4A</v>
      </c>
      <c r="S110" s="6" t="str" cm="1">
        <f t="array" ref="S110">IF(ISBLANK(S$3),R110&amp;Q110,INDEX(pixel_shift_table.asm!$C$3:$R$114, S$2*16 + S$3 + INT($A110/16) + 1, MOD($A110, 16) + 1))</f>
        <v>4C</v>
      </c>
      <c r="T110" s="5" t="str" cm="1">
        <f t="array" ref="T110">IF(ISBLANK(T$3),S110&amp;R110,INDEX(pixel_shift_table.asm!$C$3:$R$114, T$2*16 + T$3 + INT($A110/16) + 1, MOD($A110, 16) + 1))</f>
        <v>AC</v>
      </c>
      <c r="U110" s="7" t="str" cm="1">
        <f t="array" ref="U110">IF(ISBLANK(U$3),T110&amp;S110,INDEX(pixel_shift_table.asm!$C$3:$R$114, U$2*16 + U$3 + INT($A110/16) + 1, MOD($A110, 16) + 1))</f>
        <v>AC4C</v>
      </c>
      <c r="V110" s="6" t="str" cm="1">
        <f t="array" ref="V110">IF(ISBLANK(V$3),U110&amp;T110,INDEX(pixel_shift_table.asm!$C$3:$R$114, V$2*16 + V$3 + INT($A110/16) + 1, MOD($A110, 16) + 1))</f>
        <v>4E</v>
      </c>
      <c r="W110" s="5" t="str" cm="1">
        <f t="array" ref="W110">IF(ISBLANK(W$3),V110&amp;U110,INDEX(pixel_shift_table.asm!$C$3:$R$114, W$2*16 + W$3 + INT($A110/16) + 1, MOD($A110, 16) + 1))</f>
        <v>AC</v>
      </c>
      <c r="X110" s="7" t="str" cm="1">
        <f t="array" ref="X110">IF(ISBLANK(X$3),W110&amp;V110,INDEX(pixel_shift_table.asm!$C$3:$R$114, X$2*16 + X$3 + INT($A110/16) + 1, MOD($A110, 16) + 1))</f>
        <v>AC4E</v>
      </c>
    </row>
    <row r="111" spans="1:24" x14ac:dyDescent="0.3">
      <c r="A111">
        <v>106</v>
      </c>
      <c r="B111" s="8">
        <v>11010.1</v>
      </c>
      <c r="C111" s="5" t="s">
        <v>855</v>
      </c>
      <c r="D111" s="6" t="str" cm="1">
        <f t="array" ref="D111">IF(ISBLANK(D$3),C111&amp;B111,INDEX(pixel_shift_table.asm!$C$3:$R$114, D$2*16 + D$3 + INT($A111/16) + 1, MOD($A111, 16) + 1))</f>
        <v>A4</v>
      </c>
      <c r="E111" s="5" t="str" cm="1">
        <f t="array" ref="E111">IF(ISBLANK(E$3),D111&amp;C111,INDEX(pixel_shift_table.asm!$C$3:$R$114, E$2*16 + E$3 + INT($A111/16) + 1, MOD($A111, 16) + 1))</f>
        <v>AA</v>
      </c>
      <c r="F111" s="7" t="str" cm="1">
        <f t="array" ref="F111">IF(ISBLANK(F$3),E111&amp;D111,INDEX(pixel_shift_table.asm!$C$3:$R$114, F$2*16 + F$3 + INT($A111/16) + 1, MOD($A111, 16) + 1))</f>
        <v>AAA4</v>
      </c>
      <c r="G111" s="6" t="str" cm="1">
        <f t="array" ref="G111">IF(ISBLANK(G$3),F111&amp;E111,INDEX(pixel_shift_table.asm!$C$3:$R$114, G$2*16 + G$3 + INT($A111/16) + 1, MOD($A111, 16) + 1))</f>
        <v>A6</v>
      </c>
      <c r="H111" s="5" t="str" cm="1">
        <f t="array" ref="H111">IF(ISBLANK(H$3),G111&amp;F111,INDEX(pixel_shift_table.asm!$C$3:$R$114, H$2*16 + H$3 + INT($A111/16) + 1, MOD($A111, 16) + 1))</f>
        <v>AA</v>
      </c>
      <c r="I111" s="7" t="str" cm="1">
        <f t="array" ref="I111">IF(ISBLANK(I$3),H111&amp;G111,INDEX(pixel_shift_table.asm!$C$3:$R$114, I$2*16 + I$3 + INT($A111/16) + 1, MOD($A111, 16) + 1))</f>
        <v>AAA6</v>
      </c>
      <c r="J111" s="6" t="str" cm="1">
        <f t="array" ref="J111">IF(ISBLANK(J$3),I111&amp;H111,INDEX(pixel_shift_table.asm!$C$3:$R$114, J$2*16 + J$3 + INT($A111/16) + 1, MOD($A111, 16) + 1))</f>
        <v>A8</v>
      </c>
      <c r="K111" s="5" t="str" cm="1">
        <f t="array" ref="K111">IF(ISBLANK(K$3),J111&amp;I111,INDEX(pixel_shift_table.asm!$C$3:$R$114, K$2*16 + K$3 + INT($A111/16) + 1, MOD($A111, 16) + 1))</f>
        <v>AA</v>
      </c>
      <c r="L111" s="7" t="str" cm="1">
        <f t="array" ref="L111">IF(ISBLANK(L$3),K111&amp;J111,INDEX(pixel_shift_table.asm!$C$3:$R$114, L$2*16 + L$3 + INT($A111/16) + 1, MOD($A111, 16) + 1))</f>
        <v>AAA8</v>
      </c>
      <c r="M111" s="6" t="str" cm="1">
        <f t="array" ref="M111">IF(ISBLANK(M$3),L111&amp;K111,INDEX(pixel_shift_table.asm!$C$3:$R$114, M$2*16 + M$3 + INT($A111/16) + 1, MOD($A111, 16) + 1))</f>
        <v>AA</v>
      </c>
      <c r="N111" s="5" t="str" cm="1">
        <f t="array" ref="N111">IF(ISBLANK(N$3),M111&amp;L111,INDEX(pixel_shift_table.asm!$C$3:$R$114, N$2*16 + N$3 + INT($A111/16) + 1, MOD($A111, 16) + 1))</f>
        <v>AA</v>
      </c>
      <c r="O111" s="7" t="str" cm="1">
        <f t="array" ref="O111">IF(ISBLANK(O$3),N111&amp;M111,INDEX(pixel_shift_table.asm!$C$3:$R$114, O$2*16 + O$3 + INT($A111/16) + 1, MOD($A111, 16) + 1))</f>
        <v>AAAA</v>
      </c>
      <c r="P111" s="6" t="str" cm="1">
        <f t="array" ref="P111">IF(ISBLANK(P$3),O111&amp;N111,INDEX(pixel_shift_table.asm!$C$3:$R$114, P$2*16 + P$3 + INT($A111/16) + 1, MOD($A111, 16) + 1))</f>
        <v>AC</v>
      </c>
      <c r="Q111" s="5" t="str" cm="1">
        <f t="array" ref="Q111">IF(ISBLANK(Q$3),P111&amp;O111,INDEX(pixel_shift_table.asm!$C$3:$R$114, Q$2*16 + Q$3 + INT($A111/16) + 1, MOD($A111, 16) + 1))</f>
        <v>AA</v>
      </c>
      <c r="R111" s="7" t="str" cm="1">
        <f t="array" ref="R111">IF(ISBLANK(R$3),Q111&amp;P111,INDEX(pixel_shift_table.asm!$C$3:$R$114, R$2*16 + R$3 + INT($A111/16) + 1, MOD($A111, 16) + 1))</f>
        <v>AAAC</v>
      </c>
      <c r="S111" s="6" t="str" cm="1">
        <f t="array" ref="S111">IF(ISBLANK(S$3),R111&amp;Q111,INDEX(pixel_shift_table.asm!$C$3:$R$114, S$2*16 + S$3 + INT($A111/16) + 1, MOD($A111, 16) + 1))</f>
        <v>AE</v>
      </c>
      <c r="T111" s="5" t="str" cm="1">
        <f t="array" ref="T111">IF(ISBLANK(T$3),S111&amp;R111,INDEX(pixel_shift_table.asm!$C$3:$R$114, T$2*16 + T$3 + INT($A111/16) + 1, MOD($A111, 16) + 1))</f>
        <v>AA</v>
      </c>
      <c r="U111" s="7" t="str" cm="1">
        <f t="array" ref="U111">IF(ISBLANK(U$3),T111&amp;S111,INDEX(pixel_shift_table.asm!$C$3:$R$114, U$2*16 + U$3 + INT($A111/16) + 1, MOD($A111, 16) + 1))</f>
        <v>AAAE</v>
      </c>
      <c r="V111" s="6" t="str" cm="1">
        <f t="array" ref="V111">IF(ISBLANK(V$3),U111&amp;T111,INDEX(pixel_shift_table.asm!$C$3:$R$114, V$2*16 + V$3 + INT($A111/16) + 1, MOD($A111, 16) + 1))</f>
        <v>50</v>
      </c>
      <c r="W111" s="5" t="str" cm="1">
        <f t="array" ref="W111">IF(ISBLANK(W$3),V111&amp;U111,INDEX(pixel_shift_table.asm!$C$3:$R$114, W$2*16 + W$3 + INT($A111/16) + 1, MOD($A111, 16) + 1))</f>
        <v>AC</v>
      </c>
      <c r="X111" s="7" t="str" cm="1">
        <f t="array" ref="X111">IF(ISBLANK(X$3),W111&amp;V111,INDEX(pixel_shift_table.asm!$C$3:$R$114, X$2*16 + X$3 + INT($A111/16) + 1, MOD($A111, 16) + 1))</f>
        <v>AC50</v>
      </c>
    </row>
    <row r="112" spans="1:24" x14ac:dyDescent="0.3">
      <c r="A112">
        <v>107</v>
      </c>
      <c r="B112" s="8">
        <v>11010.11</v>
      </c>
      <c r="C112" s="5" t="s">
        <v>856</v>
      </c>
      <c r="D112" s="6" t="str" cm="1">
        <f t="array" ref="D112">IF(ISBLANK(D$3),C112&amp;B112,INDEX(pixel_shift_table.asm!$C$3:$R$114, D$2*16 + D$3 + INT($A112/16) + 1, MOD($A112, 16) + 1))</f>
        <v>52</v>
      </c>
      <c r="E112" s="5" t="str" cm="1">
        <f t="array" ref="E112">IF(ISBLANK(E$3),D112&amp;C112,INDEX(pixel_shift_table.asm!$C$3:$R$114, E$2*16 + E$3 + INT($A112/16) + 1, MOD($A112, 16) + 1))</f>
        <v>AC</v>
      </c>
      <c r="F112" s="7" t="str" cm="1">
        <f t="array" ref="F112">IF(ISBLANK(F$3),E112&amp;D112,INDEX(pixel_shift_table.asm!$C$3:$R$114, F$2*16 + F$3 + INT($A112/16) + 1, MOD($A112, 16) + 1))</f>
        <v>AC52</v>
      </c>
      <c r="G112" s="6" t="str" cm="1">
        <f t="array" ref="G112">IF(ISBLANK(G$3),F112&amp;E112,INDEX(pixel_shift_table.asm!$C$3:$R$114, G$2*16 + G$3 + INT($A112/16) + 1, MOD($A112, 16) + 1))</f>
        <v>54</v>
      </c>
      <c r="H112" s="5" t="str" cm="1">
        <f t="array" ref="H112">IF(ISBLANK(H$3),G112&amp;F112,INDEX(pixel_shift_table.asm!$C$3:$R$114, H$2*16 + H$3 + INT($A112/16) + 1, MOD($A112, 16) + 1))</f>
        <v>AC</v>
      </c>
      <c r="I112" s="7" t="str" cm="1">
        <f t="array" ref="I112">IF(ISBLANK(I$3),H112&amp;G112,INDEX(pixel_shift_table.asm!$C$3:$R$114, I$2*16 + I$3 + INT($A112/16) + 1, MOD($A112, 16) + 1))</f>
        <v>AC54</v>
      </c>
      <c r="J112" s="6" t="str" cm="1">
        <f t="array" ref="J112">IF(ISBLANK(J$3),I112&amp;H112,INDEX(pixel_shift_table.asm!$C$3:$R$114, J$2*16 + J$3 + INT($A112/16) + 1, MOD($A112, 16) + 1))</f>
        <v>56</v>
      </c>
      <c r="K112" s="5" t="str" cm="1">
        <f t="array" ref="K112">IF(ISBLANK(K$3),J112&amp;I112,INDEX(pixel_shift_table.asm!$C$3:$R$114, K$2*16 + K$3 + INT($A112/16) + 1, MOD($A112, 16) + 1))</f>
        <v>AC</v>
      </c>
      <c r="L112" s="7" t="str" cm="1">
        <f t="array" ref="L112">IF(ISBLANK(L$3),K112&amp;J112,INDEX(pixel_shift_table.asm!$C$3:$R$114, L$2*16 + L$3 + INT($A112/16) + 1, MOD($A112, 16) + 1))</f>
        <v>AC56</v>
      </c>
      <c r="M112" s="6" t="str" cm="1">
        <f t="array" ref="M112">IF(ISBLANK(M$3),L112&amp;K112,INDEX(pixel_shift_table.asm!$C$3:$R$114, M$2*16 + M$3 + INT($A112/16) + 1, MOD($A112, 16) + 1))</f>
        <v>58</v>
      </c>
      <c r="N112" s="5" t="str" cm="1">
        <f t="array" ref="N112">IF(ISBLANK(N$3),M112&amp;L112,INDEX(pixel_shift_table.asm!$C$3:$R$114, N$2*16 + N$3 + INT($A112/16) + 1, MOD($A112, 16) + 1))</f>
        <v>AC</v>
      </c>
      <c r="O112" s="7" t="str" cm="1">
        <f t="array" ref="O112">IF(ISBLANK(O$3),N112&amp;M112,INDEX(pixel_shift_table.asm!$C$3:$R$114, O$2*16 + O$3 + INT($A112/16) + 1, MOD($A112, 16) + 1))</f>
        <v>AC58</v>
      </c>
      <c r="P112" s="6" t="str" cm="1">
        <f t="array" ref="P112">IF(ISBLANK(P$3),O112&amp;N112,INDEX(pixel_shift_table.asm!$C$3:$R$114, P$2*16 + P$3 + INT($A112/16) + 1, MOD($A112, 16) + 1))</f>
        <v>5A</v>
      </c>
      <c r="Q112" s="5" t="str" cm="1">
        <f t="array" ref="Q112">IF(ISBLANK(Q$3),P112&amp;O112,INDEX(pixel_shift_table.asm!$C$3:$R$114, Q$2*16 + Q$3 + INT($A112/16) + 1, MOD($A112, 16) + 1))</f>
        <v>AC</v>
      </c>
      <c r="R112" s="7" t="str" cm="1">
        <f t="array" ref="R112">IF(ISBLANK(R$3),Q112&amp;P112,INDEX(pixel_shift_table.asm!$C$3:$R$114, R$2*16 + R$3 + INT($A112/16) + 1, MOD($A112, 16) + 1))</f>
        <v>AC5A</v>
      </c>
      <c r="S112" s="6" t="str" cm="1">
        <f t="array" ref="S112">IF(ISBLANK(S$3),R112&amp;Q112,INDEX(pixel_shift_table.asm!$C$3:$R$114, S$2*16 + S$3 + INT($A112/16) + 1, MOD($A112, 16) + 1))</f>
        <v>5C</v>
      </c>
      <c r="T112" s="5" t="str" cm="1">
        <f t="array" ref="T112">IF(ISBLANK(T$3),S112&amp;R112,INDEX(pixel_shift_table.asm!$C$3:$R$114, T$2*16 + T$3 + INT($A112/16) + 1, MOD($A112, 16) + 1))</f>
        <v>AC</v>
      </c>
      <c r="U112" s="7" t="str" cm="1">
        <f t="array" ref="U112">IF(ISBLANK(U$3),T112&amp;S112,INDEX(pixel_shift_table.asm!$C$3:$R$114, U$2*16 + U$3 + INT($A112/16) + 1, MOD($A112, 16) + 1))</f>
        <v>AC5C</v>
      </c>
      <c r="V112" s="6" t="str" cm="1">
        <f t="array" ref="V112">IF(ISBLANK(V$3),U112&amp;T112,INDEX(pixel_shift_table.asm!$C$3:$R$114, V$2*16 + V$3 + INT($A112/16) + 1, MOD($A112, 16) + 1))</f>
        <v>5E</v>
      </c>
      <c r="W112" s="5" t="str" cm="1">
        <f t="array" ref="W112">IF(ISBLANK(W$3),V112&amp;U112,INDEX(pixel_shift_table.asm!$C$3:$R$114, W$2*16 + W$3 + INT($A112/16) + 1, MOD($A112, 16) + 1))</f>
        <v>AC</v>
      </c>
      <c r="X112" s="7" t="str" cm="1">
        <f t="array" ref="X112">IF(ISBLANK(X$3),W112&amp;V112,INDEX(pixel_shift_table.asm!$C$3:$R$114, X$2*16 + X$3 + INT($A112/16) + 1, MOD($A112, 16) + 1))</f>
        <v>AC5E</v>
      </c>
    </row>
    <row r="113" spans="1:24" x14ac:dyDescent="0.3">
      <c r="A113">
        <v>108</v>
      </c>
      <c r="B113" s="8">
        <v>11011</v>
      </c>
      <c r="C113" s="5" t="s">
        <v>857</v>
      </c>
      <c r="D113" s="6" t="str" cm="1">
        <f t="array" ref="D113">IF(ISBLANK(D$3),C113&amp;B113,INDEX(pixel_shift_table.asm!$C$3:$R$114, D$2*16 + D$3 + INT($A113/16) + 1, MOD($A113, 16) + 1))</f>
        <v>D6</v>
      </c>
      <c r="E113" s="5" t="str" cm="1">
        <f t="array" ref="E113">IF(ISBLANK(E$3),D113&amp;C113,INDEX(pixel_shift_table.asm!$C$3:$R$114, E$2*16 + E$3 + INT($A113/16) + 1, MOD($A113, 16) + 1))</f>
        <v>A9</v>
      </c>
      <c r="F113" s="7" t="str" cm="1">
        <f t="array" ref="F113">IF(ISBLANK(F$3),E113&amp;D113,INDEX(pixel_shift_table.asm!$C$3:$R$114, F$2*16 + F$3 + INT($A113/16) + 1, MOD($A113, 16) + 1))</f>
        <v>A9D6</v>
      </c>
      <c r="G113" s="6" t="str" cm="1">
        <f t="array" ref="G113">IF(ISBLANK(G$3),F113&amp;E113,INDEX(pixel_shift_table.asm!$C$3:$R$114, G$2*16 + G$3 + INT($A113/16) + 1, MOD($A113, 16) + 1))</f>
        <v>D8</v>
      </c>
      <c r="H113" s="5" t="str" cm="1">
        <f t="array" ref="H113">IF(ISBLANK(H$3),G113&amp;F113,INDEX(pixel_shift_table.asm!$C$3:$R$114, H$2*16 + H$3 + INT($A113/16) + 1, MOD($A113, 16) + 1))</f>
        <v>A9</v>
      </c>
      <c r="I113" s="7" t="str" cm="1">
        <f t="array" ref="I113">IF(ISBLANK(I$3),H113&amp;G113,INDEX(pixel_shift_table.asm!$C$3:$R$114, I$2*16 + I$3 + INT($A113/16) + 1, MOD($A113, 16) + 1))</f>
        <v>A9D8</v>
      </c>
      <c r="J113" s="6" t="str" cm="1">
        <f t="array" ref="J113">IF(ISBLANK(J$3),I113&amp;H113,INDEX(pixel_shift_table.asm!$C$3:$R$114, J$2*16 + J$3 + INT($A113/16) + 1, MOD($A113, 16) + 1))</f>
        <v>DA</v>
      </c>
      <c r="K113" s="5" t="str" cm="1">
        <f t="array" ref="K113">IF(ISBLANK(K$3),J113&amp;I113,INDEX(pixel_shift_table.asm!$C$3:$R$114, K$2*16 + K$3 + INT($A113/16) + 1, MOD($A113, 16) + 1))</f>
        <v>A9</v>
      </c>
      <c r="L113" s="7" t="str" cm="1">
        <f t="array" ref="L113">IF(ISBLANK(L$3),K113&amp;J113,INDEX(pixel_shift_table.asm!$C$3:$R$114, L$2*16 + L$3 + INT($A113/16) + 1, MOD($A113, 16) + 1))</f>
        <v>A9DA</v>
      </c>
      <c r="M113" s="6" t="str" cm="1">
        <f t="array" ref="M113">IF(ISBLANK(M$3),L113&amp;K113,INDEX(pixel_shift_table.asm!$C$3:$R$114, M$2*16 + M$3 + INT($A113/16) + 1, MOD($A113, 16) + 1))</f>
        <v>DC</v>
      </c>
      <c r="N113" s="5" t="str" cm="1">
        <f t="array" ref="N113">IF(ISBLANK(N$3),M113&amp;L113,INDEX(pixel_shift_table.asm!$C$3:$R$114, N$2*16 + N$3 + INT($A113/16) + 1, MOD($A113, 16) + 1))</f>
        <v>A9</v>
      </c>
      <c r="O113" s="7" t="str" cm="1">
        <f t="array" ref="O113">IF(ISBLANK(O$3),N113&amp;M113,INDEX(pixel_shift_table.asm!$C$3:$R$114, O$2*16 + O$3 + INT($A113/16) + 1, MOD($A113, 16) + 1))</f>
        <v>A9DC</v>
      </c>
      <c r="P113" s="6" t="str" cm="1">
        <f t="array" ref="P113">IF(ISBLANK(P$3),O113&amp;N113,INDEX(pixel_shift_table.asm!$C$3:$R$114, P$2*16 + P$3 + INT($A113/16) + 1, MOD($A113, 16) + 1))</f>
        <v>DE</v>
      </c>
      <c r="Q113" s="5" t="str" cm="1">
        <f t="array" ref="Q113">IF(ISBLANK(Q$3),P113&amp;O113,INDEX(pixel_shift_table.asm!$C$3:$R$114, Q$2*16 + Q$3 + INT($A113/16) + 1, MOD($A113, 16) + 1))</f>
        <v>A9</v>
      </c>
      <c r="R113" s="7" t="str" cm="1">
        <f t="array" ref="R113">IF(ISBLANK(R$3),Q113&amp;P113,INDEX(pixel_shift_table.asm!$C$3:$R$114, R$2*16 + R$3 + INT($A113/16) + 1, MOD($A113, 16) + 1))</f>
        <v>A9DE</v>
      </c>
      <c r="S113" s="6" t="str" cm="1">
        <f t="array" ref="S113">IF(ISBLANK(S$3),R113&amp;Q113,INDEX(pixel_shift_table.asm!$C$3:$R$114, S$2*16 + S$3 + INT($A113/16) + 1, MOD($A113, 16) + 1))</f>
        <v>B0</v>
      </c>
      <c r="T113" s="5" t="str" cm="1">
        <f t="array" ref="T113">IF(ISBLANK(T$3),S113&amp;R113,INDEX(pixel_shift_table.asm!$C$3:$R$114, T$2*16 + T$3 + INT($A113/16) + 1, MOD($A113, 16) + 1))</f>
        <v>AA</v>
      </c>
      <c r="U113" s="7" t="str" cm="1">
        <f t="array" ref="U113">IF(ISBLANK(U$3),T113&amp;S113,INDEX(pixel_shift_table.asm!$C$3:$R$114, U$2*16 + U$3 + INT($A113/16) + 1, MOD($A113, 16) + 1))</f>
        <v>AAB0</v>
      </c>
      <c r="V113" s="6" t="str" cm="1">
        <f t="array" ref="V113">IF(ISBLANK(V$3),U113&amp;T113,INDEX(pixel_shift_table.asm!$C$3:$R$114, V$2*16 + V$3 + INT($A113/16) + 1, MOD($A113, 16) + 1))</f>
        <v>60</v>
      </c>
      <c r="W113" s="5" t="str" cm="1">
        <f t="array" ref="W113">IF(ISBLANK(W$3),V113&amp;U113,INDEX(pixel_shift_table.asm!$C$3:$R$114, W$2*16 + W$3 + INT($A113/16) + 1, MOD($A113, 16) + 1))</f>
        <v>AC</v>
      </c>
      <c r="X113" s="7" t="str" cm="1">
        <f t="array" ref="X113">IF(ISBLANK(X$3),W113&amp;V113,INDEX(pixel_shift_table.asm!$C$3:$R$114, X$2*16 + X$3 + INT($A113/16) + 1, MOD($A113, 16) + 1))</f>
        <v>AC60</v>
      </c>
    </row>
    <row r="114" spans="1:24" x14ac:dyDescent="0.3">
      <c r="A114">
        <v>109</v>
      </c>
      <c r="B114" s="8">
        <v>11011.01</v>
      </c>
      <c r="C114" s="5" t="s">
        <v>858</v>
      </c>
      <c r="D114" s="6" t="str" cm="1">
        <f t="array" ref="D114">IF(ISBLANK(D$3),C114&amp;B114,INDEX(pixel_shift_table.asm!$C$3:$R$114, D$2*16 + D$3 + INT($A114/16) + 1, MOD($A114, 16) + 1))</f>
        <v>62</v>
      </c>
      <c r="E114" s="5" t="str" cm="1">
        <f t="array" ref="E114">IF(ISBLANK(E$3),D114&amp;C114,INDEX(pixel_shift_table.asm!$C$3:$R$114, E$2*16 + E$3 + INT($A114/16) + 1, MOD($A114, 16) + 1))</f>
        <v>AC</v>
      </c>
      <c r="F114" s="7" t="str" cm="1">
        <f t="array" ref="F114">IF(ISBLANK(F$3),E114&amp;D114,INDEX(pixel_shift_table.asm!$C$3:$R$114, F$2*16 + F$3 + INT($A114/16) + 1, MOD($A114, 16) + 1))</f>
        <v>AC62</v>
      </c>
      <c r="G114" s="6" t="str" cm="1">
        <f t="array" ref="G114">IF(ISBLANK(G$3),F114&amp;E114,INDEX(pixel_shift_table.asm!$C$3:$R$114, G$2*16 + G$3 + INT($A114/16) + 1, MOD($A114, 16) + 1))</f>
        <v>64</v>
      </c>
      <c r="H114" s="5" t="str" cm="1">
        <f t="array" ref="H114">IF(ISBLANK(H$3),G114&amp;F114,INDEX(pixel_shift_table.asm!$C$3:$R$114, H$2*16 + H$3 + INT($A114/16) + 1, MOD($A114, 16) + 1))</f>
        <v>AC</v>
      </c>
      <c r="I114" s="7" t="str" cm="1">
        <f t="array" ref="I114">IF(ISBLANK(I$3),H114&amp;G114,INDEX(pixel_shift_table.asm!$C$3:$R$114, I$2*16 + I$3 + INT($A114/16) + 1, MOD($A114, 16) + 1))</f>
        <v>AC64</v>
      </c>
      <c r="J114" s="6" t="str" cm="1">
        <f t="array" ref="J114">IF(ISBLANK(J$3),I114&amp;H114,INDEX(pixel_shift_table.asm!$C$3:$R$114, J$2*16 + J$3 + INT($A114/16) + 1, MOD($A114, 16) + 1))</f>
        <v>66</v>
      </c>
      <c r="K114" s="5" t="str" cm="1">
        <f t="array" ref="K114">IF(ISBLANK(K$3),J114&amp;I114,INDEX(pixel_shift_table.asm!$C$3:$R$114, K$2*16 + K$3 + INT($A114/16) + 1, MOD($A114, 16) + 1))</f>
        <v>AC</v>
      </c>
      <c r="L114" s="7" t="str" cm="1">
        <f t="array" ref="L114">IF(ISBLANK(L$3),K114&amp;J114,INDEX(pixel_shift_table.asm!$C$3:$R$114, L$2*16 + L$3 + INT($A114/16) + 1, MOD($A114, 16) + 1))</f>
        <v>AC66</v>
      </c>
      <c r="M114" s="6" t="str" cm="1">
        <f t="array" ref="M114">IF(ISBLANK(M$3),L114&amp;K114,INDEX(pixel_shift_table.asm!$C$3:$R$114, M$2*16 + M$3 + INT($A114/16) + 1, MOD($A114, 16) + 1))</f>
        <v>68</v>
      </c>
      <c r="N114" s="5" t="str" cm="1">
        <f t="array" ref="N114">IF(ISBLANK(N$3),M114&amp;L114,INDEX(pixel_shift_table.asm!$C$3:$R$114, N$2*16 + N$3 + INT($A114/16) + 1, MOD($A114, 16) + 1))</f>
        <v>AC</v>
      </c>
      <c r="O114" s="7" t="str" cm="1">
        <f t="array" ref="O114">IF(ISBLANK(O$3),N114&amp;M114,INDEX(pixel_shift_table.asm!$C$3:$R$114, O$2*16 + O$3 + INT($A114/16) + 1, MOD($A114, 16) + 1))</f>
        <v>AC68</v>
      </c>
      <c r="P114" s="6" t="str" cm="1">
        <f t="array" ref="P114">IF(ISBLANK(P$3),O114&amp;N114,INDEX(pixel_shift_table.asm!$C$3:$R$114, P$2*16 + P$3 + INT($A114/16) + 1, MOD($A114, 16) + 1))</f>
        <v>6A</v>
      </c>
      <c r="Q114" s="5" t="str" cm="1">
        <f t="array" ref="Q114">IF(ISBLANK(Q$3),P114&amp;O114,INDEX(pixel_shift_table.asm!$C$3:$R$114, Q$2*16 + Q$3 + INT($A114/16) + 1, MOD($A114, 16) + 1))</f>
        <v>AC</v>
      </c>
      <c r="R114" s="7" t="str" cm="1">
        <f t="array" ref="R114">IF(ISBLANK(R$3),Q114&amp;P114,INDEX(pixel_shift_table.asm!$C$3:$R$114, R$2*16 + R$3 + INT($A114/16) + 1, MOD($A114, 16) + 1))</f>
        <v>AC6A</v>
      </c>
      <c r="S114" s="6" t="str" cm="1">
        <f t="array" ref="S114">IF(ISBLANK(S$3),R114&amp;Q114,INDEX(pixel_shift_table.asm!$C$3:$R$114, S$2*16 + S$3 + INT($A114/16) + 1, MOD($A114, 16) + 1))</f>
        <v>6C</v>
      </c>
      <c r="T114" s="5" t="str" cm="1">
        <f t="array" ref="T114">IF(ISBLANK(T$3),S114&amp;R114,INDEX(pixel_shift_table.asm!$C$3:$R$114, T$2*16 + T$3 + INT($A114/16) + 1, MOD($A114, 16) + 1))</f>
        <v>AC</v>
      </c>
      <c r="U114" s="7" t="str" cm="1">
        <f t="array" ref="U114">IF(ISBLANK(U$3),T114&amp;S114,INDEX(pixel_shift_table.asm!$C$3:$R$114, U$2*16 + U$3 + INT($A114/16) + 1, MOD($A114, 16) + 1))</f>
        <v>AC6C</v>
      </c>
      <c r="V114" s="6" t="str" cm="1">
        <f t="array" ref="V114">IF(ISBLANK(V$3),U114&amp;T114,INDEX(pixel_shift_table.asm!$C$3:$R$114, V$2*16 + V$3 + INT($A114/16) + 1, MOD($A114, 16) + 1))</f>
        <v>6E</v>
      </c>
      <c r="W114" s="5" t="str" cm="1">
        <f t="array" ref="W114">IF(ISBLANK(W$3),V114&amp;U114,INDEX(pixel_shift_table.asm!$C$3:$R$114, W$2*16 + W$3 + INT($A114/16) + 1, MOD($A114, 16) + 1))</f>
        <v>AC</v>
      </c>
      <c r="X114" s="7" t="str" cm="1">
        <f t="array" ref="X114">IF(ISBLANK(X$3),W114&amp;V114,INDEX(pixel_shift_table.asm!$C$3:$R$114, X$2*16 + X$3 + INT($A114/16) + 1, MOD($A114, 16) + 1))</f>
        <v>AC6E</v>
      </c>
    </row>
    <row r="115" spans="1:24" x14ac:dyDescent="0.3">
      <c r="A115">
        <v>110</v>
      </c>
      <c r="B115" s="8">
        <v>11011.1</v>
      </c>
      <c r="C115" s="5" t="s">
        <v>859</v>
      </c>
      <c r="D115" s="6" t="str" cm="1">
        <f t="array" ref="D115">IF(ISBLANK(D$3),C115&amp;B115,INDEX(pixel_shift_table.asm!$C$3:$R$114, D$2*16 + D$3 + INT($A115/16) + 1, MOD($A115, 16) + 1))</f>
        <v>B4</v>
      </c>
      <c r="E115" s="5" t="str" cm="1">
        <f t="array" ref="E115">IF(ISBLANK(E$3),D115&amp;C115,INDEX(pixel_shift_table.asm!$C$3:$R$114, E$2*16 + E$3 + INT($A115/16) + 1, MOD($A115, 16) + 1))</f>
        <v>AA</v>
      </c>
      <c r="F115" s="7" t="str" cm="1">
        <f t="array" ref="F115">IF(ISBLANK(F$3),E115&amp;D115,INDEX(pixel_shift_table.asm!$C$3:$R$114, F$2*16 + F$3 + INT($A115/16) + 1, MOD($A115, 16) + 1))</f>
        <v>AAB4</v>
      </c>
      <c r="G115" s="6" t="str" cm="1">
        <f t="array" ref="G115">IF(ISBLANK(G$3),F115&amp;E115,INDEX(pixel_shift_table.asm!$C$3:$R$114, G$2*16 + G$3 + INT($A115/16) + 1, MOD($A115, 16) + 1))</f>
        <v>B6</v>
      </c>
      <c r="H115" s="5" t="str" cm="1">
        <f t="array" ref="H115">IF(ISBLANK(H$3),G115&amp;F115,INDEX(pixel_shift_table.asm!$C$3:$R$114, H$2*16 + H$3 + INT($A115/16) + 1, MOD($A115, 16) + 1))</f>
        <v>AA</v>
      </c>
      <c r="I115" s="7" t="str" cm="1">
        <f t="array" ref="I115">IF(ISBLANK(I$3),H115&amp;G115,INDEX(pixel_shift_table.asm!$C$3:$R$114, I$2*16 + I$3 + INT($A115/16) + 1, MOD($A115, 16) + 1))</f>
        <v>AAB6</v>
      </c>
      <c r="J115" s="6" t="str" cm="1">
        <f t="array" ref="J115">IF(ISBLANK(J$3),I115&amp;H115,INDEX(pixel_shift_table.asm!$C$3:$R$114, J$2*16 + J$3 + INT($A115/16) + 1, MOD($A115, 16) + 1))</f>
        <v>B8</v>
      </c>
      <c r="K115" s="5" t="str" cm="1">
        <f t="array" ref="K115">IF(ISBLANK(K$3),J115&amp;I115,INDEX(pixel_shift_table.asm!$C$3:$R$114, K$2*16 + K$3 + INT($A115/16) + 1, MOD($A115, 16) + 1))</f>
        <v>AA</v>
      </c>
      <c r="L115" s="7" t="str" cm="1">
        <f t="array" ref="L115">IF(ISBLANK(L$3),K115&amp;J115,INDEX(pixel_shift_table.asm!$C$3:$R$114, L$2*16 + L$3 + INT($A115/16) + 1, MOD($A115, 16) + 1))</f>
        <v>AAB8</v>
      </c>
      <c r="M115" s="6" t="str" cm="1">
        <f t="array" ref="M115">IF(ISBLANK(M$3),L115&amp;K115,INDEX(pixel_shift_table.asm!$C$3:$R$114, M$2*16 + M$3 + INT($A115/16) + 1, MOD($A115, 16) + 1))</f>
        <v>BA</v>
      </c>
      <c r="N115" s="5" t="str" cm="1">
        <f t="array" ref="N115">IF(ISBLANK(N$3),M115&amp;L115,INDEX(pixel_shift_table.asm!$C$3:$R$114, N$2*16 + N$3 + INT($A115/16) + 1, MOD($A115, 16) + 1))</f>
        <v>AA</v>
      </c>
      <c r="O115" s="7" t="str" cm="1">
        <f t="array" ref="O115">IF(ISBLANK(O$3),N115&amp;M115,INDEX(pixel_shift_table.asm!$C$3:$R$114, O$2*16 + O$3 + INT($A115/16) + 1, MOD($A115, 16) + 1))</f>
        <v>AABA</v>
      </c>
      <c r="P115" s="6" t="str" cm="1">
        <f t="array" ref="P115">IF(ISBLANK(P$3),O115&amp;N115,INDEX(pixel_shift_table.asm!$C$3:$R$114, P$2*16 + P$3 + INT($A115/16) + 1, MOD($A115, 16) + 1))</f>
        <v>BC</v>
      </c>
      <c r="Q115" s="5" t="str" cm="1">
        <f t="array" ref="Q115">IF(ISBLANK(Q$3),P115&amp;O115,INDEX(pixel_shift_table.asm!$C$3:$R$114, Q$2*16 + Q$3 + INT($A115/16) + 1, MOD($A115, 16) + 1))</f>
        <v>AA</v>
      </c>
      <c r="R115" s="7" t="str" cm="1">
        <f t="array" ref="R115">IF(ISBLANK(R$3),Q115&amp;P115,INDEX(pixel_shift_table.asm!$C$3:$R$114, R$2*16 + R$3 + INT($A115/16) + 1, MOD($A115, 16) + 1))</f>
        <v>AABC</v>
      </c>
      <c r="S115" s="6" t="str" cm="1">
        <f t="array" ref="S115">IF(ISBLANK(S$3),R115&amp;Q115,INDEX(pixel_shift_table.asm!$C$3:$R$114, S$2*16 + S$3 + INT($A115/16) + 1, MOD($A115, 16) + 1))</f>
        <v>BE</v>
      </c>
      <c r="T115" s="5" t="str" cm="1">
        <f t="array" ref="T115">IF(ISBLANK(T$3),S115&amp;R115,INDEX(pixel_shift_table.asm!$C$3:$R$114, T$2*16 + T$3 + INT($A115/16) + 1, MOD($A115, 16) + 1))</f>
        <v>AA</v>
      </c>
      <c r="U115" s="7" t="str" cm="1">
        <f t="array" ref="U115">IF(ISBLANK(U$3),T115&amp;S115,INDEX(pixel_shift_table.asm!$C$3:$R$114, U$2*16 + U$3 + INT($A115/16) + 1, MOD($A115, 16) + 1))</f>
        <v>AABE</v>
      </c>
      <c r="V115" s="6" t="str" cm="1">
        <f t="array" ref="V115">IF(ISBLANK(V$3),U115&amp;T115,INDEX(pixel_shift_table.asm!$C$3:$R$114, V$2*16 + V$3 + INT($A115/16) + 1, MOD($A115, 16) + 1))</f>
        <v>70</v>
      </c>
      <c r="W115" s="5" t="str" cm="1">
        <f t="array" ref="W115">IF(ISBLANK(W$3),V115&amp;U115,INDEX(pixel_shift_table.asm!$C$3:$R$114, W$2*16 + W$3 + INT($A115/16) + 1, MOD($A115, 16) + 1))</f>
        <v>AC</v>
      </c>
      <c r="X115" s="7" t="str" cm="1">
        <f t="array" ref="X115">IF(ISBLANK(X$3),W115&amp;V115,INDEX(pixel_shift_table.asm!$C$3:$R$114, X$2*16 + X$3 + INT($A115/16) + 1, MOD($A115, 16) + 1))</f>
        <v>AC70</v>
      </c>
    </row>
    <row r="116" spans="1:24" x14ac:dyDescent="0.3">
      <c r="A116">
        <v>111</v>
      </c>
      <c r="B116" s="8">
        <v>11011.11</v>
      </c>
      <c r="C116" s="5" t="s">
        <v>860</v>
      </c>
      <c r="D116" s="6" t="str" cm="1">
        <f t="array" ref="D116">IF(ISBLANK(D$3),C116&amp;B116,INDEX(pixel_shift_table.asm!$C$3:$R$114, D$2*16 + D$3 + INT($A116/16) + 1, MOD($A116, 16) + 1))</f>
        <v>72</v>
      </c>
      <c r="E116" s="5" t="str" cm="1">
        <f t="array" ref="E116">IF(ISBLANK(E$3),D116&amp;C116,INDEX(pixel_shift_table.asm!$C$3:$R$114, E$2*16 + E$3 + INT($A116/16) + 1, MOD($A116, 16) + 1))</f>
        <v>AC</v>
      </c>
      <c r="F116" s="7" t="str" cm="1">
        <f t="array" ref="F116">IF(ISBLANK(F$3),E116&amp;D116,INDEX(pixel_shift_table.asm!$C$3:$R$114, F$2*16 + F$3 + INT($A116/16) + 1, MOD($A116, 16) + 1))</f>
        <v>AC72</v>
      </c>
      <c r="G116" s="6" t="str" cm="1">
        <f t="array" ref="G116">IF(ISBLANK(G$3),F116&amp;E116,INDEX(pixel_shift_table.asm!$C$3:$R$114, G$2*16 + G$3 + INT($A116/16) + 1, MOD($A116, 16) + 1))</f>
        <v>74</v>
      </c>
      <c r="H116" s="5" t="str" cm="1">
        <f t="array" ref="H116">IF(ISBLANK(H$3),G116&amp;F116,INDEX(pixel_shift_table.asm!$C$3:$R$114, H$2*16 + H$3 + INT($A116/16) + 1, MOD($A116, 16) + 1))</f>
        <v>AC</v>
      </c>
      <c r="I116" s="7" t="str" cm="1">
        <f t="array" ref="I116">IF(ISBLANK(I$3),H116&amp;G116,INDEX(pixel_shift_table.asm!$C$3:$R$114, I$2*16 + I$3 + INT($A116/16) + 1, MOD($A116, 16) + 1))</f>
        <v>AC74</v>
      </c>
      <c r="J116" s="6" t="str" cm="1">
        <f t="array" ref="J116">IF(ISBLANK(J$3),I116&amp;H116,INDEX(pixel_shift_table.asm!$C$3:$R$114, J$2*16 + J$3 + INT($A116/16) + 1, MOD($A116, 16) + 1))</f>
        <v>76</v>
      </c>
      <c r="K116" s="5" t="str" cm="1">
        <f t="array" ref="K116">IF(ISBLANK(K$3),J116&amp;I116,INDEX(pixel_shift_table.asm!$C$3:$R$114, K$2*16 + K$3 + INT($A116/16) + 1, MOD($A116, 16) + 1))</f>
        <v>AC</v>
      </c>
      <c r="L116" s="7" t="str" cm="1">
        <f t="array" ref="L116">IF(ISBLANK(L$3),K116&amp;J116,INDEX(pixel_shift_table.asm!$C$3:$R$114, L$2*16 + L$3 + INT($A116/16) + 1, MOD($A116, 16) + 1))</f>
        <v>AC76</v>
      </c>
      <c r="M116" s="6" t="str" cm="1">
        <f t="array" ref="M116">IF(ISBLANK(M$3),L116&amp;K116,INDEX(pixel_shift_table.asm!$C$3:$R$114, M$2*16 + M$3 + INT($A116/16) + 1, MOD($A116, 16) + 1))</f>
        <v>78</v>
      </c>
      <c r="N116" s="5" t="str" cm="1">
        <f t="array" ref="N116">IF(ISBLANK(N$3),M116&amp;L116,INDEX(pixel_shift_table.asm!$C$3:$R$114, N$2*16 + N$3 + INT($A116/16) + 1, MOD($A116, 16) + 1))</f>
        <v>AC</v>
      </c>
      <c r="O116" s="7" t="str" cm="1">
        <f t="array" ref="O116">IF(ISBLANK(O$3),N116&amp;M116,INDEX(pixel_shift_table.asm!$C$3:$R$114, O$2*16 + O$3 + INT($A116/16) + 1, MOD($A116, 16) + 1))</f>
        <v>AC78</v>
      </c>
      <c r="P116" s="6" t="str" cm="1">
        <f t="array" ref="P116">IF(ISBLANK(P$3),O116&amp;N116,INDEX(pixel_shift_table.asm!$C$3:$R$114, P$2*16 + P$3 + INT($A116/16) + 1, MOD($A116, 16) + 1))</f>
        <v>7A</v>
      </c>
      <c r="Q116" s="5" t="str" cm="1">
        <f t="array" ref="Q116">IF(ISBLANK(Q$3),P116&amp;O116,INDEX(pixel_shift_table.asm!$C$3:$R$114, Q$2*16 + Q$3 + INT($A116/16) + 1, MOD($A116, 16) + 1))</f>
        <v>AC</v>
      </c>
      <c r="R116" s="7" t="str" cm="1">
        <f t="array" ref="R116">IF(ISBLANK(R$3),Q116&amp;P116,INDEX(pixel_shift_table.asm!$C$3:$R$114, R$2*16 + R$3 + INT($A116/16) + 1, MOD($A116, 16) + 1))</f>
        <v>AC7A</v>
      </c>
      <c r="S116" s="6" t="str" cm="1">
        <f t="array" ref="S116">IF(ISBLANK(S$3),R116&amp;Q116,INDEX(pixel_shift_table.asm!$C$3:$R$114, S$2*16 + S$3 + INT($A116/16) + 1, MOD($A116, 16) + 1))</f>
        <v>7C</v>
      </c>
      <c r="T116" s="5" t="str" cm="1">
        <f t="array" ref="T116">IF(ISBLANK(T$3),S116&amp;R116,INDEX(pixel_shift_table.asm!$C$3:$R$114, T$2*16 + T$3 + INT($A116/16) + 1, MOD($A116, 16) + 1))</f>
        <v>AC</v>
      </c>
      <c r="U116" s="7" t="str" cm="1">
        <f t="array" ref="U116">IF(ISBLANK(U$3),T116&amp;S116,INDEX(pixel_shift_table.asm!$C$3:$R$114, U$2*16 + U$3 + INT($A116/16) + 1, MOD($A116, 16) + 1))</f>
        <v>AC7C</v>
      </c>
      <c r="V116" s="6" t="str" cm="1">
        <f t="array" ref="V116">IF(ISBLANK(V$3),U116&amp;T116,INDEX(pixel_shift_table.asm!$C$3:$R$114, V$2*16 + V$3 + INT($A116/16) + 1, MOD($A116, 16) + 1))</f>
        <v>7E</v>
      </c>
      <c r="W116" s="5" t="str" cm="1">
        <f t="array" ref="W116">IF(ISBLANK(W$3),V116&amp;U116,INDEX(pixel_shift_table.asm!$C$3:$R$114, W$2*16 + W$3 + INT($A116/16) + 1, MOD($A116, 16) + 1))</f>
        <v>AC</v>
      </c>
      <c r="X116" s="7" t="str" cm="1">
        <f t="array" ref="X116">IF(ISBLANK(X$3),W116&amp;V116,INDEX(pixel_shift_table.asm!$C$3:$R$114, X$2*16 + X$3 + INT($A116/16) + 1, MOD($A116, 16) + 1))</f>
        <v>AC7E</v>
      </c>
    </row>
    <row r="117" spans="1:24" x14ac:dyDescent="0.3">
      <c r="A117">
        <v>112</v>
      </c>
      <c r="B117" s="8">
        <v>11100</v>
      </c>
      <c r="C117" s="5" t="s">
        <v>861</v>
      </c>
      <c r="D117" s="6" t="str" cm="1">
        <f t="array" ref="D117">IF(ISBLANK(D$3),C117&amp;B117,INDEX(pixel_shift_table.asm!$C$3:$R$114, D$2*16 + D$3 + INT($A117/16) + 1, MOD($A117, 16) + 1))</f>
        <v>3A</v>
      </c>
      <c r="E117" s="5" t="str" cm="1">
        <f t="array" ref="E117">IF(ISBLANK(E$3),D117&amp;C117,INDEX(pixel_shift_table.asm!$C$3:$R$114, E$2*16 + E$3 + INT($A117/16) + 1, MOD($A117, 16) + 1))</f>
        <v>A9</v>
      </c>
      <c r="F117" s="7" t="str" cm="1">
        <f t="array" ref="F117">IF(ISBLANK(F$3),E117&amp;D117,INDEX(pixel_shift_table.asm!$C$3:$R$114, F$2*16 + F$3 + INT($A117/16) + 1, MOD($A117, 16) + 1))</f>
        <v>A93A</v>
      </c>
      <c r="G117" s="6" t="str" cm="1">
        <f t="array" ref="G117">IF(ISBLANK(G$3),F117&amp;E117,INDEX(pixel_shift_table.asm!$C$3:$R$114, G$2*16 + G$3 + INT($A117/16) + 1, MOD($A117, 16) + 1))</f>
        <v>3C</v>
      </c>
      <c r="H117" s="5" t="str" cm="1">
        <f t="array" ref="H117">IF(ISBLANK(H$3),G117&amp;F117,INDEX(pixel_shift_table.asm!$C$3:$R$114, H$2*16 + H$3 + INT($A117/16) + 1, MOD($A117, 16) + 1))</f>
        <v>A9</v>
      </c>
      <c r="I117" s="7" t="str" cm="1">
        <f t="array" ref="I117">IF(ISBLANK(I$3),H117&amp;G117,INDEX(pixel_shift_table.asm!$C$3:$R$114, I$2*16 + I$3 + INT($A117/16) + 1, MOD($A117, 16) + 1))</f>
        <v>A93C</v>
      </c>
      <c r="J117" s="6" t="str" cm="1">
        <f t="array" ref="J117">IF(ISBLANK(J$3),I117&amp;H117,INDEX(pixel_shift_table.asm!$C$3:$R$114, J$2*16 + J$3 + INT($A117/16) + 1, MOD($A117, 16) + 1))</f>
        <v>3E</v>
      </c>
      <c r="K117" s="5" t="str" cm="1">
        <f t="array" ref="K117">IF(ISBLANK(K$3),J117&amp;I117,INDEX(pixel_shift_table.asm!$C$3:$R$114, K$2*16 + K$3 + INT($A117/16) + 1, MOD($A117, 16) + 1))</f>
        <v>A9</v>
      </c>
      <c r="L117" s="7" t="str" cm="1">
        <f t="array" ref="L117">IF(ISBLANK(L$3),K117&amp;J117,INDEX(pixel_shift_table.asm!$C$3:$R$114, L$2*16 + L$3 + INT($A117/16) + 1, MOD($A117, 16) + 1))</f>
        <v>A93E</v>
      </c>
      <c r="M117" s="6" t="str" cm="1">
        <f t="array" ref="M117">IF(ISBLANK(M$3),L117&amp;K117,INDEX(pixel_shift_table.asm!$C$3:$R$114, M$2*16 + M$3 + INT($A117/16) + 1, MOD($A117, 16) + 1))</f>
        <v>70</v>
      </c>
      <c r="N117" s="5" t="str" cm="1">
        <f t="array" ref="N117">IF(ISBLANK(N$3),M117&amp;L117,INDEX(pixel_shift_table.asm!$C$3:$R$114, N$2*16 + N$3 + INT($A117/16) + 1, MOD($A117, 16) + 1))</f>
        <v>A9</v>
      </c>
      <c r="O117" s="7" t="str" cm="1">
        <f t="array" ref="O117">IF(ISBLANK(O$3),N117&amp;M117,INDEX(pixel_shift_table.asm!$C$3:$R$114, O$2*16 + O$3 + INT($A117/16) + 1, MOD($A117, 16) + 1))</f>
        <v>A970</v>
      </c>
      <c r="P117" s="6" t="str" cm="1">
        <f t="array" ref="P117">IF(ISBLANK(P$3),O117&amp;N117,INDEX(pixel_shift_table.asm!$C$3:$R$114, P$2*16 + P$3 + INT($A117/16) + 1, MOD($A117, 16) + 1))</f>
        <v>E0</v>
      </c>
      <c r="Q117" s="5" t="str" cm="1">
        <f t="array" ref="Q117">IF(ISBLANK(Q$3),P117&amp;O117,INDEX(pixel_shift_table.asm!$C$3:$R$114, Q$2*16 + Q$3 + INT($A117/16) + 1, MOD($A117, 16) + 1))</f>
        <v>A9</v>
      </c>
      <c r="R117" s="7" t="str" cm="1">
        <f t="array" ref="R117">IF(ISBLANK(R$3),Q117&amp;P117,INDEX(pixel_shift_table.asm!$C$3:$R$114, R$2*16 + R$3 + INT($A117/16) + 1, MOD($A117, 16) + 1))</f>
        <v>A9E0</v>
      </c>
      <c r="S117" s="6" t="str" cm="1">
        <f t="array" ref="S117">IF(ISBLANK(S$3),R117&amp;Q117,INDEX(pixel_shift_table.asm!$C$3:$R$114, S$2*16 + S$3 + INT($A117/16) + 1, MOD($A117, 16) + 1))</f>
        <v>C0</v>
      </c>
      <c r="T117" s="5" t="str" cm="1">
        <f t="array" ref="T117">IF(ISBLANK(T$3),S117&amp;R117,INDEX(pixel_shift_table.asm!$C$3:$R$114, T$2*16 + T$3 + INT($A117/16) + 1, MOD($A117, 16) + 1))</f>
        <v>AA</v>
      </c>
      <c r="U117" s="7" t="str" cm="1">
        <f t="array" ref="U117">IF(ISBLANK(U$3),T117&amp;S117,INDEX(pixel_shift_table.asm!$C$3:$R$114, U$2*16 + U$3 + INT($A117/16) + 1, MOD($A117, 16) + 1))</f>
        <v>AAC0</v>
      </c>
      <c r="V117" s="6" t="str" cm="1">
        <f t="array" ref="V117">IF(ISBLANK(V$3),U117&amp;T117,INDEX(pixel_shift_table.asm!$C$3:$R$114, V$2*16 + V$3 + INT($A117/16) + 1, MOD($A117, 16) + 1))</f>
        <v>80</v>
      </c>
      <c r="W117" s="5" t="str" cm="1">
        <f t="array" ref="W117">IF(ISBLANK(W$3),V117&amp;U117,INDEX(pixel_shift_table.asm!$C$3:$R$114, W$2*16 + W$3 + INT($A117/16) + 1, MOD($A117, 16) + 1))</f>
        <v>AC</v>
      </c>
      <c r="X117" s="7" t="str" cm="1">
        <f t="array" ref="X117">IF(ISBLANK(X$3),W117&amp;V117,INDEX(pixel_shift_table.asm!$C$3:$R$114, X$2*16 + X$3 + INT($A117/16) + 1, MOD($A117, 16) + 1))</f>
        <v>AC80</v>
      </c>
    </row>
    <row r="118" spans="1:24" x14ac:dyDescent="0.3">
      <c r="A118">
        <v>113</v>
      </c>
      <c r="B118" s="8">
        <v>11100.01</v>
      </c>
      <c r="C118" s="5" t="s">
        <v>862</v>
      </c>
      <c r="D118" s="6" t="str" cm="1">
        <f t="array" ref="D118">IF(ISBLANK(D$3),C118&amp;B118,INDEX(pixel_shift_table.asm!$C$3:$R$114, D$2*16 + D$3 + INT($A118/16) + 1, MOD($A118, 16) + 1))</f>
        <v>82</v>
      </c>
      <c r="E118" s="5" t="str" cm="1">
        <f t="array" ref="E118">IF(ISBLANK(E$3),D118&amp;C118,INDEX(pixel_shift_table.asm!$C$3:$R$114, E$2*16 + E$3 + INT($A118/16) + 1, MOD($A118, 16) + 1))</f>
        <v>AC</v>
      </c>
      <c r="F118" s="7" t="str" cm="1">
        <f t="array" ref="F118">IF(ISBLANK(F$3),E118&amp;D118,INDEX(pixel_shift_table.asm!$C$3:$R$114, F$2*16 + F$3 + INT($A118/16) + 1, MOD($A118, 16) + 1))</f>
        <v>AC82</v>
      </c>
      <c r="G118" s="6" t="str" cm="1">
        <f t="array" ref="G118">IF(ISBLANK(G$3),F118&amp;E118,INDEX(pixel_shift_table.asm!$C$3:$R$114, G$2*16 + G$3 + INT($A118/16) + 1, MOD($A118, 16) + 1))</f>
        <v>84</v>
      </c>
      <c r="H118" s="5" t="str" cm="1">
        <f t="array" ref="H118">IF(ISBLANK(H$3),G118&amp;F118,INDEX(pixel_shift_table.asm!$C$3:$R$114, H$2*16 + H$3 + INT($A118/16) + 1, MOD($A118, 16) + 1))</f>
        <v>AC</v>
      </c>
      <c r="I118" s="7" t="str" cm="1">
        <f t="array" ref="I118">IF(ISBLANK(I$3),H118&amp;G118,INDEX(pixel_shift_table.asm!$C$3:$R$114, I$2*16 + I$3 + INT($A118/16) + 1, MOD($A118, 16) + 1))</f>
        <v>AC84</v>
      </c>
      <c r="J118" s="6" t="str" cm="1">
        <f t="array" ref="J118">IF(ISBLANK(J$3),I118&amp;H118,INDEX(pixel_shift_table.asm!$C$3:$R$114, J$2*16 + J$3 + INT($A118/16) + 1, MOD($A118, 16) + 1))</f>
        <v>86</v>
      </c>
      <c r="K118" s="5" t="str" cm="1">
        <f t="array" ref="K118">IF(ISBLANK(K$3),J118&amp;I118,INDEX(pixel_shift_table.asm!$C$3:$R$114, K$2*16 + K$3 + INT($A118/16) + 1, MOD($A118, 16) + 1))</f>
        <v>AC</v>
      </c>
      <c r="L118" s="7" t="str" cm="1">
        <f t="array" ref="L118">IF(ISBLANK(L$3),K118&amp;J118,INDEX(pixel_shift_table.asm!$C$3:$R$114, L$2*16 + L$3 + INT($A118/16) + 1, MOD($A118, 16) + 1))</f>
        <v>AC86</v>
      </c>
      <c r="M118" s="6" t="str" cm="1">
        <f t="array" ref="M118">IF(ISBLANK(M$3),L118&amp;K118,INDEX(pixel_shift_table.asm!$C$3:$R$114, M$2*16 + M$3 + INT($A118/16) + 1, MOD($A118, 16) + 1))</f>
        <v>88</v>
      </c>
      <c r="N118" s="5" t="str" cm="1">
        <f t="array" ref="N118">IF(ISBLANK(N$3),M118&amp;L118,INDEX(pixel_shift_table.asm!$C$3:$R$114, N$2*16 + N$3 + INT($A118/16) + 1, MOD($A118, 16) + 1))</f>
        <v>AC</v>
      </c>
      <c r="O118" s="7" t="str" cm="1">
        <f t="array" ref="O118">IF(ISBLANK(O$3),N118&amp;M118,INDEX(pixel_shift_table.asm!$C$3:$R$114, O$2*16 + O$3 + INT($A118/16) + 1, MOD($A118, 16) + 1))</f>
        <v>AC88</v>
      </c>
      <c r="P118" s="6" t="str" cm="1">
        <f t="array" ref="P118">IF(ISBLANK(P$3),O118&amp;N118,INDEX(pixel_shift_table.asm!$C$3:$R$114, P$2*16 + P$3 + INT($A118/16) + 1, MOD($A118, 16) + 1))</f>
        <v>8A</v>
      </c>
      <c r="Q118" s="5" t="str" cm="1">
        <f t="array" ref="Q118">IF(ISBLANK(Q$3),P118&amp;O118,INDEX(pixel_shift_table.asm!$C$3:$R$114, Q$2*16 + Q$3 + INT($A118/16) + 1, MOD($A118, 16) + 1))</f>
        <v>AC</v>
      </c>
      <c r="R118" s="7" t="str" cm="1">
        <f t="array" ref="R118">IF(ISBLANK(R$3),Q118&amp;P118,INDEX(pixel_shift_table.asm!$C$3:$R$114, R$2*16 + R$3 + INT($A118/16) + 1, MOD($A118, 16) + 1))</f>
        <v>AC8A</v>
      </c>
      <c r="S118" s="6" t="str" cm="1">
        <f t="array" ref="S118">IF(ISBLANK(S$3),R118&amp;Q118,INDEX(pixel_shift_table.asm!$C$3:$R$114, S$2*16 + S$3 + INT($A118/16) + 1, MOD($A118, 16) + 1))</f>
        <v>8C</v>
      </c>
      <c r="T118" s="5" t="str" cm="1">
        <f t="array" ref="T118">IF(ISBLANK(T$3),S118&amp;R118,INDEX(pixel_shift_table.asm!$C$3:$R$114, T$2*16 + T$3 + INT($A118/16) + 1, MOD($A118, 16) + 1))</f>
        <v>AC</v>
      </c>
      <c r="U118" s="7" t="str" cm="1">
        <f t="array" ref="U118">IF(ISBLANK(U$3),T118&amp;S118,INDEX(pixel_shift_table.asm!$C$3:$R$114, U$2*16 + U$3 + INT($A118/16) + 1, MOD($A118, 16) + 1))</f>
        <v>AC8C</v>
      </c>
      <c r="V118" s="6" t="str" cm="1">
        <f t="array" ref="V118">IF(ISBLANK(V$3),U118&amp;T118,INDEX(pixel_shift_table.asm!$C$3:$R$114, V$2*16 + V$3 + INT($A118/16) + 1, MOD($A118, 16) + 1))</f>
        <v>8E</v>
      </c>
      <c r="W118" s="5" t="str" cm="1">
        <f t="array" ref="W118">IF(ISBLANK(W$3),V118&amp;U118,INDEX(pixel_shift_table.asm!$C$3:$R$114, W$2*16 + W$3 + INT($A118/16) + 1, MOD($A118, 16) + 1))</f>
        <v>AC</v>
      </c>
      <c r="X118" s="7" t="str" cm="1">
        <f t="array" ref="X118">IF(ISBLANK(X$3),W118&amp;V118,INDEX(pixel_shift_table.asm!$C$3:$R$114, X$2*16 + X$3 + INT($A118/16) + 1, MOD($A118, 16) + 1))</f>
        <v>AC8E</v>
      </c>
    </row>
    <row r="119" spans="1:24" x14ac:dyDescent="0.3">
      <c r="A119">
        <v>114</v>
      </c>
      <c r="B119" s="8">
        <v>11100.1</v>
      </c>
      <c r="C119" s="5" t="s">
        <v>863</v>
      </c>
      <c r="D119" s="6" t="str" cm="1">
        <f t="array" ref="D119">IF(ISBLANK(D$3),C119&amp;B119,INDEX(pixel_shift_table.asm!$C$3:$R$114, D$2*16 + D$3 + INT($A119/16) + 1, MOD($A119, 16) + 1))</f>
        <v>C4</v>
      </c>
      <c r="E119" s="5" t="str" cm="1">
        <f t="array" ref="E119">IF(ISBLANK(E$3),D119&amp;C119,INDEX(pixel_shift_table.asm!$C$3:$R$114, E$2*16 + E$3 + INT($A119/16) + 1, MOD($A119, 16) + 1))</f>
        <v>AA</v>
      </c>
      <c r="F119" s="7" t="str" cm="1">
        <f t="array" ref="F119">IF(ISBLANK(F$3),E119&amp;D119,INDEX(pixel_shift_table.asm!$C$3:$R$114, F$2*16 + F$3 + INT($A119/16) + 1, MOD($A119, 16) + 1))</f>
        <v>AAC4</v>
      </c>
      <c r="G119" s="6" t="str" cm="1">
        <f t="array" ref="G119">IF(ISBLANK(G$3),F119&amp;E119,INDEX(pixel_shift_table.asm!$C$3:$R$114, G$2*16 + G$3 + INT($A119/16) + 1, MOD($A119, 16) + 1))</f>
        <v>C6</v>
      </c>
      <c r="H119" s="5" t="str" cm="1">
        <f t="array" ref="H119">IF(ISBLANK(H$3),G119&amp;F119,INDEX(pixel_shift_table.asm!$C$3:$R$114, H$2*16 + H$3 + INT($A119/16) + 1, MOD($A119, 16) + 1))</f>
        <v>AA</v>
      </c>
      <c r="I119" s="7" t="str" cm="1">
        <f t="array" ref="I119">IF(ISBLANK(I$3),H119&amp;G119,INDEX(pixel_shift_table.asm!$C$3:$R$114, I$2*16 + I$3 + INT($A119/16) + 1, MOD($A119, 16) + 1))</f>
        <v>AAC6</v>
      </c>
      <c r="J119" s="6" t="str" cm="1">
        <f t="array" ref="J119">IF(ISBLANK(J$3),I119&amp;H119,INDEX(pixel_shift_table.asm!$C$3:$R$114, J$2*16 + J$3 + INT($A119/16) + 1, MOD($A119, 16) + 1))</f>
        <v>C8</v>
      </c>
      <c r="K119" s="5" t="str" cm="1">
        <f t="array" ref="K119">IF(ISBLANK(K$3),J119&amp;I119,INDEX(pixel_shift_table.asm!$C$3:$R$114, K$2*16 + K$3 + INT($A119/16) + 1, MOD($A119, 16) + 1))</f>
        <v>AA</v>
      </c>
      <c r="L119" s="7" t="str" cm="1">
        <f t="array" ref="L119">IF(ISBLANK(L$3),K119&amp;J119,INDEX(pixel_shift_table.asm!$C$3:$R$114, L$2*16 + L$3 + INT($A119/16) + 1, MOD($A119, 16) + 1))</f>
        <v>AAC8</v>
      </c>
      <c r="M119" s="6" t="str" cm="1">
        <f t="array" ref="M119">IF(ISBLANK(M$3),L119&amp;K119,INDEX(pixel_shift_table.asm!$C$3:$R$114, M$2*16 + M$3 + INT($A119/16) + 1, MOD($A119, 16) + 1))</f>
        <v>CA</v>
      </c>
      <c r="N119" s="5" t="str" cm="1">
        <f t="array" ref="N119">IF(ISBLANK(N$3),M119&amp;L119,INDEX(pixel_shift_table.asm!$C$3:$R$114, N$2*16 + N$3 + INT($A119/16) + 1, MOD($A119, 16) + 1))</f>
        <v>AA</v>
      </c>
      <c r="O119" s="7" t="str" cm="1">
        <f t="array" ref="O119">IF(ISBLANK(O$3),N119&amp;M119,INDEX(pixel_shift_table.asm!$C$3:$R$114, O$2*16 + O$3 + INT($A119/16) + 1, MOD($A119, 16) + 1))</f>
        <v>AACA</v>
      </c>
      <c r="P119" s="6" t="str" cm="1">
        <f t="array" ref="P119">IF(ISBLANK(P$3),O119&amp;N119,INDEX(pixel_shift_table.asm!$C$3:$R$114, P$2*16 + P$3 + INT($A119/16) + 1, MOD($A119, 16) + 1))</f>
        <v>CC</v>
      </c>
      <c r="Q119" s="5" t="str" cm="1">
        <f t="array" ref="Q119">IF(ISBLANK(Q$3),P119&amp;O119,INDEX(pixel_shift_table.asm!$C$3:$R$114, Q$2*16 + Q$3 + INT($A119/16) + 1, MOD($A119, 16) + 1))</f>
        <v>AA</v>
      </c>
      <c r="R119" s="7" t="str" cm="1">
        <f t="array" ref="R119">IF(ISBLANK(R$3),Q119&amp;P119,INDEX(pixel_shift_table.asm!$C$3:$R$114, R$2*16 + R$3 + INT($A119/16) + 1, MOD($A119, 16) + 1))</f>
        <v>AACC</v>
      </c>
      <c r="S119" s="6" t="str" cm="1">
        <f t="array" ref="S119">IF(ISBLANK(S$3),R119&amp;Q119,INDEX(pixel_shift_table.asm!$C$3:$R$114, S$2*16 + S$3 + INT($A119/16) + 1, MOD($A119, 16) + 1))</f>
        <v>CE</v>
      </c>
      <c r="T119" s="5" t="str" cm="1">
        <f t="array" ref="T119">IF(ISBLANK(T$3),S119&amp;R119,INDEX(pixel_shift_table.asm!$C$3:$R$114, T$2*16 + T$3 + INT($A119/16) + 1, MOD($A119, 16) + 1))</f>
        <v>AA</v>
      </c>
      <c r="U119" s="7" t="str" cm="1">
        <f t="array" ref="U119">IF(ISBLANK(U$3),T119&amp;S119,INDEX(pixel_shift_table.asm!$C$3:$R$114, U$2*16 + U$3 + INT($A119/16) + 1, MOD($A119, 16) + 1))</f>
        <v>AACE</v>
      </c>
      <c r="V119" s="6" t="str" cm="1">
        <f t="array" ref="V119">IF(ISBLANK(V$3),U119&amp;T119,INDEX(pixel_shift_table.asm!$C$3:$R$114, V$2*16 + V$3 + INT($A119/16) + 1, MOD($A119, 16) + 1))</f>
        <v>90</v>
      </c>
      <c r="W119" s="5" t="str" cm="1">
        <f t="array" ref="W119">IF(ISBLANK(W$3),V119&amp;U119,INDEX(pixel_shift_table.asm!$C$3:$R$114, W$2*16 + W$3 + INT($A119/16) + 1, MOD($A119, 16) + 1))</f>
        <v>AC</v>
      </c>
      <c r="X119" s="7" t="str" cm="1">
        <f t="array" ref="X119">IF(ISBLANK(X$3),W119&amp;V119,INDEX(pixel_shift_table.asm!$C$3:$R$114, X$2*16 + X$3 + INT($A119/16) + 1, MOD($A119, 16) + 1))</f>
        <v>AC90</v>
      </c>
    </row>
    <row r="120" spans="1:24" x14ac:dyDescent="0.3">
      <c r="A120">
        <v>115</v>
      </c>
      <c r="B120" s="8">
        <v>11100.11</v>
      </c>
      <c r="C120" s="5" t="s">
        <v>864</v>
      </c>
      <c r="D120" s="6" t="str" cm="1">
        <f t="array" ref="D120">IF(ISBLANK(D$3),C120&amp;B120,INDEX(pixel_shift_table.asm!$C$3:$R$114, D$2*16 + D$3 + INT($A120/16) + 1, MOD($A120, 16) + 1))</f>
        <v>92</v>
      </c>
      <c r="E120" s="5" t="str" cm="1">
        <f t="array" ref="E120">IF(ISBLANK(E$3),D120&amp;C120,INDEX(pixel_shift_table.asm!$C$3:$R$114, E$2*16 + E$3 + INT($A120/16) + 1, MOD($A120, 16) + 1))</f>
        <v>AC</v>
      </c>
      <c r="F120" s="7" t="str" cm="1">
        <f t="array" ref="F120">IF(ISBLANK(F$3),E120&amp;D120,INDEX(pixel_shift_table.asm!$C$3:$R$114, F$2*16 + F$3 + INT($A120/16) + 1, MOD($A120, 16) + 1))</f>
        <v>AC92</v>
      </c>
      <c r="G120" s="6" t="str" cm="1">
        <f t="array" ref="G120">IF(ISBLANK(G$3),F120&amp;E120,INDEX(pixel_shift_table.asm!$C$3:$R$114, G$2*16 + G$3 + INT($A120/16) + 1, MOD($A120, 16) + 1))</f>
        <v>94</v>
      </c>
      <c r="H120" s="5" t="str" cm="1">
        <f t="array" ref="H120">IF(ISBLANK(H$3),G120&amp;F120,INDEX(pixel_shift_table.asm!$C$3:$R$114, H$2*16 + H$3 + INT($A120/16) + 1, MOD($A120, 16) + 1))</f>
        <v>AC</v>
      </c>
      <c r="I120" s="7" t="str" cm="1">
        <f t="array" ref="I120">IF(ISBLANK(I$3),H120&amp;G120,INDEX(pixel_shift_table.asm!$C$3:$R$114, I$2*16 + I$3 + INT($A120/16) + 1, MOD($A120, 16) + 1))</f>
        <v>AC94</v>
      </c>
      <c r="J120" s="6" t="str" cm="1">
        <f t="array" ref="J120">IF(ISBLANK(J$3),I120&amp;H120,INDEX(pixel_shift_table.asm!$C$3:$R$114, J$2*16 + J$3 + INT($A120/16) + 1, MOD($A120, 16) + 1))</f>
        <v>96</v>
      </c>
      <c r="K120" s="5" t="str" cm="1">
        <f t="array" ref="K120">IF(ISBLANK(K$3),J120&amp;I120,INDEX(pixel_shift_table.asm!$C$3:$R$114, K$2*16 + K$3 + INT($A120/16) + 1, MOD($A120, 16) + 1))</f>
        <v>AC</v>
      </c>
      <c r="L120" s="7" t="str" cm="1">
        <f t="array" ref="L120">IF(ISBLANK(L$3),K120&amp;J120,INDEX(pixel_shift_table.asm!$C$3:$R$114, L$2*16 + L$3 + INT($A120/16) + 1, MOD($A120, 16) + 1))</f>
        <v>AC96</v>
      </c>
      <c r="M120" s="6" t="str" cm="1">
        <f t="array" ref="M120">IF(ISBLANK(M$3),L120&amp;K120,INDEX(pixel_shift_table.asm!$C$3:$R$114, M$2*16 + M$3 + INT($A120/16) + 1, MOD($A120, 16) + 1))</f>
        <v>98</v>
      </c>
      <c r="N120" s="5" t="str" cm="1">
        <f t="array" ref="N120">IF(ISBLANK(N$3),M120&amp;L120,INDEX(pixel_shift_table.asm!$C$3:$R$114, N$2*16 + N$3 + INT($A120/16) + 1, MOD($A120, 16) + 1))</f>
        <v>AC</v>
      </c>
      <c r="O120" s="7" t="str" cm="1">
        <f t="array" ref="O120">IF(ISBLANK(O$3),N120&amp;M120,INDEX(pixel_shift_table.asm!$C$3:$R$114, O$2*16 + O$3 + INT($A120/16) + 1, MOD($A120, 16) + 1))</f>
        <v>AC98</v>
      </c>
      <c r="P120" s="6" t="str" cm="1">
        <f t="array" ref="P120">IF(ISBLANK(P$3),O120&amp;N120,INDEX(pixel_shift_table.asm!$C$3:$R$114, P$2*16 + P$3 + INT($A120/16) + 1, MOD($A120, 16) + 1))</f>
        <v>9A</v>
      </c>
      <c r="Q120" s="5" t="str" cm="1">
        <f t="array" ref="Q120">IF(ISBLANK(Q$3),P120&amp;O120,INDEX(pixel_shift_table.asm!$C$3:$R$114, Q$2*16 + Q$3 + INT($A120/16) + 1, MOD($A120, 16) + 1))</f>
        <v>AC</v>
      </c>
      <c r="R120" s="7" t="str" cm="1">
        <f t="array" ref="R120">IF(ISBLANK(R$3),Q120&amp;P120,INDEX(pixel_shift_table.asm!$C$3:$R$114, R$2*16 + R$3 + INT($A120/16) + 1, MOD($A120, 16) + 1))</f>
        <v>AC9A</v>
      </c>
      <c r="S120" s="6" t="str" cm="1">
        <f t="array" ref="S120">IF(ISBLANK(S$3),R120&amp;Q120,INDEX(pixel_shift_table.asm!$C$3:$R$114, S$2*16 + S$3 + INT($A120/16) + 1, MOD($A120, 16) + 1))</f>
        <v>9C</v>
      </c>
      <c r="T120" s="5" t="str" cm="1">
        <f t="array" ref="T120">IF(ISBLANK(T$3),S120&amp;R120,INDEX(pixel_shift_table.asm!$C$3:$R$114, T$2*16 + T$3 + INT($A120/16) + 1, MOD($A120, 16) + 1))</f>
        <v>AC</v>
      </c>
      <c r="U120" s="7" t="str" cm="1">
        <f t="array" ref="U120">IF(ISBLANK(U$3),T120&amp;S120,INDEX(pixel_shift_table.asm!$C$3:$R$114, U$2*16 + U$3 + INT($A120/16) + 1, MOD($A120, 16) + 1))</f>
        <v>AC9C</v>
      </c>
      <c r="V120" s="6" t="str" cm="1">
        <f t="array" ref="V120">IF(ISBLANK(V$3),U120&amp;T120,INDEX(pixel_shift_table.asm!$C$3:$R$114, V$2*16 + V$3 + INT($A120/16) + 1, MOD($A120, 16) + 1))</f>
        <v>9E</v>
      </c>
      <c r="W120" s="5" t="str" cm="1">
        <f t="array" ref="W120">IF(ISBLANK(W$3),V120&amp;U120,INDEX(pixel_shift_table.asm!$C$3:$R$114, W$2*16 + W$3 + INT($A120/16) + 1, MOD($A120, 16) + 1))</f>
        <v>AC</v>
      </c>
      <c r="X120" s="7" t="str" cm="1">
        <f t="array" ref="X120">IF(ISBLANK(X$3),W120&amp;V120,INDEX(pixel_shift_table.asm!$C$3:$R$114, X$2*16 + X$3 + INT($A120/16) + 1, MOD($A120, 16) + 1))</f>
        <v>AC9E</v>
      </c>
    </row>
    <row r="121" spans="1:24" x14ac:dyDescent="0.3">
      <c r="A121">
        <v>116</v>
      </c>
      <c r="B121" s="8">
        <v>11101</v>
      </c>
      <c r="C121" s="5" t="s">
        <v>865</v>
      </c>
      <c r="D121" s="6" t="str" cm="1">
        <f t="array" ref="D121">IF(ISBLANK(D$3),C121&amp;B121,INDEX(pixel_shift_table.asm!$C$3:$R$114, D$2*16 + D$3 + INT($A121/16) + 1, MOD($A121, 16) + 1))</f>
        <v>E6</v>
      </c>
      <c r="E121" s="5" t="str" cm="1">
        <f t="array" ref="E121">IF(ISBLANK(E$3),D121&amp;C121,INDEX(pixel_shift_table.asm!$C$3:$R$114, E$2*16 + E$3 + INT($A121/16) + 1, MOD($A121, 16) + 1))</f>
        <v>A9</v>
      </c>
      <c r="F121" s="7" t="str" cm="1">
        <f t="array" ref="F121">IF(ISBLANK(F$3),E121&amp;D121,INDEX(pixel_shift_table.asm!$C$3:$R$114, F$2*16 + F$3 + INT($A121/16) + 1, MOD($A121, 16) + 1))</f>
        <v>A9E6</v>
      </c>
      <c r="G121" s="6" t="str" cm="1">
        <f t="array" ref="G121">IF(ISBLANK(G$3),F121&amp;E121,INDEX(pixel_shift_table.asm!$C$3:$R$114, G$2*16 + G$3 + INT($A121/16) + 1, MOD($A121, 16) + 1))</f>
        <v>E8</v>
      </c>
      <c r="H121" s="5" t="str" cm="1">
        <f t="array" ref="H121">IF(ISBLANK(H$3),G121&amp;F121,INDEX(pixel_shift_table.asm!$C$3:$R$114, H$2*16 + H$3 + INT($A121/16) + 1, MOD($A121, 16) + 1))</f>
        <v>A9</v>
      </c>
      <c r="I121" s="7" t="str" cm="1">
        <f t="array" ref="I121">IF(ISBLANK(I$3),H121&amp;G121,INDEX(pixel_shift_table.asm!$C$3:$R$114, I$2*16 + I$3 + INT($A121/16) + 1, MOD($A121, 16) + 1))</f>
        <v>A9E8</v>
      </c>
      <c r="J121" s="6" t="str" cm="1">
        <f t="array" ref="J121">IF(ISBLANK(J$3),I121&amp;H121,INDEX(pixel_shift_table.asm!$C$3:$R$114, J$2*16 + J$3 + INT($A121/16) + 1, MOD($A121, 16) + 1))</f>
        <v>EA</v>
      </c>
      <c r="K121" s="5" t="str" cm="1">
        <f t="array" ref="K121">IF(ISBLANK(K$3),J121&amp;I121,INDEX(pixel_shift_table.asm!$C$3:$R$114, K$2*16 + K$3 + INT($A121/16) + 1, MOD($A121, 16) + 1))</f>
        <v>A9</v>
      </c>
      <c r="L121" s="7" t="str" cm="1">
        <f t="array" ref="L121">IF(ISBLANK(L$3),K121&amp;J121,INDEX(pixel_shift_table.asm!$C$3:$R$114, L$2*16 + L$3 + INT($A121/16) + 1, MOD($A121, 16) + 1))</f>
        <v>A9EA</v>
      </c>
      <c r="M121" s="6" t="str" cm="1">
        <f t="array" ref="M121">IF(ISBLANK(M$3),L121&amp;K121,INDEX(pixel_shift_table.asm!$C$3:$R$114, M$2*16 + M$3 + INT($A121/16) + 1, MOD($A121, 16) + 1))</f>
        <v>EC</v>
      </c>
      <c r="N121" s="5" t="str" cm="1">
        <f t="array" ref="N121">IF(ISBLANK(N$3),M121&amp;L121,INDEX(pixel_shift_table.asm!$C$3:$R$114, N$2*16 + N$3 + INT($A121/16) + 1, MOD($A121, 16) + 1))</f>
        <v>A9</v>
      </c>
      <c r="O121" s="7" t="str" cm="1">
        <f t="array" ref="O121">IF(ISBLANK(O$3),N121&amp;M121,INDEX(pixel_shift_table.asm!$C$3:$R$114, O$2*16 + O$3 + INT($A121/16) + 1, MOD($A121, 16) + 1))</f>
        <v>A9EC</v>
      </c>
      <c r="P121" s="6" t="str" cm="1">
        <f t="array" ref="P121">IF(ISBLANK(P$3),O121&amp;N121,INDEX(pixel_shift_table.asm!$C$3:$R$114, P$2*16 + P$3 + INT($A121/16) + 1, MOD($A121, 16) + 1))</f>
        <v>EE</v>
      </c>
      <c r="Q121" s="5" t="str" cm="1">
        <f t="array" ref="Q121">IF(ISBLANK(Q$3),P121&amp;O121,INDEX(pixel_shift_table.asm!$C$3:$R$114, Q$2*16 + Q$3 + INT($A121/16) + 1, MOD($A121, 16) + 1))</f>
        <v>A9</v>
      </c>
      <c r="R121" s="7" t="str" cm="1">
        <f t="array" ref="R121">IF(ISBLANK(R$3),Q121&amp;P121,INDEX(pixel_shift_table.asm!$C$3:$R$114, R$2*16 + R$3 + INT($A121/16) + 1, MOD($A121, 16) + 1))</f>
        <v>A9EE</v>
      </c>
      <c r="S121" s="6" t="str" cm="1">
        <f t="array" ref="S121">IF(ISBLANK(S$3),R121&amp;Q121,INDEX(pixel_shift_table.asm!$C$3:$R$114, S$2*16 + S$3 + INT($A121/16) + 1, MOD($A121, 16) + 1))</f>
        <v>D0</v>
      </c>
      <c r="T121" s="5" t="str" cm="1">
        <f t="array" ref="T121">IF(ISBLANK(T$3),S121&amp;R121,INDEX(pixel_shift_table.asm!$C$3:$R$114, T$2*16 + T$3 + INT($A121/16) + 1, MOD($A121, 16) + 1))</f>
        <v>AA</v>
      </c>
      <c r="U121" s="7" t="str" cm="1">
        <f t="array" ref="U121">IF(ISBLANK(U$3),T121&amp;S121,INDEX(pixel_shift_table.asm!$C$3:$R$114, U$2*16 + U$3 + INT($A121/16) + 1, MOD($A121, 16) + 1))</f>
        <v>AAD0</v>
      </c>
      <c r="V121" s="6" t="str" cm="1">
        <f t="array" ref="V121">IF(ISBLANK(V$3),U121&amp;T121,INDEX(pixel_shift_table.asm!$C$3:$R$114, V$2*16 + V$3 + INT($A121/16) + 1, MOD($A121, 16) + 1))</f>
        <v>A0</v>
      </c>
      <c r="W121" s="5" t="str" cm="1">
        <f t="array" ref="W121">IF(ISBLANK(W$3),V121&amp;U121,INDEX(pixel_shift_table.asm!$C$3:$R$114, W$2*16 + W$3 + INT($A121/16) + 1, MOD($A121, 16) + 1))</f>
        <v>AC</v>
      </c>
      <c r="X121" s="7" t="str" cm="1">
        <f t="array" ref="X121">IF(ISBLANK(X$3),W121&amp;V121,INDEX(pixel_shift_table.asm!$C$3:$R$114, X$2*16 + X$3 + INT($A121/16) + 1, MOD($A121, 16) + 1))</f>
        <v>ACA0</v>
      </c>
    </row>
    <row r="122" spans="1:24" x14ac:dyDescent="0.3">
      <c r="A122">
        <v>117</v>
      </c>
      <c r="B122" s="8">
        <v>11101.01</v>
      </c>
      <c r="C122" s="5" t="s">
        <v>866</v>
      </c>
      <c r="D122" s="6" t="str" cm="1">
        <f t="array" ref="D122">IF(ISBLANK(D$3),C122&amp;B122,INDEX(pixel_shift_table.asm!$C$3:$R$114, D$2*16 + D$3 + INT($A122/16) + 1, MOD($A122, 16) + 1))</f>
        <v>A2</v>
      </c>
      <c r="E122" s="5" t="str" cm="1">
        <f t="array" ref="E122">IF(ISBLANK(E$3),D122&amp;C122,INDEX(pixel_shift_table.asm!$C$3:$R$114, E$2*16 + E$3 + INT($A122/16) + 1, MOD($A122, 16) + 1))</f>
        <v>AC</v>
      </c>
      <c r="F122" s="7" t="str" cm="1">
        <f t="array" ref="F122">IF(ISBLANK(F$3),E122&amp;D122,INDEX(pixel_shift_table.asm!$C$3:$R$114, F$2*16 + F$3 + INT($A122/16) + 1, MOD($A122, 16) + 1))</f>
        <v>ACA2</v>
      </c>
      <c r="G122" s="6" t="str" cm="1">
        <f t="array" ref="G122">IF(ISBLANK(G$3),F122&amp;E122,INDEX(pixel_shift_table.asm!$C$3:$R$114, G$2*16 + G$3 + INT($A122/16) + 1, MOD($A122, 16) + 1))</f>
        <v>A4</v>
      </c>
      <c r="H122" s="5" t="str" cm="1">
        <f t="array" ref="H122">IF(ISBLANK(H$3),G122&amp;F122,INDEX(pixel_shift_table.asm!$C$3:$R$114, H$2*16 + H$3 + INT($A122/16) + 1, MOD($A122, 16) + 1))</f>
        <v>AC</v>
      </c>
      <c r="I122" s="7" t="str" cm="1">
        <f t="array" ref="I122">IF(ISBLANK(I$3),H122&amp;G122,INDEX(pixel_shift_table.asm!$C$3:$R$114, I$2*16 + I$3 + INT($A122/16) + 1, MOD($A122, 16) + 1))</f>
        <v>ACA4</v>
      </c>
      <c r="J122" s="6" t="str" cm="1">
        <f t="array" ref="J122">IF(ISBLANK(J$3),I122&amp;H122,INDEX(pixel_shift_table.asm!$C$3:$R$114, J$2*16 + J$3 + INT($A122/16) + 1, MOD($A122, 16) + 1))</f>
        <v>A6</v>
      </c>
      <c r="K122" s="5" t="str" cm="1">
        <f t="array" ref="K122">IF(ISBLANK(K$3),J122&amp;I122,INDEX(pixel_shift_table.asm!$C$3:$R$114, K$2*16 + K$3 + INT($A122/16) + 1, MOD($A122, 16) + 1))</f>
        <v>AC</v>
      </c>
      <c r="L122" s="7" t="str" cm="1">
        <f t="array" ref="L122">IF(ISBLANK(L$3),K122&amp;J122,INDEX(pixel_shift_table.asm!$C$3:$R$114, L$2*16 + L$3 + INT($A122/16) + 1, MOD($A122, 16) + 1))</f>
        <v>ACA6</v>
      </c>
      <c r="M122" s="6" t="str" cm="1">
        <f t="array" ref="M122">IF(ISBLANK(M$3),L122&amp;K122,INDEX(pixel_shift_table.asm!$C$3:$R$114, M$2*16 + M$3 + INT($A122/16) + 1, MOD($A122, 16) + 1))</f>
        <v>A8</v>
      </c>
      <c r="N122" s="5" t="str" cm="1">
        <f t="array" ref="N122">IF(ISBLANK(N$3),M122&amp;L122,INDEX(pixel_shift_table.asm!$C$3:$R$114, N$2*16 + N$3 + INT($A122/16) + 1, MOD($A122, 16) + 1))</f>
        <v>AC</v>
      </c>
      <c r="O122" s="7" t="str" cm="1">
        <f t="array" ref="O122">IF(ISBLANK(O$3),N122&amp;M122,INDEX(pixel_shift_table.asm!$C$3:$R$114, O$2*16 + O$3 + INT($A122/16) + 1, MOD($A122, 16) + 1))</f>
        <v>ACA8</v>
      </c>
      <c r="P122" s="6" t="str" cm="1">
        <f t="array" ref="P122">IF(ISBLANK(P$3),O122&amp;N122,INDEX(pixel_shift_table.asm!$C$3:$R$114, P$2*16 + P$3 + INT($A122/16) + 1, MOD($A122, 16) + 1))</f>
        <v>AA</v>
      </c>
      <c r="Q122" s="5" t="str" cm="1">
        <f t="array" ref="Q122">IF(ISBLANK(Q$3),P122&amp;O122,INDEX(pixel_shift_table.asm!$C$3:$R$114, Q$2*16 + Q$3 + INT($A122/16) + 1, MOD($A122, 16) + 1))</f>
        <v>AC</v>
      </c>
      <c r="R122" s="7" t="str" cm="1">
        <f t="array" ref="R122">IF(ISBLANK(R$3),Q122&amp;P122,INDEX(pixel_shift_table.asm!$C$3:$R$114, R$2*16 + R$3 + INT($A122/16) + 1, MOD($A122, 16) + 1))</f>
        <v>ACAA</v>
      </c>
      <c r="S122" s="6" t="str" cm="1">
        <f t="array" ref="S122">IF(ISBLANK(S$3),R122&amp;Q122,INDEX(pixel_shift_table.asm!$C$3:$R$114, S$2*16 + S$3 + INT($A122/16) + 1, MOD($A122, 16) + 1))</f>
        <v>AC</v>
      </c>
      <c r="T122" s="5" t="str" cm="1">
        <f t="array" ref="T122">IF(ISBLANK(T$3),S122&amp;R122,INDEX(pixel_shift_table.asm!$C$3:$R$114, T$2*16 + T$3 + INT($A122/16) + 1, MOD($A122, 16) + 1))</f>
        <v>AC</v>
      </c>
      <c r="U122" s="7" t="str" cm="1">
        <f t="array" ref="U122">IF(ISBLANK(U$3),T122&amp;S122,INDEX(pixel_shift_table.asm!$C$3:$R$114, U$2*16 + U$3 + INT($A122/16) + 1, MOD($A122, 16) + 1))</f>
        <v>ACAC</v>
      </c>
      <c r="V122" s="6" t="str" cm="1">
        <f t="array" ref="V122">IF(ISBLANK(V$3),U122&amp;T122,INDEX(pixel_shift_table.asm!$C$3:$R$114, V$2*16 + V$3 + INT($A122/16) + 1, MOD($A122, 16) + 1))</f>
        <v>AE</v>
      </c>
      <c r="W122" s="5" t="str" cm="1">
        <f t="array" ref="W122">IF(ISBLANK(W$3),V122&amp;U122,INDEX(pixel_shift_table.asm!$C$3:$R$114, W$2*16 + W$3 + INT($A122/16) + 1, MOD($A122, 16) + 1))</f>
        <v>AC</v>
      </c>
      <c r="X122" s="7" t="str" cm="1">
        <f t="array" ref="X122">IF(ISBLANK(X$3),W122&amp;V122,INDEX(pixel_shift_table.asm!$C$3:$R$114, X$2*16 + X$3 + INT($A122/16) + 1, MOD($A122, 16) + 1))</f>
        <v>ACAE</v>
      </c>
    </row>
    <row r="123" spans="1:24" x14ac:dyDescent="0.3">
      <c r="A123">
        <v>118</v>
      </c>
      <c r="B123" s="8">
        <v>11101.1</v>
      </c>
      <c r="C123" s="5" t="s">
        <v>867</v>
      </c>
      <c r="D123" s="6" t="str" cm="1">
        <f t="array" ref="D123">IF(ISBLANK(D$3),C123&amp;B123,INDEX(pixel_shift_table.asm!$C$3:$R$114, D$2*16 + D$3 + INT($A123/16) + 1, MOD($A123, 16) + 1))</f>
        <v>D4</v>
      </c>
      <c r="E123" s="5" t="str" cm="1">
        <f t="array" ref="E123">IF(ISBLANK(E$3),D123&amp;C123,INDEX(pixel_shift_table.asm!$C$3:$R$114, E$2*16 + E$3 + INT($A123/16) + 1, MOD($A123, 16) + 1))</f>
        <v>AA</v>
      </c>
      <c r="F123" s="7" t="str" cm="1">
        <f t="array" ref="F123">IF(ISBLANK(F$3),E123&amp;D123,INDEX(pixel_shift_table.asm!$C$3:$R$114, F$2*16 + F$3 + INT($A123/16) + 1, MOD($A123, 16) + 1))</f>
        <v>AAD4</v>
      </c>
      <c r="G123" s="6" t="str" cm="1">
        <f t="array" ref="G123">IF(ISBLANK(G$3),F123&amp;E123,INDEX(pixel_shift_table.asm!$C$3:$R$114, G$2*16 + G$3 + INT($A123/16) + 1, MOD($A123, 16) + 1))</f>
        <v>D6</v>
      </c>
      <c r="H123" s="5" t="str" cm="1">
        <f t="array" ref="H123">IF(ISBLANK(H$3),G123&amp;F123,INDEX(pixel_shift_table.asm!$C$3:$R$114, H$2*16 + H$3 + INT($A123/16) + 1, MOD($A123, 16) + 1))</f>
        <v>AA</v>
      </c>
      <c r="I123" s="7" t="str" cm="1">
        <f t="array" ref="I123">IF(ISBLANK(I$3),H123&amp;G123,INDEX(pixel_shift_table.asm!$C$3:$R$114, I$2*16 + I$3 + INT($A123/16) + 1, MOD($A123, 16) + 1))</f>
        <v>AAD6</v>
      </c>
      <c r="J123" s="6" t="str" cm="1">
        <f t="array" ref="J123">IF(ISBLANK(J$3),I123&amp;H123,INDEX(pixel_shift_table.asm!$C$3:$R$114, J$2*16 + J$3 + INT($A123/16) + 1, MOD($A123, 16) + 1))</f>
        <v>D8</v>
      </c>
      <c r="K123" s="5" t="str" cm="1">
        <f t="array" ref="K123">IF(ISBLANK(K$3),J123&amp;I123,INDEX(pixel_shift_table.asm!$C$3:$R$114, K$2*16 + K$3 + INT($A123/16) + 1, MOD($A123, 16) + 1))</f>
        <v>AA</v>
      </c>
      <c r="L123" s="7" t="str" cm="1">
        <f t="array" ref="L123">IF(ISBLANK(L$3),K123&amp;J123,INDEX(pixel_shift_table.asm!$C$3:$R$114, L$2*16 + L$3 + INT($A123/16) + 1, MOD($A123, 16) + 1))</f>
        <v>AAD8</v>
      </c>
      <c r="M123" s="6" t="str" cm="1">
        <f t="array" ref="M123">IF(ISBLANK(M$3),L123&amp;K123,INDEX(pixel_shift_table.asm!$C$3:$R$114, M$2*16 + M$3 + INT($A123/16) + 1, MOD($A123, 16) + 1))</f>
        <v>DA</v>
      </c>
      <c r="N123" s="5" t="str" cm="1">
        <f t="array" ref="N123">IF(ISBLANK(N$3),M123&amp;L123,INDEX(pixel_shift_table.asm!$C$3:$R$114, N$2*16 + N$3 + INT($A123/16) + 1, MOD($A123, 16) + 1))</f>
        <v>AA</v>
      </c>
      <c r="O123" s="7" t="str" cm="1">
        <f t="array" ref="O123">IF(ISBLANK(O$3),N123&amp;M123,INDEX(pixel_shift_table.asm!$C$3:$R$114, O$2*16 + O$3 + INT($A123/16) + 1, MOD($A123, 16) + 1))</f>
        <v>AADA</v>
      </c>
      <c r="P123" s="6" t="str" cm="1">
        <f t="array" ref="P123">IF(ISBLANK(P$3),O123&amp;N123,INDEX(pixel_shift_table.asm!$C$3:$R$114, P$2*16 + P$3 + INT($A123/16) + 1, MOD($A123, 16) + 1))</f>
        <v>DC</v>
      </c>
      <c r="Q123" s="5" t="str" cm="1">
        <f t="array" ref="Q123">IF(ISBLANK(Q$3),P123&amp;O123,INDEX(pixel_shift_table.asm!$C$3:$R$114, Q$2*16 + Q$3 + INT($A123/16) + 1, MOD($A123, 16) + 1))</f>
        <v>AA</v>
      </c>
      <c r="R123" s="7" t="str" cm="1">
        <f t="array" ref="R123">IF(ISBLANK(R$3),Q123&amp;P123,INDEX(pixel_shift_table.asm!$C$3:$R$114, R$2*16 + R$3 + INT($A123/16) + 1, MOD($A123, 16) + 1))</f>
        <v>AADC</v>
      </c>
      <c r="S123" s="6" t="str" cm="1">
        <f t="array" ref="S123">IF(ISBLANK(S$3),R123&amp;Q123,INDEX(pixel_shift_table.asm!$C$3:$R$114, S$2*16 + S$3 + INT($A123/16) + 1, MOD($A123, 16) + 1))</f>
        <v>DE</v>
      </c>
      <c r="T123" s="5" t="str" cm="1">
        <f t="array" ref="T123">IF(ISBLANK(T$3),S123&amp;R123,INDEX(pixel_shift_table.asm!$C$3:$R$114, T$2*16 + T$3 + INT($A123/16) + 1, MOD($A123, 16) + 1))</f>
        <v>AA</v>
      </c>
      <c r="U123" s="7" t="str" cm="1">
        <f t="array" ref="U123">IF(ISBLANK(U$3),T123&amp;S123,INDEX(pixel_shift_table.asm!$C$3:$R$114, U$2*16 + U$3 + INT($A123/16) + 1, MOD($A123, 16) + 1))</f>
        <v>AADE</v>
      </c>
      <c r="V123" s="6" t="str" cm="1">
        <f t="array" ref="V123">IF(ISBLANK(V$3),U123&amp;T123,INDEX(pixel_shift_table.asm!$C$3:$R$114, V$2*16 + V$3 + INT($A123/16) + 1, MOD($A123, 16) + 1))</f>
        <v>B0</v>
      </c>
      <c r="W123" s="5" t="str" cm="1">
        <f t="array" ref="W123">IF(ISBLANK(W$3),V123&amp;U123,INDEX(pixel_shift_table.asm!$C$3:$R$114, W$2*16 + W$3 + INT($A123/16) + 1, MOD($A123, 16) + 1))</f>
        <v>AC</v>
      </c>
      <c r="X123" s="7" t="str" cm="1">
        <f t="array" ref="X123">IF(ISBLANK(X$3),W123&amp;V123,INDEX(pixel_shift_table.asm!$C$3:$R$114, X$2*16 + X$3 + INT($A123/16) + 1, MOD($A123, 16) + 1))</f>
        <v>ACB0</v>
      </c>
    </row>
    <row r="124" spans="1:24" x14ac:dyDescent="0.3">
      <c r="A124">
        <v>119</v>
      </c>
      <c r="B124" s="8">
        <v>11101.11</v>
      </c>
      <c r="C124" s="5" t="s">
        <v>868</v>
      </c>
      <c r="D124" s="6" t="str" cm="1">
        <f t="array" ref="D124">IF(ISBLANK(D$3),C124&amp;B124,INDEX(pixel_shift_table.asm!$C$3:$R$114, D$2*16 + D$3 + INT($A124/16) + 1, MOD($A124, 16) + 1))</f>
        <v>B2</v>
      </c>
      <c r="E124" s="5" t="str" cm="1">
        <f t="array" ref="E124">IF(ISBLANK(E$3),D124&amp;C124,INDEX(pixel_shift_table.asm!$C$3:$R$114, E$2*16 + E$3 + INT($A124/16) + 1, MOD($A124, 16) + 1))</f>
        <v>AC</v>
      </c>
      <c r="F124" s="7" t="str" cm="1">
        <f t="array" ref="F124">IF(ISBLANK(F$3),E124&amp;D124,INDEX(pixel_shift_table.asm!$C$3:$R$114, F$2*16 + F$3 + INT($A124/16) + 1, MOD($A124, 16) + 1))</f>
        <v>ACB2</v>
      </c>
      <c r="G124" s="6" t="str" cm="1">
        <f t="array" ref="G124">IF(ISBLANK(G$3),F124&amp;E124,INDEX(pixel_shift_table.asm!$C$3:$R$114, G$2*16 + G$3 + INT($A124/16) + 1, MOD($A124, 16) + 1))</f>
        <v>B4</v>
      </c>
      <c r="H124" s="5" t="str" cm="1">
        <f t="array" ref="H124">IF(ISBLANK(H$3),G124&amp;F124,INDEX(pixel_shift_table.asm!$C$3:$R$114, H$2*16 + H$3 + INT($A124/16) + 1, MOD($A124, 16) + 1))</f>
        <v>AC</v>
      </c>
      <c r="I124" s="7" t="str" cm="1">
        <f t="array" ref="I124">IF(ISBLANK(I$3),H124&amp;G124,INDEX(pixel_shift_table.asm!$C$3:$R$114, I$2*16 + I$3 + INT($A124/16) + 1, MOD($A124, 16) + 1))</f>
        <v>ACB4</v>
      </c>
      <c r="J124" s="6" t="str" cm="1">
        <f t="array" ref="J124">IF(ISBLANK(J$3),I124&amp;H124,INDEX(pixel_shift_table.asm!$C$3:$R$114, J$2*16 + J$3 + INT($A124/16) + 1, MOD($A124, 16) + 1))</f>
        <v>B6</v>
      </c>
      <c r="K124" s="5" t="str" cm="1">
        <f t="array" ref="K124">IF(ISBLANK(K$3),J124&amp;I124,INDEX(pixel_shift_table.asm!$C$3:$R$114, K$2*16 + K$3 + INT($A124/16) + 1, MOD($A124, 16) + 1))</f>
        <v>AC</v>
      </c>
      <c r="L124" s="7" t="str" cm="1">
        <f t="array" ref="L124">IF(ISBLANK(L$3),K124&amp;J124,INDEX(pixel_shift_table.asm!$C$3:$R$114, L$2*16 + L$3 + INT($A124/16) + 1, MOD($A124, 16) + 1))</f>
        <v>ACB6</v>
      </c>
      <c r="M124" s="6" t="str" cm="1">
        <f t="array" ref="M124">IF(ISBLANK(M$3),L124&amp;K124,INDEX(pixel_shift_table.asm!$C$3:$R$114, M$2*16 + M$3 + INT($A124/16) + 1, MOD($A124, 16) + 1))</f>
        <v>B8</v>
      </c>
      <c r="N124" s="5" t="str" cm="1">
        <f t="array" ref="N124">IF(ISBLANK(N$3),M124&amp;L124,INDEX(pixel_shift_table.asm!$C$3:$R$114, N$2*16 + N$3 + INT($A124/16) + 1, MOD($A124, 16) + 1))</f>
        <v>AC</v>
      </c>
      <c r="O124" s="7" t="str" cm="1">
        <f t="array" ref="O124">IF(ISBLANK(O$3),N124&amp;M124,INDEX(pixel_shift_table.asm!$C$3:$R$114, O$2*16 + O$3 + INT($A124/16) + 1, MOD($A124, 16) + 1))</f>
        <v>ACB8</v>
      </c>
      <c r="P124" s="6" t="str" cm="1">
        <f t="array" ref="P124">IF(ISBLANK(P$3),O124&amp;N124,INDEX(pixel_shift_table.asm!$C$3:$R$114, P$2*16 + P$3 + INT($A124/16) + 1, MOD($A124, 16) + 1))</f>
        <v>BA</v>
      </c>
      <c r="Q124" s="5" t="str" cm="1">
        <f t="array" ref="Q124">IF(ISBLANK(Q$3),P124&amp;O124,INDEX(pixel_shift_table.asm!$C$3:$R$114, Q$2*16 + Q$3 + INT($A124/16) + 1, MOD($A124, 16) + 1))</f>
        <v>AC</v>
      </c>
      <c r="R124" s="7" t="str" cm="1">
        <f t="array" ref="R124">IF(ISBLANK(R$3),Q124&amp;P124,INDEX(pixel_shift_table.asm!$C$3:$R$114, R$2*16 + R$3 + INT($A124/16) + 1, MOD($A124, 16) + 1))</f>
        <v>ACBA</v>
      </c>
      <c r="S124" s="6" t="str" cm="1">
        <f t="array" ref="S124">IF(ISBLANK(S$3),R124&amp;Q124,INDEX(pixel_shift_table.asm!$C$3:$R$114, S$2*16 + S$3 + INT($A124/16) + 1, MOD($A124, 16) + 1))</f>
        <v>BC</v>
      </c>
      <c r="T124" s="5" t="str" cm="1">
        <f t="array" ref="T124">IF(ISBLANK(T$3),S124&amp;R124,INDEX(pixel_shift_table.asm!$C$3:$R$114, T$2*16 + T$3 + INT($A124/16) + 1, MOD($A124, 16) + 1))</f>
        <v>AC</v>
      </c>
      <c r="U124" s="7" t="str" cm="1">
        <f t="array" ref="U124">IF(ISBLANK(U$3),T124&amp;S124,INDEX(pixel_shift_table.asm!$C$3:$R$114, U$2*16 + U$3 + INT($A124/16) + 1, MOD($A124, 16) + 1))</f>
        <v>ACBC</v>
      </c>
      <c r="V124" s="6" t="str" cm="1">
        <f t="array" ref="V124">IF(ISBLANK(V$3),U124&amp;T124,INDEX(pixel_shift_table.asm!$C$3:$R$114, V$2*16 + V$3 + INT($A124/16) + 1, MOD($A124, 16) + 1))</f>
        <v>BE</v>
      </c>
      <c r="W124" s="5" t="str" cm="1">
        <f t="array" ref="W124">IF(ISBLANK(W$3),V124&amp;U124,INDEX(pixel_shift_table.asm!$C$3:$R$114, W$2*16 + W$3 + INT($A124/16) + 1, MOD($A124, 16) + 1))</f>
        <v>AC</v>
      </c>
      <c r="X124" s="7" t="str" cm="1">
        <f t="array" ref="X124">IF(ISBLANK(X$3),W124&amp;V124,INDEX(pixel_shift_table.asm!$C$3:$R$114, X$2*16 + X$3 + INT($A124/16) + 1, MOD($A124, 16) + 1))</f>
        <v>ACBE</v>
      </c>
    </row>
    <row r="125" spans="1:24" x14ac:dyDescent="0.3">
      <c r="A125">
        <v>120</v>
      </c>
      <c r="B125" s="8">
        <v>11110</v>
      </c>
      <c r="C125" s="5" t="s">
        <v>869</v>
      </c>
      <c r="D125" s="6" t="str" cm="1">
        <f t="array" ref="D125">IF(ISBLANK(D$3),C125&amp;B125,INDEX(pixel_shift_table.asm!$C$3:$R$114, D$2*16 + D$3 + INT($A125/16) + 1, MOD($A125, 16) + 1))</f>
        <v>78</v>
      </c>
      <c r="E125" s="5" t="str" cm="1">
        <f t="array" ref="E125">IF(ISBLANK(E$3),D125&amp;C125,INDEX(pixel_shift_table.asm!$C$3:$R$114, E$2*16 + E$3 + INT($A125/16) + 1, MOD($A125, 16) + 1))</f>
        <v>A9</v>
      </c>
      <c r="F125" s="7" t="str" cm="1">
        <f t="array" ref="F125">IF(ISBLANK(F$3),E125&amp;D125,INDEX(pixel_shift_table.asm!$C$3:$R$114, F$2*16 + F$3 + INT($A125/16) + 1, MOD($A125, 16) + 1))</f>
        <v>A978</v>
      </c>
      <c r="G125" s="6" t="str" cm="1">
        <f t="array" ref="G125">IF(ISBLANK(G$3),F125&amp;E125,INDEX(pixel_shift_table.asm!$C$3:$R$114, G$2*16 + G$3 + INT($A125/16) + 1, MOD($A125, 16) + 1))</f>
        <v>7A</v>
      </c>
      <c r="H125" s="5" t="str" cm="1">
        <f t="array" ref="H125">IF(ISBLANK(H$3),G125&amp;F125,INDEX(pixel_shift_table.asm!$C$3:$R$114, H$2*16 + H$3 + INT($A125/16) + 1, MOD($A125, 16) + 1))</f>
        <v>A9</v>
      </c>
      <c r="I125" s="7" t="str" cm="1">
        <f t="array" ref="I125">IF(ISBLANK(I$3),H125&amp;G125,INDEX(pixel_shift_table.asm!$C$3:$R$114, I$2*16 + I$3 + INT($A125/16) + 1, MOD($A125, 16) + 1))</f>
        <v>A97A</v>
      </c>
      <c r="J125" s="6" t="str" cm="1">
        <f t="array" ref="J125">IF(ISBLANK(J$3),I125&amp;H125,INDEX(pixel_shift_table.asm!$C$3:$R$114, J$2*16 + J$3 + INT($A125/16) + 1, MOD($A125, 16) + 1))</f>
        <v>7C</v>
      </c>
      <c r="K125" s="5" t="str" cm="1">
        <f t="array" ref="K125">IF(ISBLANK(K$3),J125&amp;I125,INDEX(pixel_shift_table.asm!$C$3:$R$114, K$2*16 + K$3 + INT($A125/16) + 1, MOD($A125, 16) + 1))</f>
        <v>A9</v>
      </c>
      <c r="L125" s="7" t="str" cm="1">
        <f t="array" ref="L125">IF(ISBLANK(L$3),K125&amp;J125,INDEX(pixel_shift_table.asm!$C$3:$R$114, L$2*16 + L$3 + INT($A125/16) + 1, MOD($A125, 16) + 1))</f>
        <v>A97C</v>
      </c>
      <c r="M125" s="6" t="str" cm="1">
        <f t="array" ref="M125">IF(ISBLANK(M$3),L125&amp;K125,INDEX(pixel_shift_table.asm!$C$3:$R$114, M$2*16 + M$3 + INT($A125/16) + 1, MOD($A125, 16) + 1))</f>
        <v>7E</v>
      </c>
      <c r="N125" s="5" t="str" cm="1">
        <f t="array" ref="N125">IF(ISBLANK(N$3),M125&amp;L125,INDEX(pixel_shift_table.asm!$C$3:$R$114, N$2*16 + N$3 + INT($A125/16) + 1, MOD($A125, 16) + 1))</f>
        <v>A9</v>
      </c>
      <c r="O125" s="7" t="str" cm="1">
        <f t="array" ref="O125">IF(ISBLANK(O$3),N125&amp;M125,INDEX(pixel_shift_table.asm!$C$3:$R$114, O$2*16 + O$3 + INT($A125/16) + 1, MOD($A125, 16) + 1))</f>
        <v>A97E</v>
      </c>
      <c r="P125" s="6" t="str" cm="1">
        <f t="array" ref="P125">IF(ISBLANK(P$3),O125&amp;N125,INDEX(pixel_shift_table.asm!$C$3:$R$114, P$2*16 + P$3 + INT($A125/16) + 1, MOD($A125, 16) + 1))</f>
        <v>F0</v>
      </c>
      <c r="Q125" s="5" t="str" cm="1">
        <f t="array" ref="Q125">IF(ISBLANK(Q$3),P125&amp;O125,INDEX(pixel_shift_table.asm!$C$3:$R$114, Q$2*16 + Q$3 + INT($A125/16) + 1, MOD($A125, 16) + 1))</f>
        <v>A9</v>
      </c>
      <c r="R125" s="7" t="str" cm="1">
        <f t="array" ref="R125">IF(ISBLANK(R$3),Q125&amp;P125,INDEX(pixel_shift_table.asm!$C$3:$R$114, R$2*16 + R$3 + INT($A125/16) + 1, MOD($A125, 16) + 1))</f>
        <v>A9F0</v>
      </c>
      <c r="S125" s="6" t="str" cm="1">
        <f t="array" ref="S125">IF(ISBLANK(S$3),R125&amp;Q125,INDEX(pixel_shift_table.asm!$C$3:$R$114, S$2*16 + S$3 + INT($A125/16) + 1, MOD($A125, 16) + 1))</f>
        <v>E0</v>
      </c>
      <c r="T125" s="5" t="str" cm="1">
        <f t="array" ref="T125">IF(ISBLANK(T$3),S125&amp;R125,INDEX(pixel_shift_table.asm!$C$3:$R$114, T$2*16 + T$3 + INT($A125/16) + 1, MOD($A125, 16) + 1))</f>
        <v>AA</v>
      </c>
      <c r="U125" s="7" t="str" cm="1">
        <f t="array" ref="U125">IF(ISBLANK(U$3),T125&amp;S125,INDEX(pixel_shift_table.asm!$C$3:$R$114, U$2*16 + U$3 + INT($A125/16) + 1, MOD($A125, 16) + 1))</f>
        <v>AAE0</v>
      </c>
      <c r="V125" s="6" t="str" cm="1">
        <f t="array" ref="V125">IF(ISBLANK(V$3),U125&amp;T125,INDEX(pixel_shift_table.asm!$C$3:$R$114, V$2*16 + V$3 + INT($A125/16) + 1, MOD($A125, 16) + 1))</f>
        <v>C0</v>
      </c>
      <c r="W125" s="5" t="str" cm="1">
        <f t="array" ref="W125">IF(ISBLANK(W$3),V125&amp;U125,INDEX(pixel_shift_table.asm!$C$3:$R$114, W$2*16 + W$3 + INT($A125/16) + 1, MOD($A125, 16) + 1))</f>
        <v>AC</v>
      </c>
      <c r="X125" s="7" t="str" cm="1">
        <f t="array" ref="X125">IF(ISBLANK(X$3),W125&amp;V125,INDEX(pixel_shift_table.asm!$C$3:$R$114, X$2*16 + X$3 + INT($A125/16) + 1, MOD($A125, 16) + 1))</f>
        <v>ACC0</v>
      </c>
    </row>
    <row r="126" spans="1:24" x14ac:dyDescent="0.3">
      <c r="A126">
        <v>121</v>
      </c>
      <c r="B126" s="8">
        <v>11110.01</v>
      </c>
      <c r="C126" s="5" t="s">
        <v>870</v>
      </c>
      <c r="D126" s="6" t="str" cm="1">
        <f t="array" ref="D126">IF(ISBLANK(D$3),C126&amp;B126,INDEX(pixel_shift_table.asm!$C$3:$R$114, D$2*16 + D$3 + INT($A126/16) + 1, MOD($A126, 16) + 1))</f>
        <v>C2</v>
      </c>
      <c r="E126" s="5" t="str" cm="1">
        <f t="array" ref="E126">IF(ISBLANK(E$3),D126&amp;C126,INDEX(pixel_shift_table.asm!$C$3:$R$114, E$2*16 + E$3 + INT($A126/16) + 1, MOD($A126, 16) + 1))</f>
        <v>AC</v>
      </c>
      <c r="F126" s="7" t="str" cm="1">
        <f t="array" ref="F126">IF(ISBLANK(F$3),E126&amp;D126,INDEX(pixel_shift_table.asm!$C$3:$R$114, F$2*16 + F$3 + INT($A126/16) + 1, MOD($A126, 16) + 1))</f>
        <v>ACC2</v>
      </c>
      <c r="G126" s="6" t="str" cm="1">
        <f t="array" ref="G126">IF(ISBLANK(G$3),F126&amp;E126,INDEX(pixel_shift_table.asm!$C$3:$R$114, G$2*16 + G$3 + INT($A126/16) + 1, MOD($A126, 16) + 1))</f>
        <v>C4</v>
      </c>
      <c r="H126" s="5" t="str" cm="1">
        <f t="array" ref="H126">IF(ISBLANK(H$3),G126&amp;F126,INDEX(pixel_shift_table.asm!$C$3:$R$114, H$2*16 + H$3 + INT($A126/16) + 1, MOD($A126, 16) + 1))</f>
        <v>AC</v>
      </c>
      <c r="I126" s="7" t="str" cm="1">
        <f t="array" ref="I126">IF(ISBLANK(I$3),H126&amp;G126,INDEX(pixel_shift_table.asm!$C$3:$R$114, I$2*16 + I$3 + INT($A126/16) + 1, MOD($A126, 16) + 1))</f>
        <v>ACC4</v>
      </c>
      <c r="J126" s="6" t="str" cm="1">
        <f t="array" ref="J126">IF(ISBLANK(J$3),I126&amp;H126,INDEX(pixel_shift_table.asm!$C$3:$R$114, J$2*16 + J$3 + INT($A126/16) + 1, MOD($A126, 16) + 1))</f>
        <v>C6</v>
      </c>
      <c r="K126" s="5" t="str" cm="1">
        <f t="array" ref="K126">IF(ISBLANK(K$3),J126&amp;I126,INDEX(pixel_shift_table.asm!$C$3:$R$114, K$2*16 + K$3 + INT($A126/16) + 1, MOD($A126, 16) + 1))</f>
        <v>AC</v>
      </c>
      <c r="L126" s="7" t="str" cm="1">
        <f t="array" ref="L126">IF(ISBLANK(L$3),K126&amp;J126,INDEX(pixel_shift_table.asm!$C$3:$R$114, L$2*16 + L$3 + INT($A126/16) + 1, MOD($A126, 16) + 1))</f>
        <v>ACC6</v>
      </c>
      <c r="M126" s="6" t="str" cm="1">
        <f t="array" ref="M126">IF(ISBLANK(M$3),L126&amp;K126,INDEX(pixel_shift_table.asm!$C$3:$R$114, M$2*16 + M$3 + INT($A126/16) + 1, MOD($A126, 16) + 1))</f>
        <v>C8</v>
      </c>
      <c r="N126" s="5" t="str" cm="1">
        <f t="array" ref="N126">IF(ISBLANK(N$3),M126&amp;L126,INDEX(pixel_shift_table.asm!$C$3:$R$114, N$2*16 + N$3 + INT($A126/16) + 1, MOD($A126, 16) + 1))</f>
        <v>AC</v>
      </c>
      <c r="O126" s="7" t="str" cm="1">
        <f t="array" ref="O126">IF(ISBLANK(O$3),N126&amp;M126,INDEX(pixel_shift_table.asm!$C$3:$R$114, O$2*16 + O$3 + INT($A126/16) + 1, MOD($A126, 16) + 1))</f>
        <v>ACC8</v>
      </c>
      <c r="P126" s="6" t="str" cm="1">
        <f t="array" ref="P126">IF(ISBLANK(P$3),O126&amp;N126,INDEX(pixel_shift_table.asm!$C$3:$R$114, P$2*16 + P$3 + INT($A126/16) + 1, MOD($A126, 16) + 1))</f>
        <v>CA</v>
      </c>
      <c r="Q126" s="5" t="str" cm="1">
        <f t="array" ref="Q126">IF(ISBLANK(Q$3),P126&amp;O126,INDEX(pixel_shift_table.asm!$C$3:$R$114, Q$2*16 + Q$3 + INT($A126/16) + 1, MOD($A126, 16) + 1))</f>
        <v>AC</v>
      </c>
      <c r="R126" s="7" t="str" cm="1">
        <f t="array" ref="R126">IF(ISBLANK(R$3),Q126&amp;P126,INDEX(pixel_shift_table.asm!$C$3:$R$114, R$2*16 + R$3 + INT($A126/16) + 1, MOD($A126, 16) + 1))</f>
        <v>ACCA</v>
      </c>
      <c r="S126" s="6" t="str" cm="1">
        <f t="array" ref="S126">IF(ISBLANK(S$3),R126&amp;Q126,INDEX(pixel_shift_table.asm!$C$3:$R$114, S$2*16 + S$3 + INT($A126/16) + 1, MOD($A126, 16) + 1))</f>
        <v>CC</v>
      </c>
      <c r="T126" s="5" t="str" cm="1">
        <f t="array" ref="T126">IF(ISBLANK(T$3),S126&amp;R126,INDEX(pixel_shift_table.asm!$C$3:$R$114, T$2*16 + T$3 + INT($A126/16) + 1, MOD($A126, 16) + 1))</f>
        <v>AC</v>
      </c>
      <c r="U126" s="7" t="str" cm="1">
        <f t="array" ref="U126">IF(ISBLANK(U$3),T126&amp;S126,INDEX(pixel_shift_table.asm!$C$3:$R$114, U$2*16 + U$3 + INT($A126/16) + 1, MOD($A126, 16) + 1))</f>
        <v>ACCC</v>
      </c>
      <c r="V126" s="6" t="str" cm="1">
        <f t="array" ref="V126">IF(ISBLANK(V$3),U126&amp;T126,INDEX(pixel_shift_table.asm!$C$3:$R$114, V$2*16 + V$3 + INT($A126/16) + 1, MOD($A126, 16) + 1))</f>
        <v>CE</v>
      </c>
      <c r="W126" s="5" t="str" cm="1">
        <f t="array" ref="W126">IF(ISBLANK(W$3),V126&amp;U126,INDEX(pixel_shift_table.asm!$C$3:$R$114, W$2*16 + W$3 + INT($A126/16) + 1, MOD($A126, 16) + 1))</f>
        <v>AC</v>
      </c>
      <c r="X126" s="7" t="str" cm="1">
        <f t="array" ref="X126">IF(ISBLANK(X$3),W126&amp;V126,INDEX(pixel_shift_table.asm!$C$3:$R$114, X$2*16 + X$3 + INT($A126/16) + 1, MOD($A126, 16) + 1))</f>
        <v>ACCE</v>
      </c>
    </row>
    <row r="127" spans="1:24" x14ac:dyDescent="0.3">
      <c r="A127">
        <v>122</v>
      </c>
      <c r="B127" s="8">
        <v>11110.1</v>
      </c>
      <c r="C127" s="5" t="s">
        <v>871</v>
      </c>
      <c r="D127" s="6" t="str" cm="1">
        <f t="array" ref="D127">IF(ISBLANK(D$3),C127&amp;B127,INDEX(pixel_shift_table.asm!$C$3:$R$114, D$2*16 + D$3 + INT($A127/16) + 1, MOD($A127, 16) + 1))</f>
        <v>E4</v>
      </c>
      <c r="E127" s="5" t="str" cm="1">
        <f t="array" ref="E127">IF(ISBLANK(E$3),D127&amp;C127,INDEX(pixel_shift_table.asm!$C$3:$R$114, E$2*16 + E$3 + INT($A127/16) + 1, MOD($A127, 16) + 1))</f>
        <v>AA</v>
      </c>
      <c r="F127" s="7" t="str" cm="1">
        <f t="array" ref="F127">IF(ISBLANK(F$3),E127&amp;D127,INDEX(pixel_shift_table.asm!$C$3:$R$114, F$2*16 + F$3 + INT($A127/16) + 1, MOD($A127, 16) + 1))</f>
        <v>AAE4</v>
      </c>
      <c r="G127" s="6" t="str" cm="1">
        <f t="array" ref="G127">IF(ISBLANK(G$3),F127&amp;E127,INDEX(pixel_shift_table.asm!$C$3:$R$114, G$2*16 + G$3 + INT($A127/16) + 1, MOD($A127, 16) + 1))</f>
        <v>E6</v>
      </c>
      <c r="H127" s="5" t="str" cm="1">
        <f t="array" ref="H127">IF(ISBLANK(H$3),G127&amp;F127,INDEX(pixel_shift_table.asm!$C$3:$R$114, H$2*16 + H$3 + INT($A127/16) + 1, MOD($A127, 16) + 1))</f>
        <v>AA</v>
      </c>
      <c r="I127" s="7" t="str" cm="1">
        <f t="array" ref="I127">IF(ISBLANK(I$3),H127&amp;G127,INDEX(pixel_shift_table.asm!$C$3:$R$114, I$2*16 + I$3 + INT($A127/16) + 1, MOD($A127, 16) + 1))</f>
        <v>AAE6</v>
      </c>
      <c r="J127" s="6" t="str" cm="1">
        <f t="array" ref="J127">IF(ISBLANK(J$3),I127&amp;H127,INDEX(pixel_shift_table.asm!$C$3:$R$114, J$2*16 + J$3 + INT($A127/16) + 1, MOD($A127, 16) + 1))</f>
        <v>E8</v>
      </c>
      <c r="K127" s="5" t="str" cm="1">
        <f t="array" ref="K127">IF(ISBLANK(K$3),J127&amp;I127,INDEX(pixel_shift_table.asm!$C$3:$R$114, K$2*16 + K$3 + INT($A127/16) + 1, MOD($A127, 16) + 1))</f>
        <v>AA</v>
      </c>
      <c r="L127" s="7" t="str" cm="1">
        <f t="array" ref="L127">IF(ISBLANK(L$3),K127&amp;J127,INDEX(pixel_shift_table.asm!$C$3:$R$114, L$2*16 + L$3 + INT($A127/16) + 1, MOD($A127, 16) + 1))</f>
        <v>AAE8</v>
      </c>
      <c r="M127" s="6" t="str" cm="1">
        <f t="array" ref="M127">IF(ISBLANK(M$3),L127&amp;K127,INDEX(pixel_shift_table.asm!$C$3:$R$114, M$2*16 + M$3 + INT($A127/16) + 1, MOD($A127, 16) + 1))</f>
        <v>EA</v>
      </c>
      <c r="N127" s="5" t="str" cm="1">
        <f t="array" ref="N127">IF(ISBLANK(N$3),M127&amp;L127,INDEX(pixel_shift_table.asm!$C$3:$R$114, N$2*16 + N$3 + INT($A127/16) + 1, MOD($A127, 16) + 1))</f>
        <v>AA</v>
      </c>
      <c r="O127" s="7" t="str" cm="1">
        <f t="array" ref="O127">IF(ISBLANK(O$3),N127&amp;M127,INDEX(pixel_shift_table.asm!$C$3:$R$114, O$2*16 + O$3 + INT($A127/16) + 1, MOD($A127, 16) + 1))</f>
        <v>AAEA</v>
      </c>
      <c r="P127" s="6" t="str" cm="1">
        <f t="array" ref="P127">IF(ISBLANK(P$3),O127&amp;N127,INDEX(pixel_shift_table.asm!$C$3:$R$114, P$2*16 + P$3 + INT($A127/16) + 1, MOD($A127, 16) + 1))</f>
        <v>EC</v>
      </c>
      <c r="Q127" s="5" t="str" cm="1">
        <f t="array" ref="Q127">IF(ISBLANK(Q$3),P127&amp;O127,INDEX(pixel_shift_table.asm!$C$3:$R$114, Q$2*16 + Q$3 + INT($A127/16) + 1, MOD($A127, 16) + 1))</f>
        <v>AA</v>
      </c>
      <c r="R127" s="7" t="str" cm="1">
        <f t="array" ref="R127">IF(ISBLANK(R$3),Q127&amp;P127,INDEX(pixel_shift_table.asm!$C$3:$R$114, R$2*16 + R$3 + INT($A127/16) + 1, MOD($A127, 16) + 1))</f>
        <v>AAEC</v>
      </c>
      <c r="S127" s="6" t="str" cm="1">
        <f t="array" ref="S127">IF(ISBLANK(S$3),R127&amp;Q127,INDEX(pixel_shift_table.asm!$C$3:$R$114, S$2*16 + S$3 + INT($A127/16) + 1, MOD($A127, 16) + 1))</f>
        <v>EE</v>
      </c>
      <c r="T127" s="5" t="str" cm="1">
        <f t="array" ref="T127">IF(ISBLANK(T$3),S127&amp;R127,INDEX(pixel_shift_table.asm!$C$3:$R$114, T$2*16 + T$3 + INT($A127/16) + 1, MOD($A127, 16) + 1))</f>
        <v>AA</v>
      </c>
      <c r="U127" s="7" t="str" cm="1">
        <f t="array" ref="U127">IF(ISBLANK(U$3),T127&amp;S127,INDEX(pixel_shift_table.asm!$C$3:$R$114, U$2*16 + U$3 + INT($A127/16) + 1, MOD($A127, 16) + 1))</f>
        <v>AAEE</v>
      </c>
      <c r="V127" s="6" t="str" cm="1">
        <f t="array" ref="V127">IF(ISBLANK(V$3),U127&amp;T127,INDEX(pixel_shift_table.asm!$C$3:$R$114, V$2*16 + V$3 + INT($A127/16) + 1, MOD($A127, 16) + 1))</f>
        <v>D0</v>
      </c>
      <c r="W127" s="5" t="str" cm="1">
        <f t="array" ref="W127">IF(ISBLANK(W$3),V127&amp;U127,INDEX(pixel_shift_table.asm!$C$3:$R$114, W$2*16 + W$3 + INT($A127/16) + 1, MOD($A127, 16) + 1))</f>
        <v>AC</v>
      </c>
      <c r="X127" s="7" t="str" cm="1">
        <f t="array" ref="X127">IF(ISBLANK(X$3),W127&amp;V127,INDEX(pixel_shift_table.asm!$C$3:$R$114, X$2*16 + X$3 + INT($A127/16) + 1, MOD($A127, 16) + 1))</f>
        <v>ACD0</v>
      </c>
    </row>
    <row r="128" spans="1:24" x14ac:dyDescent="0.3">
      <c r="A128">
        <v>123</v>
      </c>
      <c r="B128" s="8">
        <v>11110.11</v>
      </c>
      <c r="C128" s="5" t="s">
        <v>872</v>
      </c>
      <c r="D128" s="6" t="str" cm="1">
        <f t="array" ref="D128">IF(ISBLANK(D$3),C128&amp;B128,INDEX(pixel_shift_table.asm!$C$3:$R$114, D$2*16 + D$3 + INT($A128/16) + 1, MOD($A128, 16) + 1))</f>
        <v>D2</v>
      </c>
      <c r="E128" s="5" t="str" cm="1">
        <f t="array" ref="E128">IF(ISBLANK(E$3),D128&amp;C128,INDEX(pixel_shift_table.asm!$C$3:$R$114, E$2*16 + E$3 + INT($A128/16) + 1, MOD($A128, 16) + 1))</f>
        <v>AC</v>
      </c>
      <c r="F128" s="7" t="str" cm="1">
        <f t="array" ref="F128">IF(ISBLANK(F$3),E128&amp;D128,INDEX(pixel_shift_table.asm!$C$3:$R$114, F$2*16 + F$3 + INT($A128/16) + 1, MOD($A128, 16) + 1))</f>
        <v>ACD2</v>
      </c>
      <c r="G128" s="6" t="str" cm="1">
        <f t="array" ref="G128">IF(ISBLANK(G$3),F128&amp;E128,INDEX(pixel_shift_table.asm!$C$3:$R$114, G$2*16 + G$3 + INT($A128/16) + 1, MOD($A128, 16) + 1))</f>
        <v>D4</v>
      </c>
      <c r="H128" s="5" t="str" cm="1">
        <f t="array" ref="H128">IF(ISBLANK(H$3),G128&amp;F128,INDEX(pixel_shift_table.asm!$C$3:$R$114, H$2*16 + H$3 + INT($A128/16) + 1, MOD($A128, 16) + 1))</f>
        <v>AC</v>
      </c>
      <c r="I128" s="7" t="str" cm="1">
        <f t="array" ref="I128">IF(ISBLANK(I$3),H128&amp;G128,INDEX(pixel_shift_table.asm!$C$3:$R$114, I$2*16 + I$3 + INT($A128/16) + 1, MOD($A128, 16) + 1))</f>
        <v>ACD4</v>
      </c>
      <c r="J128" s="6" t="str" cm="1">
        <f t="array" ref="J128">IF(ISBLANK(J$3),I128&amp;H128,INDEX(pixel_shift_table.asm!$C$3:$R$114, J$2*16 + J$3 + INT($A128/16) + 1, MOD($A128, 16) + 1))</f>
        <v>D6</v>
      </c>
      <c r="K128" s="5" t="str" cm="1">
        <f t="array" ref="K128">IF(ISBLANK(K$3),J128&amp;I128,INDEX(pixel_shift_table.asm!$C$3:$R$114, K$2*16 + K$3 + INT($A128/16) + 1, MOD($A128, 16) + 1))</f>
        <v>AC</v>
      </c>
      <c r="L128" s="7" t="str" cm="1">
        <f t="array" ref="L128">IF(ISBLANK(L$3),K128&amp;J128,INDEX(pixel_shift_table.asm!$C$3:$R$114, L$2*16 + L$3 + INT($A128/16) + 1, MOD($A128, 16) + 1))</f>
        <v>ACD6</v>
      </c>
      <c r="M128" s="6" t="str" cm="1">
        <f t="array" ref="M128">IF(ISBLANK(M$3),L128&amp;K128,INDEX(pixel_shift_table.asm!$C$3:$R$114, M$2*16 + M$3 + INT($A128/16) + 1, MOD($A128, 16) + 1))</f>
        <v>D8</v>
      </c>
      <c r="N128" s="5" t="str" cm="1">
        <f t="array" ref="N128">IF(ISBLANK(N$3),M128&amp;L128,INDEX(pixel_shift_table.asm!$C$3:$R$114, N$2*16 + N$3 + INT($A128/16) + 1, MOD($A128, 16) + 1))</f>
        <v>AC</v>
      </c>
      <c r="O128" s="7" t="str" cm="1">
        <f t="array" ref="O128">IF(ISBLANK(O$3),N128&amp;M128,INDEX(pixel_shift_table.asm!$C$3:$R$114, O$2*16 + O$3 + INT($A128/16) + 1, MOD($A128, 16) + 1))</f>
        <v>ACD8</v>
      </c>
      <c r="P128" s="6" t="str" cm="1">
        <f t="array" ref="P128">IF(ISBLANK(P$3),O128&amp;N128,INDEX(pixel_shift_table.asm!$C$3:$R$114, P$2*16 + P$3 + INT($A128/16) + 1, MOD($A128, 16) + 1))</f>
        <v>DA</v>
      </c>
      <c r="Q128" s="5" t="str" cm="1">
        <f t="array" ref="Q128">IF(ISBLANK(Q$3),P128&amp;O128,INDEX(pixel_shift_table.asm!$C$3:$R$114, Q$2*16 + Q$3 + INT($A128/16) + 1, MOD($A128, 16) + 1))</f>
        <v>AC</v>
      </c>
      <c r="R128" s="7" t="str" cm="1">
        <f t="array" ref="R128">IF(ISBLANK(R$3),Q128&amp;P128,INDEX(pixel_shift_table.asm!$C$3:$R$114, R$2*16 + R$3 + INT($A128/16) + 1, MOD($A128, 16) + 1))</f>
        <v>ACDA</v>
      </c>
      <c r="S128" s="6" t="str" cm="1">
        <f t="array" ref="S128">IF(ISBLANK(S$3),R128&amp;Q128,INDEX(pixel_shift_table.asm!$C$3:$R$114, S$2*16 + S$3 + INT($A128/16) + 1, MOD($A128, 16) + 1))</f>
        <v>DC</v>
      </c>
      <c r="T128" s="5" t="str" cm="1">
        <f t="array" ref="T128">IF(ISBLANK(T$3),S128&amp;R128,INDEX(pixel_shift_table.asm!$C$3:$R$114, T$2*16 + T$3 + INT($A128/16) + 1, MOD($A128, 16) + 1))</f>
        <v>AC</v>
      </c>
      <c r="U128" s="7" t="str" cm="1">
        <f t="array" ref="U128">IF(ISBLANK(U$3),T128&amp;S128,INDEX(pixel_shift_table.asm!$C$3:$R$114, U$2*16 + U$3 + INT($A128/16) + 1, MOD($A128, 16) + 1))</f>
        <v>ACDC</v>
      </c>
      <c r="V128" s="6" t="str" cm="1">
        <f t="array" ref="V128">IF(ISBLANK(V$3),U128&amp;T128,INDEX(pixel_shift_table.asm!$C$3:$R$114, V$2*16 + V$3 + INT($A128/16) + 1, MOD($A128, 16) + 1))</f>
        <v>DE</v>
      </c>
      <c r="W128" s="5" t="str" cm="1">
        <f t="array" ref="W128">IF(ISBLANK(W$3),V128&amp;U128,INDEX(pixel_shift_table.asm!$C$3:$R$114, W$2*16 + W$3 + INT($A128/16) + 1, MOD($A128, 16) + 1))</f>
        <v>AC</v>
      </c>
      <c r="X128" s="7" t="str" cm="1">
        <f t="array" ref="X128">IF(ISBLANK(X$3),W128&amp;V128,INDEX(pixel_shift_table.asm!$C$3:$R$114, X$2*16 + X$3 + INT($A128/16) + 1, MOD($A128, 16) + 1))</f>
        <v>ACDE</v>
      </c>
    </row>
    <row r="129" spans="1:24" x14ac:dyDescent="0.3">
      <c r="A129">
        <v>124</v>
      </c>
      <c r="B129" s="8">
        <v>11111</v>
      </c>
      <c r="C129" s="5" t="s">
        <v>873</v>
      </c>
      <c r="D129" s="6" t="str" cm="1">
        <f t="array" ref="D129">IF(ISBLANK(D$3),C129&amp;B129,INDEX(pixel_shift_table.asm!$C$3:$R$114, D$2*16 + D$3 + INT($A129/16) + 1, MOD($A129, 16) + 1))</f>
        <v>F6</v>
      </c>
      <c r="E129" s="5" t="str" cm="1">
        <f t="array" ref="E129">IF(ISBLANK(E$3),D129&amp;C129,INDEX(pixel_shift_table.asm!$C$3:$R$114, E$2*16 + E$3 + INT($A129/16) + 1, MOD($A129, 16) + 1))</f>
        <v>A9</v>
      </c>
      <c r="F129" s="7" t="str" cm="1">
        <f t="array" ref="F129">IF(ISBLANK(F$3),E129&amp;D129,INDEX(pixel_shift_table.asm!$C$3:$R$114, F$2*16 + F$3 + INT($A129/16) + 1, MOD($A129, 16) + 1))</f>
        <v>A9F6</v>
      </c>
      <c r="G129" s="6" t="str" cm="1">
        <f t="array" ref="G129">IF(ISBLANK(G$3),F129&amp;E129,INDEX(pixel_shift_table.asm!$C$3:$R$114, G$2*16 + G$3 + INT($A129/16) + 1, MOD($A129, 16) + 1))</f>
        <v>F8</v>
      </c>
      <c r="H129" s="5" t="str" cm="1">
        <f t="array" ref="H129">IF(ISBLANK(H$3),G129&amp;F129,INDEX(pixel_shift_table.asm!$C$3:$R$114, H$2*16 + H$3 + INT($A129/16) + 1, MOD($A129, 16) + 1))</f>
        <v>A9</v>
      </c>
      <c r="I129" s="7" t="str" cm="1">
        <f t="array" ref="I129">IF(ISBLANK(I$3),H129&amp;G129,INDEX(pixel_shift_table.asm!$C$3:$R$114, I$2*16 + I$3 + INT($A129/16) + 1, MOD($A129, 16) + 1))</f>
        <v>A9F8</v>
      </c>
      <c r="J129" s="6" t="str" cm="1">
        <f t="array" ref="J129">IF(ISBLANK(J$3),I129&amp;H129,INDEX(pixel_shift_table.asm!$C$3:$R$114, J$2*16 + J$3 + INT($A129/16) + 1, MOD($A129, 16) + 1))</f>
        <v>FA</v>
      </c>
      <c r="K129" s="5" t="str" cm="1">
        <f t="array" ref="K129">IF(ISBLANK(K$3),J129&amp;I129,INDEX(pixel_shift_table.asm!$C$3:$R$114, K$2*16 + K$3 + INT($A129/16) + 1, MOD($A129, 16) + 1))</f>
        <v>A9</v>
      </c>
      <c r="L129" s="7" t="str" cm="1">
        <f t="array" ref="L129">IF(ISBLANK(L$3),K129&amp;J129,INDEX(pixel_shift_table.asm!$C$3:$R$114, L$2*16 + L$3 + INT($A129/16) + 1, MOD($A129, 16) + 1))</f>
        <v>A9FA</v>
      </c>
      <c r="M129" s="6" t="str" cm="1">
        <f t="array" ref="M129">IF(ISBLANK(M$3),L129&amp;K129,INDEX(pixel_shift_table.asm!$C$3:$R$114, M$2*16 + M$3 + INT($A129/16) + 1, MOD($A129, 16) + 1))</f>
        <v>FC</v>
      </c>
      <c r="N129" s="5" t="str" cm="1">
        <f t="array" ref="N129">IF(ISBLANK(N$3),M129&amp;L129,INDEX(pixel_shift_table.asm!$C$3:$R$114, N$2*16 + N$3 + INT($A129/16) + 1, MOD($A129, 16) + 1))</f>
        <v>A9</v>
      </c>
      <c r="O129" s="7" t="str" cm="1">
        <f t="array" ref="O129">IF(ISBLANK(O$3),N129&amp;M129,INDEX(pixel_shift_table.asm!$C$3:$R$114, O$2*16 + O$3 + INT($A129/16) + 1, MOD($A129, 16) + 1))</f>
        <v>A9FC</v>
      </c>
      <c r="P129" s="6" t="str" cm="1">
        <f t="array" ref="P129">IF(ISBLANK(P$3),O129&amp;N129,INDEX(pixel_shift_table.asm!$C$3:$R$114, P$2*16 + P$3 + INT($A129/16) + 1, MOD($A129, 16) + 1))</f>
        <v>FE</v>
      </c>
      <c r="Q129" s="5" t="str" cm="1">
        <f t="array" ref="Q129">IF(ISBLANK(Q$3),P129&amp;O129,INDEX(pixel_shift_table.asm!$C$3:$R$114, Q$2*16 + Q$3 + INT($A129/16) + 1, MOD($A129, 16) + 1))</f>
        <v>A9</v>
      </c>
      <c r="R129" s="7" t="str" cm="1">
        <f t="array" ref="R129">IF(ISBLANK(R$3),Q129&amp;P129,INDEX(pixel_shift_table.asm!$C$3:$R$114, R$2*16 + R$3 + INT($A129/16) + 1, MOD($A129, 16) + 1))</f>
        <v>A9FE</v>
      </c>
      <c r="S129" s="6" t="str" cm="1">
        <f t="array" ref="S129">IF(ISBLANK(S$3),R129&amp;Q129,INDEX(pixel_shift_table.asm!$C$3:$R$114, S$2*16 + S$3 + INT($A129/16) + 1, MOD($A129, 16) + 1))</f>
        <v>F0</v>
      </c>
      <c r="T129" s="5" t="str" cm="1">
        <f t="array" ref="T129">IF(ISBLANK(T$3),S129&amp;R129,INDEX(pixel_shift_table.asm!$C$3:$R$114, T$2*16 + T$3 + INT($A129/16) + 1, MOD($A129, 16) + 1))</f>
        <v>AA</v>
      </c>
      <c r="U129" s="7" t="str" cm="1">
        <f t="array" ref="U129">IF(ISBLANK(U$3),T129&amp;S129,INDEX(pixel_shift_table.asm!$C$3:$R$114, U$2*16 + U$3 + INT($A129/16) + 1, MOD($A129, 16) + 1))</f>
        <v>AAF0</v>
      </c>
      <c r="V129" s="6" t="str" cm="1">
        <f t="array" ref="V129">IF(ISBLANK(V$3),U129&amp;T129,INDEX(pixel_shift_table.asm!$C$3:$R$114, V$2*16 + V$3 + INT($A129/16) + 1, MOD($A129, 16) + 1))</f>
        <v>E0</v>
      </c>
      <c r="W129" s="5" t="str" cm="1">
        <f t="array" ref="W129">IF(ISBLANK(W$3),V129&amp;U129,INDEX(pixel_shift_table.asm!$C$3:$R$114, W$2*16 + W$3 + INT($A129/16) + 1, MOD($A129, 16) + 1))</f>
        <v>AC</v>
      </c>
      <c r="X129" s="7" t="str" cm="1">
        <f t="array" ref="X129">IF(ISBLANK(X$3),W129&amp;V129,INDEX(pixel_shift_table.asm!$C$3:$R$114, X$2*16 + X$3 + INT($A129/16) + 1, MOD($A129, 16) + 1))</f>
        <v>ACE0</v>
      </c>
    </row>
    <row r="130" spans="1:24" x14ac:dyDescent="0.3">
      <c r="A130">
        <v>125</v>
      </c>
      <c r="B130" s="8">
        <v>11111.01</v>
      </c>
      <c r="C130" s="5" t="s">
        <v>874</v>
      </c>
      <c r="D130" s="6" t="str" cm="1">
        <f t="array" ref="D130">IF(ISBLANK(D$3),C130&amp;B130,INDEX(pixel_shift_table.asm!$C$3:$R$114, D$2*16 + D$3 + INT($A130/16) + 1, MOD($A130, 16) + 1))</f>
        <v>E2</v>
      </c>
      <c r="E130" s="5" t="str" cm="1">
        <f t="array" ref="E130">IF(ISBLANK(E$3),D130&amp;C130,INDEX(pixel_shift_table.asm!$C$3:$R$114, E$2*16 + E$3 + INT($A130/16) + 1, MOD($A130, 16) + 1))</f>
        <v>AC</v>
      </c>
      <c r="F130" s="7" t="str" cm="1">
        <f t="array" ref="F130">IF(ISBLANK(F$3),E130&amp;D130,INDEX(pixel_shift_table.asm!$C$3:$R$114, F$2*16 + F$3 + INT($A130/16) + 1, MOD($A130, 16) + 1))</f>
        <v>ACE2</v>
      </c>
      <c r="G130" s="6" t="str" cm="1">
        <f t="array" ref="G130">IF(ISBLANK(G$3),F130&amp;E130,INDEX(pixel_shift_table.asm!$C$3:$R$114, G$2*16 + G$3 + INT($A130/16) + 1, MOD($A130, 16) + 1))</f>
        <v>E4</v>
      </c>
      <c r="H130" s="5" t="str" cm="1">
        <f t="array" ref="H130">IF(ISBLANK(H$3),G130&amp;F130,INDEX(pixel_shift_table.asm!$C$3:$R$114, H$2*16 + H$3 + INT($A130/16) + 1, MOD($A130, 16) + 1))</f>
        <v>AC</v>
      </c>
      <c r="I130" s="7" t="str" cm="1">
        <f t="array" ref="I130">IF(ISBLANK(I$3),H130&amp;G130,INDEX(pixel_shift_table.asm!$C$3:$R$114, I$2*16 + I$3 + INT($A130/16) + 1, MOD($A130, 16) + 1))</f>
        <v>ACE4</v>
      </c>
      <c r="J130" s="6" t="str" cm="1">
        <f t="array" ref="J130">IF(ISBLANK(J$3),I130&amp;H130,INDEX(pixel_shift_table.asm!$C$3:$R$114, J$2*16 + J$3 + INT($A130/16) + 1, MOD($A130, 16) + 1))</f>
        <v>E6</v>
      </c>
      <c r="K130" s="5" t="str" cm="1">
        <f t="array" ref="K130">IF(ISBLANK(K$3),J130&amp;I130,INDEX(pixel_shift_table.asm!$C$3:$R$114, K$2*16 + K$3 + INT($A130/16) + 1, MOD($A130, 16) + 1))</f>
        <v>AC</v>
      </c>
      <c r="L130" s="7" t="str" cm="1">
        <f t="array" ref="L130">IF(ISBLANK(L$3),K130&amp;J130,INDEX(pixel_shift_table.asm!$C$3:$R$114, L$2*16 + L$3 + INT($A130/16) + 1, MOD($A130, 16) + 1))</f>
        <v>ACE6</v>
      </c>
      <c r="M130" s="6" t="str" cm="1">
        <f t="array" ref="M130">IF(ISBLANK(M$3),L130&amp;K130,INDEX(pixel_shift_table.asm!$C$3:$R$114, M$2*16 + M$3 + INT($A130/16) + 1, MOD($A130, 16) + 1))</f>
        <v>E8</v>
      </c>
      <c r="N130" s="5" t="str" cm="1">
        <f t="array" ref="N130">IF(ISBLANK(N$3),M130&amp;L130,INDEX(pixel_shift_table.asm!$C$3:$R$114, N$2*16 + N$3 + INT($A130/16) + 1, MOD($A130, 16) + 1))</f>
        <v>AC</v>
      </c>
      <c r="O130" s="7" t="str" cm="1">
        <f t="array" ref="O130">IF(ISBLANK(O$3),N130&amp;M130,INDEX(pixel_shift_table.asm!$C$3:$R$114, O$2*16 + O$3 + INT($A130/16) + 1, MOD($A130, 16) + 1))</f>
        <v>ACE8</v>
      </c>
      <c r="P130" s="6" t="str" cm="1">
        <f t="array" ref="P130">IF(ISBLANK(P$3),O130&amp;N130,INDEX(pixel_shift_table.asm!$C$3:$R$114, P$2*16 + P$3 + INT($A130/16) + 1, MOD($A130, 16) + 1))</f>
        <v>EA</v>
      </c>
      <c r="Q130" s="5" t="str" cm="1">
        <f t="array" ref="Q130">IF(ISBLANK(Q$3),P130&amp;O130,INDEX(pixel_shift_table.asm!$C$3:$R$114, Q$2*16 + Q$3 + INT($A130/16) + 1, MOD($A130, 16) + 1))</f>
        <v>AC</v>
      </c>
      <c r="R130" s="7" t="str" cm="1">
        <f t="array" ref="R130">IF(ISBLANK(R$3),Q130&amp;P130,INDEX(pixel_shift_table.asm!$C$3:$R$114, R$2*16 + R$3 + INT($A130/16) + 1, MOD($A130, 16) + 1))</f>
        <v>ACEA</v>
      </c>
      <c r="S130" s="6" t="str" cm="1">
        <f t="array" ref="S130">IF(ISBLANK(S$3),R130&amp;Q130,INDEX(pixel_shift_table.asm!$C$3:$R$114, S$2*16 + S$3 + INT($A130/16) + 1, MOD($A130, 16) + 1))</f>
        <v>EC</v>
      </c>
      <c r="T130" s="5" t="str" cm="1">
        <f t="array" ref="T130">IF(ISBLANK(T$3),S130&amp;R130,INDEX(pixel_shift_table.asm!$C$3:$R$114, T$2*16 + T$3 + INT($A130/16) + 1, MOD($A130, 16) + 1))</f>
        <v>AC</v>
      </c>
      <c r="U130" s="7" t="str" cm="1">
        <f t="array" ref="U130">IF(ISBLANK(U$3),T130&amp;S130,INDEX(pixel_shift_table.asm!$C$3:$R$114, U$2*16 + U$3 + INT($A130/16) + 1, MOD($A130, 16) + 1))</f>
        <v>ACEC</v>
      </c>
      <c r="V130" s="6" t="str" cm="1">
        <f t="array" ref="V130">IF(ISBLANK(V$3),U130&amp;T130,INDEX(pixel_shift_table.asm!$C$3:$R$114, V$2*16 + V$3 + INT($A130/16) + 1, MOD($A130, 16) + 1))</f>
        <v>EE</v>
      </c>
      <c r="W130" s="5" t="str" cm="1">
        <f t="array" ref="W130">IF(ISBLANK(W$3),V130&amp;U130,INDEX(pixel_shift_table.asm!$C$3:$R$114, W$2*16 + W$3 + INT($A130/16) + 1, MOD($A130, 16) + 1))</f>
        <v>AC</v>
      </c>
      <c r="X130" s="7" t="str" cm="1">
        <f t="array" ref="X130">IF(ISBLANK(X$3),W130&amp;V130,INDEX(pixel_shift_table.asm!$C$3:$R$114, X$2*16 + X$3 + INT($A130/16) + 1, MOD($A130, 16) + 1))</f>
        <v>ACEE</v>
      </c>
    </row>
    <row r="131" spans="1:24" x14ac:dyDescent="0.3">
      <c r="A131">
        <v>126</v>
      </c>
      <c r="B131" s="8">
        <v>11111.1</v>
      </c>
      <c r="C131" s="5" t="s">
        <v>875</v>
      </c>
      <c r="D131" s="6" t="str" cm="1">
        <f t="array" ref="D131">IF(ISBLANK(D$3),C131&amp;B131,INDEX(pixel_shift_table.asm!$C$3:$R$114, D$2*16 + D$3 + INT($A131/16) + 1, MOD($A131, 16) + 1))</f>
        <v>F4</v>
      </c>
      <c r="E131" s="5" t="str" cm="1">
        <f t="array" ref="E131">IF(ISBLANK(E$3),D131&amp;C131,INDEX(pixel_shift_table.asm!$C$3:$R$114, E$2*16 + E$3 + INT($A131/16) + 1, MOD($A131, 16) + 1))</f>
        <v>AA</v>
      </c>
      <c r="F131" s="7" t="str" cm="1">
        <f t="array" ref="F131">IF(ISBLANK(F$3),E131&amp;D131,INDEX(pixel_shift_table.asm!$C$3:$R$114, F$2*16 + F$3 + INT($A131/16) + 1, MOD($A131, 16) + 1))</f>
        <v>AAF4</v>
      </c>
      <c r="G131" s="6" t="str" cm="1">
        <f t="array" ref="G131">IF(ISBLANK(G$3),F131&amp;E131,INDEX(pixel_shift_table.asm!$C$3:$R$114, G$2*16 + G$3 + INT($A131/16) + 1, MOD($A131, 16) + 1))</f>
        <v>F6</v>
      </c>
      <c r="H131" s="5" t="str" cm="1">
        <f t="array" ref="H131">IF(ISBLANK(H$3),G131&amp;F131,INDEX(pixel_shift_table.asm!$C$3:$R$114, H$2*16 + H$3 + INT($A131/16) + 1, MOD($A131, 16) + 1))</f>
        <v>AA</v>
      </c>
      <c r="I131" s="7" t="str" cm="1">
        <f t="array" ref="I131">IF(ISBLANK(I$3),H131&amp;G131,INDEX(pixel_shift_table.asm!$C$3:$R$114, I$2*16 + I$3 + INT($A131/16) + 1, MOD($A131, 16) + 1))</f>
        <v>AAF6</v>
      </c>
      <c r="J131" s="6" t="str" cm="1">
        <f t="array" ref="J131">IF(ISBLANK(J$3),I131&amp;H131,INDEX(pixel_shift_table.asm!$C$3:$R$114, J$2*16 + J$3 + INT($A131/16) + 1, MOD($A131, 16) + 1))</f>
        <v>F8</v>
      </c>
      <c r="K131" s="5" t="str" cm="1">
        <f t="array" ref="K131">IF(ISBLANK(K$3),J131&amp;I131,INDEX(pixel_shift_table.asm!$C$3:$R$114, K$2*16 + K$3 + INT($A131/16) + 1, MOD($A131, 16) + 1))</f>
        <v>AA</v>
      </c>
      <c r="L131" s="7" t="str" cm="1">
        <f t="array" ref="L131">IF(ISBLANK(L$3),K131&amp;J131,INDEX(pixel_shift_table.asm!$C$3:$R$114, L$2*16 + L$3 + INT($A131/16) + 1, MOD($A131, 16) + 1))</f>
        <v>AAF8</v>
      </c>
      <c r="M131" s="6" t="str" cm="1">
        <f t="array" ref="M131">IF(ISBLANK(M$3),L131&amp;K131,INDEX(pixel_shift_table.asm!$C$3:$R$114, M$2*16 + M$3 + INT($A131/16) + 1, MOD($A131, 16) + 1))</f>
        <v>FA</v>
      </c>
      <c r="N131" s="5" t="str" cm="1">
        <f t="array" ref="N131">IF(ISBLANK(N$3),M131&amp;L131,INDEX(pixel_shift_table.asm!$C$3:$R$114, N$2*16 + N$3 + INT($A131/16) + 1, MOD($A131, 16) + 1))</f>
        <v>AA</v>
      </c>
      <c r="O131" s="7" t="str" cm="1">
        <f t="array" ref="O131">IF(ISBLANK(O$3),N131&amp;M131,INDEX(pixel_shift_table.asm!$C$3:$R$114, O$2*16 + O$3 + INT($A131/16) + 1, MOD($A131, 16) + 1))</f>
        <v>AAFA</v>
      </c>
      <c r="P131" s="6" t="str" cm="1">
        <f t="array" ref="P131">IF(ISBLANK(P$3),O131&amp;N131,INDEX(pixel_shift_table.asm!$C$3:$R$114, P$2*16 + P$3 + INT($A131/16) + 1, MOD($A131, 16) + 1))</f>
        <v>FC</v>
      </c>
      <c r="Q131" s="5" t="str" cm="1">
        <f t="array" ref="Q131">IF(ISBLANK(Q$3),P131&amp;O131,INDEX(pixel_shift_table.asm!$C$3:$R$114, Q$2*16 + Q$3 + INT($A131/16) + 1, MOD($A131, 16) + 1))</f>
        <v>AA</v>
      </c>
      <c r="R131" s="7" t="str" cm="1">
        <f t="array" ref="R131">IF(ISBLANK(R$3),Q131&amp;P131,INDEX(pixel_shift_table.asm!$C$3:$R$114, R$2*16 + R$3 + INT($A131/16) + 1, MOD($A131, 16) + 1))</f>
        <v>AAFC</v>
      </c>
      <c r="S131" s="6" t="str" cm="1">
        <f t="array" ref="S131">IF(ISBLANK(S$3),R131&amp;Q131,INDEX(pixel_shift_table.asm!$C$3:$R$114, S$2*16 + S$3 + INT($A131/16) + 1, MOD($A131, 16) + 1))</f>
        <v>FE</v>
      </c>
      <c r="T131" s="5" t="str" cm="1">
        <f t="array" ref="T131">IF(ISBLANK(T$3),S131&amp;R131,INDEX(pixel_shift_table.asm!$C$3:$R$114, T$2*16 + T$3 + INT($A131/16) + 1, MOD($A131, 16) + 1))</f>
        <v>AA</v>
      </c>
      <c r="U131" s="7" t="str" cm="1">
        <f t="array" ref="U131">IF(ISBLANK(U$3),T131&amp;S131,INDEX(pixel_shift_table.asm!$C$3:$R$114, U$2*16 + U$3 + INT($A131/16) + 1, MOD($A131, 16) + 1))</f>
        <v>AAFE</v>
      </c>
      <c r="V131" s="6" t="str" cm="1">
        <f t="array" ref="V131">IF(ISBLANK(V$3),U131&amp;T131,INDEX(pixel_shift_table.asm!$C$3:$R$114, V$2*16 + V$3 + INT($A131/16) + 1, MOD($A131, 16) + 1))</f>
        <v>F0</v>
      </c>
      <c r="W131" s="5" t="str" cm="1">
        <f t="array" ref="W131">IF(ISBLANK(W$3),V131&amp;U131,INDEX(pixel_shift_table.asm!$C$3:$R$114, W$2*16 + W$3 + INT($A131/16) + 1, MOD($A131, 16) + 1))</f>
        <v>AC</v>
      </c>
      <c r="X131" s="7" t="str" cm="1">
        <f t="array" ref="X131">IF(ISBLANK(X$3),W131&amp;V131,INDEX(pixel_shift_table.asm!$C$3:$R$114, X$2*16 + X$3 + INT($A131/16) + 1, MOD($A131, 16) + 1))</f>
        <v>ACF0</v>
      </c>
    </row>
    <row r="132" spans="1:24" x14ac:dyDescent="0.3">
      <c r="A132">
        <v>127</v>
      </c>
      <c r="B132" s="8">
        <v>11111.11</v>
      </c>
      <c r="C132" s="5" t="s">
        <v>876</v>
      </c>
      <c r="D132" s="6" t="str" cm="1">
        <f t="array" ref="D132">IF(ISBLANK(D$3),C132&amp;B132,INDEX(pixel_shift_table.asm!$C$3:$R$114, D$2*16 + D$3 + INT($A132/16) + 1, MOD($A132, 16) + 1))</f>
        <v>F2</v>
      </c>
      <c r="E132" s="5" t="str" cm="1">
        <f t="array" ref="E132">IF(ISBLANK(E$3),D132&amp;C132,INDEX(pixel_shift_table.asm!$C$3:$R$114, E$2*16 + E$3 + INT($A132/16) + 1, MOD($A132, 16) + 1))</f>
        <v>AC</v>
      </c>
      <c r="F132" s="7" t="str" cm="1">
        <f t="array" ref="F132">IF(ISBLANK(F$3),E132&amp;D132,INDEX(pixel_shift_table.asm!$C$3:$R$114, F$2*16 + F$3 + INT($A132/16) + 1, MOD($A132, 16) + 1))</f>
        <v>ACF2</v>
      </c>
      <c r="G132" s="6" t="str" cm="1">
        <f t="array" ref="G132">IF(ISBLANK(G$3),F132&amp;E132,INDEX(pixel_shift_table.asm!$C$3:$R$114, G$2*16 + G$3 + INT($A132/16) + 1, MOD($A132, 16) + 1))</f>
        <v>F4</v>
      </c>
      <c r="H132" s="5" t="str" cm="1">
        <f t="array" ref="H132">IF(ISBLANK(H$3),G132&amp;F132,INDEX(pixel_shift_table.asm!$C$3:$R$114, H$2*16 + H$3 + INT($A132/16) + 1, MOD($A132, 16) + 1))</f>
        <v>AC</v>
      </c>
      <c r="I132" s="7" t="str" cm="1">
        <f t="array" ref="I132">IF(ISBLANK(I$3),H132&amp;G132,INDEX(pixel_shift_table.asm!$C$3:$R$114, I$2*16 + I$3 + INT($A132/16) + 1, MOD($A132, 16) + 1))</f>
        <v>ACF4</v>
      </c>
      <c r="J132" s="6" t="str" cm="1">
        <f t="array" ref="J132">IF(ISBLANK(J$3),I132&amp;H132,INDEX(pixel_shift_table.asm!$C$3:$R$114, J$2*16 + J$3 + INT($A132/16) + 1, MOD($A132, 16) + 1))</f>
        <v>F6</v>
      </c>
      <c r="K132" s="5" t="str" cm="1">
        <f t="array" ref="K132">IF(ISBLANK(K$3),J132&amp;I132,INDEX(pixel_shift_table.asm!$C$3:$R$114, K$2*16 + K$3 + INT($A132/16) + 1, MOD($A132, 16) + 1))</f>
        <v>AC</v>
      </c>
      <c r="L132" s="7" t="str" cm="1">
        <f t="array" ref="L132">IF(ISBLANK(L$3),K132&amp;J132,INDEX(pixel_shift_table.asm!$C$3:$R$114, L$2*16 + L$3 + INT($A132/16) + 1, MOD($A132, 16) + 1))</f>
        <v>ACF6</v>
      </c>
      <c r="M132" s="6" t="str" cm="1">
        <f t="array" ref="M132">IF(ISBLANK(M$3),L132&amp;K132,INDEX(pixel_shift_table.asm!$C$3:$R$114, M$2*16 + M$3 + INT($A132/16) + 1, MOD($A132, 16) + 1))</f>
        <v>F8</v>
      </c>
      <c r="N132" s="5" t="str" cm="1">
        <f t="array" ref="N132">IF(ISBLANK(N$3),M132&amp;L132,INDEX(pixel_shift_table.asm!$C$3:$R$114, N$2*16 + N$3 + INT($A132/16) + 1, MOD($A132, 16) + 1))</f>
        <v>AC</v>
      </c>
      <c r="O132" s="7" t="str" cm="1">
        <f t="array" ref="O132">IF(ISBLANK(O$3),N132&amp;M132,INDEX(pixel_shift_table.asm!$C$3:$R$114, O$2*16 + O$3 + INT($A132/16) + 1, MOD($A132, 16) + 1))</f>
        <v>ACF8</v>
      </c>
      <c r="P132" s="6" t="str" cm="1">
        <f t="array" ref="P132">IF(ISBLANK(P$3),O132&amp;N132,INDEX(pixel_shift_table.asm!$C$3:$R$114, P$2*16 + P$3 + INT($A132/16) + 1, MOD($A132, 16) + 1))</f>
        <v>FA</v>
      </c>
      <c r="Q132" s="5" t="str" cm="1">
        <f t="array" ref="Q132">IF(ISBLANK(Q$3),P132&amp;O132,INDEX(pixel_shift_table.asm!$C$3:$R$114, Q$2*16 + Q$3 + INT($A132/16) + 1, MOD($A132, 16) + 1))</f>
        <v>AC</v>
      </c>
      <c r="R132" s="7" t="str" cm="1">
        <f t="array" ref="R132">IF(ISBLANK(R$3),Q132&amp;P132,INDEX(pixel_shift_table.asm!$C$3:$R$114, R$2*16 + R$3 + INT($A132/16) + 1, MOD($A132, 16) + 1))</f>
        <v>ACFA</v>
      </c>
      <c r="S132" s="6" t="str" cm="1">
        <f t="array" ref="S132">IF(ISBLANK(S$3),R132&amp;Q132,INDEX(pixel_shift_table.asm!$C$3:$R$114, S$2*16 + S$3 + INT($A132/16) + 1, MOD($A132, 16) + 1))</f>
        <v>FC</v>
      </c>
      <c r="T132" s="5" t="str" cm="1">
        <f t="array" ref="T132">IF(ISBLANK(T$3),S132&amp;R132,INDEX(pixel_shift_table.asm!$C$3:$R$114, T$2*16 + T$3 + INT($A132/16) + 1, MOD($A132, 16) + 1))</f>
        <v>AC</v>
      </c>
      <c r="U132" s="7" t="str" cm="1">
        <f t="array" ref="U132">IF(ISBLANK(U$3),T132&amp;S132,INDEX(pixel_shift_table.asm!$C$3:$R$114, U$2*16 + U$3 + INT($A132/16) + 1, MOD($A132, 16) + 1))</f>
        <v>ACFC</v>
      </c>
      <c r="V132" s="6" t="str" cm="1">
        <f t="array" ref="V132">IF(ISBLANK(V$3),U132&amp;T132,INDEX(pixel_shift_table.asm!$C$3:$R$114, V$2*16 + V$3 + INT($A132/16) + 1, MOD($A132, 16) + 1))</f>
        <v>FE</v>
      </c>
      <c r="W132" s="5" t="str" cm="1">
        <f t="array" ref="W132">IF(ISBLANK(W$3),V132&amp;U132,INDEX(pixel_shift_table.asm!$C$3:$R$114, W$2*16 + W$3 + INT($A132/16) + 1, MOD($A132, 16) + 1))</f>
        <v>AC</v>
      </c>
      <c r="X132" s="7" t="str" cm="1">
        <f t="array" ref="X132">IF(ISBLANK(X$3),W132&amp;V132,INDEX(pixel_shift_table.asm!$C$3:$R$114, X$2*16 + X$3 + INT($A132/16) + 1, MOD($A132, 16) + 1))</f>
        <v>ACFE</v>
      </c>
    </row>
  </sheetData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A2D0-C372-439C-AFEE-29E745CDB5CC}">
  <sheetPr codeName="Tabelle13"/>
  <dimension ref="A1:G2"/>
  <sheetViews>
    <sheetView workbookViewId="0"/>
  </sheetViews>
  <sheetFormatPr baseColWidth="10" defaultRowHeight="10.15" x14ac:dyDescent="0.3"/>
  <cols>
    <col min="1" max="7" width="4.83203125" style="5" customWidth="1"/>
  </cols>
  <sheetData>
    <row r="1" spans="1:7" x14ac:dyDescent="0.3">
      <c r="A1" s="5">
        <v>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</row>
    <row r="2" spans="1:7" x14ac:dyDescent="0.3">
      <c r="A2" s="5" t="s">
        <v>879</v>
      </c>
      <c r="B2" s="5" t="s">
        <v>882</v>
      </c>
      <c r="C2" s="5" t="s">
        <v>883</v>
      </c>
      <c r="D2" s="5" t="s">
        <v>884</v>
      </c>
      <c r="E2" s="5" t="s">
        <v>885</v>
      </c>
      <c r="F2" s="5" t="s">
        <v>886</v>
      </c>
      <c r="G2" s="5" t="s">
        <v>881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BF4F-6E79-4412-AADC-2A4BBAE6A0BB}">
  <sheetPr codeName="Tabelle9">
    <tabColor theme="0" tint="-0.14999847407452621"/>
  </sheetPr>
  <dimension ref="A1:K5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0.15" x14ac:dyDescent="0.3"/>
  <cols>
    <col min="1" max="1" width="28.75" customWidth="1"/>
    <col min="2" max="2" width="6.58203125" style="5" customWidth="1"/>
    <col min="3" max="4" width="10.6640625" style="5"/>
    <col min="5" max="6" width="6.08203125" style="5" customWidth="1"/>
  </cols>
  <sheetData>
    <row r="1" spans="1:6" x14ac:dyDescent="0.3">
      <c r="A1" s="38" t="s">
        <v>173</v>
      </c>
      <c r="B1" s="29"/>
      <c r="C1" s="40"/>
      <c r="E1" s="6"/>
      <c r="F1" s="7"/>
    </row>
    <row r="2" spans="1:6" x14ac:dyDescent="0.3">
      <c r="A2" s="39" t="s">
        <v>174</v>
      </c>
      <c r="B2" s="57" t="s">
        <v>880</v>
      </c>
      <c r="C2" s="40" t="str">
        <f>MID($A2,15,8)</f>
        <v>10000000</v>
      </c>
      <c r="D2" s="5" t="str">
        <f>MID($A2,26,8)</f>
        <v>10000000</v>
      </c>
      <c r="E2" s="6" t="str">
        <f>BIN2HEX(C2)</f>
        <v>80</v>
      </c>
      <c r="F2" s="7" t="str">
        <f>BIN2HEX(D2)</f>
        <v>80</v>
      </c>
    </row>
    <row r="3" spans="1:6" x14ac:dyDescent="0.3">
      <c r="A3" s="39" t="s">
        <v>175</v>
      </c>
      <c r="B3" s="5" t="str">
        <f>DEC2HEX(HEX2DEC(B2)+2)</f>
        <v>A902</v>
      </c>
      <c r="C3" s="40" t="str">
        <f t="shared" ref="C3:C66" si="0">MID($A3,15,8)</f>
        <v>10000001</v>
      </c>
      <c r="D3" s="5" t="str">
        <f t="shared" ref="D3:D66" si="1">MID($A3,26,8)</f>
        <v>10000000</v>
      </c>
      <c r="E3" s="6" t="str">
        <f t="shared" ref="E3:E66" si="2">BIN2HEX(C3)</f>
        <v>81</v>
      </c>
      <c r="F3" s="7" t="str">
        <f t="shared" ref="F3:F66" si="3">BIN2HEX(D3)</f>
        <v>80</v>
      </c>
    </row>
    <row r="4" spans="1:6" x14ac:dyDescent="0.3">
      <c r="A4" s="39" t="s">
        <v>176</v>
      </c>
      <c r="B4" s="5" t="str">
        <f t="shared" ref="B4:B67" si="4">DEC2HEX(HEX2DEC(B3)+2)</f>
        <v>A904</v>
      </c>
      <c r="C4" s="40" t="str">
        <f t="shared" si="0"/>
        <v>10000010</v>
      </c>
      <c r="D4" s="5" t="str">
        <f t="shared" si="1"/>
        <v>10000000</v>
      </c>
      <c r="E4" s="6" t="str">
        <f t="shared" si="2"/>
        <v>82</v>
      </c>
      <c r="F4" s="7" t="str">
        <f t="shared" si="3"/>
        <v>80</v>
      </c>
    </row>
    <row r="5" spans="1:6" x14ac:dyDescent="0.3">
      <c r="A5" s="39" t="s">
        <v>177</v>
      </c>
      <c r="B5" s="5" t="str">
        <f t="shared" si="4"/>
        <v>A906</v>
      </c>
      <c r="C5" s="40" t="str">
        <f t="shared" si="0"/>
        <v>10000100</v>
      </c>
      <c r="D5" s="5" t="str">
        <f t="shared" si="1"/>
        <v>10000000</v>
      </c>
      <c r="E5" s="6" t="str">
        <f t="shared" si="2"/>
        <v>84</v>
      </c>
      <c r="F5" s="7" t="str">
        <f t="shared" si="3"/>
        <v>80</v>
      </c>
    </row>
    <row r="6" spans="1:6" x14ac:dyDescent="0.3">
      <c r="A6" s="39" t="s">
        <v>178</v>
      </c>
      <c r="B6" s="5" t="str">
        <f t="shared" si="4"/>
        <v>A908</v>
      </c>
      <c r="C6" s="40" t="str">
        <f t="shared" si="0"/>
        <v>10001000</v>
      </c>
      <c r="D6" s="5" t="str">
        <f t="shared" si="1"/>
        <v>10000000</v>
      </c>
      <c r="E6" s="6" t="str">
        <f t="shared" si="2"/>
        <v>88</v>
      </c>
      <c r="F6" s="7" t="str">
        <f t="shared" si="3"/>
        <v>80</v>
      </c>
    </row>
    <row r="7" spans="1:6" x14ac:dyDescent="0.3">
      <c r="A7" s="39" t="s">
        <v>179</v>
      </c>
      <c r="B7" s="5" t="str">
        <f t="shared" si="4"/>
        <v>A90A</v>
      </c>
      <c r="C7" s="40" t="str">
        <f t="shared" si="0"/>
        <v>10010000</v>
      </c>
      <c r="D7" s="5" t="str">
        <f t="shared" si="1"/>
        <v>10000000</v>
      </c>
      <c r="E7" s="6" t="str">
        <f t="shared" si="2"/>
        <v>90</v>
      </c>
      <c r="F7" s="7" t="str">
        <f t="shared" si="3"/>
        <v>80</v>
      </c>
    </row>
    <row r="8" spans="1:6" x14ac:dyDescent="0.3">
      <c r="A8" s="39" t="s">
        <v>180</v>
      </c>
      <c r="B8" s="5" t="str">
        <f t="shared" si="4"/>
        <v>A90C</v>
      </c>
      <c r="C8" s="40" t="str">
        <f t="shared" si="0"/>
        <v>10100000</v>
      </c>
      <c r="D8" s="5" t="str">
        <f t="shared" si="1"/>
        <v>10000000</v>
      </c>
      <c r="E8" s="6" t="str">
        <f t="shared" si="2"/>
        <v>A0</v>
      </c>
      <c r="F8" s="7" t="str">
        <f t="shared" si="3"/>
        <v>80</v>
      </c>
    </row>
    <row r="9" spans="1:6" x14ac:dyDescent="0.3">
      <c r="A9" s="39" t="s">
        <v>181</v>
      </c>
      <c r="B9" s="5" t="str">
        <f t="shared" si="4"/>
        <v>A90E</v>
      </c>
      <c r="C9" s="40" t="str">
        <f t="shared" si="0"/>
        <v>11000000</v>
      </c>
      <c r="D9" s="5" t="str">
        <f t="shared" si="1"/>
        <v>10000000</v>
      </c>
      <c r="E9" s="6" t="str">
        <f t="shared" si="2"/>
        <v>C0</v>
      </c>
      <c r="F9" s="7" t="str">
        <f t="shared" si="3"/>
        <v>80</v>
      </c>
    </row>
    <row r="10" spans="1:6" x14ac:dyDescent="0.3">
      <c r="A10" s="39" t="s">
        <v>182</v>
      </c>
      <c r="B10" s="5" t="str">
        <f t="shared" si="4"/>
        <v>A910</v>
      </c>
      <c r="C10" s="40" t="str">
        <f t="shared" si="0"/>
        <v>10000000</v>
      </c>
      <c r="D10" s="5" t="str">
        <f t="shared" si="1"/>
        <v>10000001</v>
      </c>
      <c r="E10" s="6" t="str">
        <f t="shared" si="2"/>
        <v>80</v>
      </c>
      <c r="F10" s="7" t="str">
        <f t="shared" si="3"/>
        <v>81</v>
      </c>
    </row>
    <row r="11" spans="1:6" x14ac:dyDescent="0.3">
      <c r="A11" s="39" t="s">
        <v>183</v>
      </c>
      <c r="B11" s="5" t="str">
        <f t="shared" si="4"/>
        <v>A912</v>
      </c>
      <c r="C11" s="40" t="str">
        <f t="shared" si="0"/>
        <v>10000011</v>
      </c>
      <c r="D11" s="5" t="str">
        <f t="shared" si="1"/>
        <v>10000000</v>
      </c>
      <c r="E11" s="6" t="str">
        <f t="shared" si="2"/>
        <v>83</v>
      </c>
      <c r="F11" s="7" t="str">
        <f t="shared" si="3"/>
        <v>80</v>
      </c>
    </row>
    <row r="12" spans="1:6" x14ac:dyDescent="0.3">
      <c r="A12" s="39" t="s">
        <v>184</v>
      </c>
      <c r="B12" s="5" t="str">
        <f t="shared" si="4"/>
        <v>A914</v>
      </c>
      <c r="C12" s="40" t="str">
        <f t="shared" si="0"/>
        <v>10000110</v>
      </c>
      <c r="D12" s="5" t="str">
        <f t="shared" si="1"/>
        <v>10000000</v>
      </c>
      <c r="E12" s="6" t="str">
        <f t="shared" si="2"/>
        <v>86</v>
      </c>
      <c r="F12" s="7" t="str">
        <f t="shared" si="3"/>
        <v>80</v>
      </c>
    </row>
    <row r="13" spans="1:6" x14ac:dyDescent="0.3">
      <c r="A13" s="39" t="s">
        <v>185</v>
      </c>
      <c r="B13" s="5" t="str">
        <f t="shared" si="4"/>
        <v>A916</v>
      </c>
      <c r="C13" s="40" t="str">
        <f t="shared" si="0"/>
        <v>10001100</v>
      </c>
      <c r="D13" s="5" t="str">
        <f t="shared" si="1"/>
        <v>10000000</v>
      </c>
      <c r="E13" s="6" t="str">
        <f t="shared" si="2"/>
        <v>8C</v>
      </c>
      <c r="F13" s="7" t="str">
        <f t="shared" si="3"/>
        <v>80</v>
      </c>
    </row>
    <row r="14" spans="1:6" x14ac:dyDescent="0.3">
      <c r="A14" s="39" t="s">
        <v>186</v>
      </c>
      <c r="B14" s="5" t="str">
        <f t="shared" si="4"/>
        <v>A918</v>
      </c>
      <c r="C14" s="40" t="str">
        <f t="shared" si="0"/>
        <v>10011000</v>
      </c>
      <c r="D14" s="5" t="str">
        <f t="shared" si="1"/>
        <v>10000000</v>
      </c>
      <c r="E14" s="6" t="str">
        <f t="shared" si="2"/>
        <v>98</v>
      </c>
      <c r="F14" s="7" t="str">
        <f t="shared" si="3"/>
        <v>80</v>
      </c>
    </row>
    <row r="15" spans="1:6" x14ac:dyDescent="0.3">
      <c r="A15" s="39" t="s">
        <v>187</v>
      </c>
      <c r="B15" s="5" t="str">
        <f t="shared" si="4"/>
        <v>A91A</v>
      </c>
      <c r="C15" s="40" t="str">
        <f t="shared" si="0"/>
        <v>10110000</v>
      </c>
      <c r="D15" s="5" t="str">
        <f t="shared" si="1"/>
        <v>10000000</v>
      </c>
      <c r="E15" s="6" t="str">
        <f t="shared" si="2"/>
        <v>B0</v>
      </c>
      <c r="F15" s="7" t="str">
        <f t="shared" si="3"/>
        <v>80</v>
      </c>
    </row>
    <row r="16" spans="1:6" x14ac:dyDescent="0.3">
      <c r="A16" s="39" t="s">
        <v>188</v>
      </c>
      <c r="B16" s="5" t="str">
        <f t="shared" si="4"/>
        <v>A91C</v>
      </c>
      <c r="C16" s="40" t="str">
        <f t="shared" si="0"/>
        <v>11100000</v>
      </c>
      <c r="D16" s="5" t="str">
        <f t="shared" si="1"/>
        <v>10000000</v>
      </c>
      <c r="E16" s="6" t="str">
        <f t="shared" si="2"/>
        <v>E0</v>
      </c>
      <c r="F16" s="7" t="str">
        <f t="shared" si="3"/>
        <v>80</v>
      </c>
    </row>
    <row r="17" spans="1:6" x14ac:dyDescent="0.3">
      <c r="A17" s="39" t="s">
        <v>189</v>
      </c>
      <c r="B17" s="5" t="str">
        <f t="shared" si="4"/>
        <v>A91E</v>
      </c>
      <c r="C17" s="40" t="str">
        <f t="shared" si="0"/>
        <v>11000000</v>
      </c>
      <c r="D17" s="5" t="str">
        <f t="shared" si="1"/>
        <v>10000001</v>
      </c>
      <c r="E17" s="6" t="str">
        <f t="shared" si="2"/>
        <v>C0</v>
      </c>
      <c r="F17" s="7" t="str">
        <f t="shared" si="3"/>
        <v>81</v>
      </c>
    </row>
    <row r="18" spans="1:6" x14ac:dyDescent="0.3">
      <c r="A18" s="39" t="s">
        <v>190</v>
      </c>
      <c r="B18" s="5" t="str">
        <f t="shared" si="4"/>
        <v>A920</v>
      </c>
      <c r="C18" s="40" t="str">
        <f t="shared" si="0"/>
        <v>10000000</v>
      </c>
      <c r="D18" s="5" t="str">
        <f t="shared" si="1"/>
        <v>10000010</v>
      </c>
      <c r="E18" s="6" t="str">
        <f t="shared" si="2"/>
        <v>80</v>
      </c>
      <c r="F18" s="7" t="str">
        <f t="shared" si="3"/>
        <v>82</v>
      </c>
    </row>
    <row r="19" spans="1:6" x14ac:dyDescent="0.3">
      <c r="A19" s="39" t="s">
        <v>191</v>
      </c>
      <c r="B19" s="5" t="str">
        <f t="shared" si="4"/>
        <v>A922</v>
      </c>
      <c r="C19" s="40" t="str">
        <f t="shared" si="0"/>
        <v>10000101</v>
      </c>
      <c r="D19" s="5" t="str">
        <f t="shared" si="1"/>
        <v>10000000</v>
      </c>
      <c r="E19" s="6" t="str">
        <f t="shared" si="2"/>
        <v>85</v>
      </c>
      <c r="F19" s="7" t="str">
        <f t="shared" si="3"/>
        <v>80</v>
      </c>
    </row>
    <row r="20" spans="1:6" x14ac:dyDescent="0.3">
      <c r="A20" s="39" t="s">
        <v>192</v>
      </c>
      <c r="B20" s="5" t="str">
        <f t="shared" si="4"/>
        <v>A924</v>
      </c>
      <c r="C20" s="40" t="str">
        <f t="shared" si="0"/>
        <v>10001010</v>
      </c>
      <c r="D20" s="5" t="str">
        <f t="shared" si="1"/>
        <v>10000000</v>
      </c>
      <c r="E20" s="6" t="str">
        <f t="shared" si="2"/>
        <v>8A</v>
      </c>
      <c r="F20" s="7" t="str">
        <f t="shared" si="3"/>
        <v>80</v>
      </c>
    </row>
    <row r="21" spans="1:6" x14ac:dyDescent="0.3">
      <c r="A21" s="39" t="s">
        <v>193</v>
      </c>
      <c r="B21" s="5" t="str">
        <f t="shared" si="4"/>
        <v>A926</v>
      </c>
      <c r="C21" s="40" t="str">
        <f t="shared" si="0"/>
        <v>10010100</v>
      </c>
      <c r="D21" s="5" t="str">
        <f t="shared" si="1"/>
        <v>10000000</v>
      </c>
      <c r="E21" s="6" t="str">
        <f t="shared" si="2"/>
        <v>94</v>
      </c>
      <c r="F21" s="7" t="str">
        <f t="shared" si="3"/>
        <v>80</v>
      </c>
    </row>
    <row r="22" spans="1:6" x14ac:dyDescent="0.3">
      <c r="A22" s="39" t="s">
        <v>194</v>
      </c>
      <c r="B22" s="5" t="str">
        <f t="shared" si="4"/>
        <v>A928</v>
      </c>
      <c r="C22" s="40" t="str">
        <f t="shared" si="0"/>
        <v>10101000</v>
      </c>
      <c r="D22" s="5" t="str">
        <f t="shared" si="1"/>
        <v>10000000</v>
      </c>
      <c r="E22" s="6" t="str">
        <f t="shared" si="2"/>
        <v>A8</v>
      </c>
      <c r="F22" s="7" t="str">
        <f t="shared" si="3"/>
        <v>80</v>
      </c>
    </row>
    <row r="23" spans="1:6" x14ac:dyDescent="0.3">
      <c r="A23" s="39" t="s">
        <v>195</v>
      </c>
      <c r="B23" s="5" t="str">
        <f t="shared" si="4"/>
        <v>A92A</v>
      </c>
      <c r="C23" s="40" t="str">
        <f t="shared" si="0"/>
        <v>11010000</v>
      </c>
      <c r="D23" s="5" t="str">
        <f t="shared" si="1"/>
        <v>10000000</v>
      </c>
      <c r="E23" s="6" t="str">
        <f t="shared" si="2"/>
        <v>D0</v>
      </c>
      <c r="F23" s="7" t="str">
        <f t="shared" si="3"/>
        <v>80</v>
      </c>
    </row>
    <row r="24" spans="1:6" x14ac:dyDescent="0.3">
      <c r="A24" s="39" t="s">
        <v>196</v>
      </c>
      <c r="B24" s="5" t="str">
        <f t="shared" si="4"/>
        <v>A92C</v>
      </c>
      <c r="C24" s="40" t="str">
        <f t="shared" si="0"/>
        <v>10100000</v>
      </c>
      <c r="D24" s="5" t="str">
        <f t="shared" si="1"/>
        <v>10000001</v>
      </c>
      <c r="E24" s="6" t="str">
        <f t="shared" si="2"/>
        <v>A0</v>
      </c>
      <c r="F24" s="7" t="str">
        <f t="shared" si="3"/>
        <v>81</v>
      </c>
    </row>
    <row r="25" spans="1:6" x14ac:dyDescent="0.3">
      <c r="A25" s="39" t="s">
        <v>197</v>
      </c>
      <c r="B25" s="5" t="str">
        <f t="shared" si="4"/>
        <v>A92E</v>
      </c>
      <c r="C25" s="40" t="str">
        <f t="shared" si="0"/>
        <v>11000000</v>
      </c>
      <c r="D25" s="5" t="str">
        <f t="shared" si="1"/>
        <v>10000010</v>
      </c>
      <c r="E25" s="6" t="str">
        <f t="shared" si="2"/>
        <v>C0</v>
      </c>
      <c r="F25" s="7" t="str">
        <f t="shared" si="3"/>
        <v>82</v>
      </c>
    </row>
    <row r="26" spans="1:6" x14ac:dyDescent="0.3">
      <c r="A26" s="39" t="s">
        <v>198</v>
      </c>
      <c r="B26" s="5" t="str">
        <f t="shared" si="4"/>
        <v>A930</v>
      </c>
      <c r="C26" s="40" t="str">
        <f t="shared" si="0"/>
        <v>10000000</v>
      </c>
      <c r="D26" s="5" t="str">
        <f t="shared" si="1"/>
        <v>10000011</v>
      </c>
      <c r="E26" s="6" t="str">
        <f t="shared" si="2"/>
        <v>80</v>
      </c>
      <c r="F26" s="7" t="str">
        <f t="shared" si="3"/>
        <v>83</v>
      </c>
    </row>
    <row r="27" spans="1:6" x14ac:dyDescent="0.3">
      <c r="A27" s="39" t="s">
        <v>199</v>
      </c>
      <c r="B27" s="5" t="str">
        <f t="shared" si="4"/>
        <v>A932</v>
      </c>
      <c r="C27" s="40" t="str">
        <f t="shared" si="0"/>
        <v>10000111</v>
      </c>
      <c r="D27" s="5" t="str">
        <f t="shared" si="1"/>
        <v>10000000</v>
      </c>
      <c r="E27" s="6" t="str">
        <f t="shared" si="2"/>
        <v>87</v>
      </c>
      <c r="F27" s="7" t="str">
        <f t="shared" si="3"/>
        <v>80</v>
      </c>
    </row>
    <row r="28" spans="1:6" x14ac:dyDescent="0.3">
      <c r="A28" s="39" t="s">
        <v>200</v>
      </c>
      <c r="B28" s="5" t="str">
        <f t="shared" si="4"/>
        <v>A934</v>
      </c>
      <c r="C28" s="40" t="str">
        <f t="shared" si="0"/>
        <v>10001110</v>
      </c>
      <c r="D28" s="5" t="str">
        <f t="shared" si="1"/>
        <v>10000000</v>
      </c>
      <c r="E28" s="6" t="str">
        <f t="shared" si="2"/>
        <v>8E</v>
      </c>
      <c r="F28" s="7" t="str">
        <f t="shared" si="3"/>
        <v>80</v>
      </c>
    </row>
    <row r="29" spans="1:6" x14ac:dyDescent="0.3">
      <c r="A29" s="39" t="s">
        <v>201</v>
      </c>
      <c r="B29" s="5" t="str">
        <f t="shared" si="4"/>
        <v>A936</v>
      </c>
      <c r="C29" s="40" t="str">
        <f t="shared" si="0"/>
        <v>10011100</v>
      </c>
      <c r="D29" s="5" t="str">
        <f t="shared" si="1"/>
        <v>10000000</v>
      </c>
      <c r="E29" s="6" t="str">
        <f t="shared" si="2"/>
        <v>9C</v>
      </c>
      <c r="F29" s="7" t="str">
        <f t="shared" si="3"/>
        <v>80</v>
      </c>
    </row>
    <row r="30" spans="1:6" x14ac:dyDescent="0.3">
      <c r="A30" s="39" t="s">
        <v>202</v>
      </c>
      <c r="B30" s="5" t="str">
        <f t="shared" si="4"/>
        <v>A938</v>
      </c>
      <c r="C30" s="40" t="str">
        <f t="shared" si="0"/>
        <v>10111000</v>
      </c>
      <c r="D30" s="5" t="str">
        <f t="shared" si="1"/>
        <v>10000000</v>
      </c>
      <c r="E30" s="6" t="str">
        <f t="shared" si="2"/>
        <v>B8</v>
      </c>
      <c r="F30" s="7" t="str">
        <f t="shared" si="3"/>
        <v>80</v>
      </c>
    </row>
    <row r="31" spans="1:6" x14ac:dyDescent="0.3">
      <c r="A31" s="39" t="s">
        <v>203</v>
      </c>
      <c r="B31" s="5" t="str">
        <f t="shared" si="4"/>
        <v>A93A</v>
      </c>
      <c r="C31" s="40" t="str">
        <f t="shared" si="0"/>
        <v>11110000</v>
      </c>
      <c r="D31" s="5" t="str">
        <f t="shared" si="1"/>
        <v>10000000</v>
      </c>
      <c r="E31" s="6" t="str">
        <f t="shared" si="2"/>
        <v>F0</v>
      </c>
      <c r="F31" s="7" t="str">
        <f t="shared" si="3"/>
        <v>80</v>
      </c>
    </row>
    <row r="32" spans="1:6" x14ac:dyDescent="0.3">
      <c r="A32" s="39" t="s">
        <v>204</v>
      </c>
      <c r="B32" s="5" t="str">
        <f t="shared" si="4"/>
        <v>A93C</v>
      </c>
      <c r="C32" s="40" t="str">
        <f t="shared" si="0"/>
        <v>11100000</v>
      </c>
      <c r="D32" s="5" t="str">
        <f t="shared" si="1"/>
        <v>10000001</v>
      </c>
      <c r="E32" s="6" t="str">
        <f t="shared" si="2"/>
        <v>E0</v>
      </c>
      <c r="F32" s="7" t="str">
        <f t="shared" si="3"/>
        <v>81</v>
      </c>
    </row>
    <row r="33" spans="1:11" x14ac:dyDescent="0.3">
      <c r="A33" s="39" t="s">
        <v>205</v>
      </c>
      <c r="B33" s="5" t="str">
        <f t="shared" si="4"/>
        <v>A93E</v>
      </c>
      <c r="C33" s="40" t="str">
        <f t="shared" si="0"/>
        <v>11000000</v>
      </c>
      <c r="D33" s="5" t="str">
        <f t="shared" si="1"/>
        <v>10000011</v>
      </c>
      <c r="E33" s="6" t="str">
        <f t="shared" si="2"/>
        <v>C0</v>
      </c>
      <c r="F33" s="7" t="str">
        <f t="shared" si="3"/>
        <v>83</v>
      </c>
    </row>
    <row r="34" spans="1:11" x14ac:dyDescent="0.3">
      <c r="A34" s="39" t="s">
        <v>206</v>
      </c>
      <c r="B34" s="5" t="str">
        <f t="shared" si="4"/>
        <v>A940</v>
      </c>
      <c r="C34" s="40" t="str">
        <f t="shared" si="0"/>
        <v>10000000</v>
      </c>
      <c r="D34" s="5" t="str">
        <f t="shared" si="1"/>
        <v>10000100</v>
      </c>
      <c r="E34" s="6" t="str">
        <f t="shared" si="2"/>
        <v>80</v>
      </c>
      <c r="F34" s="7" t="str">
        <f t="shared" si="3"/>
        <v>84</v>
      </c>
    </row>
    <row r="35" spans="1:11" x14ac:dyDescent="0.3">
      <c r="A35" s="39" t="s">
        <v>207</v>
      </c>
      <c r="B35" s="5" t="str">
        <f t="shared" si="4"/>
        <v>A942</v>
      </c>
      <c r="C35" s="40" t="str">
        <f t="shared" si="0"/>
        <v>10001001</v>
      </c>
      <c r="D35" s="5" t="str">
        <f t="shared" si="1"/>
        <v>10000000</v>
      </c>
      <c r="E35" s="6" t="str">
        <f t="shared" si="2"/>
        <v>89</v>
      </c>
      <c r="F35" s="7" t="str">
        <f t="shared" si="3"/>
        <v>80</v>
      </c>
    </row>
    <row r="36" spans="1:11" x14ac:dyDescent="0.3">
      <c r="A36" s="39" t="s">
        <v>208</v>
      </c>
      <c r="B36" s="5" t="str">
        <f t="shared" si="4"/>
        <v>A944</v>
      </c>
      <c r="C36" s="40" t="str">
        <f t="shared" si="0"/>
        <v>10010010</v>
      </c>
      <c r="D36" s="5" t="str">
        <f t="shared" si="1"/>
        <v>10000000</v>
      </c>
      <c r="E36" s="6" t="str">
        <f t="shared" si="2"/>
        <v>92</v>
      </c>
      <c r="F36" s="7" t="str">
        <f t="shared" si="3"/>
        <v>80</v>
      </c>
    </row>
    <row r="37" spans="1:11" x14ac:dyDescent="0.3">
      <c r="A37" s="39" t="s">
        <v>209</v>
      </c>
      <c r="B37" s="5" t="str">
        <f t="shared" si="4"/>
        <v>A946</v>
      </c>
      <c r="C37" s="40" t="str">
        <f t="shared" si="0"/>
        <v>10100100</v>
      </c>
      <c r="D37" s="5" t="str">
        <f t="shared" si="1"/>
        <v>10000000</v>
      </c>
      <c r="E37" s="6" t="str">
        <f t="shared" si="2"/>
        <v>A4</v>
      </c>
      <c r="F37" s="7" t="str">
        <f t="shared" si="3"/>
        <v>80</v>
      </c>
    </row>
    <row r="38" spans="1:11" x14ac:dyDescent="0.3">
      <c r="A38" s="39" t="s">
        <v>210</v>
      </c>
      <c r="B38" s="5" t="str">
        <f t="shared" si="4"/>
        <v>A948</v>
      </c>
      <c r="C38" s="40" t="str">
        <f t="shared" si="0"/>
        <v>11001000</v>
      </c>
      <c r="D38" s="5" t="str">
        <f t="shared" si="1"/>
        <v>10000000</v>
      </c>
      <c r="E38" s="6" t="str">
        <f t="shared" si="2"/>
        <v>C8</v>
      </c>
      <c r="F38" s="7" t="str">
        <f t="shared" si="3"/>
        <v>80</v>
      </c>
    </row>
    <row r="39" spans="1:11" x14ac:dyDescent="0.3">
      <c r="A39" s="39" t="s">
        <v>211</v>
      </c>
      <c r="B39" s="5" t="str">
        <f t="shared" si="4"/>
        <v>A94A</v>
      </c>
      <c r="C39" s="40" t="str">
        <f t="shared" si="0"/>
        <v>10010000</v>
      </c>
      <c r="D39" s="5" t="str">
        <f t="shared" si="1"/>
        <v>10000001</v>
      </c>
      <c r="E39" s="6" t="str">
        <f t="shared" si="2"/>
        <v>90</v>
      </c>
      <c r="F39" s="7" t="str">
        <f t="shared" si="3"/>
        <v>81</v>
      </c>
    </row>
    <row r="40" spans="1:11" x14ac:dyDescent="0.3">
      <c r="A40" s="39" t="s">
        <v>212</v>
      </c>
      <c r="B40" s="5" t="str">
        <f t="shared" si="4"/>
        <v>A94C</v>
      </c>
      <c r="C40" s="40" t="str">
        <f t="shared" si="0"/>
        <v>10100000</v>
      </c>
      <c r="D40" s="5" t="str">
        <f t="shared" si="1"/>
        <v>10000010</v>
      </c>
      <c r="E40" s="6" t="str">
        <f t="shared" si="2"/>
        <v>A0</v>
      </c>
      <c r="F40" s="7" t="str">
        <f t="shared" si="3"/>
        <v>82</v>
      </c>
    </row>
    <row r="41" spans="1:11" x14ac:dyDescent="0.3">
      <c r="A41" s="39" t="s">
        <v>213</v>
      </c>
      <c r="B41" s="5" t="str">
        <f t="shared" si="4"/>
        <v>A94E</v>
      </c>
      <c r="C41" s="40" t="str">
        <f t="shared" si="0"/>
        <v>11000000</v>
      </c>
      <c r="D41" s="5" t="str">
        <f t="shared" si="1"/>
        <v>10000100</v>
      </c>
      <c r="E41" s="6" t="str">
        <f t="shared" si="2"/>
        <v>C0</v>
      </c>
      <c r="F41" s="7" t="str">
        <f t="shared" si="3"/>
        <v>84</v>
      </c>
    </row>
    <row r="42" spans="1:11" x14ac:dyDescent="0.3">
      <c r="A42" s="39" t="s">
        <v>214</v>
      </c>
      <c r="B42" s="5" t="str">
        <f t="shared" si="4"/>
        <v>A950</v>
      </c>
      <c r="C42" s="40" t="str">
        <f t="shared" si="0"/>
        <v>10000000</v>
      </c>
      <c r="D42" s="5" t="str">
        <f t="shared" si="1"/>
        <v>10000101</v>
      </c>
      <c r="E42" s="6" t="str">
        <f t="shared" si="2"/>
        <v>80</v>
      </c>
      <c r="F42" s="7" t="str">
        <f t="shared" si="3"/>
        <v>85</v>
      </c>
    </row>
    <row r="43" spans="1:11" x14ac:dyDescent="0.3">
      <c r="A43" s="39" t="s">
        <v>215</v>
      </c>
      <c r="B43" s="5" t="str">
        <f t="shared" si="4"/>
        <v>A952</v>
      </c>
      <c r="C43" s="40" t="str">
        <f t="shared" si="0"/>
        <v>10001011</v>
      </c>
      <c r="D43" s="5" t="str">
        <f t="shared" si="1"/>
        <v>10000000</v>
      </c>
      <c r="E43" s="6" t="str">
        <f t="shared" si="2"/>
        <v>8B</v>
      </c>
      <c r="F43" s="7" t="str">
        <f t="shared" si="3"/>
        <v>80</v>
      </c>
    </row>
    <row r="44" spans="1:11" x14ac:dyDescent="0.3">
      <c r="A44" s="39" t="s">
        <v>216</v>
      </c>
      <c r="B44" s="5" t="str">
        <f t="shared" si="4"/>
        <v>A954</v>
      </c>
      <c r="C44" s="40" t="str">
        <f t="shared" si="0"/>
        <v>10010110</v>
      </c>
      <c r="D44" s="5" t="str">
        <f t="shared" si="1"/>
        <v>10000000</v>
      </c>
      <c r="E44" s="6" t="str">
        <f t="shared" si="2"/>
        <v>96</v>
      </c>
      <c r="F44" s="7" t="str">
        <f t="shared" si="3"/>
        <v>80</v>
      </c>
    </row>
    <row r="45" spans="1:11" x14ac:dyDescent="0.3">
      <c r="A45" s="39" t="s">
        <v>217</v>
      </c>
      <c r="B45" s="5" t="str">
        <f t="shared" si="4"/>
        <v>A956</v>
      </c>
      <c r="C45" s="40" t="str">
        <f t="shared" si="0"/>
        <v>10101100</v>
      </c>
      <c r="D45" s="5" t="str">
        <f t="shared" si="1"/>
        <v>10000000</v>
      </c>
      <c r="E45" s="6" t="str">
        <f t="shared" si="2"/>
        <v>AC</v>
      </c>
      <c r="F45" s="7" t="str">
        <f t="shared" si="3"/>
        <v>80</v>
      </c>
    </row>
    <row r="46" spans="1:11" x14ac:dyDescent="0.3">
      <c r="A46" s="39" t="s">
        <v>218</v>
      </c>
      <c r="B46" s="5" t="str">
        <f t="shared" si="4"/>
        <v>A958</v>
      </c>
      <c r="C46" s="40" t="str">
        <f t="shared" si="0"/>
        <v>11011000</v>
      </c>
      <c r="D46" s="5" t="str">
        <f t="shared" si="1"/>
        <v>10000000</v>
      </c>
      <c r="E46" s="6" t="str">
        <f t="shared" si="2"/>
        <v>D8</v>
      </c>
      <c r="F46" s="7" t="str">
        <f t="shared" si="3"/>
        <v>80</v>
      </c>
    </row>
    <row r="47" spans="1:11" x14ac:dyDescent="0.3">
      <c r="A47" s="39" t="s">
        <v>219</v>
      </c>
      <c r="B47" s="5" t="str">
        <f t="shared" si="4"/>
        <v>A95A</v>
      </c>
      <c r="C47" s="40" t="str">
        <f t="shared" si="0"/>
        <v>10110000</v>
      </c>
      <c r="D47" s="5" t="str">
        <f t="shared" si="1"/>
        <v>10000001</v>
      </c>
      <c r="E47" s="25" t="str">
        <f t="shared" si="2"/>
        <v>B0</v>
      </c>
      <c r="F47" s="26" t="str">
        <f t="shared" si="3"/>
        <v>81</v>
      </c>
      <c r="H47" s="22" t="str">
        <f>RIGHT(C47,7)</f>
        <v>0110000</v>
      </c>
      <c r="I47" s="22" t="str">
        <f>RIGHT(D47,7)</f>
        <v>0000001</v>
      </c>
      <c r="J47" s="22" t="str" cm="1">
        <f t="array" ref="J47">ReverseString(H47)</f>
        <v>0000110</v>
      </c>
      <c r="K47" s="22" t="str" cm="1">
        <f t="array" ref="K47">ReverseString(I47)</f>
        <v>1000000</v>
      </c>
    </row>
    <row r="48" spans="1:11" x14ac:dyDescent="0.3">
      <c r="A48" s="39" t="s">
        <v>220</v>
      </c>
      <c r="B48" s="5" t="str">
        <f t="shared" si="4"/>
        <v>A95C</v>
      </c>
      <c r="C48" s="40" t="str">
        <f t="shared" si="0"/>
        <v>11100000</v>
      </c>
      <c r="D48" s="5" t="str">
        <f t="shared" si="1"/>
        <v>10000010</v>
      </c>
      <c r="E48" s="6" t="str">
        <f t="shared" si="2"/>
        <v>E0</v>
      </c>
      <c r="F48" s="7" t="str">
        <f t="shared" si="3"/>
        <v>82</v>
      </c>
    </row>
    <row r="49" spans="1:6" x14ac:dyDescent="0.3">
      <c r="A49" s="39" t="s">
        <v>221</v>
      </c>
      <c r="B49" s="5" t="str">
        <f t="shared" si="4"/>
        <v>A95E</v>
      </c>
      <c r="C49" s="40" t="str">
        <f t="shared" si="0"/>
        <v>11000000</v>
      </c>
      <c r="D49" s="5" t="str">
        <f t="shared" si="1"/>
        <v>10000101</v>
      </c>
      <c r="E49" s="6" t="str">
        <f t="shared" si="2"/>
        <v>C0</v>
      </c>
      <c r="F49" s="7" t="str">
        <f t="shared" si="3"/>
        <v>85</v>
      </c>
    </row>
    <row r="50" spans="1:6" x14ac:dyDescent="0.3">
      <c r="A50" s="39" t="s">
        <v>222</v>
      </c>
      <c r="B50" s="5" t="str">
        <f t="shared" si="4"/>
        <v>A960</v>
      </c>
      <c r="C50" s="40" t="str">
        <f t="shared" si="0"/>
        <v>10000000</v>
      </c>
      <c r="D50" s="5" t="str">
        <f t="shared" si="1"/>
        <v>10000110</v>
      </c>
      <c r="E50" s="6" t="str">
        <f t="shared" si="2"/>
        <v>80</v>
      </c>
      <c r="F50" s="7" t="str">
        <f t="shared" si="3"/>
        <v>86</v>
      </c>
    </row>
    <row r="51" spans="1:6" x14ac:dyDescent="0.3">
      <c r="A51" s="39" t="s">
        <v>223</v>
      </c>
      <c r="B51" s="5" t="str">
        <f t="shared" si="4"/>
        <v>A962</v>
      </c>
      <c r="C51" s="40" t="str">
        <f t="shared" si="0"/>
        <v>10001101</v>
      </c>
      <c r="D51" s="5" t="str">
        <f t="shared" si="1"/>
        <v>10000000</v>
      </c>
      <c r="E51" s="6" t="str">
        <f t="shared" si="2"/>
        <v>8D</v>
      </c>
      <c r="F51" s="7" t="str">
        <f t="shared" si="3"/>
        <v>80</v>
      </c>
    </row>
    <row r="52" spans="1:6" x14ac:dyDescent="0.3">
      <c r="A52" s="39" t="s">
        <v>224</v>
      </c>
      <c r="B52" s="5" t="str">
        <f t="shared" si="4"/>
        <v>A964</v>
      </c>
      <c r="C52" s="40" t="str">
        <f t="shared" si="0"/>
        <v>10011010</v>
      </c>
      <c r="D52" s="5" t="str">
        <f t="shared" si="1"/>
        <v>10000000</v>
      </c>
      <c r="E52" s="6" t="str">
        <f t="shared" si="2"/>
        <v>9A</v>
      </c>
      <c r="F52" s="7" t="str">
        <f t="shared" si="3"/>
        <v>80</v>
      </c>
    </row>
    <row r="53" spans="1:6" x14ac:dyDescent="0.3">
      <c r="A53" s="39" t="s">
        <v>225</v>
      </c>
      <c r="B53" s="5" t="str">
        <f t="shared" si="4"/>
        <v>A966</v>
      </c>
      <c r="C53" s="40" t="str">
        <f t="shared" si="0"/>
        <v>10110100</v>
      </c>
      <c r="D53" s="5" t="str">
        <f t="shared" si="1"/>
        <v>10000000</v>
      </c>
      <c r="E53" s="6" t="str">
        <f t="shared" si="2"/>
        <v>B4</v>
      </c>
      <c r="F53" s="7" t="str">
        <f t="shared" si="3"/>
        <v>80</v>
      </c>
    </row>
    <row r="54" spans="1:6" x14ac:dyDescent="0.3">
      <c r="A54" s="39" t="s">
        <v>226</v>
      </c>
      <c r="B54" s="5" t="str">
        <f t="shared" si="4"/>
        <v>A968</v>
      </c>
      <c r="C54" s="40" t="str">
        <f t="shared" si="0"/>
        <v>11101000</v>
      </c>
      <c r="D54" s="5" t="str">
        <f t="shared" si="1"/>
        <v>10000000</v>
      </c>
      <c r="E54" s="6" t="str">
        <f t="shared" si="2"/>
        <v>E8</v>
      </c>
      <c r="F54" s="7" t="str">
        <f t="shared" si="3"/>
        <v>80</v>
      </c>
    </row>
    <row r="55" spans="1:6" x14ac:dyDescent="0.3">
      <c r="A55" s="39" t="s">
        <v>227</v>
      </c>
      <c r="B55" s="5" t="str">
        <f t="shared" si="4"/>
        <v>A96A</v>
      </c>
      <c r="C55" s="40" t="str">
        <f t="shared" si="0"/>
        <v>11010000</v>
      </c>
      <c r="D55" s="5" t="str">
        <f t="shared" si="1"/>
        <v>10000001</v>
      </c>
      <c r="E55" s="6" t="str">
        <f t="shared" si="2"/>
        <v>D0</v>
      </c>
      <c r="F55" s="7" t="str">
        <f t="shared" si="3"/>
        <v>81</v>
      </c>
    </row>
    <row r="56" spans="1:6" x14ac:dyDescent="0.3">
      <c r="A56" s="39" t="s">
        <v>228</v>
      </c>
      <c r="B56" s="5" t="str">
        <f t="shared" si="4"/>
        <v>A96C</v>
      </c>
      <c r="C56" s="40" t="str">
        <f t="shared" si="0"/>
        <v>10100000</v>
      </c>
      <c r="D56" s="5" t="str">
        <f t="shared" si="1"/>
        <v>10000011</v>
      </c>
      <c r="E56" s="6" t="str">
        <f t="shared" si="2"/>
        <v>A0</v>
      </c>
      <c r="F56" s="7" t="str">
        <f t="shared" si="3"/>
        <v>83</v>
      </c>
    </row>
    <row r="57" spans="1:6" x14ac:dyDescent="0.3">
      <c r="A57" s="39" t="s">
        <v>229</v>
      </c>
      <c r="B57" s="5" t="str">
        <f t="shared" si="4"/>
        <v>A96E</v>
      </c>
      <c r="C57" s="40" t="str">
        <f t="shared" si="0"/>
        <v>11000000</v>
      </c>
      <c r="D57" s="5" t="str">
        <f t="shared" si="1"/>
        <v>10000110</v>
      </c>
      <c r="E57" s="6" t="str">
        <f t="shared" si="2"/>
        <v>C0</v>
      </c>
      <c r="F57" s="7" t="str">
        <f t="shared" si="3"/>
        <v>86</v>
      </c>
    </row>
    <row r="58" spans="1:6" x14ac:dyDescent="0.3">
      <c r="A58" s="39" t="s">
        <v>230</v>
      </c>
      <c r="B58" s="5" t="str">
        <f t="shared" si="4"/>
        <v>A970</v>
      </c>
      <c r="C58" s="40" t="str">
        <f t="shared" si="0"/>
        <v>10000000</v>
      </c>
      <c r="D58" s="5" t="str">
        <f t="shared" si="1"/>
        <v>10000111</v>
      </c>
      <c r="E58" s="6" t="str">
        <f t="shared" si="2"/>
        <v>80</v>
      </c>
      <c r="F58" s="7" t="str">
        <f t="shared" si="3"/>
        <v>87</v>
      </c>
    </row>
    <row r="59" spans="1:6" x14ac:dyDescent="0.3">
      <c r="A59" s="39" t="s">
        <v>231</v>
      </c>
      <c r="B59" s="5" t="str">
        <f t="shared" si="4"/>
        <v>A972</v>
      </c>
      <c r="C59" s="40" t="str">
        <f t="shared" si="0"/>
        <v>10001111</v>
      </c>
      <c r="D59" s="5" t="str">
        <f t="shared" si="1"/>
        <v>10000000</v>
      </c>
      <c r="E59" s="6" t="str">
        <f t="shared" si="2"/>
        <v>8F</v>
      </c>
      <c r="F59" s="7" t="str">
        <f t="shared" si="3"/>
        <v>80</v>
      </c>
    </row>
    <row r="60" spans="1:6" x14ac:dyDescent="0.3">
      <c r="A60" s="39" t="s">
        <v>232</v>
      </c>
      <c r="B60" s="5" t="str">
        <f t="shared" si="4"/>
        <v>A974</v>
      </c>
      <c r="C60" s="40" t="str">
        <f t="shared" si="0"/>
        <v>10011110</v>
      </c>
      <c r="D60" s="5" t="str">
        <f t="shared" si="1"/>
        <v>10000000</v>
      </c>
      <c r="E60" s="6" t="str">
        <f t="shared" si="2"/>
        <v>9E</v>
      </c>
      <c r="F60" s="7" t="str">
        <f t="shared" si="3"/>
        <v>80</v>
      </c>
    </row>
    <row r="61" spans="1:6" x14ac:dyDescent="0.3">
      <c r="A61" s="39" t="s">
        <v>233</v>
      </c>
      <c r="B61" s="5" t="str">
        <f t="shared" si="4"/>
        <v>A976</v>
      </c>
      <c r="C61" s="40" t="str">
        <f t="shared" si="0"/>
        <v>10111100</v>
      </c>
      <c r="D61" s="5" t="str">
        <f t="shared" si="1"/>
        <v>10000000</v>
      </c>
      <c r="E61" s="6" t="str">
        <f t="shared" si="2"/>
        <v>BC</v>
      </c>
      <c r="F61" s="7" t="str">
        <f t="shared" si="3"/>
        <v>80</v>
      </c>
    </row>
    <row r="62" spans="1:6" x14ac:dyDescent="0.3">
      <c r="A62" s="39" t="s">
        <v>234</v>
      </c>
      <c r="B62" s="5" t="str">
        <f t="shared" si="4"/>
        <v>A978</v>
      </c>
      <c r="C62" s="40" t="str">
        <f t="shared" si="0"/>
        <v>11111000</v>
      </c>
      <c r="D62" s="5" t="str">
        <f t="shared" si="1"/>
        <v>10000000</v>
      </c>
      <c r="E62" s="6" t="str">
        <f t="shared" si="2"/>
        <v>F8</v>
      </c>
      <c r="F62" s="7" t="str">
        <f t="shared" si="3"/>
        <v>80</v>
      </c>
    </row>
    <row r="63" spans="1:6" x14ac:dyDescent="0.3">
      <c r="A63" s="39" t="s">
        <v>235</v>
      </c>
      <c r="B63" s="5" t="str">
        <f t="shared" si="4"/>
        <v>A97A</v>
      </c>
      <c r="C63" s="40" t="str">
        <f t="shared" si="0"/>
        <v>11110000</v>
      </c>
      <c r="D63" s="5" t="str">
        <f t="shared" si="1"/>
        <v>10000001</v>
      </c>
      <c r="E63" s="6" t="str">
        <f t="shared" si="2"/>
        <v>F0</v>
      </c>
      <c r="F63" s="7" t="str">
        <f t="shared" si="3"/>
        <v>81</v>
      </c>
    </row>
    <row r="64" spans="1:6" x14ac:dyDescent="0.3">
      <c r="A64" s="39" t="s">
        <v>236</v>
      </c>
      <c r="B64" s="5" t="str">
        <f t="shared" si="4"/>
        <v>A97C</v>
      </c>
      <c r="C64" s="40" t="str">
        <f t="shared" si="0"/>
        <v>11100000</v>
      </c>
      <c r="D64" s="5" t="str">
        <f t="shared" si="1"/>
        <v>10000011</v>
      </c>
      <c r="E64" s="6" t="str">
        <f t="shared" si="2"/>
        <v>E0</v>
      </c>
      <c r="F64" s="7" t="str">
        <f t="shared" si="3"/>
        <v>83</v>
      </c>
    </row>
    <row r="65" spans="1:6" x14ac:dyDescent="0.3">
      <c r="A65" s="39" t="s">
        <v>237</v>
      </c>
      <c r="B65" s="5" t="str">
        <f t="shared" si="4"/>
        <v>A97E</v>
      </c>
      <c r="C65" s="40" t="str">
        <f t="shared" si="0"/>
        <v>11000000</v>
      </c>
      <c r="D65" s="5" t="str">
        <f t="shared" si="1"/>
        <v>10000111</v>
      </c>
      <c r="E65" s="6" t="str">
        <f t="shared" si="2"/>
        <v>C0</v>
      </c>
      <c r="F65" s="7" t="str">
        <f t="shared" si="3"/>
        <v>87</v>
      </c>
    </row>
    <row r="66" spans="1:6" x14ac:dyDescent="0.3">
      <c r="A66" s="39" t="s">
        <v>238</v>
      </c>
      <c r="B66" s="5" t="str">
        <f t="shared" si="4"/>
        <v>A980</v>
      </c>
      <c r="C66" s="40" t="str">
        <f t="shared" si="0"/>
        <v>10000000</v>
      </c>
      <c r="D66" s="5" t="str">
        <f t="shared" si="1"/>
        <v>10001000</v>
      </c>
      <c r="E66" s="6" t="str">
        <f t="shared" si="2"/>
        <v>80</v>
      </c>
      <c r="F66" s="7" t="str">
        <f t="shared" si="3"/>
        <v>88</v>
      </c>
    </row>
    <row r="67" spans="1:6" x14ac:dyDescent="0.3">
      <c r="A67" s="39" t="s">
        <v>239</v>
      </c>
      <c r="B67" s="5" t="str">
        <f t="shared" si="4"/>
        <v>A982</v>
      </c>
      <c r="C67" s="40" t="str">
        <f t="shared" ref="C67:C130" si="5">MID($A67,15,8)</f>
        <v>10010001</v>
      </c>
      <c r="D67" s="5" t="str">
        <f t="shared" ref="D67:D130" si="6">MID($A67,26,8)</f>
        <v>10000000</v>
      </c>
      <c r="E67" s="6" t="str">
        <f t="shared" ref="E67:E130" si="7">BIN2HEX(C67)</f>
        <v>91</v>
      </c>
      <c r="F67" s="7" t="str">
        <f t="shared" ref="F67:F130" si="8">BIN2HEX(D67)</f>
        <v>80</v>
      </c>
    </row>
    <row r="68" spans="1:6" x14ac:dyDescent="0.3">
      <c r="A68" s="39" t="s">
        <v>240</v>
      </c>
      <c r="B68" s="5" t="str">
        <f t="shared" ref="B68:B131" si="9">DEC2HEX(HEX2DEC(B67)+2)</f>
        <v>A984</v>
      </c>
      <c r="C68" s="40" t="str">
        <f t="shared" si="5"/>
        <v>10100010</v>
      </c>
      <c r="D68" s="5" t="str">
        <f t="shared" si="6"/>
        <v>10000000</v>
      </c>
      <c r="E68" s="6" t="str">
        <f t="shared" si="7"/>
        <v>A2</v>
      </c>
      <c r="F68" s="7" t="str">
        <f t="shared" si="8"/>
        <v>80</v>
      </c>
    </row>
    <row r="69" spans="1:6" x14ac:dyDescent="0.3">
      <c r="A69" s="39" t="s">
        <v>241</v>
      </c>
      <c r="B69" s="5" t="str">
        <f t="shared" si="9"/>
        <v>A986</v>
      </c>
      <c r="C69" s="40" t="str">
        <f t="shared" si="5"/>
        <v>11000100</v>
      </c>
      <c r="D69" s="5" t="str">
        <f t="shared" si="6"/>
        <v>10000000</v>
      </c>
      <c r="E69" s="6" t="str">
        <f t="shared" si="7"/>
        <v>C4</v>
      </c>
      <c r="F69" s="7" t="str">
        <f t="shared" si="8"/>
        <v>80</v>
      </c>
    </row>
    <row r="70" spans="1:6" x14ac:dyDescent="0.3">
      <c r="A70" s="39" t="s">
        <v>242</v>
      </c>
      <c r="B70" s="5" t="str">
        <f t="shared" si="9"/>
        <v>A988</v>
      </c>
      <c r="C70" s="40" t="str">
        <f t="shared" si="5"/>
        <v>10001000</v>
      </c>
      <c r="D70" s="5" t="str">
        <f t="shared" si="6"/>
        <v>10000001</v>
      </c>
      <c r="E70" s="6" t="str">
        <f t="shared" si="7"/>
        <v>88</v>
      </c>
      <c r="F70" s="7" t="str">
        <f t="shared" si="8"/>
        <v>81</v>
      </c>
    </row>
    <row r="71" spans="1:6" x14ac:dyDescent="0.3">
      <c r="A71" s="39" t="s">
        <v>243</v>
      </c>
      <c r="B71" s="5" t="str">
        <f t="shared" si="9"/>
        <v>A98A</v>
      </c>
      <c r="C71" s="40" t="str">
        <f t="shared" si="5"/>
        <v>10010000</v>
      </c>
      <c r="D71" s="5" t="str">
        <f t="shared" si="6"/>
        <v>10000010</v>
      </c>
      <c r="E71" s="6" t="str">
        <f t="shared" si="7"/>
        <v>90</v>
      </c>
      <c r="F71" s="7" t="str">
        <f t="shared" si="8"/>
        <v>82</v>
      </c>
    </row>
    <row r="72" spans="1:6" x14ac:dyDescent="0.3">
      <c r="A72" s="39" t="s">
        <v>244</v>
      </c>
      <c r="B72" s="5" t="str">
        <f t="shared" si="9"/>
        <v>A98C</v>
      </c>
      <c r="C72" s="40" t="str">
        <f t="shared" si="5"/>
        <v>10100000</v>
      </c>
      <c r="D72" s="5" t="str">
        <f t="shared" si="6"/>
        <v>10000100</v>
      </c>
      <c r="E72" s="6" t="str">
        <f t="shared" si="7"/>
        <v>A0</v>
      </c>
      <c r="F72" s="7" t="str">
        <f t="shared" si="8"/>
        <v>84</v>
      </c>
    </row>
    <row r="73" spans="1:6" x14ac:dyDescent="0.3">
      <c r="A73" s="39" t="s">
        <v>245</v>
      </c>
      <c r="B73" s="5" t="str">
        <f t="shared" si="9"/>
        <v>A98E</v>
      </c>
      <c r="C73" s="40" t="str">
        <f t="shared" si="5"/>
        <v>11000000</v>
      </c>
      <c r="D73" s="5" t="str">
        <f t="shared" si="6"/>
        <v>10001000</v>
      </c>
      <c r="E73" s="6" t="str">
        <f t="shared" si="7"/>
        <v>C0</v>
      </c>
      <c r="F73" s="7" t="str">
        <f t="shared" si="8"/>
        <v>88</v>
      </c>
    </row>
    <row r="74" spans="1:6" x14ac:dyDescent="0.3">
      <c r="A74" s="39" t="s">
        <v>246</v>
      </c>
      <c r="B74" s="5" t="str">
        <f t="shared" si="9"/>
        <v>A990</v>
      </c>
      <c r="C74" s="40" t="str">
        <f t="shared" si="5"/>
        <v>10000000</v>
      </c>
      <c r="D74" s="5" t="str">
        <f t="shared" si="6"/>
        <v>10001001</v>
      </c>
      <c r="E74" s="6" t="str">
        <f t="shared" si="7"/>
        <v>80</v>
      </c>
      <c r="F74" s="7" t="str">
        <f t="shared" si="8"/>
        <v>89</v>
      </c>
    </row>
    <row r="75" spans="1:6" x14ac:dyDescent="0.3">
      <c r="A75" s="39" t="s">
        <v>247</v>
      </c>
      <c r="B75" s="5" t="str">
        <f t="shared" si="9"/>
        <v>A992</v>
      </c>
      <c r="C75" s="40" t="str">
        <f t="shared" si="5"/>
        <v>10010011</v>
      </c>
      <c r="D75" s="5" t="str">
        <f t="shared" si="6"/>
        <v>10000000</v>
      </c>
      <c r="E75" s="6" t="str">
        <f t="shared" si="7"/>
        <v>93</v>
      </c>
      <c r="F75" s="7" t="str">
        <f t="shared" si="8"/>
        <v>80</v>
      </c>
    </row>
    <row r="76" spans="1:6" x14ac:dyDescent="0.3">
      <c r="A76" s="39" t="s">
        <v>248</v>
      </c>
      <c r="B76" s="5" t="str">
        <f t="shared" si="9"/>
        <v>A994</v>
      </c>
      <c r="C76" s="40" t="str">
        <f t="shared" si="5"/>
        <v>10100110</v>
      </c>
      <c r="D76" s="5" t="str">
        <f t="shared" si="6"/>
        <v>10000000</v>
      </c>
      <c r="E76" s="6" t="str">
        <f t="shared" si="7"/>
        <v>A6</v>
      </c>
      <c r="F76" s="7" t="str">
        <f t="shared" si="8"/>
        <v>80</v>
      </c>
    </row>
    <row r="77" spans="1:6" x14ac:dyDescent="0.3">
      <c r="A77" s="39" t="s">
        <v>249</v>
      </c>
      <c r="B77" s="5" t="str">
        <f t="shared" si="9"/>
        <v>A996</v>
      </c>
      <c r="C77" s="40" t="str">
        <f t="shared" si="5"/>
        <v>11001100</v>
      </c>
      <c r="D77" s="5" t="str">
        <f t="shared" si="6"/>
        <v>10000000</v>
      </c>
      <c r="E77" s="6" t="str">
        <f t="shared" si="7"/>
        <v>CC</v>
      </c>
      <c r="F77" s="7" t="str">
        <f t="shared" si="8"/>
        <v>80</v>
      </c>
    </row>
    <row r="78" spans="1:6" x14ac:dyDescent="0.3">
      <c r="A78" s="39" t="s">
        <v>250</v>
      </c>
      <c r="B78" s="5" t="str">
        <f t="shared" si="9"/>
        <v>A998</v>
      </c>
      <c r="C78" s="40" t="str">
        <f t="shared" si="5"/>
        <v>10011000</v>
      </c>
      <c r="D78" s="5" t="str">
        <f t="shared" si="6"/>
        <v>10000001</v>
      </c>
      <c r="E78" s="6" t="str">
        <f t="shared" si="7"/>
        <v>98</v>
      </c>
      <c r="F78" s="7" t="str">
        <f t="shared" si="8"/>
        <v>81</v>
      </c>
    </row>
    <row r="79" spans="1:6" x14ac:dyDescent="0.3">
      <c r="A79" s="39" t="s">
        <v>251</v>
      </c>
      <c r="B79" s="5" t="str">
        <f t="shared" si="9"/>
        <v>A99A</v>
      </c>
      <c r="C79" s="40" t="str">
        <f t="shared" si="5"/>
        <v>10110000</v>
      </c>
      <c r="D79" s="5" t="str">
        <f t="shared" si="6"/>
        <v>10000010</v>
      </c>
      <c r="E79" s="6" t="str">
        <f t="shared" si="7"/>
        <v>B0</v>
      </c>
      <c r="F79" s="7" t="str">
        <f t="shared" si="8"/>
        <v>82</v>
      </c>
    </row>
    <row r="80" spans="1:6" x14ac:dyDescent="0.3">
      <c r="A80" s="39" t="s">
        <v>252</v>
      </c>
      <c r="B80" s="5" t="str">
        <f t="shared" si="9"/>
        <v>A99C</v>
      </c>
      <c r="C80" s="40" t="str">
        <f t="shared" si="5"/>
        <v>11100000</v>
      </c>
      <c r="D80" s="5" t="str">
        <f t="shared" si="6"/>
        <v>10000100</v>
      </c>
      <c r="E80" s="6" t="str">
        <f t="shared" si="7"/>
        <v>E0</v>
      </c>
      <c r="F80" s="7" t="str">
        <f t="shared" si="8"/>
        <v>84</v>
      </c>
    </row>
    <row r="81" spans="1:6" x14ac:dyDescent="0.3">
      <c r="A81" s="39" t="s">
        <v>253</v>
      </c>
      <c r="B81" s="5" t="str">
        <f t="shared" si="9"/>
        <v>A99E</v>
      </c>
      <c r="C81" s="40" t="str">
        <f t="shared" si="5"/>
        <v>11000000</v>
      </c>
      <c r="D81" s="5" t="str">
        <f t="shared" si="6"/>
        <v>10001001</v>
      </c>
      <c r="E81" s="6" t="str">
        <f t="shared" si="7"/>
        <v>C0</v>
      </c>
      <c r="F81" s="7" t="str">
        <f t="shared" si="8"/>
        <v>89</v>
      </c>
    </row>
    <row r="82" spans="1:6" x14ac:dyDescent="0.3">
      <c r="A82" s="39" t="s">
        <v>254</v>
      </c>
      <c r="B82" s="5" t="str">
        <f t="shared" si="9"/>
        <v>A9A0</v>
      </c>
      <c r="C82" s="40" t="str">
        <f t="shared" si="5"/>
        <v>10000000</v>
      </c>
      <c r="D82" s="5" t="str">
        <f t="shared" si="6"/>
        <v>10001010</v>
      </c>
      <c r="E82" s="6" t="str">
        <f t="shared" si="7"/>
        <v>80</v>
      </c>
      <c r="F82" s="7" t="str">
        <f t="shared" si="8"/>
        <v>8A</v>
      </c>
    </row>
    <row r="83" spans="1:6" x14ac:dyDescent="0.3">
      <c r="A83" s="39" t="s">
        <v>255</v>
      </c>
      <c r="B83" s="5" t="str">
        <f t="shared" si="9"/>
        <v>A9A2</v>
      </c>
      <c r="C83" s="40" t="str">
        <f t="shared" si="5"/>
        <v>10010101</v>
      </c>
      <c r="D83" s="5" t="str">
        <f t="shared" si="6"/>
        <v>10000000</v>
      </c>
      <c r="E83" s="6" t="str">
        <f t="shared" si="7"/>
        <v>95</v>
      </c>
      <c r="F83" s="7" t="str">
        <f t="shared" si="8"/>
        <v>80</v>
      </c>
    </row>
    <row r="84" spans="1:6" x14ac:dyDescent="0.3">
      <c r="A84" s="39" t="s">
        <v>256</v>
      </c>
      <c r="B84" s="5" t="str">
        <f t="shared" si="9"/>
        <v>A9A4</v>
      </c>
      <c r="C84" s="40" t="str">
        <f t="shared" si="5"/>
        <v>10101010</v>
      </c>
      <c r="D84" s="5" t="str">
        <f t="shared" si="6"/>
        <v>10000000</v>
      </c>
      <c r="E84" s="6" t="str">
        <f t="shared" si="7"/>
        <v>AA</v>
      </c>
      <c r="F84" s="7" t="str">
        <f t="shared" si="8"/>
        <v>80</v>
      </c>
    </row>
    <row r="85" spans="1:6" x14ac:dyDescent="0.3">
      <c r="A85" s="39" t="s">
        <v>257</v>
      </c>
      <c r="B85" s="5" t="str">
        <f t="shared" si="9"/>
        <v>A9A6</v>
      </c>
      <c r="C85" s="40" t="str">
        <f t="shared" si="5"/>
        <v>11010100</v>
      </c>
      <c r="D85" s="5" t="str">
        <f t="shared" si="6"/>
        <v>10000000</v>
      </c>
      <c r="E85" s="6" t="str">
        <f t="shared" si="7"/>
        <v>D4</v>
      </c>
      <c r="F85" s="7" t="str">
        <f t="shared" si="8"/>
        <v>80</v>
      </c>
    </row>
    <row r="86" spans="1:6" x14ac:dyDescent="0.3">
      <c r="A86" s="39" t="s">
        <v>258</v>
      </c>
      <c r="B86" s="5" t="str">
        <f t="shared" si="9"/>
        <v>A9A8</v>
      </c>
      <c r="C86" s="40" t="str">
        <f t="shared" si="5"/>
        <v>10101000</v>
      </c>
      <c r="D86" s="5" t="str">
        <f t="shared" si="6"/>
        <v>10000001</v>
      </c>
      <c r="E86" s="6" t="str">
        <f t="shared" si="7"/>
        <v>A8</v>
      </c>
      <c r="F86" s="7" t="str">
        <f t="shared" si="8"/>
        <v>81</v>
      </c>
    </row>
    <row r="87" spans="1:6" x14ac:dyDescent="0.3">
      <c r="A87" s="39" t="s">
        <v>259</v>
      </c>
      <c r="B87" s="5" t="str">
        <f t="shared" si="9"/>
        <v>A9AA</v>
      </c>
      <c r="C87" s="40" t="str">
        <f t="shared" si="5"/>
        <v>11010000</v>
      </c>
      <c r="D87" s="5" t="str">
        <f t="shared" si="6"/>
        <v>10000010</v>
      </c>
      <c r="E87" s="6" t="str">
        <f t="shared" si="7"/>
        <v>D0</v>
      </c>
      <c r="F87" s="7" t="str">
        <f t="shared" si="8"/>
        <v>82</v>
      </c>
    </row>
    <row r="88" spans="1:6" x14ac:dyDescent="0.3">
      <c r="A88" s="39" t="s">
        <v>260</v>
      </c>
      <c r="B88" s="5" t="str">
        <f t="shared" si="9"/>
        <v>A9AC</v>
      </c>
      <c r="C88" s="40" t="str">
        <f t="shared" si="5"/>
        <v>10100000</v>
      </c>
      <c r="D88" s="5" t="str">
        <f t="shared" si="6"/>
        <v>10000101</v>
      </c>
      <c r="E88" s="6" t="str">
        <f t="shared" si="7"/>
        <v>A0</v>
      </c>
      <c r="F88" s="7" t="str">
        <f t="shared" si="8"/>
        <v>85</v>
      </c>
    </row>
    <row r="89" spans="1:6" x14ac:dyDescent="0.3">
      <c r="A89" s="39" t="s">
        <v>261</v>
      </c>
      <c r="B89" s="5" t="str">
        <f t="shared" si="9"/>
        <v>A9AE</v>
      </c>
      <c r="C89" s="40" t="str">
        <f t="shared" si="5"/>
        <v>11000000</v>
      </c>
      <c r="D89" s="5" t="str">
        <f t="shared" si="6"/>
        <v>10001010</v>
      </c>
      <c r="E89" s="6" t="str">
        <f t="shared" si="7"/>
        <v>C0</v>
      </c>
      <c r="F89" s="7" t="str">
        <f t="shared" si="8"/>
        <v>8A</v>
      </c>
    </row>
    <row r="90" spans="1:6" x14ac:dyDescent="0.3">
      <c r="A90" s="39" t="s">
        <v>262</v>
      </c>
      <c r="B90" s="5" t="str">
        <f t="shared" si="9"/>
        <v>A9B0</v>
      </c>
      <c r="C90" s="40" t="str">
        <f t="shared" si="5"/>
        <v>10000000</v>
      </c>
      <c r="D90" s="5" t="str">
        <f t="shared" si="6"/>
        <v>10001011</v>
      </c>
      <c r="E90" s="6" t="str">
        <f t="shared" si="7"/>
        <v>80</v>
      </c>
      <c r="F90" s="7" t="str">
        <f t="shared" si="8"/>
        <v>8B</v>
      </c>
    </row>
    <row r="91" spans="1:6" x14ac:dyDescent="0.3">
      <c r="A91" s="39" t="s">
        <v>263</v>
      </c>
      <c r="B91" s="5" t="str">
        <f t="shared" si="9"/>
        <v>A9B2</v>
      </c>
      <c r="C91" s="40" t="str">
        <f t="shared" si="5"/>
        <v>10010111</v>
      </c>
      <c r="D91" s="5" t="str">
        <f t="shared" si="6"/>
        <v>10000000</v>
      </c>
      <c r="E91" s="6" t="str">
        <f t="shared" si="7"/>
        <v>97</v>
      </c>
      <c r="F91" s="7" t="str">
        <f t="shared" si="8"/>
        <v>80</v>
      </c>
    </row>
    <row r="92" spans="1:6" x14ac:dyDescent="0.3">
      <c r="A92" s="39" t="s">
        <v>264</v>
      </c>
      <c r="B92" s="5" t="str">
        <f t="shared" si="9"/>
        <v>A9B4</v>
      </c>
      <c r="C92" s="40" t="str">
        <f t="shared" si="5"/>
        <v>10101110</v>
      </c>
      <c r="D92" s="5" t="str">
        <f t="shared" si="6"/>
        <v>10000000</v>
      </c>
      <c r="E92" s="6" t="str">
        <f t="shared" si="7"/>
        <v>AE</v>
      </c>
      <c r="F92" s="7" t="str">
        <f t="shared" si="8"/>
        <v>80</v>
      </c>
    </row>
    <row r="93" spans="1:6" x14ac:dyDescent="0.3">
      <c r="A93" s="39" t="s">
        <v>265</v>
      </c>
      <c r="B93" s="5" t="str">
        <f t="shared" si="9"/>
        <v>A9B6</v>
      </c>
      <c r="C93" s="40" t="str">
        <f t="shared" si="5"/>
        <v>11011100</v>
      </c>
      <c r="D93" s="5" t="str">
        <f t="shared" si="6"/>
        <v>10000000</v>
      </c>
      <c r="E93" s="6" t="str">
        <f t="shared" si="7"/>
        <v>DC</v>
      </c>
      <c r="F93" s="7" t="str">
        <f t="shared" si="8"/>
        <v>80</v>
      </c>
    </row>
    <row r="94" spans="1:6" x14ac:dyDescent="0.3">
      <c r="A94" s="39" t="s">
        <v>266</v>
      </c>
      <c r="B94" s="5" t="str">
        <f t="shared" si="9"/>
        <v>A9B8</v>
      </c>
      <c r="C94" s="40" t="str">
        <f t="shared" si="5"/>
        <v>10111000</v>
      </c>
      <c r="D94" s="5" t="str">
        <f t="shared" si="6"/>
        <v>10000001</v>
      </c>
      <c r="E94" s="6" t="str">
        <f t="shared" si="7"/>
        <v>B8</v>
      </c>
      <c r="F94" s="7" t="str">
        <f t="shared" si="8"/>
        <v>81</v>
      </c>
    </row>
    <row r="95" spans="1:6" x14ac:dyDescent="0.3">
      <c r="A95" s="39" t="s">
        <v>267</v>
      </c>
      <c r="B95" s="5" t="str">
        <f t="shared" si="9"/>
        <v>A9BA</v>
      </c>
      <c r="C95" s="40" t="str">
        <f t="shared" si="5"/>
        <v>11110000</v>
      </c>
      <c r="D95" s="5" t="str">
        <f t="shared" si="6"/>
        <v>10000010</v>
      </c>
      <c r="E95" s="6" t="str">
        <f t="shared" si="7"/>
        <v>F0</v>
      </c>
      <c r="F95" s="7" t="str">
        <f t="shared" si="8"/>
        <v>82</v>
      </c>
    </row>
    <row r="96" spans="1:6" x14ac:dyDescent="0.3">
      <c r="A96" s="39" t="s">
        <v>268</v>
      </c>
      <c r="B96" s="5" t="str">
        <f t="shared" si="9"/>
        <v>A9BC</v>
      </c>
      <c r="C96" s="40" t="str">
        <f t="shared" si="5"/>
        <v>11100000</v>
      </c>
      <c r="D96" s="5" t="str">
        <f t="shared" si="6"/>
        <v>10000101</v>
      </c>
      <c r="E96" s="6" t="str">
        <f t="shared" si="7"/>
        <v>E0</v>
      </c>
      <c r="F96" s="7" t="str">
        <f t="shared" si="8"/>
        <v>85</v>
      </c>
    </row>
    <row r="97" spans="1:6" x14ac:dyDescent="0.3">
      <c r="A97" s="39" t="s">
        <v>269</v>
      </c>
      <c r="B97" s="5" t="str">
        <f t="shared" si="9"/>
        <v>A9BE</v>
      </c>
      <c r="C97" s="40" t="str">
        <f t="shared" si="5"/>
        <v>11000000</v>
      </c>
      <c r="D97" s="5" t="str">
        <f t="shared" si="6"/>
        <v>10001011</v>
      </c>
      <c r="E97" s="6" t="str">
        <f t="shared" si="7"/>
        <v>C0</v>
      </c>
      <c r="F97" s="7" t="str">
        <f t="shared" si="8"/>
        <v>8B</v>
      </c>
    </row>
    <row r="98" spans="1:6" x14ac:dyDescent="0.3">
      <c r="A98" s="39" t="s">
        <v>270</v>
      </c>
      <c r="B98" s="5" t="str">
        <f t="shared" si="9"/>
        <v>A9C0</v>
      </c>
      <c r="C98" s="40" t="str">
        <f t="shared" si="5"/>
        <v>10000000</v>
      </c>
      <c r="D98" s="5" t="str">
        <f t="shared" si="6"/>
        <v>10001100</v>
      </c>
      <c r="E98" s="6" t="str">
        <f t="shared" si="7"/>
        <v>80</v>
      </c>
      <c r="F98" s="7" t="str">
        <f t="shared" si="8"/>
        <v>8C</v>
      </c>
    </row>
    <row r="99" spans="1:6" x14ac:dyDescent="0.3">
      <c r="A99" s="39" t="s">
        <v>271</v>
      </c>
      <c r="B99" s="5" t="str">
        <f t="shared" si="9"/>
        <v>A9C2</v>
      </c>
      <c r="C99" s="40" t="str">
        <f t="shared" si="5"/>
        <v>10011001</v>
      </c>
      <c r="D99" s="5" t="str">
        <f t="shared" si="6"/>
        <v>10000000</v>
      </c>
      <c r="E99" s="6" t="str">
        <f t="shared" si="7"/>
        <v>99</v>
      </c>
      <c r="F99" s="7" t="str">
        <f t="shared" si="8"/>
        <v>80</v>
      </c>
    </row>
    <row r="100" spans="1:6" x14ac:dyDescent="0.3">
      <c r="A100" s="39" t="s">
        <v>272</v>
      </c>
      <c r="B100" s="5" t="str">
        <f t="shared" si="9"/>
        <v>A9C4</v>
      </c>
      <c r="C100" s="40" t="str">
        <f t="shared" si="5"/>
        <v>10110010</v>
      </c>
      <c r="D100" s="5" t="str">
        <f t="shared" si="6"/>
        <v>10000000</v>
      </c>
      <c r="E100" s="6" t="str">
        <f t="shared" si="7"/>
        <v>B2</v>
      </c>
      <c r="F100" s="7" t="str">
        <f t="shared" si="8"/>
        <v>80</v>
      </c>
    </row>
    <row r="101" spans="1:6" x14ac:dyDescent="0.3">
      <c r="A101" s="39" t="s">
        <v>273</v>
      </c>
      <c r="B101" s="5" t="str">
        <f t="shared" si="9"/>
        <v>A9C6</v>
      </c>
      <c r="C101" s="40" t="str">
        <f t="shared" si="5"/>
        <v>11100100</v>
      </c>
      <c r="D101" s="5" t="str">
        <f t="shared" si="6"/>
        <v>10000000</v>
      </c>
      <c r="E101" s="6" t="str">
        <f t="shared" si="7"/>
        <v>E4</v>
      </c>
      <c r="F101" s="7" t="str">
        <f t="shared" si="8"/>
        <v>80</v>
      </c>
    </row>
    <row r="102" spans="1:6" x14ac:dyDescent="0.3">
      <c r="A102" s="39" t="s">
        <v>274</v>
      </c>
      <c r="B102" s="5" t="str">
        <f t="shared" si="9"/>
        <v>A9C8</v>
      </c>
      <c r="C102" s="40" t="str">
        <f t="shared" si="5"/>
        <v>11001000</v>
      </c>
      <c r="D102" s="5" t="str">
        <f t="shared" si="6"/>
        <v>10000001</v>
      </c>
      <c r="E102" s="6" t="str">
        <f t="shared" si="7"/>
        <v>C8</v>
      </c>
      <c r="F102" s="7" t="str">
        <f t="shared" si="8"/>
        <v>81</v>
      </c>
    </row>
    <row r="103" spans="1:6" x14ac:dyDescent="0.3">
      <c r="A103" s="39" t="s">
        <v>275</v>
      </c>
      <c r="B103" s="5" t="str">
        <f t="shared" si="9"/>
        <v>A9CA</v>
      </c>
      <c r="C103" s="40" t="str">
        <f t="shared" si="5"/>
        <v>10010000</v>
      </c>
      <c r="D103" s="5" t="str">
        <f t="shared" si="6"/>
        <v>10000011</v>
      </c>
      <c r="E103" s="6" t="str">
        <f t="shared" si="7"/>
        <v>90</v>
      </c>
      <c r="F103" s="7" t="str">
        <f t="shared" si="8"/>
        <v>83</v>
      </c>
    </row>
    <row r="104" spans="1:6" x14ac:dyDescent="0.3">
      <c r="A104" s="39" t="s">
        <v>276</v>
      </c>
      <c r="B104" s="5" t="str">
        <f t="shared" si="9"/>
        <v>A9CC</v>
      </c>
      <c r="C104" s="40" t="str">
        <f t="shared" si="5"/>
        <v>10100000</v>
      </c>
      <c r="D104" s="5" t="str">
        <f t="shared" si="6"/>
        <v>10000110</v>
      </c>
      <c r="E104" s="6" t="str">
        <f t="shared" si="7"/>
        <v>A0</v>
      </c>
      <c r="F104" s="7" t="str">
        <f t="shared" si="8"/>
        <v>86</v>
      </c>
    </row>
    <row r="105" spans="1:6" x14ac:dyDescent="0.3">
      <c r="A105" s="39" t="s">
        <v>277</v>
      </c>
      <c r="B105" s="5" t="str">
        <f t="shared" si="9"/>
        <v>A9CE</v>
      </c>
      <c r="C105" s="40" t="str">
        <f t="shared" si="5"/>
        <v>11000000</v>
      </c>
      <c r="D105" s="5" t="str">
        <f t="shared" si="6"/>
        <v>10001100</v>
      </c>
      <c r="E105" s="6" t="str">
        <f t="shared" si="7"/>
        <v>C0</v>
      </c>
      <c r="F105" s="7" t="str">
        <f t="shared" si="8"/>
        <v>8C</v>
      </c>
    </row>
    <row r="106" spans="1:6" x14ac:dyDescent="0.3">
      <c r="A106" s="39" t="s">
        <v>278</v>
      </c>
      <c r="B106" s="5" t="str">
        <f t="shared" si="9"/>
        <v>A9D0</v>
      </c>
      <c r="C106" s="40" t="str">
        <f t="shared" si="5"/>
        <v>10000000</v>
      </c>
      <c r="D106" s="5" t="str">
        <f t="shared" si="6"/>
        <v>10001101</v>
      </c>
      <c r="E106" s="6" t="str">
        <f t="shared" si="7"/>
        <v>80</v>
      </c>
      <c r="F106" s="7" t="str">
        <f t="shared" si="8"/>
        <v>8D</v>
      </c>
    </row>
    <row r="107" spans="1:6" x14ac:dyDescent="0.3">
      <c r="A107" s="39" t="s">
        <v>279</v>
      </c>
      <c r="B107" s="5" t="str">
        <f t="shared" si="9"/>
        <v>A9D2</v>
      </c>
      <c r="C107" s="40" t="str">
        <f t="shared" si="5"/>
        <v>10011011</v>
      </c>
      <c r="D107" s="5" t="str">
        <f t="shared" si="6"/>
        <v>10000000</v>
      </c>
      <c r="E107" s="6" t="str">
        <f t="shared" si="7"/>
        <v>9B</v>
      </c>
      <c r="F107" s="7" t="str">
        <f t="shared" si="8"/>
        <v>80</v>
      </c>
    </row>
    <row r="108" spans="1:6" x14ac:dyDescent="0.3">
      <c r="A108" s="39" t="s">
        <v>280</v>
      </c>
      <c r="B108" s="5" t="str">
        <f t="shared" si="9"/>
        <v>A9D4</v>
      </c>
      <c r="C108" s="40" t="str">
        <f t="shared" si="5"/>
        <v>10110110</v>
      </c>
      <c r="D108" s="5" t="str">
        <f t="shared" si="6"/>
        <v>10000000</v>
      </c>
      <c r="E108" s="6" t="str">
        <f t="shared" si="7"/>
        <v>B6</v>
      </c>
      <c r="F108" s="7" t="str">
        <f t="shared" si="8"/>
        <v>80</v>
      </c>
    </row>
    <row r="109" spans="1:6" x14ac:dyDescent="0.3">
      <c r="A109" s="39" t="s">
        <v>281</v>
      </c>
      <c r="B109" s="5" t="str">
        <f t="shared" si="9"/>
        <v>A9D6</v>
      </c>
      <c r="C109" s="40" t="str">
        <f t="shared" si="5"/>
        <v>11101100</v>
      </c>
      <c r="D109" s="5" t="str">
        <f t="shared" si="6"/>
        <v>10000000</v>
      </c>
      <c r="E109" s="6" t="str">
        <f t="shared" si="7"/>
        <v>EC</v>
      </c>
      <c r="F109" s="7" t="str">
        <f t="shared" si="8"/>
        <v>80</v>
      </c>
    </row>
    <row r="110" spans="1:6" x14ac:dyDescent="0.3">
      <c r="A110" s="39" t="s">
        <v>282</v>
      </c>
      <c r="B110" s="5" t="str">
        <f t="shared" si="9"/>
        <v>A9D8</v>
      </c>
      <c r="C110" s="40" t="str">
        <f t="shared" si="5"/>
        <v>11011000</v>
      </c>
      <c r="D110" s="5" t="str">
        <f t="shared" si="6"/>
        <v>10000001</v>
      </c>
      <c r="E110" s="6" t="str">
        <f t="shared" si="7"/>
        <v>D8</v>
      </c>
      <c r="F110" s="7" t="str">
        <f t="shared" si="8"/>
        <v>81</v>
      </c>
    </row>
    <row r="111" spans="1:6" x14ac:dyDescent="0.3">
      <c r="A111" s="39" t="s">
        <v>283</v>
      </c>
      <c r="B111" s="5" t="str">
        <f t="shared" si="9"/>
        <v>A9DA</v>
      </c>
      <c r="C111" s="40" t="str">
        <f t="shared" si="5"/>
        <v>10110000</v>
      </c>
      <c r="D111" s="5" t="str">
        <f t="shared" si="6"/>
        <v>10000011</v>
      </c>
      <c r="E111" s="6" t="str">
        <f t="shared" si="7"/>
        <v>B0</v>
      </c>
      <c r="F111" s="7" t="str">
        <f t="shared" si="8"/>
        <v>83</v>
      </c>
    </row>
    <row r="112" spans="1:6" x14ac:dyDescent="0.3">
      <c r="A112" s="39" t="s">
        <v>284</v>
      </c>
      <c r="B112" s="5" t="str">
        <f t="shared" si="9"/>
        <v>A9DC</v>
      </c>
      <c r="C112" s="40" t="str">
        <f t="shared" si="5"/>
        <v>11100000</v>
      </c>
      <c r="D112" s="5" t="str">
        <f t="shared" si="6"/>
        <v>10000110</v>
      </c>
      <c r="E112" s="6" t="str">
        <f t="shared" si="7"/>
        <v>E0</v>
      </c>
      <c r="F112" s="7" t="str">
        <f t="shared" si="8"/>
        <v>86</v>
      </c>
    </row>
    <row r="113" spans="1:6" x14ac:dyDescent="0.3">
      <c r="A113" s="39" t="s">
        <v>285</v>
      </c>
      <c r="B113" s="5" t="str">
        <f t="shared" si="9"/>
        <v>A9DE</v>
      </c>
      <c r="C113" s="40" t="str">
        <f t="shared" si="5"/>
        <v>11000000</v>
      </c>
      <c r="D113" s="5" t="str">
        <f t="shared" si="6"/>
        <v>10001101</v>
      </c>
      <c r="E113" s="6" t="str">
        <f t="shared" si="7"/>
        <v>C0</v>
      </c>
      <c r="F113" s="7" t="str">
        <f t="shared" si="8"/>
        <v>8D</v>
      </c>
    </row>
    <row r="114" spans="1:6" x14ac:dyDescent="0.3">
      <c r="A114" s="39" t="s">
        <v>286</v>
      </c>
      <c r="B114" s="5" t="str">
        <f t="shared" si="9"/>
        <v>A9E0</v>
      </c>
      <c r="C114" s="40" t="str">
        <f t="shared" si="5"/>
        <v>10000000</v>
      </c>
      <c r="D114" s="5" t="str">
        <f t="shared" si="6"/>
        <v>10001110</v>
      </c>
      <c r="E114" s="6" t="str">
        <f t="shared" si="7"/>
        <v>80</v>
      </c>
      <c r="F114" s="7" t="str">
        <f t="shared" si="8"/>
        <v>8E</v>
      </c>
    </row>
    <row r="115" spans="1:6" x14ac:dyDescent="0.3">
      <c r="A115" s="39" t="s">
        <v>287</v>
      </c>
      <c r="B115" s="5" t="str">
        <f t="shared" si="9"/>
        <v>A9E2</v>
      </c>
      <c r="C115" s="40" t="str">
        <f t="shared" si="5"/>
        <v>10011101</v>
      </c>
      <c r="D115" s="5" t="str">
        <f t="shared" si="6"/>
        <v>10000000</v>
      </c>
      <c r="E115" s="6" t="str">
        <f t="shared" si="7"/>
        <v>9D</v>
      </c>
      <c r="F115" s="7" t="str">
        <f t="shared" si="8"/>
        <v>80</v>
      </c>
    </row>
    <row r="116" spans="1:6" x14ac:dyDescent="0.3">
      <c r="A116" s="39" t="s">
        <v>288</v>
      </c>
      <c r="B116" s="5" t="str">
        <f t="shared" si="9"/>
        <v>A9E4</v>
      </c>
      <c r="C116" s="40" t="str">
        <f t="shared" si="5"/>
        <v>10111010</v>
      </c>
      <c r="D116" s="5" t="str">
        <f t="shared" si="6"/>
        <v>10000000</v>
      </c>
      <c r="E116" s="6" t="str">
        <f t="shared" si="7"/>
        <v>BA</v>
      </c>
      <c r="F116" s="7" t="str">
        <f t="shared" si="8"/>
        <v>80</v>
      </c>
    </row>
    <row r="117" spans="1:6" x14ac:dyDescent="0.3">
      <c r="A117" s="39" t="s">
        <v>289</v>
      </c>
      <c r="B117" s="5" t="str">
        <f t="shared" si="9"/>
        <v>A9E6</v>
      </c>
      <c r="C117" s="40" t="str">
        <f t="shared" si="5"/>
        <v>11110100</v>
      </c>
      <c r="D117" s="5" t="str">
        <f t="shared" si="6"/>
        <v>10000000</v>
      </c>
      <c r="E117" s="6" t="str">
        <f t="shared" si="7"/>
        <v>F4</v>
      </c>
      <c r="F117" s="7" t="str">
        <f t="shared" si="8"/>
        <v>80</v>
      </c>
    </row>
    <row r="118" spans="1:6" x14ac:dyDescent="0.3">
      <c r="A118" s="39" t="s">
        <v>290</v>
      </c>
      <c r="B118" s="5" t="str">
        <f t="shared" si="9"/>
        <v>A9E8</v>
      </c>
      <c r="C118" s="40" t="str">
        <f t="shared" si="5"/>
        <v>11101000</v>
      </c>
      <c r="D118" s="5" t="str">
        <f t="shared" si="6"/>
        <v>10000001</v>
      </c>
      <c r="E118" s="6" t="str">
        <f t="shared" si="7"/>
        <v>E8</v>
      </c>
      <c r="F118" s="7" t="str">
        <f t="shared" si="8"/>
        <v>81</v>
      </c>
    </row>
    <row r="119" spans="1:6" x14ac:dyDescent="0.3">
      <c r="A119" s="39" t="s">
        <v>291</v>
      </c>
      <c r="B119" s="5" t="str">
        <f t="shared" si="9"/>
        <v>A9EA</v>
      </c>
      <c r="C119" s="40" t="str">
        <f t="shared" si="5"/>
        <v>11010000</v>
      </c>
      <c r="D119" s="5" t="str">
        <f t="shared" si="6"/>
        <v>10000011</v>
      </c>
      <c r="E119" s="6" t="str">
        <f t="shared" si="7"/>
        <v>D0</v>
      </c>
      <c r="F119" s="7" t="str">
        <f t="shared" si="8"/>
        <v>83</v>
      </c>
    </row>
    <row r="120" spans="1:6" x14ac:dyDescent="0.3">
      <c r="A120" s="39" t="s">
        <v>292</v>
      </c>
      <c r="B120" s="5" t="str">
        <f t="shared" si="9"/>
        <v>A9EC</v>
      </c>
      <c r="C120" s="40" t="str">
        <f t="shared" si="5"/>
        <v>10100000</v>
      </c>
      <c r="D120" s="5" t="str">
        <f t="shared" si="6"/>
        <v>10000111</v>
      </c>
      <c r="E120" s="6" t="str">
        <f t="shared" si="7"/>
        <v>A0</v>
      </c>
      <c r="F120" s="7" t="str">
        <f t="shared" si="8"/>
        <v>87</v>
      </c>
    </row>
    <row r="121" spans="1:6" x14ac:dyDescent="0.3">
      <c r="A121" s="39" t="s">
        <v>293</v>
      </c>
      <c r="B121" s="5" t="str">
        <f t="shared" si="9"/>
        <v>A9EE</v>
      </c>
      <c r="C121" s="40" t="str">
        <f t="shared" si="5"/>
        <v>11000000</v>
      </c>
      <c r="D121" s="5" t="str">
        <f t="shared" si="6"/>
        <v>10001110</v>
      </c>
      <c r="E121" s="6" t="str">
        <f t="shared" si="7"/>
        <v>C0</v>
      </c>
      <c r="F121" s="7" t="str">
        <f t="shared" si="8"/>
        <v>8E</v>
      </c>
    </row>
    <row r="122" spans="1:6" x14ac:dyDescent="0.3">
      <c r="A122" s="39" t="s">
        <v>294</v>
      </c>
      <c r="B122" s="5" t="str">
        <f t="shared" si="9"/>
        <v>A9F0</v>
      </c>
      <c r="C122" s="40" t="str">
        <f t="shared" si="5"/>
        <v>10000000</v>
      </c>
      <c r="D122" s="5" t="str">
        <f t="shared" si="6"/>
        <v>10001111</v>
      </c>
      <c r="E122" s="6" t="str">
        <f t="shared" si="7"/>
        <v>80</v>
      </c>
      <c r="F122" s="7" t="str">
        <f t="shared" si="8"/>
        <v>8F</v>
      </c>
    </row>
    <row r="123" spans="1:6" x14ac:dyDescent="0.3">
      <c r="A123" s="39" t="s">
        <v>295</v>
      </c>
      <c r="B123" s="5" t="str">
        <f t="shared" si="9"/>
        <v>A9F2</v>
      </c>
      <c r="C123" s="40" t="str">
        <f t="shared" si="5"/>
        <v>10011111</v>
      </c>
      <c r="D123" s="5" t="str">
        <f t="shared" si="6"/>
        <v>10000000</v>
      </c>
      <c r="E123" s="6" t="str">
        <f t="shared" si="7"/>
        <v>9F</v>
      </c>
      <c r="F123" s="7" t="str">
        <f t="shared" si="8"/>
        <v>80</v>
      </c>
    </row>
    <row r="124" spans="1:6" x14ac:dyDescent="0.3">
      <c r="A124" s="39" t="s">
        <v>296</v>
      </c>
      <c r="B124" s="5" t="str">
        <f t="shared" si="9"/>
        <v>A9F4</v>
      </c>
      <c r="C124" s="40" t="str">
        <f t="shared" si="5"/>
        <v>10111110</v>
      </c>
      <c r="D124" s="5" t="str">
        <f t="shared" si="6"/>
        <v>10000000</v>
      </c>
      <c r="E124" s="6" t="str">
        <f t="shared" si="7"/>
        <v>BE</v>
      </c>
      <c r="F124" s="7" t="str">
        <f t="shared" si="8"/>
        <v>80</v>
      </c>
    </row>
    <row r="125" spans="1:6" x14ac:dyDescent="0.3">
      <c r="A125" s="39" t="s">
        <v>297</v>
      </c>
      <c r="B125" s="5" t="str">
        <f t="shared" si="9"/>
        <v>A9F6</v>
      </c>
      <c r="C125" s="40" t="str">
        <f t="shared" si="5"/>
        <v>11111100</v>
      </c>
      <c r="D125" s="5" t="str">
        <f t="shared" si="6"/>
        <v>10000000</v>
      </c>
      <c r="E125" s="6" t="str">
        <f t="shared" si="7"/>
        <v>FC</v>
      </c>
      <c r="F125" s="7" t="str">
        <f t="shared" si="8"/>
        <v>80</v>
      </c>
    </row>
    <row r="126" spans="1:6" x14ac:dyDescent="0.3">
      <c r="A126" s="39" t="s">
        <v>298</v>
      </c>
      <c r="B126" s="5" t="str">
        <f t="shared" si="9"/>
        <v>A9F8</v>
      </c>
      <c r="C126" s="40" t="str">
        <f t="shared" si="5"/>
        <v>11111000</v>
      </c>
      <c r="D126" s="5" t="str">
        <f t="shared" si="6"/>
        <v>10000001</v>
      </c>
      <c r="E126" s="6" t="str">
        <f t="shared" si="7"/>
        <v>F8</v>
      </c>
      <c r="F126" s="7" t="str">
        <f t="shared" si="8"/>
        <v>81</v>
      </c>
    </row>
    <row r="127" spans="1:6" x14ac:dyDescent="0.3">
      <c r="A127" s="39" t="s">
        <v>299</v>
      </c>
      <c r="B127" s="5" t="str">
        <f t="shared" si="9"/>
        <v>A9FA</v>
      </c>
      <c r="C127" s="40" t="str">
        <f t="shared" si="5"/>
        <v>11110000</v>
      </c>
      <c r="D127" s="5" t="str">
        <f t="shared" si="6"/>
        <v>10000011</v>
      </c>
      <c r="E127" s="6" t="str">
        <f t="shared" si="7"/>
        <v>F0</v>
      </c>
      <c r="F127" s="7" t="str">
        <f t="shared" si="8"/>
        <v>83</v>
      </c>
    </row>
    <row r="128" spans="1:6" x14ac:dyDescent="0.3">
      <c r="A128" s="39" t="s">
        <v>300</v>
      </c>
      <c r="B128" s="5" t="str">
        <f t="shared" si="9"/>
        <v>A9FC</v>
      </c>
      <c r="C128" s="40" t="str">
        <f t="shared" si="5"/>
        <v>11100000</v>
      </c>
      <c r="D128" s="5" t="str">
        <f t="shared" si="6"/>
        <v>10000111</v>
      </c>
      <c r="E128" s="6" t="str">
        <f t="shared" si="7"/>
        <v>E0</v>
      </c>
      <c r="F128" s="7" t="str">
        <f t="shared" si="8"/>
        <v>87</v>
      </c>
    </row>
    <row r="129" spans="1:6" x14ac:dyDescent="0.3">
      <c r="A129" s="39" t="s">
        <v>301</v>
      </c>
      <c r="B129" s="5" t="str">
        <f t="shared" si="9"/>
        <v>A9FE</v>
      </c>
      <c r="C129" s="40" t="str">
        <f t="shared" si="5"/>
        <v>11000000</v>
      </c>
      <c r="D129" s="5" t="str">
        <f t="shared" si="6"/>
        <v>10001111</v>
      </c>
      <c r="E129" s="6" t="str">
        <f t="shared" si="7"/>
        <v>C0</v>
      </c>
      <c r="F129" s="7" t="str">
        <f t="shared" si="8"/>
        <v>8F</v>
      </c>
    </row>
    <row r="130" spans="1:6" x14ac:dyDescent="0.3">
      <c r="A130" s="39" t="s">
        <v>302</v>
      </c>
      <c r="B130" s="5" t="str">
        <f t="shared" si="9"/>
        <v>AA00</v>
      </c>
      <c r="C130" s="40" t="str">
        <f t="shared" si="5"/>
        <v>10000000</v>
      </c>
      <c r="D130" s="5" t="str">
        <f t="shared" si="6"/>
        <v>10010000</v>
      </c>
      <c r="E130" s="6" t="str">
        <f t="shared" si="7"/>
        <v>80</v>
      </c>
      <c r="F130" s="7" t="str">
        <f t="shared" si="8"/>
        <v>90</v>
      </c>
    </row>
    <row r="131" spans="1:6" x14ac:dyDescent="0.3">
      <c r="A131" s="39" t="s">
        <v>303</v>
      </c>
      <c r="B131" s="5" t="str">
        <f t="shared" si="9"/>
        <v>AA02</v>
      </c>
      <c r="C131" s="40" t="str">
        <f t="shared" ref="C131:C194" si="10">MID($A131,15,8)</f>
        <v>10100001</v>
      </c>
      <c r="D131" s="5" t="str">
        <f t="shared" ref="D131:D194" si="11">MID($A131,26,8)</f>
        <v>10000000</v>
      </c>
      <c r="E131" s="6" t="str">
        <f t="shared" ref="E131:E194" si="12">BIN2HEX(C131)</f>
        <v>A1</v>
      </c>
      <c r="F131" s="7" t="str">
        <f t="shared" ref="F131:F194" si="13">BIN2HEX(D131)</f>
        <v>80</v>
      </c>
    </row>
    <row r="132" spans="1:6" x14ac:dyDescent="0.3">
      <c r="A132" s="39" t="s">
        <v>304</v>
      </c>
      <c r="B132" s="5" t="str">
        <f t="shared" ref="B132:B195" si="14">DEC2HEX(HEX2DEC(B131)+2)</f>
        <v>AA04</v>
      </c>
      <c r="C132" s="40" t="str">
        <f t="shared" si="10"/>
        <v>11000010</v>
      </c>
      <c r="D132" s="5" t="str">
        <f t="shared" si="11"/>
        <v>10000000</v>
      </c>
      <c r="E132" s="6" t="str">
        <f t="shared" si="12"/>
        <v>C2</v>
      </c>
      <c r="F132" s="7" t="str">
        <f t="shared" si="13"/>
        <v>80</v>
      </c>
    </row>
    <row r="133" spans="1:6" x14ac:dyDescent="0.3">
      <c r="A133" s="39" t="s">
        <v>305</v>
      </c>
      <c r="B133" s="5" t="str">
        <f t="shared" si="14"/>
        <v>AA06</v>
      </c>
      <c r="C133" s="40" t="str">
        <f t="shared" si="10"/>
        <v>10000100</v>
      </c>
      <c r="D133" s="5" t="str">
        <f t="shared" si="11"/>
        <v>10000001</v>
      </c>
      <c r="E133" s="6" t="str">
        <f t="shared" si="12"/>
        <v>84</v>
      </c>
      <c r="F133" s="7" t="str">
        <f t="shared" si="13"/>
        <v>81</v>
      </c>
    </row>
    <row r="134" spans="1:6" x14ac:dyDescent="0.3">
      <c r="A134" s="39" t="s">
        <v>306</v>
      </c>
      <c r="B134" s="5" t="str">
        <f t="shared" si="14"/>
        <v>AA08</v>
      </c>
      <c r="C134" s="40" t="str">
        <f t="shared" si="10"/>
        <v>10001000</v>
      </c>
      <c r="D134" s="5" t="str">
        <f t="shared" si="11"/>
        <v>10000010</v>
      </c>
      <c r="E134" s="6" t="str">
        <f t="shared" si="12"/>
        <v>88</v>
      </c>
      <c r="F134" s="7" t="str">
        <f t="shared" si="13"/>
        <v>82</v>
      </c>
    </row>
    <row r="135" spans="1:6" x14ac:dyDescent="0.3">
      <c r="A135" s="39" t="s">
        <v>307</v>
      </c>
      <c r="B135" s="5" t="str">
        <f t="shared" si="14"/>
        <v>AA0A</v>
      </c>
      <c r="C135" s="40" t="str">
        <f t="shared" si="10"/>
        <v>10010000</v>
      </c>
      <c r="D135" s="5" t="str">
        <f t="shared" si="11"/>
        <v>10000100</v>
      </c>
      <c r="E135" s="6" t="str">
        <f t="shared" si="12"/>
        <v>90</v>
      </c>
      <c r="F135" s="7" t="str">
        <f t="shared" si="13"/>
        <v>84</v>
      </c>
    </row>
    <row r="136" spans="1:6" x14ac:dyDescent="0.3">
      <c r="A136" s="39" t="s">
        <v>308</v>
      </c>
      <c r="B136" s="5" t="str">
        <f t="shared" si="14"/>
        <v>AA0C</v>
      </c>
      <c r="C136" s="40" t="str">
        <f t="shared" si="10"/>
        <v>10100000</v>
      </c>
      <c r="D136" s="5" t="str">
        <f t="shared" si="11"/>
        <v>10001000</v>
      </c>
      <c r="E136" s="6" t="str">
        <f t="shared" si="12"/>
        <v>A0</v>
      </c>
      <c r="F136" s="7" t="str">
        <f t="shared" si="13"/>
        <v>88</v>
      </c>
    </row>
    <row r="137" spans="1:6" x14ac:dyDescent="0.3">
      <c r="A137" s="39" t="s">
        <v>309</v>
      </c>
      <c r="B137" s="5" t="str">
        <f t="shared" si="14"/>
        <v>AA0E</v>
      </c>
      <c r="C137" s="40" t="str">
        <f t="shared" si="10"/>
        <v>11000000</v>
      </c>
      <c r="D137" s="5" t="str">
        <f t="shared" si="11"/>
        <v>10010000</v>
      </c>
      <c r="E137" s="6" t="str">
        <f t="shared" si="12"/>
        <v>C0</v>
      </c>
      <c r="F137" s="7" t="str">
        <f t="shared" si="13"/>
        <v>90</v>
      </c>
    </row>
    <row r="138" spans="1:6" x14ac:dyDescent="0.3">
      <c r="A138" s="39" t="s">
        <v>310</v>
      </c>
      <c r="B138" s="5" t="str">
        <f t="shared" si="14"/>
        <v>AA10</v>
      </c>
      <c r="C138" s="40" t="str">
        <f t="shared" si="10"/>
        <v>10000000</v>
      </c>
      <c r="D138" s="5" t="str">
        <f t="shared" si="11"/>
        <v>10010001</v>
      </c>
      <c r="E138" s="6" t="str">
        <f t="shared" si="12"/>
        <v>80</v>
      </c>
      <c r="F138" s="7" t="str">
        <f t="shared" si="13"/>
        <v>91</v>
      </c>
    </row>
    <row r="139" spans="1:6" x14ac:dyDescent="0.3">
      <c r="A139" s="39" t="s">
        <v>311</v>
      </c>
      <c r="B139" s="5" t="str">
        <f t="shared" si="14"/>
        <v>AA12</v>
      </c>
      <c r="C139" s="40" t="str">
        <f t="shared" si="10"/>
        <v>10100011</v>
      </c>
      <c r="D139" s="5" t="str">
        <f t="shared" si="11"/>
        <v>10000000</v>
      </c>
      <c r="E139" s="6" t="str">
        <f t="shared" si="12"/>
        <v>A3</v>
      </c>
      <c r="F139" s="7" t="str">
        <f t="shared" si="13"/>
        <v>80</v>
      </c>
    </row>
    <row r="140" spans="1:6" x14ac:dyDescent="0.3">
      <c r="A140" s="39" t="s">
        <v>312</v>
      </c>
      <c r="B140" s="5" t="str">
        <f t="shared" si="14"/>
        <v>AA14</v>
      </c>
      <c r="C140" s="40" t="str">
        <f t="shared" si="10"/>
        <v>11000110</v>
      </c>
      <c r="D140" s="5" t="str">
        <f t="shared" si="11"/>
        <v>10000000</v>
      </c>
      <c r="E140" s="6" t="str">
        <f t="shared" si="12"/>
        <v>C6</v>
      </c>
      <c r="F140" s="7" t="str">
        <f t="shared" si="13"/>
        <v>80</v>
      </c>
    </row>
    <row r="141" spans="1:6" x14ac:dyDescent="0.3">
      <c r="A141" s="39" t="s">
        <v>313</v>
      </c>
      <c r="B141" s="5" t="str">
        <f t="shared" si="14"/>
        <v>AA16</v>
      </c>
      <c r="C141" s="40" t="str">
        <f t="shared" si="10"/>
        <v>10001100</v>
      </c>
      <c r="D141" s="5" t="str">
        <f t="shared" si="11"/>
        <v>10000001</v>
      </c>
      <c r="E141" s="6" t="str">
        <f t="shared" si="12"/>
        <v>8C</v>
      </c>
      <c r="F141" s="7" t="str">
        <f t="shared" si="13"/>
        <v>81</v>
      </c>
    </row>
    <row r="142" spans="1:6" x14ac:dyDescent="0.3">
      <c r="A142" s="39" t="s">
        <v>314</v>
      </c>
      <c r="B142" s="5" t="str">
        <f t="shared" si="14"/>
        <v>AA18</v>
      </c>
      <c r="C142" s="40" t="str">
        <f t="shared" si="10"/>
        <v>10011000</v>
      </c>
      <c r="D142" s="5" t="str">
        <f t="shared" si="11"/>
        <v>10000010</v>
      </c>
      <c r="E142" s="6" t="str">
        <f t="shared" si="12"/>
        <v>98</v>
      </c>
      <c r="F142" s="7" t="str">
        <f t="shared" si="13"/>
        <v>82</v>
      </c>
    </row>
    <row r="143" spans="1:6" x14ac:dyDescent="0.3">
      <c r="A143" s="39" t="s">
        <v>315</v>
      </c>
      <c r="B143" s="5" t="str">
        <f t="shared" si="14"/>
        <v>AA1A</v>
      </c>
      <c r="C143" s="40" t="str">
        <f t="shared" si="10"/>
        <v>10110000</v>
      </c>
      <c r="D143" s="5" t="str">
        <f t="shared" si="11"/>
        <v>10000100</v>
      </c>
      <c r="E143" s="6" t="str">
        <f t="shared" si="12"/>
        <v>B0</v>
      </c>
      <c r="F143" s="7" t="str">
        <f t="shared" si="13"/>
        <v>84</v>
      </c>
    </row>
    <row r="144" spans="1:6" x14ac:dyDescent="0.3">
      <c r="A144" s="39" t="s">
        <v>316</v>
      </c>
      <c r="B144" s="5" t="str">
        <f t="shared" si="14"/>
        <v>AA1C</v>
      </c>
      <c r="C144" s="40" t="str">
        <f t="shared" si="10"/>
        <v>11100000</v>
      </c>
      <c r="D144" s="5" t="str">
        <f t="shared" si="11"/>
        <v>10001000</v>
      </c>
      <c r="E144" s="6" t="str">
        <f t="shared" si="12"/>
        <v>E0</v>
      </c>
      <c r="F144" s="7" t="str">
        <f t="shared" si="13"/>
        <v>88</v>
      </c>
    </row>
    <row r="145" spans="1:6" x14ac:dyDescent="0.3">
      <c r="A145" s="39" t="s">
        <v>317</v>
      </c>
      <c r="B145" s="5" t="str">
        <f t="shared" si="14"/>
        <v>AA1E</v>
      </c>
      <c r="C145" s="40" t="str">
        <f t="shared" si="10"/>
        <v>11000000</v>
      </c>
      <c r="D145" s="5" t="str">
        <f t="shared" si="11"/>
        <v>10010001</v>
      </c>
      <c r="E145" s="6" t="str">
        <f t="shared" si="12"/>
        <v>C0</v>
      </c>
      <c r="F145" s="7" t="str">
        <f t="shared" si="13"/>
        <v>91</v>
      </c>
    </row>
    <row r="146" spans="1:6" x14ac:dyDescent="0.3">
      <c r="A146" s="39" t="s">
        <v>318</v>
      </c>
      <c r="B146" s="5" t="str">
        <f t="shared" si="14"/>
        <v>AA20</v>
      </c>
      <c r="C146" s="40" t="str">
        <f t="shared" si="10"/>
        <v>10000000</v>
      </c>
      <c r="D146" s="5" t="str">
        <f t="shared" si="11"/>
        <v>10010010</v>
      </c>
      <c r="E146" s="6" t="str">
        <f t="shared" si="12"/>
        <v>80</v>
      </c>
      <c r="F146" s="7" t="str">
        <f t="shared" si="13"/>
        <v>92</v>
      </c>
    </row>
    <row r="147" spans="1:6" x14ac:dyDescent="0.3">
      <c r="A147" s="39" t="s">
        <v>319</v>
      </c>
      <c r="B147" s="5" t="str">
        <f t="shared" si="14"/>
        <v>AA22</v>
      </c>
      <c r="C147" s="40" t="str">
        <f t="shared" si="10"/>
        <v>10100101</v>
      </c>
      <c r="D147" s="5" t="str">
        <f t="shared" si="11"/>
        <v>10000000</v>
      </c>
      <c r="E147" s="6" t="str">
        <f t="shared" si="12"/>
        <v>A5</v>
      </c>
      <c r="F147" s="7" t="str">
        <f t="shared" si="13"/>
        <v>80</v>
      </c>
    </row>
    <row r="148" spans="1:6" x14ac:dyDescent="0.3">
      <c r="A148" s="39" t="s">
        <v>320</v>
      </c>
      <c r="B148" s="5" t="str">
        <f t="shared" si="14"/>
        <v>AA24</v>
      </c>
      <c r="C148" s="40" t="str">
        <f t="shared" si="10"/>
        <v>11001010</v>
      </c>
      <c r="D148" s="5" t="str">
        <f t="shared" si="11"/>
        <v>10000000</v>
      </c>
      <c r="E148" s="6" t="str">
        <f t="shared" si="12"/>
        <v>CA</v>
      </c>
      <c r="F148" s="7" t="str">
        <f t="shared" si="13"/>
        <v>80</v>
      </c>
    </row>
    <row r="149" spans="1:6" x14ac:dyDescent="0.3">
      <c r="A149" s="39" t="s">
        <v>321</v>
      </c>
      <c r="B149" s="5" t="str">
        <f t="shared" si="14"/>
        <v>AA26</v>
      </c>
      <c r="C149" s="40" t="str">
        <f t="shared" si="10"/>
        <v>10010100</v>
      </c>
      <c r="D149" s="5" t="str">
        <f t="shared" si="11"/>
        <v>10000001</v>
      </c>
      <c r="E149" s="6" t="str">
        <f t="shared" si="12"/>
        <v>94</v>
      </c>
      <c r="F149" s="7" t="str">
        <f t="shared" si="13"/>
        <v>81</v>
      </c>
    </row>
    <row r="150" spans="1:6" x14ac:dyDescent="0.3">
      <c r="A150" s="39" t="s">
        <v>322</v>
      </c>
      <c r="B150" s="5" t="str">
        <f t="shared" si="14"/>
        <v>AA28</v>
      </c>
      <c r="C150" s="40" t="str">
        <f t="shared" si="10"/>
        <v>10101000</v>
      </c>
      <c r="D150" s="5" t="str">
        <f t="shared" si="11"/>
        <v>10000010</v>
      </c>
      <c r="E150" s="6" t="str">
        <f t="shared" si="12"/>
        <v>A8</v>
      </c>
      <c r="F150" s="7" t="str">
        <f t="shared" si="13"/>
        <v>82</v>
      </c>
    </row>
    <row r="151" spans="1:6" x14ac:dyDescent="0.3">
      <c r="A151" s="39" t="s">
        <v>323</v>
      </c>
      <c r="B151" s="5" t="str">
        <f t="shared" si="14"/>
        <v>AA2A</v>
      </c>
      <c r="C151" s="40" t="str">
        <f t="shared" si="10"/>
        <v>11010000</v>
      </c>
      <c r="D151" s="5" t="str">
        <f t="shared" si="11"/>
        <v>10000100</v>
      </c>
      <c r="E151" s="6" t="str">
        <f t="shared" si="12"/>
        <v>D0</v>
      </c>
      <c r="F151" s="7" t="str">
        <f t="shared" si="13"/>
        <v>84</v>
      </c>
    </row>
    <row r="152" spans="1:6" x14ac:dyDescent="0.3">
      <c r="A152" s="39" t="s">
        <v>324</v>
      </c>
      <c r="B152" s="5" t="str">
        <f t="shared" si="14"/>
        <v>AA2C</v>
      </c>
      <c r="C152" s="40" t="str">
        <f t="shared" si="10"/>
        <v>10100000</v>
      </c>
      <c r="D152" s="5" t="str">
        <f t="shared" si="11"/>
        <v>10001001</v>
      </c>
      <c r="E152" s="6" t="str">
        <f t="shared" si="12"/>
        <v>A0</v>
      </c>
      <c r="F152" s="7" t="str">
        <f t="shared" si="13"/>
        <v>89</v>
      </c>
    </row>
    <row r="153" spans="1:6" x14ac:dyDescent="0.3">
      <c r="A153" s="39" t="s">
        <v>325</v>
      </c>
      <c r="B153" s="5" t="str">
        <f t="shared" si="14"/>
        <v>AA2E</v>
      </c>
      <c r="C153" s="40" t="str">
        <f t="shared" si="10"/>
        <v>11000000</v>
      </c>
      <c r="D153" s="5" t="str">
        <f t="shared" si="11"/>
        <v>10010010</v>
      </c>
      <c r="E153" s="6" t="str">
        <f t="shared" si="12"/>
        <v>C0</v>
      </c>
      <c r="F153" s="7" t="str">
        <f t="shared" si="13"/>
        <v>92</v>
      </c>
    </row>
    <row r="154" spans="1:6" x14ac:dyDescent="0.3">
      <c r="A154" s="39" t="s">
        <v>326</v>
      </c>
      <c r="B154" s="5" t="str">
        <f t="shared" si="14"/>
        <v>AA30</v>
      </c>
      <c r="C154" s="40" t="str">
        <f t="shared" si="10"/>
        <v>10000000</v>
      </c>
      <c r="D154" s="5" t="str">
        <f t="shared" si="11"/>
        <v>10010011</v>
      </c>
      <c r="E154" s="6" t="str">
        <f t="shared" si="12"/>
        <v>80</v>
      </c>
      <c r="F154" s="7" t="str">
        <f t="shared" si="13"/>
        <v>93</v>
      </c>
    </row>
    <row r="155" spans="1:6" x14ac:dyDescent="0.3">
      <c r="A155" s="39" t="s">
        <v>327</v>
      </c>
      <c r="B155" s="5" t="str">
        <f t="shared" si="14"/>
        <v>AA32</v>
      </c>
      <c r="C155" s="40" t="str">
        <f t="shared" si="10"/>
        <v>10100111</v>
      </c>
      <c r="D155" s="5" t="str">
        <f t="shared" si="11"/>
        <v>10000000</v>
      </c>
      <c r="E155" s="6" t="str">
        <f t="shared" si="12"/>
        <v>A7</v>
      </c>
      <c r="F155" s="7" t="str">
        <f t="shared" si="13"/>
        <v>80</v>
      </c>
    </row>
    <row r="156" spans="1:6" x14ac:dyDescent="0.3">
      <c r="A156" s="39" t="s">
        <v>328</v>
      </c>
      <c r="B156" s="5" t="str">
        <f t="shared" si="14"/>
        <v>AA34</v>
      </c>
      <c r="C156" s="40" t="str">
        <f t="shared" si="10"/>
        <v>11001110</v>
      </c>
      <c r="D156" s="5" t="str">
        <f t="shared" si="11"/>
        <v>10000000</v>
      </c>
      <c r="E156" s="6" t="str">
        <f t="shared" si="12"/>
        <v>CE</v>
      </c>
      <c r="F156" s="7" t="str">
        <f t="shared" si="13"/>
        <v>80</v>
      </c>
    </row>
    <row r="157" spans="1:6" x14ac:dyDescent="0.3">
      <c r="A157" s="39" t="s">
        <v>329</v>
      </c>
      <c r="B157" s="5" t="str">
        <f t="shared" si="14"/>
        <v>AA36</v>
      </c>
      <c r="C157" s="40" t="str">
        <f t="shared" si="10"/>
        <v>10011100</v>
      </c>
      <c r="D157" s="5" t="str">
        <f t="shared" si="11"/>
        <v>10000001</v>
      </c>
      <c r="E157" s="6" t="str">
        <f t="shared" si="12"/>
        <v>9C</v>
      </c>
      <c r="F157" s="7" t="str">
        <f t="shared" si="13"/>
        <v>81</v>
      </c>
    </row>
    <row r="158" spans="1:6" x14ac:dyDescent="0.3">
      <c r="A158" s="39" t="s">
        <v>330</v>
      </c>
      <c r="B158" s="5" t="str">
        <f t="shared" si="14"/>
        <v>AA38</v>
      </c>
      <c r="C158" s="40" t="str">
        <f t="shared" si="10"/>
        <v>10111000</v>
      </c>
      <c r="D158" s="5" t="str">
        <f t="shared" si="11"/>
        <v>10000010</v>
      </c>
      <c r="E158" s="6" t="str">
        <f t="shared" si="12"/>
        <v>B8</v>
      </c>
      <c r="F158" s="7" t="str">
        <f t="shared" si="13"/>
        <v>82</v>
      </c>
    </row>
    <row r="159" spans="1:6" x14ac:dyDescent="0.3">
      <c r="A159" s="39" t="s">
        <v>331</v>
      </c>
      <c r="B159" s="5" t="str">
        <f t="shared" si="14"/>
        <v>AA3A</v>
      </c>
      <c r="C159" s="40" t="str">
        <f t="shared" si="10"/>
        <v>11110000</v>
      </c>
      <c r="D159" s="5" t="str">
        <f t="shared" si="11"/>
        <v>10000100</v>
      </c>
      <c r="E159" s="6" t="str">
        <f t="shared" si="12"/>
        <v>F0</v>
      </c>
      <c r="F159" s="7" t="str">
        <f t="shared" si="13"/>
        <v>84</v>
      </c>
    </row>
    <row r="160" spans="1:6" x14ac:dyDescent="0.3">
      <c r="A160" s="39" t="s">
        <v>332</v>
      </c>
      <c r="B160" s="5" t="str">
        <f t="shared" si="14"/>
        <v>AA3C</v>
      </c>
      <c r="C160" s="40" t="str">
        <f t="shared" si="10"/>
        <v>11100000</v>
      </c>
      <c r="D160" s="5" t="str">
        <f t="shared" si="11"/>
        <v>10001001</v>
      </c>
      <c r="E160" s="6" t="str">
        <f t="shared" si="12"/>
        <v>E0</v>
      </c>
      <c r="F160" s="7" t="str">
        <f t="shared" si="13"/>
        <v>89</v>
      </c>
    </row>
    <row r="161" spans="1:6" x14ac:dyDescent="0.3">
      <c r="A161" s="39" t="s">
        <v>333</v>
      </c>
      <c r="B161" s="5" t="str">
        <f t="shared" si="14"/>
        <v>AA3E</v>
      </c>
      <c r="C161" s="40" t="str">
        <f t="shared" si="10"/>
        <v>11000000</v>
      </c>
      <c r="D161" s="5" t="str">
        <f t="shared" si="11"/>
        <v>10010011</v>
      </c>
      <c r="E161" s="6" t="str">
        <f t="shared" si="12"/>
        <v>C0</v>
      </c>
      <c r="F161" s="7" t="str">
        <f t="shared" si="13"/>
        <v>93</v>
      </c>
    </row>
    <row r="162" spans="1:6" x14ac:dyDescent="0.3">
      <c r="A162" s="39" t="s">
        <v>334</v>
      </c>
      <c r="B162" s="5" t="str">
        <f t="shared" si="14"/>
        <v>AA40</v>
      </c>
      <c r="C162" s="40" t="str">
        <f t="shared" si="10"/>
        <v>10000000</v>
      </c>
      <c r="D162" s="5" t="str">
        <f t="shared" si="11"/>
        <v>10010100</v>
      </c>
      <c r="E162" s="6" t="str">
        <f t="shared" si="12"/>
        <v>80</v>
      </c>
      <c r="F162" s="7" t="str">
        <f t="shared" si="13"/>
        <v>94</v>
      </c>
    </row>
    <row r="163" spans="1:6" x14ac:dyDescent="0.3">
      <c r="A163" s="39" t="s">
        <v>335</v>
      </c>
      <c r="B163" s="5" t="str">
        <f t="shared" si="14"/>
        <v>AA42</v>
      </c>
      <c r="C163" s="40" t="str">
        <f t="shared" si="10"/>
        <v>10101001</v>
      </c>
      <c r="D163" s="5" t="str">
        <f t="shared" si="11"/>
        <v>10000000</v>
      </c>
      <c r="E163" s="6" t="str">
        <f t="shared" si="12"/>
        <v>A9</v>
      </c>
      <c r="F163" s="7" t="str">
        <f t="shared" si="13"/>
        <v>80</v>
      </c>
    </row>
    <row r="164" spans="1:6" x14ac:dyDescent="0.3">
      <c r="A164" s="39" t="s">
        <v>336</v>
      </c>
      <c r="B164" s="5" t="str">
        <f t="shared" si="14"/>
        <v>AA44</v>
      </c>
      <c r="C164" s="40" t="str">
        <f t="shared" si="10"/>
        <v>11010010</v>
      </c>
      <c r="D164" s="5" t="str">
        <f t="shared" si="11"/>
        <v>10000000</v>
      </c>
      <c r="E164" s="6" t="str">
        <f t="shared" si="12"/>
        <v>D2</v>
      </c>
      <c r="F164" s="7" t="str">
        <f t="shared" si="13"/>
        <v>80</v>
      </c>
    </row>
    <row r="165" spans="1:6" x14ac:dyDescent="0.3">
      <c r="A165" s="39" t="s">
        <v>337</v>
      </c>
      <c r="B165" s="5" t="str">
        <f t="shared" si="14"/>
        <v>AA46</v>
      </c>
      <c r="C165" s="40" t="str">
        <f t="shared" si="10"/>
        <v>10100100</v>
      </c>
      <c r="D165" s="5" t="str">
        <f t="shared" si="11"/>
        <v>10000001</v>
      </c>
      <c r="E165" s="6" t="str">
        <f t="shared" si="12"/>
        <v>A4</v>
      </c>
      <c r="F165" s="7" t="str">
        <f t="shared" si="13"/>
        <v>81</v>
      </c>
    </row>
    <row r="166" spans="1:6" x14ac:dyDescent="0.3">
      <c r="A166" s="39" t="s">
        <v>338</v>
      </c>
      <c r="B166" s="5" t="str">
        <f t="shared" si="14"/>
        <v>AA48</v>
      </c>
      <c r="C166" s="40" t="str">
        <f t="shared" si="10"/>
        <v>11001000</v>
      </c>
      <c r="D166" s="5" t="str">
        <f t="shared" si="11"/>
        <v>10000010</v>
      </c>
      <c r="E166" s="6" t="str">
        <f t="shared" si="12"/>
        <v>C8</v>
      </c>
      <c r="F166" s="7" t="str">
        <f t="shared" si="13"/>
        <v>82</v>
      </c>
    </row>
    <row r="167" spans="1:6" x14ac:dyDescent="0.3">
      <c r="A167" s="39" t="s">
        <v>339</v>
      </c>
      <c r="B167" s="5" t="str">
        <f t="shared" si="14"/>
        <v>AA4A</v>
      </c>
      <c r="C167" s="40" t="str">
        <f t="shared" si="10"/>
        <v>10010000</v>
      </c>
      <c r="D167" s="5" t="str">
        <f t="shared" si="11"/>
        <v>10000101</v>
      </c>
      <c r="E167" s="6" t="str">
        <f t="shared" si="12"/>
        <v>90</v>
      </c>
      <c r="F167" s="7" t="str">
        <f t="shared" si="13"/>
        <v>85</v>
      </c>
    </row>
    <row r="168" spans="1:6" x14ac:dyDescent="0.3">
      <c r="A168" s="39" t="s">
        <v>340</v>
      </c>
      <c r="B168" s="5" t="str">
        <f t="shared" si="14"/>
        <v>AA4C</v>
      </c>
      <c r="C168" s="40" t="str">
        <f t="shared" si="10"/>
        <v>10100000</v>
      </c>
      <c r="D168" s="5" t="str">
        <f t="shared" si="11"/>
        <v>10001010</v>
      </c>
      <c r="E168" s="6" t="str">
        <f t="shared" si="12"/>
        <v>A0</v>
      </c>
      <c r="F168" s="7" t="str">
        <f t="shared" si="13"/>
        <v>8A</v>
      </c>
    </row>
    <row r="169" spans="1:6" x14ac:dyDescent="0.3">
      <c r="A169" s="39" t="s">
        <v>341</v>
      </c>
      <c r="B169" s="5" t="str">
        <f t="shared" si="14"/>
        <v>AA4E</v>
      </c>
      <c r="C169" s="40" t="str">
        <f t="shared" si="10"/>
        <v>11000000</v>
      </c>
      <c r="D169" s="5" t="str">
        <f t="shared" si="11"/>
        <v>10010100</v>
      </c>
      <c r="E169" s="6" t="str">
        <f t="shared" si="12"/>
        <v>C0</v>
      </c>
      <c r="F169" s="7" t="str">
        <f t="shared" si="13"/>
        <v>94</v>
      </c>
    </row>
    <row r="170" spans="1:6" x14ac:dyDescent="0.3">
      <c r="A170" s="39" t="s">
        <v>342</v>
      </c>
      <c r="B170" s="5" t="str">
        <f t="shared" si="14"/>
        <v>AA50</v>
      </c>
      <c r="C170" s="40" t="str">
        <f t="shared" si="10"/>
        <v>10000000</v>
      </c>
      <c r="D170" s="5" t="str">
        <f t="shared" si="11"/>
        <v>10010101</v>
      </c>
      <c r="E170" s="6" t="str">
        <f t="shared" si="12"/>
        <v>80</v>
      </c>
      <c r="F170" s="7" t="str">
        <f t="shared" si="13"/>
        <v>95</v>
      </c>
    </row>
    <row r="171" spans="1:6" x14ac:dyDescent="0.3">
      <c r="A171" s="39" t="s">
        <v>343</v>
      </c>
      <c r="B171" s="5" t="str">
        <f t="shared" si="14"/>
        <v>AA52</v>
      </c>
      <c r="C171" s="40" t="str">
        <f t="shared" si="10"/>
        <v>10101011</v>
      </c>
      <c r="D171" s="5" t="str">
        <f t="shared" si="11"/>
        <v>10000000</v>
      </c>
      <c r="E171" s="6" t="str">
        <f t="shared" si="12"/>
        <v>AB</v>
      </c>
      <c r="F171" s="7" t="str">
        <f t="shared" si="13"/>
        <v>80</v>
      </c>
    </row>
    <row r="172" spans="1:6" x14ac:dyDescent="0.3">
      <c r="A172" s="39" t="s">
        <v>344</v>
      </c>
      <c r="B172" s="5" t="str">
        <f t="shared" si="14"/>
        <v>AA54</v>
      </c>
      <c r="C172" s="40" t="str">
        <f t="shared" si="10"/>
        <v>11010110</v>
      </c>
      <c r="D172" s="5" t="str">
        <f t="shared" si="11"/>
        <v>10000000</v>
      </c>
      <c r="E172" s="6" t="str">
        <f t="shared" si="12"/>
        <v>D6</v>
      </c>
      <c r="F172" s="7" t="str">
        <f t="shared" si="13"/>
        <v>80</v>
      </c>
    </row>
    <row r="173" spans="1:6" x14ac:dyDescent="0.3">
      <c r="A173" s="39" t="s">
        <v>345</v>
      </c>
      <c r="B173" s="5" t="str">
        <f t="shared" si="14"/>
        <v>AA56</v>
      </c>
      <c r="C173" s="40" t="str">
        <f t="shared" si="10"/>
        <v>10101100</v>
      </c>
      <c r="D173" s="5" t="str">
        <f t="shared" si="11"/>
        <v>10000001</v>
      </c>
      <c r="E173" s="6" t="str">
        <f t="shared" si="12"/>
        <v>AC</v>
      </c>
      <c r="F173" s="7" t="str">
        <f t="shared" si="13"/>
        <v>81</v>
      </c>
    </row>
    <row r="174" spans="1:6" x14ac:dyDescent="0.3">
      <c r="A174" s="39" t="s">
        <v>346</v>
      </c>
      <c r="B174" s="5" t="str">
        <f t="shared" si="14"/>
        <v>AA58</v>
      </c>
      <c r="C174" s="40" t="str">
        <f t="shared" si="10"/>
        <v>11011000</v>
      </c>
      <c r="D174" s="5" t="str">
        <f t="shared" si="11"/>
        <v>10000010</v>
      </c>
      <c r="E174" s="6" t="str">
        <f t="shared" si="12"/>
        <v>D8</v>
      </c>
      <c r="F174" s="7" t="str">
        <f t="shared" si="13"/>
        <v>82</v>
      </c>
    </row>
    <row r="175" spans="1:6" x14ac:dyDescent="0.3">
      <c r="A175" s="39" t="s">
        <v>347</v>
      </c>
      <c r="B175" s="5" t="str">
        <f t="shared" si="14"/>
        <v>AA5A</v>
      </c>
      <c r="C175" s="40" t="str">
        <f t="shared" si="10"/>
        <v>10110000</v>
      </c>
      <c r="D175" s="5" t="str">
        <f t="shared" si="11"/>
        <v>10000101</v>
      </c>
      <c r="E175" s="6" t="str">
        <f t="shared" si="12"/>
        <v>B0</v>
      </c>
      <c r="F175" s="7" t="str">
        <f t="shared" si="13"/>
        <v>85</v>
      </c>
    </row>
    <row r="176" spans="1:6" x14ac:dyDescent="0.3">
      <c r="A176" s="39" t="s">
        <v>348</v>
      </c>
      <c r="B176" s="5" t="str">
        <f t="shared" si="14"/>
        <v>AA5C</v>
      </c>
      <c r="C176" s="40" t="str">
        <f t="shared" si="10"/>
        <v>11100000</v>
      </c>
      <c r="D176" s="5" t="str">
        <f t="shared" si="11"/>
        <v>10001010</v>
      </c>
      <c r="E176" s="6" t="str">
        <f t="shared" si="12"/>
        <v>E0</v>
      </c>
      <c r="F176" s="7" t="str">
        <f t="shared" si="13"/>
        <v>8A</v>
      </c>
    </row>
    <row r="177" spans="1:6" x14ac:dyDescent="0.3">
      <c r="A177" s="39" t="s">
        <v>349</v>
      </c>
      <c r="B177" s="5" t="str">
        <f t="shared" si="14"/>
        <v>AA5E</v>
      </c>
      <c r="C177" s="40" t="str">
        <f t="shared" si="10"/>
        <v>11000000</v>
      </c>
      <c r="D177" s="5" t="str">
        <f t="shared" si="11"/>
        <v>10010101</v>
      </c>
      <c r="E177" s="6" t="str">
        <f t="shared" si="12"/>
        <v>C0</v>
      </c>
      <c r="F177" s="7" t="str">
        <f t="shared" si="13"/>
        <v>95</v>
      </c>
    </row>
    <row r="178" spans="1:6" x14ac:dyDescent="0.3">
      <c r="A178" s="39" t="s">
        <v>350</v>
      </c>
      <c r="B178" s="5" t="str">
        <f t="shared" si="14"/>
        <v>AA60</v>
      </c>
      <c r="C178" s="40" t="str">
        <f t="shared" si="10"/>
        <v>10000000</v>
      </c>
      <c r="D178" s="5" t="str">
        <f t="shared" si="11"/>
        <v>10010110</v>
      </c>
      <c r="E178" s="6" t="str">
        <f t="shared" si="12"/>
        <v>80</v>
      </c>
      <c r="F178" s="7" t="str">
        <f t="shared" si="13"/>
        <v>96</v>
      </c>
    </row>
    <row r="179" spans="1:6" x14ac:dyDescent="0.3">
      <c r="A179" s="39" t="s">
        <v>351</v>
      </c>
      <c r="B179" s="5" t="str">
        <f t="shared" si="14"/>
        <v>AA62</v>
      </c>
      <c r="C179" s="40" t="str">
        <f t="shared" si="10"/>
        <v>10101101</v>
      </c>
      <c r="D179" s="5" t="str">
        <f t="shared" si="11"/>
        <v>10000000</v>
      </c>
      <c r="E179" s="6" t="str">
        <f t="shared" si="12"/>
        <v>AD</v>
      </c>
      <c r="F179" s="7" t="str">
        <f t="shared" si="13"/>
        <v>80</v>
      </c>
    </row>
    <row r="180" spans="1:6" x14ac:dyDescent="0.3">
      <c r="A180" s="39" t="s">
        <v>352</v>
      </c>
      <c r="B180" s="5" t="str">
        <f t="shared" si="14"/>
        <v>AA64</v>
      </c>
      <c r="C180" s="40" t="str">
        <f t="shared" si="10"/>
        <v>11011010</v>
      </c>
      <c r="D180" s="5" t="str">
        <f t="shared" si="11"/>
        <v>10000000</v>
      </c>
      <c r="E180" s="6" t="str">
        <f t="shared" si="12"/>
        <v>DA</v>
      </c>
      <c r="F180" s="7" t="str">
        <f t="shared" si="13"/>
        <v>80</v>
      </c>
    </row>
    <row r="181" spans="1:6" x14ac:dyDescent="0.3">
      <c r="A181" s="39" t="s">
        <v>353</v>
      </c>
      <c r="B181" s="5" t="str">
        <f t="shared" si="14"/>
        <v>AA66</v>
      </c>
      <c r="C181" s="40" t="str">
        <f t="shared" si="10"/>
        <v>10110100</v>
      </c>
      <c r="D181" s="5" t="str">
        <f t="shared" si="11"/>
        <v>10000001</v>
      </c>
      <c r="E181" s="6" t="str">
        <f t="shared" si="12"/>
        <v>B4</v>
      </c>
      <c r="F181" s="7" t="str">
        <f t="shared" si="13"/>
        <v>81</v>
      </c>
    </row>
    <row r="182" spans="1:6" x14ac:dyDescent="0.3">
      <c r="A182" s="39" t="s">
        <v>354</v>
      </c>
      <c r="B182" s="5" t="str">
        <f t="shared" si="14"/>
        <v>AA68</v>
      </c>
      <c r="C182" s="40" t="str">
        <f t="shared" si="10"/>
        <v>11101000</v>
      </c>
      <c r="D182" s="5" t="str">
        <f t="shared" si="11"/>
        <v>10000010</v>
      </c>
      <c r="E182" s="6" t="str">
        <f t="shared" si="12"/>
        <v>E8</v>
      </c>
      <c r="F182" s="7" t="str">
        <f t="shared" si="13"/>
        <v>82</v>
      </c>
    </row>
    <row r="183" spans="1:6" x14ac:dyDescent="0.3">
      <c r="A183" s="39" t="s">
        <v>355</v>
      </c>
      <c r="B183" s="5" t="str">
        <f t="shared" si="14"/>
        <v>AA6A</v>
      </c>
      <c r="C183" s="40" t="str">
        <f t="shared" si="10"/>
        <v>11010000</v>
      </c>
      <c r="D183" s="5" t="str">
        <f t="shared" si="11"/>
        <v>10000101</v>
      </c>
      <c r="E183" s="6" t="str">
        <f t="shared" si="12"/>
        <v>D0</v>
      </c>
      <c r="F183" s="7" t="str">
        <f t="shared" si="13"/>
        <v>85</v>
      </c>
    </row>
    <row r="184" spans="1:6" x14ac:dyDescent="0.3">
      <c r="A184" s="39" t="s">
        <v>356</v>
      </c>
      <c r="B184" s="5" t="str">
        <f t="shared" si="14"/>
        <v>AA6C</v>
      </c>
      <c r="C184" s="40" t="str">
        <f t="shared" si="10"/>
        <v>10100000</v>
      </c>
      <c r="D184" s="5" t="str">
        <f t="shared" si="11"/>
        <v>10001011</v>
      </c>
      <c r="E184" s="6" t="str">
        <f t="shared" si="12"/>
        <v>A0</v>
      </c>
      <c r="F184" s="7" t="str">
        <f t="shared" si="13"/>
        <v>8B</v>
      </c>
    </row>
    <row r="185" spans="1:6" x14ac:dyDescent="0.3">
      <c r="A185" s="39" t="s">
        <v>357</v>
      </c>
      <c r="B185" s="5" t="str">
        <f t="shared" si="14"/>
        <v>AA6E</v>
      </c>
      <c r="C185" s="40" t="str">
        <f t="shared" si="10"/>
        <v>11000000</v>
      </c>
      <c r="D185" s="5" t="str">
        <f t="shared" si="11"/>
        <v>10010110</v>
      </c>
      <c r="E185" s="6" t="str">
        <f t="shared" si="12"/>
        <v>C0</v>
      </c>
      <c r="F185" s="7" t="str">
        <f t="shared" si="13"/>
        <v>96</v>
      </c>
    </row>
    <row r="186" spans="1:6" x14ac:dyDescent="0.3">
      <c r="A186" s="39" t="s">
        <v>358</v>
      </c>
      <c r="B186" s="5" t="str">
        <f t="shared" si="14"/>
        <v>AA70</v>
      </c>
      <c r="C186" s="40" t="str">
        <f t="shared" si="10"/>
        <v>10000000</v>
      </c>
      <c r="D186" s="5" t="str">
        <f t="shared" si="11"/>
        <v>10010111</v>
      </c>
      <c r="E186" s="6" t="str">
        <f t="shared" si="12"/>
        <v>80</v>
      </c>
      <c r="F186" s="7" t="str">
        <f t="shared" si="13"/>
        <v>97</v>
      </c>
    </row>
    <row r="187" spans="1:6" x14ac:dyDescent="0.3">
      <c r="A187" s="39" t="s">
        <v>359</v>
      </c>
      <c r="B187" s="5" t="str">
        <f t="shared" si="14"/>
        <v>AA72</v>
      </c>
      <c r="C187" s="40" t="str">
        <f t="shared" si="10"/>
        <v>10101111</v>
      </c>
      <c r="D187" s="5" t="str">
        <f t="shared" si="11"/>
        <v>10000000</v>
      </c>
      <c r="E187" s="6" t="str">
        <f t="shared" si="12"/>
        <v>AF</v>
      </c>
      <c r="F187" s="7" t="str">
        <f t="shared" si="13"/>
        <v>80</v>
      </c>
    </row>
    <row r="188" spans="1:6" x14ac:dyDescent="0.3">
      <c r="A188" s="39" t="s">
        <v>360</v>
      </c>
      <c r="B188" s="5" t="str">
        <f t="shared" si="14"/>
        <v>AA74</v>
      </c>
      <c r="C188" s="40" t="str">
        <f t="shared" si="10"/>
        <v>11011110</v>
      </c>
      <c r="D188" s="5" t="str">
        <f t="shared" si="11"/>
        <v>10000000</v>
      </c>
      <c r="E188" s="6" t="str">
        <f t="shared" si="12"/>
        <v>DE</v>
      </c>
      <c r="F188" s="7" t="str">
        <f t="shared" si="13"/>
        <v>80</v>
      </c>
    </row>
    <row r="189" spans="1:6" x14ac:dyDescent="0.3">
      <c r="A189" s="39" t="s">
        <v>361</v>
      </c>
      <c r="B189" s="5" t="str">
        <f t="shared" si="14"/>
        <v>AA76</v>
      </c>
      <c r="C189" s="40" t="str">
        <f t="shared" si="10"/>
        <v>10111100</v>
      </c>
      <c r="D189" s="5" t="str">
        <f t="shared" si="11"/>
        <v>10000001</v>
      </c>
      <c r="E189" s="6" t="str">
        <f t="shared" si="12"/>
        <v>BC</v>
      </c>
      <c r="F189" s="7" t="str">
        <f t="shared" si="13"/>
        <v>81</v>
      </c>
    </row>
    <row r="190" spans="1:6" x14ac:dyDescent="0.3">
      <c r="A190" s="39" t="s">
        <v>362</v>
      </c>
      <c r="B190" s="5" t="str">
        <f t="shared" si="14"/>
        <v>AA78</v>
      </c>
      <c r="C190" s="40" t="str">
        <f t="shared" si="10"/>
        <v>11111000</v>
      </c>
      <c r="D190" s="5" t="str">
        <f t="shared" si="11"/>
        <v>10000010</v>
      </c>
      <c r="E190" s="6" t="str">
        <f t="shared" si="12"/>
        <v>F8</v>
      </c>
      <c r="F190" s="7" t="str">
        <f t="shared" si="13"/>
        <v>82</v>
      </c>
    </row>
    <row r="191" spans="1:6" x14ac:dyDescent="0.3">
      <c r="A191" s="39" t="s">
        <v>363</v>
      </c>
      <c r="B191" s="5" t="str">
        <f t="shared" si="14"/>
        <v>AA7A</v>
      </c>
      <c r="C191" s="40" t="str">
        <f t="shared" si="10"/>
        <v>11110000</v>
      </c>
      <c r="D191" s="5" t="str">
        <f t="shared" si="11"/>
        <v>10000101</v>
      </c>
      <c r="E191" s="6" t="str">
        <f t="shared" si="12"/>
        <v>F0</v>
      </c>
      <c r="F191" s="7" t="str">
        <f t="shared" si="13"/>
        <v>85</v>
      </c>
    </row>
    <row r="192" spans="1:6" x14ac:dyDescent="0.3">
      <c r="A192" s="39" t="s">
        <v>364</v>
      </c>
      <c r="B192" s="5" t="str">
        <f t="shared" si="14"/>
        <v>AA7C</v>
      </c>
      <c r="C192" s="40" t="str">
        <f t="shared" si="10"/>
        <v>11100000</v>
      </c>
      <c r="D192" s="5" t="str">
        <f t="shared" si="11"/>
        <v>10001011</v>
      </c>
      <c r="E192" s="6" t="str">
        <f t="shared" si="12"/>
        <v>E0</v>
      </c>
      <c r="F192" s="7" t="str">
        <f t="shared" si="13"/>
        <v>8B</v>
      </c>
    </row>
    <row r="193" spans="1:6" x14ac:dyDescent="0.3">
      <c r="A193" s="39" t="s">
        <v>365</v>
      </c>
      <c r="B193" s="5" t="str">
        <f t="shared" si="14"/>
        <v>AA7E</v>
      </c>
      <c r="C193" s="40" t="str">
        <f t="shared" si="10"/>
        <v>11000000</v>
      </c>
      <c r="D193" s="5" t="str">
        <f t="shared" si="11"/>
        <v>10010111</v>
      </c>
      <c r="E193" s="6" t="str">
        <f t="shared" si="12"/>
        <v>C0</v>
      </c>
      <c r="F193" s="7" t="str">
        <f t="shared" si="13"/>
        <v>97</v>
      </c>
    </row>
    <row r="194" spans="1:6" x14ac:dyDescent="0.3">
      <c r="A194" s="39" t="s">
        <v>366</v>
      </c>
      <c r="B194" s="5" t="str">
        <f t="shared" si="14"/>
        <v>AA80</v>
      </c>
      <c r="C194" s="40" t="str">
        <f t="shared" si="10"/>
        <v>10000000</v>
      </c>
      <c r="D194" s="5" t="str">
        <f t="shared" si="11"/>
        <v>10011000</v>
      </c>
      <c r="E194" s="6" t="str">
        <f t="shared" si="12"/>
        <v>80</v>
      </c>
      <c r="F194" s="7" t="str">
        <f t="shared" si="13"/>
        <v>98</v>
      </c>
    </row>
    <row r="195" spans="1:6" x14ac:dyDescent="0.3">
      <c r="A195" s="39" t="s">
        <v>367</v>
      </c>
      <c r="B195" s="5" t="str">
        <f t="shared" si="14"/>
        <v>AA82</v>
      </c>
      <c r="C195" s="40" t="str">
        <f t="shared" ref="C195:C258" si="15">MID($A195,15,8)</f>
        <v>10110001</v>
      </c>
      <c r="D195" s="5" t="str">
        <f t="shared" ref="D195:D258" si="16">MID($A195,26,8)</f>
        <v>10000000</v>
      </c>
      <c r="E195" s="6" t="str">
        <f t="shared" ref="E195:E258" si="17">BIN2HEX(C195)</f>
        <v>B1</v>
      </c>
      <c r="F195" s="7" t="str">
        <f t="shared" ref="F195:F258" si="18">BIN2HEX(D195)</f>
        <v>80</v>
      </c>
    </row>
    <row r="196" spans="1:6" x14ac:dyDescent="0.3">
      <c r="A196" s="39" t="s">
        <v>368</v>
      </c>
      <c r="B196" s="5" t="str">
        <f t="shared" ref="B196:B259" si="19">DEC2HEX(HEX2DEC(B195)+2)</f>
        <v>AA84</v>
      </c>
      <c r="C196" s="40" t="str">
        <f t="shared" si="15"/>
        <v>11100010</v>
      </c>
      <c r="D196" s="5" t="str">
        <f t="shared" si="16"/>
        <v>10000000</v>
      </c>
      <c r="E196" s="6" t="str">
        <f t="shared" si="17"/>
        <v>E2</v>
      </c>
      <c r="F196" s="7" t="str">
        <f t="shared" si="18"/>
        <v>80</v>
      </c>
    </row>
    <row r="197" spans="1:6" x14ac:dyDescent="0.3">
      <c r="A197" s="39" t="s">
        <v>369</v>
      </c>
      <c r="B197" s="5" t="str">
        <f t="shared" si="19"/>
        <v>AA86</v>
      </c>
      <c r="C197" s="40" t="str">
        <f t="shared" si="15"/>
        <v>11000100</v>
      </c>
      <c r="D197" s="5" t="str">
        <f t="shared" si="16"/>
        <v>10000001</v>
      </c>
      <c r="E197" s="6" t="str">
        <f t="shared" si="17"/>
        <v>C4</v>
      </c>
      <c r="F197" s="7" t="str">
        <f t="shared" si="18"/>
        <v>81</v>
      </c>
    </row>
    <row r="198" spans="1:6" x14ac:dyDescent="0.3">
      <c r="A198" s="39" t="s">
        <v>370</v>
      </c>
      <c r="B198" s="5" t="str">
        <f t="shared" si="19"/>
        <v>AA88</v>
      </c>
      <c r="C198" s="40" t="str">
        <f t="shared" si="15"/>
        <v>10001000</v>
      </c>
      <c r="D198" s="5" t="str">
        <f t="shared" si="16"/>
        <v>10000011</v>
      </c>
      <c r="E198" s="6" t="str">
        <f t="shared" si="17"/>
        <v>88</v>
      </c>
      <c r="F198" s="7" t="str">
        <f t="shared" si="18"/>
        <v>83</v>
      </c>
    </row>
    <row r="199" spans="1:6" x14ac:dyDescent="0.3">
      <c r="A199" s="39" t="s">
        <v>371</v>
      </c>
      <c r="B199" s="5" t="str">
        <f t="shared" si="19"/>
        <v>AA8A</v>
      </c>
      <c r="C199" s="40" t="str">
        <f t="shared" si="15"/>
        <v>10010000</v>
      </c>
      <c r="D199" s="5" t="str">
        <f t="shared" si="16"/>
        <v>10000110</v>
      </c>
      <c r="E199" s="6" t="str">
        <f t="shared" si="17"/>
        <v>90</v>
      </c>
      <c r="F199" s="7" t="str">
        <f t="shared" si="18"/>
        <v>86</v>
      </c>
    </row>
    <row r="200" spans="1:6" x14ac:dyDescent="0.3">
      <c r="A200" s="39" t="s">
        <v>372</v>
      </c>
      <c r="B200" s="5" t="str">
        <f t="shared" si="19"/>
        <v>AA8C</v>
      </c>
      <c r="C200" s="40" t="str">
        <f t="shared" si="15"/>
        <v>10100000</v>
      </c>
      <c r="D200" s="5" t="str">
        <f t="shared" si="16"/>
        <v>10001100</v>
      </c>
      <c r="E200" s="6" t="str">
        <f t="shared" si="17"/>
        <v>A0</v>
      </c>
      <c r="F200" s="7" t="str">
        <f t="shared" si="18"/>
        <v>8C</v>
      </c>
    </row>
    <row r="201" spans="1:6" x14ac:dyDescent="0.3">
      <c r="A201" s="39" t="s">
        <v>373</v>
      </c>
      <c r="B201" s="5" t="str">
        <f t="shared" si="19"/>
        <v>AA8E</v>
      </c>
      <c r="C201" s="40" t="str">
        <f t="shared" si="15"/>
        <v>11000000</v>
      </c>
      <c r="D201" s="5" t="str">
        <f t="shared" si="16"/>
        <v>10011000</v>
      </c>
      <c r="E201" s="6" t="str">
        <f t="shared" si="17"/>
        <v>C0</v>
      </c>
      <c r="F201" s="7" t="str">
        <f t="shared" si="18"/>
        <v>98</v>
      </c>
    </row>
    <row r="202" spans="1:6" x14ac:dyDescent="0.3">
      <c r="A202" s="39" t="s">
        <v>374</v>
      </c>
      <c r="B202" s="5" t="str">
        <f t="shared" si="19"/>
        <v>AA90</v>
      </c>
      <c r="C202" s="40" t="str">
        <f t="shared" si="15"/>
        <v>10000000</v>
      </c>
      <c r="D202" s="5" t="str">
        <f t="shared" si="16"/>
        <v>10011001</v>
      </c>
      <c r="E202" s="6" t="str">
        <f t="shared" si="17"/>
        <v>80</v>
      </c>
      <c r="F202" s="7" t="str">
        <f t="shared" si="18"/>
        <v>99</v>
      </c>
    </row>
    <row r="203" spans="1:6" x14ac:dyDescent="0.3">
      <c r="A203" s="39" t="s">
        <v>375</v>
      </c>
      <c r="B203" s="5" t="str">
        <f t="shared" si="19"/>
        <v>AA92</v>
      </c>
      <c r="C203" s="40" t="str">
        <f t="shared" si="15"/>
        <v>10110011</v>
      </c>
      <c r="D203" s="5" t="str">
        <f t="shared" si="16"/>
        <v>10000000</v>
      </c>
      <c r="E203" s="6" t="str">
        <f t="shared" si="17"/>
        <v>B3</v>
      </c>
      <c r="F203" s="7" t="str">
        <f t="shared" si="18"/>
        <v>80</v>
      </c>
    </row>
    <row r="204" spans="1:6" x14ac:dyDescent="0.3">
      <c r="A204" s="39" t="s">
        <v>376</v>
      </c>
      <c r="B204" s="5" t="str">
        <f t="shared" si="19"/>
        <v>AA94</v>
      </c>
      <c r="C204" s="40" t="str">
        <f t="shared" si="15"/>
        <v>11100110</v>
      </c>
      <c r="D204" s="5" t="str">
        <f t="shared" si="16"/>
        <v>10000000</v>
      </c>
      <c r="E204" s="6" t="str">
        <f t="shared" si="17"/>
        <v>E6</v>
      </c>
      <c r="F204" s="7" t="str">
        <f t="shared" si="18"/>
        <v>80</v>
      </c>
    </row>
    <row r="205" spans="1:6" x14ac:dyDescent="0.3">
      <c r="A205" s="39" t="s">
        <v>377</v>
      </c>
      <c r="B205" s="5" t="str">
        <f t="shared" si="19"/>
        <v>AA96</v>
      </c>
      <c r="C205" s="40" t="str">
        <f t="shared" si="15"/>
        <v>11001100</v>
      </c>
      <c r="D205" s="5" t="str">
        <f t="shared" si="16"/>
        <v>10000001</v>
      </c>
      <c r="E205" s="6" t="str">
        <f t="shared" si="17"/>
        <v>CC</v>
      </c>
      <c r="F205" s="7" t="str">
        <f t="shared" si="18"/>
        <v>81</v>
      </c>
    </row>
    <row r="206" spans="1:6" x14ac:dyDescent="0.3">
      <c r="A206" s="39" t="s">
        <v>378</v>
      </c>
      <c r="B206" s="5" t="str">
        <f t="shared" si="19"/>
        <v>AA98</v>
      </c>
      <c r="C206" s="40" t="str">
        <f t="shared" si="15"/>
        <v>10011000</v>
      </c>
      <c r="D206" s="5" t="str">
        <f t="shared" si="16"/>
        <v>10000011</v>
      </c>
      <c r="E206" s="6" t="str">
        <f t="shared" si="17"/>
        <v>98</v>
      </c>
      <c r="F206" s="7" t="str">
        <f t="shared" si="18"/>
        <v>83</v>
      </c>
    </row>
    <row r="207" spans="1:6" x14ac:dyDescent="0.3">
      <c r="A207" s="39" t="s">
        <v>379</v>
      </c>
      <c r="B207" s="5" t="str">
        <f t="shared" si="19"/>
        <v>AA9A</v>
      </c>
      <c r="C207" s="40" t="str">
        <f t="shared" si="15"/>
        <v>10110000</v>
      </c>
      <c r="D207" s="5" t="str">
        <f t="shared" si="16"/>
        <v>10000110</v>
      </c>
      <c r="E207" s="6" t="str">
        <f t="shared" si="17"/>
        <v>B0</v>
      </c>
      <c r="F207" s="7" t="str">
        <f t="shared" si="18"/>
        <v>86</v>
      </c>
    </row>
    <row r="208" spans="1:6" x14ac:dyDescent="0.3">
      <c r="A208" s="39" t="s">
        <v>380</v>
      </c>
      <c r="B208" s="5" t="str">
        <f t="shared" si="19"/>
        <v>AA9C</v>
      </c>
      <c r="C208" s="40" t="str">
        <f t="shared" si="15"/>
        <v>11100000</v>
      </c>
      <c r="D208" s="5" t="str">
        <f t="shared" si="16"/>
        <v>10001100</v>
      </c>
      <c r="E208" s="6" t="str">
        <f t="shared" si="17"/>
        <v>E0</v>
      </c>
      <c r="F208" s="7" t="str">
        <f t="shared" si="18"/>
        <v>8C</v>
      </c>
    </row>
    <row r="209" spans="1:6" x14ac:dyDescent="0.3">
      <c r="A209" s="39" t="s">
        <v>381</v>
      </c>
      <c r="B209" s="5" t="str">
        <f t="shared" si="19"/>
        <v>AA9E</v>
      </c>
      <c r="C209" s="40" t="str">
        <f t="shared" si="15"/>
        <v>11000000</v>
      </c>
      <c r="D209" s="5" t="str">
        <f t="shared" si="16"/>
        <v>10011001</v>
      </c>
      <c r="E209" s="6" t="str">
        <f t="shared" si="17"/>
        <v>C0</v>
      </c>
      <c r="F209" s="7" t="str">
        <f t="shared" si="18"/>
        <v>99</v>
      </c>
    </row>
    <row r="210" spans="1:6" x14ac:dyDescent="0.3">
      <c r="A210" s="39" t="s">
        <v>382</v>
      </c>
      <c r="B210" s="5" t="str">
        <f t="shared" si="19"/>
        <v>AAA0</v>
      </c>
      <c r="C210" s="40" t="str">
        <f t="shared" si="15"/>
        <v>10000000</v>
      </c>
      <c r="D210" s="5" t="str">
        <f t="shared" si="16"/>
        <v>10011010</v>
      </c>
      <c r="E210" s="6" t="str">
        <f t="shared" si="17"/>
        <v>80</v>
      </c>
      <c r="F210" s="7" t="str">
        <f t="shared" si="18"/>
        <v>9A</v>
      </c>
    </row>
    <row r="211" spans="1:6" x14ac:dyDescent="0.3">
      <c r="A211" s="39" t="s">
        <v>383</v>
      </c>
      <c r="B211" s="5" t="str">
        <f t="shared" si="19"/>
        <v>AAA2</v>
      </c>
      <c r="C211" s="40" t="str">
        <f t="shared" si="15"/>
        <v>10110101</v>
      </c>
      <c r="D211" s="5" t="str">
        <f t="shared" si="16"/>
        <v>10000000</v>
      </c>
      <c r="E211" s="6" t="str">
        <f t="shared" si="17"/>
        <v>B5</v>
      </c>
      <c r="F211" s="7" t="str">
        <f t="shared" si="18"/>
        <v>80</v>
      </c>
    </row>
    <row r="212" spans="1:6" x14ac:dyDescent="0.3">
      <c r="A212" s="39" t="s">
        <v>384</v>
      </c>
      <c r="B212" s="5" t="str">
        <f t="shared" si="19"/>
        <v>AAA4</v>
      </c>
      <c r="C212" s="40" t="str">
        <f t="shared" si="15"/>
        <v>11101010</v>
      </c>
      <c r="D212" s="5" t="str">
        <f t="shared" si="16"/>
        <v>10000000</v>
      </c>
      <c r="E212" s="6" t="str">
        <f t="shared" si="17"/>
        <v>EA</v>
      </c>
      <c r="F212" s="7" t="str">
        <f t="shared" si="18"/>
        <v>80</v>
      </c>
    </row>
    <row r="213" spans="1:6" x14ac:dyDescent="0.3">
      <c r="A213" s="39" t="s">
        <v>385</v>
      </c>
      <c r="B213" s="5" t="str">
        <f t="shared" si="19"/>
        <v>AAA6</v>
      </c>
      <c r="C213" s="40" t="str">
        <f t="shared" si="15"/>
        <v>11010100</v>
      </c>
      <c r="D213" s="5" t="str">
        <f t="shared" si="16"/>
        <v>10000001</v>
      </c>
      <c r="E213" s="6" t="str">
        <f t="shared" si="17"/>
        <v>D4</v>
      </c>
      <c r="F213" s="7" t="str">
        <f t="shared" si="18"/>
        <v>81</v>
      </c>
    </row>
    <row r="214" spans="1:6" x14ac:dyDescent="0.3">
      <c r="A214" s="39" t="s">
        <v>386</v>
      </c>
      <c r="B214" s="5" t="str">
        <f t="shared" si="19"/>
        <v>AAA8</v>
      </c>
      <c r="C214" s="40" t="str">
        <f t="shared" si="15"/>
        <v>10101000</v>
      </c>
      <c r="D214" s="5" t="str">
        <f t="shared" si="16"/>
        <v>10000011</v>
      </c>
      <c r="E214" s="6" t="str">
        <f t="shared" si="17"/>
        <v>A8</v>
      </c>
      <c r="F214" s="7" t="str">
        <f t="shared" si="18"/>
        <v>83</v>
      </c>
    </row>
    <row r="215" spans="1:6" x14ac:dyDescent="0.3">
      <c r="A215" s="39" t="s">
        <v>387</v>
      </c>
      <c r="B215" s="5" t="str">
        <f t="shared" si="19"/>
        <v>AAAA</v>
      </c>
      <c r="C215" s="40" t="str">
        <f t="shared" si="15"/>
        <v>11010000</v>
      </c>
      <c r="D215" s="5" t="str">
        <f t="shared" si="16"/>
        <v>10000110</v>
      </c>
      <c r="E215" s="6" t="str">
        <f t="shared" si="17"/>
        <v>D0</v>
      </c>
      <c r="F215" s="7" t="str">
        <f t="shared" si="18"/>
        <v>86</v>
      </c>
    </row>
    <row r="216" spans="1:6" x14ac:dyDescent="0.3">
      <c r="A216" s="39" t="s">
        <v>388</v>
      </c>
      <c r="B216" s="5" t="str">
        <f t="shared" si="19"/>
        <v>AAAC</v>
      </c>
      <c r="C216" s="40" t="str">
        <f t="shared" si="15"/>
        <v>10100000</v>
      </c>
      <c r="D216" s="5" t="str">
        <f t="shared" si="16"/>
        <v>10001101</v>
      </c>
      <c r="E216" s="6" t="str">
        <f t="shared" si="17"/>
        <v>A0</v>
      </c>
      <c r="F216" s="7" t="str">
        <f t="shared" si="18"/>
        <v>8D</v>
      </c>
    </row>
    <row r="217" spans="1:6" x14ac:dyDescent="0.3">
      <c r="A217" s="39" t="s">
        <v>389</v>
      </c>
      <c r="B217" s="5" t="str">
        <f t="shared" si="19"/>
        <v>AAAE</v>
      </c>
      <c r="C217" s="40" t="str">
        <f t="shared" si="15"/>
        <v>11000000</v>
      </c>
      <c r="D217" s="5" t="str">
        <f t="shared" si="16"/>
        <v>10011010</v>
      </c>
      <c r="E217" s="6" t="str">
        <f t="shared" si="17"/>
        <v>C0</v>
      </c>
      <c r="F217" s="7" t="str">
        <f t="shared" si="18"/>
        <v>9A</v>
      </c>
    </row>
    <row r="218" spans="1:6" x14ac:dyDescent="0.3">
      <c r="A218" s="39" t="s">
        <v>390</v>
      </c>
      <c r="B218" s="5" t="str">
        <f t="shared" si="19"/>
        <v>AAB0</v>
      </c>
      <c r="C218" s="40" t="str">
        <f t="shared" si="15"/>
        <v>10000000</v>
      </c>
      <c r="D218" s="5" t="str">
        <f t="shared" si="16"/>
        <v>10011011</v>
      </c>
      <c r="E218" s="6" t="str">
        <f t="shared" si="17"/>
        <v>80</v>
      </c>
      <c r="F218" s="7" t="str">
        <f t="shared" si="18"/>
        <v>9B</v>
      </c>
    </row>
    <row r="219" spans="1:6" x14ac:dyDescent="0.3">
      <c r="A219" s="39" t="s">
        <v>391</v>
      </c>
      <c r="B219" s="5" t="str">
        <f t="shared" si="19"/>
        <v>AAB2</v>
      </c>
      <c r="C219" s="40" t="str">
        <f t="shared" si="15"/>
        <v>10110111</v>
      </c>
      <c r="D219" s="5" t="str">
        <f t="shared" si="16"/>
        <v>10000000</v>
      </c>
      <c r="E219" s="6" t="str">
        <f t="shared" si="17"/>
        <v>B7</v>
      </c>
      <c r="F219" s="7" t="str">
        <f t="shared" si="18"/>
        <v>80</v>
      </c>
    </row>
    <row r="220" spans="1:6" x14ac:dyDescent="0.3">
      <c r="A220" s="39" t="s">
        <v>392</v>
      </c>
      <c r="B220" s="5" t="str">
        <f t="shared" si="19"/>
        <v>AAB4</v>
      </c>
      <c r="C220" s="40" t="str">
        <f t="shared" si="15"/>
        <v>11101110</v>
      </c>
      <c r="D220" s="5" t="str">
        <f t="shared" si="16"/>
        <v>10000000</v>
      </c>
      <c r="E220" s="6" t="str">
        <f t="shared" si="17"/>
        <v>EE</v>
      </c>
      <c r="F220" s="7" t="str">
        <f t="shared" si="18"/>
        <v>80</v>
      </c>
    </row>
    <row r="221" spans="1:6" x14ac:dyDescent="0.3">
      <c r="A221" s="39" t="s">
        <v>393</v>
      </c>
      <c r="B221" s="5" t="str">
        <f t="shared" si="19"/>
        <v>AAB6</v>
      </c>
      <c r="C221" s="40" t="str">
        <f t="shared" si="15"/>
        <v>11011100</v>
      </c>
      <c r="D221" s="5" t="str">
        <f t="shared" si="16"/>
        <v>10000001</v>
      </c>
      <c r="E221" s="6" t="str">
        <f t="shared" si="17"/>
        <v>DC</v>
      </c>
      <c r="F221" s="7" t="str">
        <f t="shared" si="18"/>
        <v>81</v>
      </c>
    </row>
    <row r="222" spans="1:6" x14ac:dyDescent="0.3">
      <c r="A222" s="39" t="s">
        <v>394</v>
      </c>
      <c r="B222" s="5" t="str">
        <f t="shared" si="19"/>
        <v>AAB8</v>
      </c>
      <c r="C222" s="40" t="str">
        <f t="shared" si="15"/>
        <v>10111000</v>
      </c>
      <c r="D222" s="5" t="str">
        <f t="shared" si="16"/>
        <v>10000011</v>
      </c>
      <c r="E222" s="6" t="str">
        <f t="shared" si="17"/>
        <v>B8</v>
      </c>
      <c r="F222" s="7" t="str">
        <f t="shared" si="18"/>
        <v>83</v>
      </c>
    </row>
    <row r="223" spans="1:6" x14ac:dyDescent="0.3">
      <c r="A223" s="39" t="s">
        <v>395</v>
      </c>
      <c r="B223" s="5" t="str">
        <f t="shared" si="19"/>
        <v>AABA</v>
      </c>
      <c r="C223" s="40" t="str">
        <f t="shared" si="15"/>
        <v>11110000</v>
      </c>
      <c r="D223" s="5" t="str">
        <f t="shared" si="16"/>
        <v>10000110</v>
      </c>
      <c r="E223" s="6" t="str">
        <f t="shared" si="17"/>
        <v>F0</v>
      </c>
      <c r="F223" s="7" t="str">
        <f t="shared" si="18"/>
        <v>86</v>
      </c>
    </row>
    <row r="224" spans="1:6" x14ac:dyDescent="0.3">
      <c r="A224" s="39" t="s">
        <v>396</v>
      </c>
      <c r="B224" s="5" t="str">
        <f t="shared" si="19"/>
        <v>AABC</v>
      </c>
      <c r="C224" s="40" t="str">
        <f t="shared" si="15"/>
        <v>11100000</v>
      </c>
      <c r="D224" s="5" t="str">
        <f t="shared" si="16"/>
        <v>10001101</v>
      </c>
      <c r="E224" s="6" t="str">
        <f t="shared" si="17"/>
        <v>E0</v>
      </c>
      <c r="F224" s="7" t="str">
        <f t="shared" si="18"/>
        <v>8D</v>
      </c>
    </row>
    <row r="225" spans="1:6" x14ac:dyDescent="0.3">
      <c r="A225" s="39" t="s">
        <v>397</v>
      </c>
      <c r="B225" s="5" t="str">
        <f t="shared" si="19"/>
        <v>AABE</v>
      </c>
      <c r="C225" s="40" t="str">
        <f t="shared" si="15"/>
        <v>11000000</v>
      </c>
      <c r="D225" s="5" t="str">
        <f t="shared" si="16"/>
        <v>10011011</v>
      </c>
      <c r="E225" s="6" t="str">
        <f t="shared" si="17"/>
        <v>C0</v>
      </c>
      <c r="F225" s="7" t="str">
        <f t="shared" si="18"/>
        <v>9B</v>
      </c>
    </row>
    <row r="226" spans="1:6" x14ac:dyDescent="0.3">
      <c r="A226" s="39" t="s">
        <v>398</v>
      </c>
      <c r="B226" s="5" t="str">
        <f t="shared" si="19"/>
        <v>AAC0</v>
      </c>
      <c r="C226" s="40" t="str">
        <f t="shared" si="15"/>
        <v>10000000</v>
      </c>
      <c r="D226" s="5" t="str">
        <f t="shared" si="16"/>
        <v>10011100</v>
      </c>
      <c r="E226" s="6" t="str">
        <f t="shared" si="17"/>
        <v>80</v>
      </c>
      <c r="F226" s="7" t="str">
        <f t="shared" si="18"/>
        <v>9C</v>
      </c>
    </row>
    <row r="227" spans="1:6" x14ac:dyDescent="0.3">
      <c r="A227" s="39" t="s">
        <v>399</v>
      </c>
      <c r="B227" s="5" t="str">
        <f t="shared" si="19"/>
        <v>AAC2</v>
      </c>
      <c r="C227" s="40" t="str">
        <f t="shared" si="15"/>
        <v>10111001</v>
      </c>
      <c r="D227" s="5" t="str">
        <f t="shared" si="16"/>
        <v>10000000</v>
      </c>
      <c r="E227" s="6" t="str">
        <f t="shared" si="17"/>
        <v>B9</v>
      </c>
      <c r="F227" s="7" t="str">
        <f t="shared" si="18"/>
        <v>80</v>
      </c>
    </row>
    <row r="228" spans="1:6" x14ac:dyDescent="0.3">
      <c r="A228" s="39" t="s">
        <v>400</v>
      </c>
      <c r="B228" s="5" t="str">
        <f t="shared" si="19"/>
        <v>AAC4</v>
      </c>
      <c r="C228" s="40" t="str">
        <f t="shared" si="15"/>
        <v>11110010</v>
      </c>
      <c r="D228" s="5" t="str">
        <f t="shared" si="16"/>
        <v>10000000</v>
      </c>
      <c r="E228" s="6" t="str">
        <f t="shared" si="17"/>
        <v>F2</v>
      </c>
      <c r="F228" s="7" t="str">
        <f t="shared" si="18"/>
        <v>80</v>
      </c>
    </row>
    <row r="229" spans="1:6" x14ac:dyDescent="0.3">
      <c r="A229" s="39" t="s">
        <v>401</v>
      </c>
      <c r="B229" s="5" t="str">
        <f t="shared" si="19"/>
        <v>AAC6</v>
      </c>
      <c r="C229" s="40" t="str">
        <f t="shared" si="15"/>
        <v>11100100</v>
      </c>
      <c r="D229" s="5" t="str">
        <f t="shared" si="16"/>
        <v>10000001</v>
      </c>
      <c r="E229" s="6" t="str">
        <f t="shared" si="17"/>
        <v>E4</v>
      </c>
      <c r="F229" s="7" t="str">
        <f t="shared" si="18"/>
        <v>81</v>
      </c>
    </row>
    <row r="230" spans="1:6" x14ac:dyDescent="0.3">
      <c r="A230" s="39" t="s">
        <v>402</v>
      </c>
      <c r="B230" s="5" t="str">
        <f t="shared" si="19"/>
        <v>AAC8</v>
      </c>
      <c r="C230" s="40" t="str">
        <f t="shared" si="15"/>
        <v>11001000</v>
      </c>
      <c r="D230" s="5" t="str">
        <f t="shared" si="16"/>
        <v>10000011</v>
      </c>
      <c r="E230" s="6" t="str">
        <f t="shared" si="17"/>
        <v>C8</v>
      </c>
      <c r="F230" s="7" t="str">
        <f t="shared" si="18"/>
        <v>83</v>
      </c>
    </row>
    <row r="231" spans="1:6" x14ac:dyDescent="0.3">
      <c r="A231" s="39" t="s">
        <v>403</v>
      </c>
      <c r="B231" s="5" t="str">
        <f t="shared" si="19"/>
        <v>AACA</v>
      </c>
      <c r="C231" s="40" t="str">
        <f t="shared" si="15"/>
        <v>10010000</v>
      </c>
      <c r="D231" s="5" t="str">
        <f t="shared" si="16"/>
        <v>10000111</v>
      </c>
      <c r="E231" s="6" t="str">
        <f t="shared" si="17"/>
        <v>90</v>
      </c>
      <c r="F231" s="7" t="str">
        <f t="shared" si="18"/>
        <v>87</v>
      </c>
    </row>
    <row r="232" spans="1:6" x14ac:dyDescent="0.3">
      <c r="A232" s="39" t="s">
        <v>404</v>
      </c>
      <c r="B232" s="5" t="str">
        <f t="shared" si="19"/>
        <v>AACC</v>
      </c>
      <c r="C232" s="40" t="str">
        <f t="shared" si="15"/>
        <v>10100000</v>
      </c>
      <c r="D232" s="5" t="str">
        <f t="shared" si="16"/>
        <v>10001110</v>
      </c>
      <c r="E232" s="6" t="str">
        <f t="shared" si="17"/>
        <v>A0</v>
      </c>
      <c r="F232" s="7" t="str">
        <f t="shared" si="18"/>
        <v>8E</v>
      </c>
    </row>
    <row r="233" spans="1:6" x14ac:dyDescent="0.3">
      <c r="A233" s="39" t="s">
        <v>405</v>
      </c>
      <c r="B233" s="5" t="str">
        <f t="shared" si="19"/>
        <v>AACE</v>
      </c>
      <c r="C233" s="40" t="str">
        <f t="shared" si="15"/>
        <v>11000000</v>
      </c>
      <c r="D233" s="5" t="str">
        <f t="shared" si="16"/>
        <v>10011100</v>
      </c>
      <c r="E233" s="6" t="str">
        <f t="shared" si="17"/>
        <v>C0</v>
      </c>
      <c r="F233" s="7" t="str">
        <f t="shared" si="18"/>
        <v>9C</v>
      </c>
    </row>
    <row r="234" spans="1:6" x14ac:dyDescent="0.3">
      <c r="A234" s="39" t="s">
        <v>406</v>
      </c>
      <c r="B234" s="5" t="str">
        <f t="shared" si="19"/>
        <v>AAD0</v>
      </c>
      <c r="C234" s="40" t="str">
        <f t="shared" si="15"/>
        <v>10000000</v>
      </c>
      <c r="D234" s="5" t="str">
        <f t="shared" si="16"/>
        <v>10011101</v>
      </c>
      <c r="E234" s="6" t="str">
        <f t="shared" si="17"/>
        <v>80</v>
      </c>
      <c r="F234" s="7" t="str">
        <f t="shared" si="18"/>
        <v>9D</v>
      </c>
    </row>
    <row r="235" spans="1:6" x14ac:dyDescent="0.3">
      <c r="A235" s="39" t="s">
        <v>407</v>
      </c>
      <c r="B235" s="5" t="str">
        <f t="shared" si="19"/>
        <v>AAD2</v>
      </c>
      <c r="C235" s="40" t="str">
        <f t="shared" si="15"/>
        <v>10111011</v>
      </c>
      <c r="D235" s="5" t="str">
        <f t="shared" si="16"/>
        <v>10000000</v>
      </c>
      <c r="E235" s="6" t="str">
        <f t="shared" si="17"/>
        <v>BB</v>
      </c>
      <c r="F235" s="7" t="str">
        <f t="shared" si="18"/>
        <v>80</v>
      </c>
    </row>
    <row r="236" spans="1:6" x14ac:dyDescent="0.3">
      <c r="A236" s="39" t="s">
        <v>408</v>
      </c>
      <c r="B236" s="5" t="str">
        <f t="shared" si="19"/>
        <v>AAD4</v>
      </c>
      <c r="C236" s="40" t="str">
        <f t="shared" si="15"/>
        <v>11110110</v>
      </c>
      <c r="D236" s="5" t="str">
        <f t="shared" si="16"/>
        <v>10000000</v>
      </c>
      <c r="E236" s="6" t="str">
        <f t="shared" si="17"/>
        <v>F6</v>
      </c>
      <c r="F236" s="7" t="str">
        <f t="shared" si="18"/>
        <v>80</v>
      </c>
    </row>
    <row r="237" spans="1:6" x14ac:dyDescent="0.3">
      <c r="A237" s="39" t="s">
        <v>409</v>
      </c>
      <c r="B237" s="5" t="str">
        <f t="shared" si="19"/>
        <v>AAD6</v>
      </c>
      <c r="C237" s="40" t="str">
        <f t="shared" si="15"/>
        <v>11101100</v>
      </c>
      <c r="D237" s="5" t="str">
        <f t="shared" si="16"/>
        <v>10000001</v>
      </c>
      <c r="E237" s="6" t="str">
        <f t="shared" si="17"/>
        <v>EC</v>
      </c>
      <c r="F237" s="7" t="str">
        <f t="shared" si="18"/>
        <v>81</v>
      </c>
    </row>
    <row r="238" spans="1:6" x14ac:dyDescent="0.3">
      <c r="A238" s="39" t="s">
        <v>410</v>
      </c>
      <c r="B238" s="5" t="str">
        <f t="shared" si="19"/>
        <v>AAD8</v>
      </c>
      <c r="C238" s="40" t="str">
        <f t="shared" si="15"/>
        <v>11011000</v>
      </c>
      <c r="D238" s="5" t="str">
        <f t="shared" si="16"/>
        <v>10000011</v>
      </c>
      <c r="E238" s="6" t="str">
        <f t="shared" si="17"/>
        <v>D8</v>
      </c>
      <c r="F238" s="7" t="str">
        <f t="shared" si="18"/>
        <v>83</v>
      </c>
    </row>
    <row r="239" spans="1:6" x14ac:dyDescent="0.3">
      <c r="A239" s="39" t="s">
        <v>411</v>
      </c>
      <c r="B239" s="5" t="str">
        <f t="shared" si="19"/>
        <v>AADA</v>
      </c>
      <c r="C239" s="40" t="str">
        <f t="shared" si="15"/>
        <v>10110000</v>
      </c>
      <c r="D239" s="5" t="str">
        <f t="shared" si="16"/>
        <v>10000111</v>
      </c>
      <c r="E239" s="6" t="str">
        <f t="shared" si="17"/>
        <v>B0</v>
      </c>
      <c r="F239" s="7" t="str">
        <f t="shared" si="18"/>
        <v>87</v>
      </c>
    </row>
    <row r="240" spans="1:6" x14ac:dyDescent="0.3">
      <c r="A240" s="39" t="s">
        <v>412</v>
      </c>
      <c r="B240" s="5" t="str">
        <f t="shared" si="19"/>
        <v>AADC</v>
      </c>
      <c r="C240" s="40" t="str">
        <f t="shared" si="15"/>
        <v>11100000</v>
      </c>
      <c r="D240" s="5" t="str">
        <f t="shared" si="16"/>
        <v>10001110</v>
      </c>
      <c r="E240" s="6" t="str">
        <f t="shared" si="17"/>
        <v>E0</v>
      </c>
      <c r="F240" s="7" t="str">
        <f t="shared" si="18"/>
        <v>8E</v>
      </c>
    </row>
    <row r="241" spans="1:6" x14ac:dyDescent="0.3">
      <c r="A241" s="39" t="s">
        <v>413</v>
      </c>
      <c r="B241" s="5" t="str">
        <f t="shared" si="19"/>
        <v>AADE</v>
      </c>
      <c r="C241" s="40" t="str">
        <f t="shared" si="15"/>
        <v>11000000</v>
      </c>
      <c r="D241" s="5" t="str">
        <f t="shared" si="16"/>
        <v>10011101</v>
      </c>
      <c r="E241" s="6" t="str">
        <f t="shared" si="17"/>
        <v>C0</v>
      </c>
      <c r="F241" s="7" t="str">
        <f t="shared" si="18"/>
        <v>9D</v>
      </c>
    </row>
    <row r="242" spans="1:6" x14ac:dyDescent="0.3">
      <c r="A242" s="39" t="s">
        <v>414</v>
      </c>
      <c r="B242" s="5" t="str">
        <f t="shared" si="19"/>
        <v>AAE0</v>
      </c>
      <c r="C242" s="40" t="str">
        <f t="shared" si="15"/>
        <v>10000000</v>
      </c>
      <c r="D242" s="5" t="str">
        <f t="shared" si="16"/>
        <v>10011110</v>
      </c>
      <c r="E242" s="6" t="str">
        <f t="shared" si="17"/>
        <v>80</v>
      </c>
      <c r="F242" s="7" t="str">
        <f t="shared" si="18"/>
        <v>9E</v>
      </c>
    </row>
    <row r="243" spans="1:6" x14ac:dyDescent="0.3">
      <c r="A243" s="39" t="s">
        <v>415</v>
      </c>
      <c r="B243" s="5" t="str">
        <f t="shared" si="19"/>
        <v>AAE2</v>
      </c>
      <c r="C243" s="40" t="str">
        <f t="shared" si="15"/>
        <v>10111101</v>
      </c>
      <c r="D243" s="5" t="str">
        <f t="shared" si="16"/>
        <v>10000000</v>
      </c>
      <c r="E243" s="6" t="str">
        <f t="shared" si="17"/>
        <v>BD</v>
      </c>
      <c r="F243" s="7" t="str">
        <f t="shared" si="18"/>
        <v>80</v>
      </c>
    </row>
    <row r="244" spans="1:6" x14ac:dyDescent="0.3">
      <c r="A244" s="39" t="s">
        <v>416</v>
      </c>
      <c r="B244" s="5" t="str">
        <f t="shared" si="19"/>
        <v>AAE4</v>
      </c>
      <c r="C244" s="40" t="str">
        <f t="shared" si="15"/>
        <v>11111010</v>
      </c>
      <c r="D244" s="5" t="str">
        <f t="shared" si="16"/>
        <v>10000000</v>
      </c>
      <c r="E244" s="6" t="str">
        <f t="shared" si="17"/>
        <v>FA</v>
      </c>
      <c r="F244" s="7" t="str">
        <f t="shared" si="18"/>
        <v>80</v>
      </c>
    </row>
    <row r="245" spans="1:6" x14ac:dyDescent="0.3">
      <c r="A245" s="39" t="s">
        <v>417</v>
      </c>
      <c r="B245" s="5" t="str">
        <f t="shared" si="19"/>
        <v>AAE6</v>
      </c>
      <c r="C245" s="40" t="str">
        <f t="shared" si="15"/>
        <v>11110100</v>
      </c>
      <c r="D245" s="5" t="str">
        <f t="shared" si="16"/>
        <v>10000001</v>
      </c>
      <c r="E245" s="6" t="str">
        <f t="shared" si="17"/>
        <v>F4</v>
      </c>
      <c r="F245" s="7" t="str">
        <f t="shared" si="18"/>
        <v>81</v>
      </c>
    </row>
    <row r="246" spans="1:6" x14ac:dyDescent="0.3">
      <c r="A246" s="39" t="s">
        <v>418</v>
      </c>
      <c r="B246" s="5" t="str">
        <f t="shared" si="19"/>
        <v>AAE8</v>
      </c>
      <c r="C246" s="40" t="str">
        <f t="shared" si="15"/>
        <v>11101000</v>
      </c>
      <c r="D246" s="5" t="str">
        <f t="shared" si="16"/>
        <v>10000011</v>
      </c>
      <c r="E246" s="6" t="str">
        <f t="shared" si="17"/>
        <v>E8</v>
      </c>
      <c r="F246" s="7" t="str">
        <f t="shared" si="18"/>
        <v>83</v>
      </c>
    </row>
    <row r="247" spans="1:6" x14ac:dyDescent="0.3">
      <c r="A247" s="39" t="s">
        <v>419</v>
      </c>
      <c r="B247" s="5" t="str">
        <f t="shared" si="19"/>
        <v>AAEA</v>
      </c>
      <c r="C247" s="40" t="str">
        <f t="shared" si="15"/>
        <v>11010000</v>
      </c>
      <c r="D247" s="5" t="str">
        <f t="shared" si="16"/>
        <v>10000111</v>
      </c>
      <c r="E247" s="6" t="str">
        <f t="shared" si="17"/>
        <v>D0</v>
      </c>
      <c r="F247" s="7" t="str">
        <f t="shared" si="18"/>
        <v>87</v>
      </c>
    </row>
    <row r="248" spans="1:6" x14ac:dyDescent="0.3">
      <c r="A248" s="39" t="s">
        <v>420</v>
      </c>
      <c r="B248" s="5" t="str">
        <f t="shared" si="19"/>
        <v>AAEC</v>
      </c>
      <c r="C248" s="40" t="str">
        <f t="shared" si="15"/>
        <v>10100000</v>
      </c>
      <c r="D248" s="5" t="str">
        <f t="shared" si="16"/>
        <v>10001111</v>
      </c>
      <c r="E248" s="6" t="str">
        <f t="shared" si="17"/>
        <v>A0</v>
      </c>
      <c r="F248" s="7" t="str">
        <f t="shared" si="18"/>
        <v>8F</v>
      </c>
    </row>
    <row r="249" spans="1:6" x14ac:dyDescent="0.3">
      <c r="A249" s="39" t="s">
        <v>421</v>
      </c>
      <c r="B249" s="5" t="str">
        <f t="shared" si="19"/>
        <v>AAEE</v>
      </c>
      <c r="C249" s="40" t="str">
        <f t="shared" si="15"/>
        <v>11000000</v>
      </c>
      <c r="D249" s="5" t="str">
        <f t="shared" si="16"/>
        <v>10011110</v>
      </c>
      <c r="E249" s="6" t="str">
        <f t="shared" si="17"/>
        <v>C0</v>
      </c>
      <c r="F249" s="7" t="str">
        <f t="shared" si="18"/>
        <v>9E</v>
      </c>
    </row>
    <row r="250" spans="1:6" x14ac:dyDescent="0.3">
      <c r="A250" s="39" t="s">
        <v>422</v>
      </c>
      <c r="B250" s="5" t="str">
        <f t="shared" si="19"/>
        <v>AAF0</v>
      </c>
      <c r="C250" s="40" t="str">
        <f t="shared" si="15"/>
        <v>10000000</v>
      </c>
      <c r="D250" s="5" t="str">
        <f t="shared" si="16"/>
        <v>10011111</v>
      </c>
      <c r="E250" s="6" t="str">
        <f t="shared" si="17"/>
        <v>80</v>
      </c>
      <c r="F250" s="7" t="str">
        <f t="shared" si="18"/>
        <v>9F</v>
      </c>
    </row>
    <row r="251" spans="1:6" x14ac:dyDescent="0.3">
      <c r="A251" s="39" t="s">
        <v>423</v>
      </c>
      <c r="B251" s="5" t="str">
        <f t="shared" si="19"/>
        <v>AAF2</v>
      </c>
      <c r="C251" s="40" t="str">
        <f t="shared" si="15"/>
        <v>10111111</v>
      </c>
      <c r="D251" s="5" t="str">
        <f t="shared" si="16"/>
        <v>10000000</v>
      </c>
      <c r="E251" s="6" t="str">
        <f t="shared" si="17"/>
        <v>BF</v>
      </c>
      <c r="F251" s="7" t="str">
        <f t="shared" si="18"/>
        <v>80</v>
      </c>
    </row>
    <row r="252" spans="1:6" x14ac:dyDescent="0.3">
      <c r="A252" s="39" t="s">
        <v>424</v>
      </c>
      <c r="B252" s="5" t="str">
        <f t="shared" si="19"/>
        <v>AAF4</v>
      </c>
      <c r="C252" s="40" t="str">
        <f t="shared" si="15"/>
        <v>11111110</v>
      </c>
      <c r="D252" s="5" t="str">
        <f t="shared" si="16"/>
        <v>10000000</v>
      </c>
      <c r="E252" s="6" t="str">
        <f t="shared" si="17"/>
        <v>FE</v>
      </c>
      <c r="F252" s="7" t="str">
        <f t="shared" si="18"/>
        <v>80</v>
      </c>
    </row>
    <row r="253" spans="1:6" x14ac:dyDescent="0.3">
      <c r="A253" s="39" t="s">
        <v>425</v>
      </c>
      <c r="B253" s="5" t="str">
        <f t="shared" si="19"/>
        <v>AAF6</v>
      </c>
      <c r="C253" s="40" t="str">
        <f t="shared" si="15"/>
        <v>11111100</v>
      </c>
      <c r="D253" s="5" t="str">
        <f t="shared" si="16"/>
        <v>10000001</v>
      </c>
      <c r="E253" s="6" t="str">
        <f t="shared" si="17"/>
        <v>FC</v>
      </c>
      <c r="F253" s="7" t="str">
        <f t="shared" si="18"/>
        <v>81</v>
      </c>
    </row>
    <row r="254" spans="1:6" x14ac:dyDescent="0.3">
      <c r="A254" s="39" t="s">
        <v>426</v>
      </c>
      <c r="B254" s="5" t="str">
        <f t="shared" si="19"/>
        <v>AAF8</v>
      </c>
      <c r="C254" s="40" t="str">
        <f t="shared" si="15"/>
        <v>11111000</v>
      </c>
      <c r="D254" s="5" t="str">
        <f t="shared" si="16"/>
        <v>10000011</v>
      </c>
      <c r="E254" s="6" t="str">
        <f t="shared" si="17"/>
        <v>F8</v>
      </c>
      <c r="F254" s="7" t="str">
        <f t="shared" si="18"/>
        <v>83</v>
      </c>
    </row>
    <row r="255" spans="1:6" x14ac:dyDescent="0.3">
      <c r="A255" s="39" t="s">
        <v>427</v>
      </c>
      <c r="B255" s="5" t="str">
        <f t="shared" si="19"/>
        <v>AAFA</v>
      </c>
      <c r="C255" s="40" t="str">
        <f t="shared" si="15"/>
        <v>11110000</v>
      </c>
      <c r="D255" s="5" t="str">
        <f t="shared" si="16"/>
        <v>10000111</v>
      </c>
      <c r="E255" s="6" t="str">
        <f t="shared" si="17"/>
        <v>F0</v>
      </c>
      <c r="F255" s="7" t="str">
        <f t="shared" si="18"/>
        <v>87</v>
      </c>
    </row>
    <row r="256" spans="1:6" x14ac:dyDescent="0.3">
      <c r="A256" s="39" t="s">
        <v>428</v>
      </c>
      <c r="B256" s="5" t="str">
        <f t="shared" si="19"/>
        <v>AAFC</v>
      </c>
      <c r="C256" s="40" t="str">
        <f t="shared" si="15"/>
        <v>11100000</v>
      </c>
      <c r="D256" s="5" t="str">
        <f t="shared" si="16"/>
        <v>10001111</v>
      </c>
      <c r="E256" s="6" t="str">
        <f t="shared" si="17"/>
        <v>E0</v>
      </c>
      <c r="F256" s="7" t="str">
        <f t="shared" si="18"/>
        <v>8F</v>
      </c>
    </row>
    <row r="257" spans="1:6" x14ac:dyDescent="0.3">
      <c r="A257" s="39" t="s">
        <v>429</v>
      </c>
      <c r="B257" s="5" t="str">
        <f t="shared" si="19"/>
        <v>AAFE</v>
      </c>
      <c r="C257" s="40" t="str">
        <f t="shared" si="15"/>
        <v>11000000</v>
      </c>
      <c r="D257" s="5" t="str">
        <f t="shared" si="16"/>
        <v>10011111</v>
      </c>
      <c r="E257" s="6" t="str">
        <f t="shared" si="17"/>
        <v>C0</v>
      </c>
      <c r="F257" s="7" t="str">
        <f t="shared" si="18"/>
        <v>9F</v>
      </c>
    </row>
    <row r="258" spans="1:6" x14ac:dyDescent="0.3">
      <c r="A258" s="39" t="s">
        <v>430</v>
      </c>
      <c r="B258" s="5" t="str">
        <f t="shared" si="19"/>
        <v>AB00</v>
      </c>
      <c r="C258" s="40" t="str">
        <f t="shared" si="15"/>
        <v>10000000</v>
      </c>
      <c r="D258" s="5" t="str">
        <f t="shared" si="16"/>
        <v>10100000</v>
      </c>
      <c r="E258" s="6" t="str">
        <f t="shared" si="17"/>
        <v>80</v>
      </c>
      <c r="F258" s="7" t="str">
        <f t="shared" si="18"/>
        <v>A0</v>
      </c>
    </row>
    <row r="259" spans="1:6" x14ac:dyDescent="0.3">
      <c r="A259" s="39" t="s">
        <v>431</v>
      </c>
      <c r="B259" s="5" t="str">
        <f t="shared" si="19"/>
        <v>AB02</v>
      </c>
      <c r="C259" s="40" t="str">
        <f t="shared" ref="C259:C322" si="20">MID($A259,15,8)</f>
        <v>11000001</v>
      </c>
      <c r="D259" s="5" t="str">
        <f t="shared" ref="D259:D322" si="21">MID($A259,26,8)</f>
        <v>10000000</v>
      </c>
      <c r="E259" s="6" t="str">
        <f t="shared" ref="E259:E322" si="22">BIN2HEX(C259)</f>
        <v>C1</v>
      </c>
      <c r="F259" s="7" t="str">
        <f t="shared" ref="F259:F322" si="23">BIN2HEX(D259)</f>
        <v>80</v>
      </c>
    </row>
    <row r="260" spans="1:6" x14ac:dyDescent="0.3">
      <c r="A260" s="39" t="s">
        <v>432</v>
      </c>
      <c r="B260" s="5" t="str">
        <f t="shared" ref="B260:B323" si="24">DEC2HEX(HEX2DEC(B259)+2)</f>
        <v>AB04</v>
      </c>
      <c r="C260" s="40" t="str">
        <f t="shared" si="20"/>
        <v>10000010</v>
      </c>
      <c r="D260" s="5" t="str">
        <f t="shared" si="21"/>
        <v>10000001</v>
      </c>
      <c r="E260" s="6" t="str">
        <f t="shared" si="22"/>
        <v>82</v>
      </c>
      <c r="F260" s="7" t="str">
        <f t="shared" si="23"/>
        <v>81</v>
      </c>
    </row>
    <row r="261" spans="1:6" x14ac:dyDescent="0.3">
      <c r="A261" s="39" t="s">
        <v>433</v>
      </c>
      <c r="B261" s="5" t="str">
        <f t="shared" si="24"/>
        <v>AB06</v>
      </c>
      <c r="C261" s="40" t="str">
        <f t="shared" si="20"/>
        <v>10000100</v>
      </c>
      <c r="D261" s="5" t="str">
        <f t="shared" si="21"/>
        <v>10000010</v>
      </c>
      <c r="E261" s="6" t="str">
        <f t="shared" si="22"/>
        <v>84</v>
      </c>
      <c r="F261" s="7" t="str">
        <f t="shared" si="23"/>
        <v>82</v>
      </c>
    </row>
    <row r="262" spans="1:6" x14ac:dyDescent="0.3">
      <c r="A262" s="39" t="s">
        <v>434</v>
      </c>
      <c r="B262" s="5" t="str">
        <f t="shared" si="24"/>
        <v>AB08</v>
      </c>
      <c r="C262" s="40" t="str">
        <f t="shared" si="20"/>
        <v>10001000</v>
      </c>
      <c r="D262" s="5" t="str">
        <f t="shared" si="21"/>
        <v>10000100</v>
      </c>
      <c r="E262" s="6" t="str">
        <f t="shared" si="22"/>
        <v>88</v>
      </c>
      <c r="F262" s="7" t="str">
        <f t="shared" si="23"/>
        <v>84</v>
      </c>
    </row>
    <row r="263" spans="1:6" x14ac:dyDescent="0.3">
      <c r="A263" s="39" t="s">
        <v>435</v>
      </c>
      <c r="B263" s="5" t="str">
        <f t="shared" si="24"/>
        <v>AB0A</v>
      </c>
      <c r="C263" s="40" t="str">
        <f t="shared" si="20"/>
        <v>10010000</v>
      </c>
      <c r="D263" s="5" t="str">
        <f t="shared" si="21"/>
        <v>10001000</v>
      </c>
      <c r="E263" s="6" t="str">
        <f t="shared" si="22"/>
        <v>90</v>
      </c>
      <c r="F263" s="7" t="str">
        <f t="shared" si="23"/>
        <v>88</v>
      </c>
    </row>
    <row r="264" spans="1:6" x14ac:dyDescent="0.3">
      <c r="A264" s="39" t="s">
        <v>436</v>
      </c>
      <c r="B264" s="5" t="str">
        <f t="shared" si="24"/>
        <v>AB0C</v>
      </c>
      <c r="C264" s="40" t="str">
        <f t="shared" si="20"/>
        <v>10100000</v>
      </c>
      <c r="D264" s="5" t="str">
        <f t="shared" si="21"/>
        <v>10010000</v>
      </c>
      <c r="E264" s="6" t="str">
        <f t="shared" si="22"/>
        <v>A0</v>
      </c>
      <c r="F264" s="7" t="str">
        <f t="shared" si="23"/>
        <v>90</v>
      </c>
    </row>
    <row r="265" spans="1:6" x14ac:dyDescent="0.3">
      <c r="A265" s="39" t="s">
        <v>437</v>
      </c>
      <c r="B265" s="5" t="str">
        <f t="shared" si="24"/>
        <v>AB0E</v>
      </c>
      <c r="C265" s="40" t="str">
        <f t="shared" si="20"/>
        <v>11000000</v>
      </c>
      <c r="D265" s="5" t="str">
        <f t="shared" si="21"/>
        <v>10100000</v>
      </c>
      <c r="E265" s="6" t="str">
        <f t="shared" si="22"/>
        <v>C0</v>
      </c>
      <c r="F265" s="7" t="str">
        <f t="shared" si="23"/>
        <v>A0</v>
      </c>
    </row>
    <row r="266" spans="1:6" x14ac:dyDescent="0.3">
      <c r="A266" s="39" t="s">
        <v>438</v>
      </c>
      <c r="B266" s="5" t="str">
        <f t="shared" si="24"/>
        <v>AB10</v>
      </c>
      <c r="C266" s="40" t="str">
        <f t="shared" si="20"/>
        <v>10000000</v>
      </c>
      <c r="D266" s="5" t="str">
        <f t="shared" si="21"/>
        <v>10100001</v>
      </c>
      <c r="E266" s="6" t="str">
        <f t="shared" si="22"/>
        <v>80</v>
      </c>
      <c r="F266" s="7" t="str">
        <f t="shared" si="23"/>
        <v>A1</v>
      </c>
    </row>
    <row r="267" spans="1:6" x14ac:dyDescent="0.3">
      <c r="A267" s="39" t="s">
        <v>439</v>
      </c>
      <c r="B267" s="5" t="str">
        <f t="shared" si="24"/>
        <v>AB12</v>
      </c>
      <c r="C267" s="40" t="str">
        <f t="shared" si="20"/>
        <v>11000011</v>
      </c>
      <c r="D267" s="5" t="str">
        <f t="shared" si="21"/>
        <v>10000000</v>
      </c>
      <c r="E267" s="6" t="str">
        <f t="shared" si="22"/>
        <v>C3</v>
      </c>
      <c r="F267" s="7" t="str">
        <f t="shared" si="23"/>
        <v>80</v>
      </c>
    </row>
    <row r="268" spans="1:6" x14ac:dyDescent="0.3">
      <c r="A268" s="39" t="s">
        <v>440</v>
      </c>
      <c r="B268" s="5" t="str">
        <f t="shared" si="24"/>
        <v>AB14</v>
      </c>
      <c r="C268" s="40" t="str">
        <f t="shared" si="20"/>
        <v>10000110</v>
      </c>
      <c r="D268" s="5" t="str">
        <f t="shared" si="21"/>
        <v>10000001</v>
      </c>
      <c r="E268" s="6" t="str">
        <f t="shared" si="22"/>
        <v>86</v>
      </c>
      <c r="F268" s="7" t="str">
        <f t="shared" si="23"/>
        <v>81</v>
      </c>
    </row>
    <row r="269" spans="1:6" x14ac:dyDescent="0.3">
      <c r="A269" s="39" t="s">
        <v>441</v>
      </c>
      <c r="B269" s="5" t="str">
        <f t="shared" si="24"/>
        <v>AB16</v>
      </c>
      <c r="C269" s="40" t="str">
        <f t="shared" si="20"/>
        <v>10001100</v>
      </c>
      <c r="D269" s="5" t="str">
        <f t="shared" si="21"/>
        <v>10000010</v>
      </c>
      <c r="E269" s="6" t="str">
        <f t="shared" si="22"/>
        <v>8C</v>
      </c>
      <c r="F269" s="7" t="str">
        <f t="shared" si="23"/>
        <v>82</v>
      </c>
    </row>
    <row r="270" spans="1:6" x14ac:dyDescent="0.3">
      <c r="A270" s="39" t="s">
        <v>442</v>
      </c>
      <c r="B270" s="5" t="str">
        <f t="shared" si="24"/>
        <v>AB18</v>
      </c>
      <c r="C270" s="40" t="str">
        <f t="shared" si="20"/>
        <v>10011000</v>
      </c>
      <c r="D270" s="5" t="str">
        <f t="shared" si="21"/>
        <v>10000100</v>
      </c>
      <c r="E270" s="6" t="str">
        <f t="shared" si="22"/>
        <v>98</v>
      </c>
      <c r="F270" s="7" t="str">
        <f t="shared" si="23"/>
        <v>84</v>
      </c>
    </row>
    <row r="271" spans="1:6" x14ac:dyDescent="0.3">
      <c r="A271" s="39" t="s">
        <v>443</v>
      </c>
      <c r="B271" s="5" t="str">
        <f t="shared" si="24"/>
        <v>AB1A</v>
      </c>
      <c r="C271" s="40" t="str">
        <f t="shared" si="20"/>
        <v>10110000</v>
      </c>
      <c r="D271" s="5" t="str">
        <f t="shared" si="21"/>
        <v>10001000</v>
      </c>
      <c r="E271" s="6" t="str">
        <f t="shared" si="22"/>
        <v>B0</v>
      </c>
      <c r="F271" s="7" t="str">
        <f t="shared" si="23"/>
        <v>88</v>
      </c>
    </row>
    <row r="272" spans="1:6" x14ac:dyDescent="0.3">
      <c r="A272" s="39" t="s">
        <v>444</v>
      </c>
      <c r="B272" s="5" t="str">
        <f t="shared" si="24"/>
        <v>AB1C</v>
      </c>
      <c r="C272" s="40" t="str">
        <f t="shared" si="20"/>
        <v>11100000</v>
      </c>
      <c r="D272" s="5" t="str">
        <f t="shared" si="21"/>
        <v>10010000</v>
      </c>
      <c r="E272" s="6" t="str">
        <f t="shared" si="22"/>
        <v>E0</v>
      </c>
      <c r="F272" s="7" t="str">
        <f t="shared" si="23"/>
        <v>90</v>
      </c>
    </row>
    <row r="273" spans="1:6" x14ac:dyDescent="0.3">
      <c r="A273" s="39" t="s">
        <v>445</v>
      </c>
      <c r="B273" s="5" t="str">
        <f t="shared" si="24"/>
        <v>AB1E</v>
      </c>
      <c r="C273" s="40" t="str">
        <f t="shared" si="20"/>
        <v>11000000</v>
      </c>
      <c r="D273" s="5" t="str">
        <f t="shared" si="21"/>
        <v>10100001</v>
      </c>
      <c r="E273" s="6" t="str">
        <f t="shared" si="22"/>
        <v>C0</v>
      </c>
      <c r="F273" s="7" t="str">
        <f t="shared" si="23"/>
        <v>A1</v>
      </c>
    </row>
    <row r="274" spans="1:6" x14ac:dyDescent="0.3">
      <c r="A274" s="39" t="s">
        <v>446</v>
      </c>
      <c r="B274" s="5" t="str">
        <f t="shared" si="24"/>
        <v>AB20</v>
      </c>
      <c r="C274" s="40" t="str">
        <f t="shared" si="20"/>
        <v>10000000</v>
      </c>
      <c r="D274" s="5" t="str">
        <f t="shared" si="21"/>
        <v>10100010</v>
      </c>
      <c r="E274" s="6" t="str">
        <f t="shared" si="22"/>
        <v>80</v>
      </c>
      <c r="F274" s="7" t="str">
        <f t="shared" si="23"/>
        <v>A2</v>
      </c>
    </row>
    <row r="275" spans="1:6" x14ac:dyDescent="0.3">
      <c r="A275" s="39" t="s">
        <v>447</v>
      </c>
      <c r="B275" s="5" t="str">
        <f t="shared" si="24"/>
        <v>AB22</v>
      </c>
      <c r="C275" s="40" t="str">
        <f t="shared" si="20"/>
        <v>11000101</v>
      </c>
      <c r="D275" s="5" t="str">
        <f t="shared" si="21"/>
        <v>10000000</v>
      </c>
      <c r="E275" s="6" t="str">
        <f t="shared" si="22"/>
        <v>C5</v>
      </c>
      <c r="F275" s="7" t="str">
        <f t="shared" si="23"/>
        <v>80</v>
      </c>
    </row>
    <row r="276" spans="1:6" x14ac:dyDescent="0.3">
      <c r="A276" s="39" t="s">
        <v>448</v>
      </c>
      <c r="B276" s="5" t="str">
        <f t="shared" si="24"/>
        <v>AB24</v>
      </c>
      <c r="C276" s="40" t="str">
        <f t="shared" si="20"/>
        <v>10001010</v>
      </c>
      <c r="D276" s="5" t="str">
        <f t="shared" si="21"/>
        <v>10000001</v>
      </c>
      <c r="E276" s="6" t="str">
        <f t="shared" si="22"/>
        <v>8A</v>
      </c>
      <c r="F276" s="7" t="str">
        <f t="shared" si="23"/>
        <v>81</v>
      </c>
    </row>
    <row r="277" spans="1:6" x14ac:dyDescent="0.3">
      <c r="A277" s="39" t="s">
        <v>449</v>
      </c>
      <c r="B277" s="5" t="str">
        <f t="shared" si="24"/>
        <v>AB26</v>
      </c>
      <c r="C277" s="40" t="str">
        <f t="shared" si="20"/>
        <v>10010100</v>
      </c>
      <c r="D277" s="5" t="str">
        <f t="shared" si="21"/>
        <v>10000010</v>
      </c>
      <c r="E277" s="6" t="str">
        <f t="shared" si="22"/>
        <v>94</v>
      </c>
      <c r="F277" s="7" t="str">
        <f t="shared" si="23"/>
        <v>82</v>
      </c>
    </row>
    <row r="278" spans="1:6" x14ac:dyDescent="0.3">
      <c r="A278" s="39" t="s">
        <v>450</v>
      </c>
      <c r="B278" s="5" t="str">
        <f t="shared" si="24"/>
        <v>AB28</v>
      </c>
      <c r="C278" s="40" t="str">
        <f t="shared" si="20"/>
        <v>10101000</v>
      </c>
      <c r="D278" s="5" t="str">
        <f t="shared" si="21"/>
        <v>10000100</v>
      </c>
      <c r="E278" s="6" t="str">
        <f t="shared" si="22"/>
        <v>A8</v>
      </c>
      <c r="F278" s="7" t="str">
        <f t="shared" si="23"/>
        <v>84</v>
      </c>
    </row>
    <row r="279" spans="1:6" x14ac:dyDescent="0.3">
      <c r="A279" s="39" t="s">
        <v>451</v>
      </c>
      <c r="B279" s="5" t="str">
        <f t="shared" si="24"/>
        <v>AB2A</v>
      </c>
      <c r="C279" s="40" t="str">
        <f t="shared" si="20"/>
        <v>11010000</v>
      </c>
      <c r="D279" s="5" t="str">
        <f t="shared" si="21"/>
        <v>10001000</v>
      </c>
      <c r="E279" s="6" t="str">
        <f t="shared" si="22"/>
        <v>D0</v>
      </c>
      <c r="F279" s="7" t="str">
        <f t="shared" si="23"/>
        <v>88</v>
      </c>
    </row>
    <row r="280" spans="1:6" x14ac:dyDescent="0.3">
      <c r="A280" s="39" t="s">
        <v>452</v>
      </c>
      <c r="B280" s="5" t="str">
        <f t="shared" si="24"/>
        <v>AB2C</v>
      </c>
      <c r="C280" s="40" t="str">
        <f t="shared" si="20"/>
        <v>10100000</v>
      </c>
      <c r="D280" s="5" t="str">
        <f t="shared" si="21"/>
        <v>10010001</v>
      </c>
      <c r="E280" s="6" t="str">
        <f t="shared" si="22"/>
        <v>A0</v>
      </c>
      <c r="F280" s="7" t="str">
        <f t="shared" si="23"/>
        <v>91</v>
      </c>
    </row>
    <row r="281" spans="1:6" x14ac:dyDescent="0.3">
      <c r="A281" s="39" t="s">
        <v>453</v>
      </c>
      <c r="B281" s="5" t="str">
        <f t="shared" si="24"/>
        <v>AB2E</v>
      </c>
      <c r="C281" s="40" t="str">
        <f t="shared" si="20"/>
        <v>11000000</v>
      </c>
      <c r="D281" s="5" t="str">
        <f t="shared" si="21"/>
        <v>10100010</v>
      </c>
      <c r="E281" s="6" t="str">
        <f t="shared" si="22"/>
        <v>C0</v>
      </c>
      <c r="F281" s="7" t="str">
        <f t="shared" si="23"/>
        <v>A2</v>
      </c>
    </row>
    <row r="282" spans="1:6" x14ac:dyDescent="0.3">
      <c r="A282" s="39" t="s">
        <v>454</v>
      </c>
      <c r="B282" s="5" t="str">
        <f t="shared" si="24"/>
        <v>AB30</v>
      </c>
      <c r="C282" s="40" t="str">
        <f t="shared" si="20"/>
        <v>10000000</v>
      </c>
      <c r="D282" s="5" t="str">
        <f t="shared" si="21"/>
        <v>10100011</v>
      </c>
      <c r="E282" s="6" t="str">
        <f t="shared" si="22"/>
        <v>80</v>
      </c>
      <c r="F282" s="7" t="str">
        <f t="shared" si="23"/>
        <v>A3</v>
      </c>
    </row>
    <row r="283" spans="1:6" x14ac:dyDescent="0.3">
      <c r="A283" s="39" t="s">
        <v>455</v>
      </c>
      <c r="B283" s="5" t="str">
        <f t="shared" si="24"/>
        <v>AB32</v>
      </c>
      <c r="C283" s="40" t="str">
        <f t="shared" si="20"/>
        <v>11000111</v>
      </c>
      <c r="D283" s="5" t="str">
        <f t="shared" si="21"/>
        <v>10000000</v>
      </c>
      <c r="E283" s="6" t="str">
        <f t="shared" si="22"/>
        <v>C7</v>
      </c>
      <c r="F283" s="7" t="str">
        <f t="shared" si="23"/>
        <v>80</v>
      </c>
    </row>
    <row r="284" spans="1:6" x14ac:dyDescent="0.3">
      <c r="A284" s="39" t="s">
        <v>456</v>
      </c>
      <c r="B284" s="5" t="str">
        <f t="shared" si="24"/>
        <v>AB34</v>
      </c>
      <c r="C284" s="40" t="str">
        <f t="shared" si="20"/>
        <v>10001110</v>
      </c>
      <c r="D284" s="5" t="str">
        <f t="shared" si="21"/>
        <v>10000001</v>
      </c>
      <c r="E284" s="6" t="str">
        <f t="shared" si="22"/>
        <v>8E</v>
      </c>
      <c r="F284" s="7" t="str">
        <f t="shared" si="23"/>
        <v>81</v>
      </c>
    </row>
    <row r="285" spans="1:6" x14ac:dyDescent="0.3">
      <c r="A285" s="39" t="s">
        <v>457</v>
      </c>
      <c r="B285" s="5" t="str">
        <f t="shared" si="24"/>
        <v>AB36</v>
      </c>
      <c r="C285" s="40" t="str">
        <f t="shared" si="20"/>
        <v>10011100</v>
      </c>
      <c r="D285" s="5" t="str">
        <f t="shared" si="21"/>
        <v>10000010</v>
      </c>
      <c r="E285" s="6" t="str">
        <f t="shared" si="22"/>
        <v>9C</v>
      </c>
      <c r="F285" s="7" t="str">
        <f t="shared" si="23"/>
        <v>82</v>
      </c>
    </row>
    <row r="286" spans="1:6" x14ac:dyDescent="0.3">
      <c r="A286" s="39" t="s">
        <v>458</v>
      </c>
      <c r="B286" s="5" t="str">
        <f t="shared" si="24"/>
        <v>AB38</v>
      </c>
      <c r="C286" s="40" t="str">
        <f t="shared" si="20"/>
        <v>10111000</v>
      </c>
      <c r="D286" s="5" t="str">
        <f t="shared" si="21"/>
        <v>10000100</v>
      </c>
      <c r="E286" s="6" t="str">
        <f t="shared" si="22"/>
        <v>B8</v>
      </c>
      <c r="F286" s="7" t="str">
        <f t="shared" si="23"/>
        <v>84</v>
      </c>
    </row>
    <row r="287" spans="1:6" x14ac:dyDescent="0.3">
      <c r="A287" s="39" t="s">
        <v>459</v>
      </c>
      <c r="B287" s="5" t="str">
        <f t="shared" si="24"/>
        <v>AB3A</v>
      </c>
      <c r="C287" s="40" t="str">
        <f t="shared" si="20"/>
        <v>11110000</v>
      </c>
      <c r="D287" s="5" t="str">
        <f t="shared" si="21"/>
        <v>10001000</v>
      </c>
      <c r="E287" s="6" t="str">
        <f t="shared" si="22"/>
        <v>F0</v>
      </c>
      <c r="F287" s="7" t="str">
        <f t="shared" si="23"/>
        <v>88</v>
      </c>
    </row>
    <row r="288" spans="1:6" x14ac:dyDescent="0.3">
      <c r="A288" s="39" t="s">
        <v>460</v>
      </c>
      <c r="B288" s="5" t="str">
        <f t="shared" si="24"/>
        <v>AB3C</v>
      </c>
      <c r="C288" s="40" t="str">
        <f t="shared" si="20"/>
        <v>11100000</v>
      </c>
      <c r="D288" s="5" t="str">
        <f t="shared" si="21"/>
        <v>10010001</v>
      </c>
      <c r="E288" s="6" t="str">
        <f t="shared" si="22"/>
        <v>E0</v>
      </c>
      <c r="F288" s="7" t="str">
        <f t="shared" si="23"/>
        <v>91</v>
      </c>
    </row>
    <row r="289" spans="1:6" x14ac:dyDescent="0.3">
      <c r="A289" s="39" t="s">
        <v>461</v>
      </c>
      <c r="B289" s="5" t="str">
        <f t="shared" si="24"/>
        <v>AB3E</v>
      </c>
      <c r="C289" s="40" t="str">
        <f t="shared" si="20"/>
        <v>11000000</v>
      </c>
      <c r="D289" s="5" t="str">
        <f t="shared" si="21"/>
        <v>10100011</v>
      </c>
      <c r="E289" s="6" t="str">
        <f t="shared" si="22"/>
        <v>C0</v>
      </c>
      <c r="F289" s="7" t="str">
        <f t="shared" si="23"/>
        <v>A3</v>
      </c>
    </row>
    <row r="290" spans="1:6" x14ac:dyDescent="0.3">
      <c r="A290" s="39" t="s">
        <v>462</v>
      </c>
      <c r="B290" s="5" t="str">
        <f t="shared" si="24"/>
        <v>AB40</v>
      </c>
      <c r="C290" s="40" t="str">
        <f t="shared" si="20"/>
        <v>10000000</v>
      </c>
      <c r="D290" s="5" t="str">
        <f t="shared" si="21"/>
        <v>10100100</v>
      </c>
      <c r="E290" s="6" t="str">
        <f t="shared" si="22"/>
        <v>80</v>
      </c>
      <c r="F290" s="7" t="str">
        <f t="shared" si="23"/>
        <v>A4</v>
      </c>
    </row>
    <row r="291" spans="1:6" x14ac:dyDescent="0.3">
      <c r="A291" s="39" t="s">
        <v>463</v>
      </c>
      <c r="B291" s="5" t="str">
        <f t="shared" si="24"/>
        <v>AB42</v>
      </c>
      <c r="C291" s="40" t="str">
        <f t="shared" si="20"/>
        <v>11001001</v>
      </c>
      <c r="D291" s="5" t="str">
        <f t="shared" si="21"/>
        <v>10000000</v>
      </c>
      <c r="E291" s="6" t="str">
        <f t="shared" si="22"/>
        <v>C9</v>
      </c>
      <c r="F291" s="7" t="str">
        <f t="shared" si="23"/>
        <v>80</v>
      </c>
    </row>
    <row r="292" spans="1:6" x14ac:dyDescent="0.3">
      <c r="A292" s="39" t="s">
        <v>464</v>
      </c>
      <c r="B292" s="5" t="str">
        <f t="shared" si="24"/>
        <v>AB44</v>
      </c>
      <c r="C292" s="40" t="str">
        <f t="shared" si="20"/>
        <v>10010010</v>
      </c>
      <c r="D292" s="5" t="str">
        <f t="shared" si="21"/>
        <v>10000001</v>
      </c>
      <c r="E292" s="6" t="str">
        <f t="shared" si="22"/>
        <v>92</v>
      </c>
      <c r="F292" s="7" t="str">
        <f t="shared" si="23"/>
        <v>81</v>
      </c>
    </row>
    <row r="293" spans="1:6" x14ac:dyDescent="0.3">
      <c r="A293" s="39" t="s">
        <v>465</v>
      </c>
      <c r="B293" s="5" t="str">
        <f t="shared" si="24"/>
        <v>AB46</v>
      </c>
      <c r="C293" s="40" t="str">
        <f t="shared" si="20"/>
        <v>10100100</v>
      </c>
      <c r="D293" s="5" t="str">
        <f t="shared" si="21"/>
        <v>10000010</v>
      </c>
      <c r="E293" s="6" t="str">
        <f t="shared" si="22"/>
        <v>A4</v>
      </c>
      <c r="F293" s="7" t="str">
        <f t="shared" si="23"/>
        <v>82</v>
      </c>
    </row>
    <row r="294" spans="1:6" x14ac:dyDescent="0.3">
      <c r="A294" s="39" t="s">
        <v>466</v>
      </c>
      <c r="B294" s="5" t="str">
        <f t="shared" si="24"/>
        <v>AB48</v>
      </c>
      <c r="C294" s="40" t="str">
        <f t="shared" si="20"/>
        <v>11001000</v>
      </c>
      <c r="D294" s="5" t="str">
        <f t="shared" si="21"/>
        <v>10000100</v>
      </c>
      <c r="E294" s="6" t="str">
        <f t="shared" si="22"/>
        <v>C8</v>
      </c>
      <c r="F294" s="7" t="str">
        <f t="shared" si="23"/>
        <v>84</v>
      </c>
    </row>
    <row r="295" spans="1:6" x14ac:dyDescent="0.3">
      <c r="A295" s="39" t="s">
        <v>467</v>
      </c>
      <c r="B295" s="5" t="str">
        <f t="shared" si="24"/>
        <v>AB4A</v>
      </c>
      <c r="C295" s="40" t="str">
        <f t="shared" si="20"/>
        <v>10010000</v>
      </c>
      <c r="D295" s="5" t="str">
        <f t="shared" si="21"/>
        <v>10001001</v>
      </c>
      <c r="E295" s="6" t="str">
        <f t="shared" si="22"/>
        <v>90</v>
      </c>
      <c r="F295" s="7" t="str">
        <f t="shared" si="23"/>
        <v>89</v>
      </c>
    </row>
    <row r="296" spans="1:6" x14ac:dyDescent="0.3">
      <c r="A296" s="39" t="s">
        <v>468</v>
      </c>
      <c r="B296" s="5" t="str">
        <f t="shared" si="24"/>
        <v>AB4C</v>
      </c>
      <c r="C296" s="40" t="str">
        <f t="shared" si="20"/>
        <v>10100000</v>
      </c>
      <c r="D296" s="5" t="str">
        <f t="shared" si="21"/>
        <v>10010010</v>
      </c>
      <c r="E296" s="6" t="str">
        <f t="shared" si="22"/>
        <v>A0</v>
      </c>
      <c r="F296" s="7" t="str">
        <f t="shared" si="23"/>
        <v>92</v>
      </c>
    </row>
    <row r="297" spans="1:6" x14ac:dyDescent="0.3">
      <c r="A297" s="39" t="s">
        <v>469</v>
      </c>
      <c r="B297" s="5" t="str">
        <f t="shared" si="24"/>
        <v>AB4E</v>
      </c>
      <c r="C297" s="40" t="str">
        <f t="shared" si="20"/>
        <v>11000000</v>
      </c>
      <c r="D297" s="5" t="str">
        <f t="shared" si="21"/>
        <v>10100100</v>
      </c>
      <c r="E297" s="6" t="str">
        <f t="shared" si="22"/>
        <v>C0</v>
      </c>
      <c r="F297" s="7" t="str">
        <f t="shared" si="23"/>
        <v>A4</v>
      </c>
    </row>
    <row r="298" spans="1:6" x14ac:dyDescent="0.3">
      <c r="A298" s="39" t="s">
        <v>470</v>
      </c>
      <c r="B298" s="5" t="str">
        <f t="shared" si="24"/>
        <v>AB50</v>
      </c>
      <c r="C298" s="40" t="str">
        <f t="shared" si="20"/>
        <v>10000000</v>
      </c>
      <c r="D298" s="5" t="str">
        <f t="shared" si="21"/>
        <v>10100101</v>
      </c>
      <c r="E298" s="6" t="str">
        <f t="shared" si="22"/>
        <v>80</v>
      </c>
      <c r="F298" s="7" t="str">
        <f t="shared" si="23"/>
        <v>A5</v>
      </c>
    </row>
    <row r="299" spans="1:6" x14ac:dyDescent="0.3">
      <c r="A299" s="39" t="s">
        <v>471</v>
      </c>
      <c r="B299" s="5" t="str">
        <f t="shared" si="24"/>
        <v>AB52</v>
      </c>
      <c r="C299" s="40" t="str">
        <f t="shared" si="20"/>
        <v>11001011</v>
      </c>
      <c r="D299" s="5" t="str">
        <f t="shared" si="21"/>
        <v>10000000</v>
      </c>
      <c r="E299" s="6" t="str">
        <f t="shared" si="22"/>
        <v>CB</v>
      </c>
      <c r="F299" s="7" t="str">
        <f t="shared" si="23"/>
        <v>80</v>
      </c>
    </row>
    <row r="300" spans="1:6" x14ac:dyDescent="0.3">
      <c r="A300" s="39" t="s">
        <v>472</v>
      </c>
      <c r="B300" s="5" t="str">
        <f t="shared" si="24"/>
        <v>AB54</v>
      </c>
      <c r="C300" s="40" t="str">
        <f t="shared" si="20"/>
        <v>10010110</v>
      </c>
      <c r="D300" s="5" t="str">
        <f t="shared" si="21"/>
        <v>10000001</v>
      </c>
      <c r="E300" s="6" t="str">
        <f t="shared" si="22"/>
        <v>96</v>
      </c>
      <c r="F300" s="7" t="str">
        <f t="shared" si="23"/>
        <v>81</v>
      </c>
    </row>
    <row r="301" spans="1:6" x14ac:dyDescent="0.3">
      <c r="A301" s="39" t="s">
        <v>473</v>
      </c>
      <c r="B301" s="5" t="str">
        <f t="shared" si="24"/>
        <v>AB56</v>
      </c>
      <c r="C301" s="40" t="str">
        <f t="shared" si="20"/>
        <v>10101100</v>
      </c>
      <c r="D301" s="5" t="str">
        <f t="shared" si="21"/>
        <v>10000010</v>
      </c>
      <c r="E301" s="6" t="str">
        <f t="shared" si="22"/>
        <v>AC</v>
      </c>
      <c r="F301" s="7" t="str">
        <f t="shared" si="23"/>
        <v>82</v>
      </c>
    </row>
    <row r="302" spans="1:6" x14ac:dyDescent="0.3">
      <c r="A302" s="39" t="s">
        <v>474</v>
      </c>
      <c r="B302" s="5" t="str">
        <f t="shared" si="24"/>
        <v>AB58</v>
      </c>
      <c r="C302" s="40" t="str">
        <f t="shared" si="20"/>
        <v>11011000</v>
      </c>
      <c r="D302" s="5" t="str">
        <f t="shared" si="21"/>
        <v>10000100</v>
      </c>
      <c r="E302" s="6" t="str">
        <f t="shared" si="22"/>
        <v>D8</v>
      </c>
      <c r="F302" s="7" t="str">
        <f t="shared" si="23"/>
        <v>84</v>
      </c>
    </row>
    <row r="303" spans="1:6" x14ac:dyDescent="0.3">
      <c r="A303" s="39" t="s">
        <v>475</v>
      </c>
      <c r="B303" s="5" t="str">
        <f t="shared" si="24"/>
        <v>AB5A</v>
      </c>
      <c r="C303" s="40" t="str">
        <f t="shared" si="20"/>
        <v>10110000</v>
      </c>
      <c r="D303" s="5" t="str">
        <f t="shared" si="21"/>
        <v>10001001</v>
      </c>
      <c r="E303" s="6" t="str">
        <f t="shared" si="22"/>
        <v>B0</v>
      </c>
      <c r="F303" s="7" t="str">
        <f t="shared" si="23"/>
        <v>89</v>
      </c>
    </row>
    <row r="304" spans="1:6" x14ac:dyDescent="0.3">
      <c r="A304" s="39" t="s">
        <v>476</v>
      </c>
      <c r="B304" s="5" t="str">
        <f t="shared" si="24"/>
        <v>AB5C</v>
      </c>
      <c r="C304" s="40" t="str">
        <f t="shared" si="20"/>
        <v>11100000</v>
      </c>
      <c r="D304" s="5" t="str">
        <f t="shared" si="21"/>
        <v>10010010</v>
      </c>
      <c r="E304" s="6" t="str">
        <f t="shared" si="22"/>
        <v>E0</v>
      </c>
      <c r="F304" s="7" t="str">
        <f t="shared" si="23"/>
        <v>92</v>
      </c>
    </row>
    <row r="305" spans="1:6" x14ac:dyDescent="0.3">
      <c r="A305" s="39" t="s">
        <v>477</v>
      </c>
      <c r="B305" s="5" t="str">
        <f t="shared" si="24"/>
        <v>AB5E</v>
      </c>
      <c r="C305" s="40" t="str">
        <f t="shared" si="20"/>
        <v>11000000</v>
      </c>
      <c r="D305" s="5" t="str">
        <f t="shared" si="21"/>
        <v>10100101</v>
      </c>
      <c r="E305" s="6" t="str">
        <f t="shared" si="22"/>
        <v>C0</v>
      </c>
      <c r="F305" s="7" t="str">
        <f t="shared" si="23"/>
        <v>A5</v>
      </c>
    </row>
    <row r="306" spans="1:6" x14ac:dyDescent="0.3">
      <c r="A306" s="39" t="s">
        <v>478</v>
      </c>
      <c r="B306" s="5" t="str">
        <f t="shared" si="24"/>
        <v>AB60</v>
      </c>
      <c r="C306" s="40" t="str">
        <f t="shared" si="20"/>
        <v>10000000</v>
      </c>
      <c r="D306" s="5" t="str">
        <f t="shared" si="21"/>
        <v>10100110</v>
      </c>
      <c r="E306" s="6" t="str">
        <f t="shared" si="22"/>
        <v>80</v>
      </c>
      <c r="F306" s="7" t="str">
        <f t="shared" si="23"/>
        <v>A6</v>
      </c>
    </row>
    <row r="307" spans="1:6" x14ac:dyDescent="0.3">
      <c r="A307" s="39" t="s">
        <v>479</v>
      </c>
      <c r="B307" s="5" t="str">
        <f t="shared" si="24"/>
        <v>AB62</v>
      </c>
      <c r="C307" s="40" t="str">
        <f t="shared" si="20"/>
        <v>11001101</v>
      </c>
      <c r="D307" s="5" t="str">
        <f t="shared" si="21"/>
        <v>10000000</v>
      </c>
      <c r="E307" s="6" t="str">
        <f t="shared" si="22"/>
        <v>CD</v>
      </c>
      <c r="F307" s="7" t="str">
        <f t="shared" si="23"/>
        <v>80</v>
      </c>
    </row>
    <row r="308" spans="1:6" x14ac:dyDescent="0.3">
      <c r="A308" s="39" t="s">
        <v>480</v>
      </c>
      <c r="B308" s="5" t="str">
        <f t="shared" si="24"/>
        <v>AB64</v>
      </c>
      <c r="C308" s="40" t="str">
        <f t="shared" si="20"/>
        <v>10011010</v>
      </c>
      <c r="D308" s="5" t="str">
        <f t="shared" si="21"/>
        <v>10000001</v>
      </c>
      <c r="E308" s="6" t="str">
        <f t="shared" si="22"/>
        <v>9A</v>
      </c>
      <c r="F308" s="7" t="str">
        <f t="shared" si="23"/>
        <v>81</v>
      </c>
    </row>
    <row r="309" spans="1:6" x14ac:dyDescent="0.3">
      <c r="A309" s="39" t="s">
        <v>481</v>
      </c>
      <c r="B309" s="5" t="str">
        <f t="shared" si="24"/>
        <v>AB66</v>
      </c>
      <c r="C309" s="40" t="str">
        <f t="shared" si="20"/>
        <v>10110100</v>
      </c>
      <c r="D309" s="5" t="str">
        <f t="shared" si="21"/>
        <v>10000010</v>
      </c>
      <c r="E309" s="6" t="str">
        <f t="shared" si="22"/>
        <v>B4</v>
      </c>
      <c r="F309" s="7" t="str">
        <f t="shared" si="23"/>
        <v>82</v>
      </c>
    </row>
    <row r="310" spans="1:6" x14ac:dyDescent="0.3">
      <c r="A310" s="39" t="s">
        <v>482</v>
      </c>
      <c r="B310" s="5" t="str">
        <f t="shared" si="24"/>
        <v>AB68</v>
      </c>
      <c r="C310" s="40" t="str">
        <f t="shared" si="20"/>
        <v>11101000</v>
      </c>
      <c r="D310" s="5" t="str">
        <f t="shared" si="21"/>
        <v>10000100</v>
      </c>
      <c r="E310" s="6" t="str">
        <f t="shared" si="22"/>
        <v>E8</v>
      </c>
      <c r="F310" s="7" t="str">
        <f t="shared" si="23"/>
        <v>84</v>
      </c>
    </row>
    <row r="311" spans="1:6" x14ac:dyDescent="0.3">
      <c r="A311" s="39" t="s">
        <v>483</v>
      </c>
      <c r="B311" s="5" t="str">
        <f t="shared" si="24"/>
        <v>AB6A</v>
      </c>
      <c r="C311" s="40" t="str">
        <f t="shared" si="20"/>
        <v>11010000</v>
      </c>
      <c r="D311" s="5" t="str">
        <f t="shared" si="21"/>
        <v>10001001</v>
      </c>
      <c r="E311" s="6" t="str">
        <f t="shared" si="22"/>
        <v>D0</v>
      </c>
      <c r="F311" s="7" t="str">
        <f t="shared" si="23"/>
        <v>89</v>
      </c>
    </row>
    <row r="312" spans="1:6" x14ac:dyDescent="0.3">
      <c r="A312" s="39" t="s">
        <v>484</v>
      </c>
      <c r="B312" s="5" t="str">
        <f t="shared" si="24"/>
        <v>AB6C</v>
      </c>
      <c r="C312" s="40" t="str">
        <f t="shared" si="20"/>
        <v>10100000</v>
      </c>
      <c r="D312" s="5" t="str">
        <f t="shared" si="21"/>
        <v>10010011</v>
      </c>
      <c r="E312" s="6" t="str">
        <f t="shared" si="22"/>
        <v>A0</v>
      </c>
      <c r="F312" s="7" t="str">
        <f t="shared" si="23"/>
        <v>93</v>
      </c>
    </row>
    <row r="313" spans="1:6" x14ac:dyDescent="0.3">
      <c r="A313" s="39" t="s">
        <v>485</v>
      </c>
      <c r="B313" s="5" t="str">
        <f t="shared" si="24"/>
        <v>AB6E</v>
      </c>
      <c r="C313" s="40" t="str">
        <f t="shared" si="20"/>
        <v>11000000</v>
      </c>
      <c r="D313" s="5" t="str">
        <f t="shared" si="21"/>
        <v>10100110</v>
      </c>
      <c r="E313" s="6" t="str">
        <f t="shared" si="22"/>
        <v>C0</v>
      </c>
      <c r="F313" s="7" t="str">
        <f t="shared" si="23"/>
        <v>A6</v>
      </c>
    </row>
    <row r="314" spans="1:6" x14ac:dyDescent="0.3">
      <c r="A314" s="39" t="s">
        <v>486</v>
      </c>
      <c r="B314" s="5" t="str">
        <f t="shared" si="24"/>
        <v>AB70</v>
      </c>
      <c r="C314" s="40" t="str">
        <f t="shared" si="20"/>
        <v>10000000</v>
      </c>
      <c r="D314" s="5" t="str">
        <f t="shared" si="21"/>
        <v>10100111</v>
      </c>
      <c r="E314" s="6" t="str">
        <f t="shared" si="22"/>
        <v>80</v>
      </c>
      <c r="F314" s="7" t="str">
        <f t="shared" si="23"/>
        <v>A7</v>
      </c>
    </row>
    <row r="315" spans="1:6" x14ac:dyDescent="0.3">
      <c r="A315" s="39" t="s">
        <v>487</v>
      </c>
      <c r="B315" s="5" t="str">
        <f t="shared" si="24"/>
        <v>AB72</v>
      </c>
      <c r="C315" s="40" t="str">
        <f t="shared" si="20"/>
        <v>11001111</v>
      </c>
      <c r="D315" s="5" t="str">
        <f t="shared" si="21"/>
        <v>10000000</v>
      </c>
      <c r="E315" s="6" t="str">
        <f t="shared" si="22"/>
        <v>CF</v>
      </c>
      <c r="F315" s="7" t="str">
        <f t="shared" si="23"/>
        <v>80</v>
      </c>
    </row>
    <row r="316" spans="1:6" x14ac:dyDescent="0.3">
      <c r="A316" s="39" t="s">
        <v>488</v>
      </c>
      <c r="B316" s="5" t="str">
        <f t="shared" si="24"/>
        <v>AB74</v>
      </c>
      <c r="C316" s="40" t="str">
        <f t="shared" si="20"/>
        <v>10011110</v>
      </c>
      <c r="D316" s="5" t="str">
        <f t="shared" si="21"/>
        <v>10000001</v>
      </c>
      <c r="E316" s="6" t="str">
        <f t="shared" si="22"/>
        <v>9E</v>
      </c>
      <c r="F316" s="7" t="str">
        <f t="shared" si="23"/>
        <v>81</v>
      </c>
    </row>
    <row r="317" spans="1:6" x14ac:dyDescent="0.3">
      <c r="A317" s="39" t="s">
        <v>489</v>
      </c>
      <c r="B317" s="5" t="str">
        <f t="shared" si="24"/>
        <v>AB76</v>
      </c>
      <c r="C317" s="40" t="str">
        <f t="shared" si="20"/>
        <v>10111100</v>
      </c>
      <c r="D317" s="5" t="str">
        <f t="shared" si="21"/>
        <v>10000010</v>
      </c>
      <c r="E317" s="6" t="str">
        <f t="shared" si="22"/>
        <v>BC</v>
      </c>
      <c r="F317" s="7" t="str">
        <f t="shared" si="23"/>
        <v>82</v>
      </c>
    </row>
    <row r="318" spans="1:6" x14ac:dyDescent="0.3">
      <c r="A318" s="39" t="s">
        <v>490</v>
      </c>
      <c r="B318" s="5" t="str">
        <f t="shared" si="24"/>
        <v>AB78</v>
      </c>
      <c r="C318" s="40" t="str">
        <f t="shared" si="20"/>
        <v>11111000</v>
      </c>
      <c r="D318" s="5" t="str">
        <f t="shared" si="21"/>
        <v>10000100</v>
      </c>
      <c r="E318" s="6" t="str">
        <f t="shared" si="22"/>
        <v>F8</v>
      </c>
      <c r="F318" s="7" t="str">
        <f t="shared" si="23"/>
        <v>84</v>
      </c>
    </row>
    <row r="319" spans="1:6" x14ac:dyDescent="0.3">
      <c r="A319" s="39" t="s">
        <v>491</v>
      </c>
      <c r="B319" s="5" t="str">
        <f t="shared" si="24"/>
        <v>AB7A</v>
      </c>
      <c r="C319" s="40" t="str">
        <f t="shared" si="20"/>
        <v>11110000</v>
      </c>
      <c r="D319" s="5" t="str">
        <f t="shared" si="21"/>
        <v>10001001</v>
      </c>
      <c r="E319" s="6" t="str">
        <f t="shared" si="22"/>
        <v>F0</v>
      </c>
      <c r="F319" s="7" t="str">
        <f t="shared" si="23"/>
        <v>89</v>
      </c>
    </row>
    <row r="320" spans="1:6" x14ac:dyDescent="0.3">
      <c r="A320" s="39" t="s">
        <v>492</v>
      </c>
      <c r="B320" s="5" t="str">
        <f t="shared" si="24"/>
        <v>AB7C</v>
      </c>
      <c r="C320" s="40" t="str">
        <f t="shared" si="20"/>
        <v>11100000</v>
      </c>
      <c r="D320" s="5" t="str">
        <f t="shared" si="21"/>
        <v>10010011</v>
      </c>
      <c r="E320" s="6" t="str">
        <f t="shared" si="22"/>
        <v>E0</v>
      </c>
      <c r="F320" s="7" t="str">
        <f t="shared" si="23"/>
        <v>93</v>
      </c>
    </row>
    <row r="321" spans="1:6" x14ac:dyDescent="0.3">
      <c r="A321" s="39" t="s">
        <v>493</v>
      </c>
      <c r="B321" s="5" t="str">
        <f t="shared" si="24"/>
        <v>AB7E</v>
      </c>
      <c r="C321" s="40" t="str">
        <f t="shared" si="20"/>
        <v>11000000</v>
      </c>
      <c r="D321" s="5" t="str">
        <f t="shared" si="21"/>
        <v>10100111</v>
      </c>
      <c r="E321" s="6" t="str">
        <f t="shared" si="22"/>
        <v>C0</v>
      </c>
      <c r="F321" s="7" t="str">
        <f t="shared" si="23"/>
        <v>A7</v>
      </c>
    </row>
    <row r="322" spans="1:6" x14ac:dyDescent="0.3">
      <c r="A322" s="39" t="s">
        <v>494</v>
      </c>
      <c r="B322" s="5" t="str">
        <f t="shared" si="24"/>
        <v>AB80</v>
      </c>
      <c r="C322" s="40" t="str">
        <f t="shared" si="20"/>
        <v>10000000</v>
      </c>
      <c r="D322" s="5" t="str">
        <f t="shared" si="21"/>
        <v>10101000</v>
      </c>
      <c r="E322" s="6" t="str">
        <f t="shared" si="22"/>
        <v>80</v>
      </c>
      <c r="F322" s="7" t="str">
        <f t="shared" si="23"/>
        <v>A8</v>
      </c>
    </row>
    <row r="323" spans="1:6" x14ac:dyDescent="0.3">
      <c r="A323" s="39" t="s">
        <v>495</v>
      </c>
      <c r="B323" s="5" t="str">
        <f t="shared" si="24"/>
        <v>AB82</v>
      </c>
      <c r="C323" s="40" t="str">
        <f t="shared" ref="C323:C354" si="25">MID($A323,15,8)</f>
        <v>11010001</v>
      </c>
      <c r="D323" s="5" t="str">
        <f t="shared" ref="D323:D386" si="26">MID($A323,26,8)</f>
        <v>10000000</v>
      </c>
      <c r="E323" s="6" t="str">
        <f t="shared" ref="E323:E386" si="27">BIN2HEX(C323)</f>
        <v>D1</v>
      </c>
      <c r="F323" s="7" t="str">
        <f t="shared" ref="F323:F386" si="28">BIN2HEX(D323)</f>
        <v>80</v>
      </c>
    </row>
    <row r="324" spans="1:6" x14ac:dyDescent="0.3">
      <c r="A324" s="39" t="s">
        <v>496</v>
      </c>
      <c r="B324" s="5" t="str">
        <f t="shared" ref="B324:B387" si="29">DEC2HEX(HEX2DEC(B323)+2)</f>
        <v>AB84</v>
      </c>
      <c r="C324" s="40" t="str">
        <f t="shared" si="25"/>
        <v>10100010</v>
      </c>
      <c r="D324" s="5" t="str">
        <f t="shared" si="26"/>
        <v>10000001</v>
      </c>
      <c r="E324" s="6" t="str">
        <f t="shared" si="27"/>
        <v>A2</v>
      </c>
      <c r="F324" s="7" t="str">
        <f t="shared" si="28"/>
        <v>81</v>
      </c>
    </row>
    <row r="325" spans="1:6" x14ac:dyDescent="0.3">
      <c r="A325" s="39" t="s">
        <v>497</v>
      </c>
      <c r="B325" s="5" t="str">
        <f t="shared" si="29"/>
        <v>AB86</v>
      </c>
      <c r="C325" s="40" t="str">
        <f t="shared" si="25"/>
        <v>11000100</v>
      </c>
      <c r="D325" s="5" t="str">
        <f t="shared" si="26"/>
        <v>10000010</v>
      </c>
      <c r="E325" s="6" t="str">
        <f t="shared" si="27"/>
        <v>C4</v>
      </c>
      <c r="F325" s="7" t="str">
        <f t="shared" si="28"/>
        <v>82</v>
      </c>
    </row>
    <row r="326" spans="1:6" x14ac:dyDescent="0.3">
      <c r="A326" s="39" t="s">
        <v>498</v>
      </c>
      <c r="B326" s="5" t="str">
        <f t="shared" si="29"/>
        <v>AB88</v>
      </c>
      <c r="C326" s="40" t="str">
        <f t="shared" si="25"/>
        <v>10001000</v>
      </c>
      <c r="D326" s="5" t="str">
        <f t="shared" si="26"/>
        <v>10000101</v>
      </c>
      <c r="E326" s="6" t="str">
        <f t="shared" si="27"/>
        <v>88</v>
      </c>
      <c r="F326" s="7" t="str">
        <f t="shared" si="28"/>
        <v>85</v>
      </c>
    </row>
    <row r="327" spans="1:6" x14ac:dyDescent="0.3">
      <c r="A327" s="39" t="s">
        <v>499</v>
      </c>
      <c r="B327" s="5" t="str">
        <f t="shared" si="29"/>
        <v>AB8A</v>
      </c>
      <c r="C327" s="40" t="str">
        <f t="shared" si="25"/>
        <v>10010000</v>
      </c>
      <c r="D327" s="5" t="str">
        <f t="shared" si="26"/>
        <v>10001010</v>
      </c>
      <c r="E327" s="6" t="str">
        <f t="shared" si="27"/>
        <v>90</v>
      </c>
      <c r="F327" s="7" t="str">
        <f t="shared" si="28"/>
        <v>8A</v>
      </c>
    </row>
    <row r="328" spans="1:6" x14ac:dyDescent="0.3">
      <c r="A328" s="39" t="s">
        <v>500</v>
      </c>
      <c r="B328" s="5" t="str">
        <f t="shared" si="29"/>
        <v>AB8C</v>
      </c>
      <c r="C328" s="40" t="str">
        <f t="shared" si="25"/>
        <v>10100000</v>
      </c>
      <c r="D328" s="5" t="str">
        <f t="shared" si="26"/>
        <v>10010100</v>
      </c>
      <c r="E328" s="6" t="str">
        <f t="shared" si="27"/>
        <v>A0</v>
      </c>
      <c r="F328" s="7" t="str">
        <f t="shared" si="28"/>
        <v>94</v>
      </c>
    </row>
    <row r="329" spans="1:6" x14ac:dyDescent="0.3">
      <c r="A329" s="39" t="s">
        <v>501</v>
      </c>
      <c r="B329" s="5" t="str">
        <f t="shared" si="29"/>
        <v>AB8E</v>
      </c>
      <c r="C329" s="40" t="str">
        <f t="shared" si="25"/>
        <v>11000000</v>
      </c>
      <c r="D329" s="5" t="str">
        <f t="shared" si="26"/>
        <v>10101000</v>
      </c>
      <c r="E329" s="6" t="str">
        <f t="shared" si="27"/>
        <v>C0</v>
      </c>
      <c r="F329" s="7" t="str">
        <f t="shared" si="28"/>
        <v>A8</v>
      </c>
    </row>
    <row r="330" spans="1:6" x14ac:dyDescent="0.3">
      <c r="A330" s="39" t="s">
        <v>502</v>
      </c>
      <c r="B330" s="5" t="str">
        <f t="shared" si="29"/>
        <v>AB90</v>
      </c>
      <c r="C330" s="40" t="str">
        <f t="shared" si="25"/>
        <v>10000000</v>
      </c>
      <c r="D330" s="5" t="str">
        <f t="shared" si="26"/>
        <v>10101001</v>
      </c>
      <c r="E330" s="6" t="str">
        <f t="shared" si="27"/>
        <v>80</v>
      </c>
      <c r="F330" s="7" t="str">
        <f t="shared" si="28"/>
        <v>A9</v>
      </c>
    </row>
    <row r="331" spans="1:6" x14ac:dyDescent="0.3">
      <c r="A331" s="39" t="s">
        <v>503</v>
      </c>
      <c r="B331" s="5" t="str">
        <f t="shared" si="29"/>
        <v>AB92</v>
      </c>
      <c r="C331" s="40" t="str">
        <f t="shared" si="25"/>
        <v>11010011</v>
      </c>
      <c r="D331" s="5" t="str">
        <f t="shared" si="26"/>
        <v>10000000</v>
      </c>
      <c r="E331" s="6" t="str">
        <f t="shared" si="27"/>
        <v>D3</v>
      </c>
      <c r="F331" s="7" t="str">
        <f t="shared" si="28"/>
        <v>80</v>
      </c>
    </row>
    <row r="332" spans="1:6" x14ac:dyDescent="0.3">
      <c r="A332" s="39" t="s">
        <v>504</v>
      </c>
      <c r="B332" s="5" t="str">
        <f t="shared" si="29"/>
        <v>AB94</v>
      </c>
      <c r="C332" s="40" t="str">
        <f t="shared" si="25"/>
        <v>10100110</v>
      </c>
      <c r="D332" s="5" t="str">
        <f t="shared" si="26"/>
        <v>10000001</v>
      </c>
      <c r="E332" s="6" t="str">
        <f t="shared" si="27"/>
        <v>A6</v>
      </c>
      <c r="F332" s="7" t="str">
        <f t="shared" si="28"/>
        <v>81</v>
      </c>
    </row>
    <row r="333" spans="1:6" x14ac:dyDescent="0.3">
      <c r="A333" s="39" t="s">
        <v>505</v>
      </c>
      <c r="B333" s="5" t="str">
        <f t="shared" si="29"/>
        <v>AB96</v>
      </c>
      <c r="C333" s="40" t="str">
        <f t="shared" si="25"/>
        <v>11001100</v>
      </c>
      <c r="D333" s="5" t="str">
        <f t="shared" si="26"/>
        <v>10000010</v>
      </c>
      <c r="E333" s="6" t="str">
        <f t="shared" si="27"/>
        <v>CC</v>
      </c>
      <c r="F333" s="7" t="str">
        <f t="shared" si="28"/>
        <v>82</v>
      </c>
    </row>
    <row r="334" spans="1:6" x14ac:dyDescent="0.3">
      <c r="A334" s="39" t="s">
        <v>506</v>
      </c>
      <c r="B334" s="5" t="str">
        <f t="shared" si="29"/>
        <v>AB98</v>
      </c>
      <c r="C334" s="40" t="str">
        <f t="shared" si="25"/>
        <v>10011000</v>
      </c>
      <c r="D334" s="5" t="str">
        <f t="shared" si="26"/>
        <v>10000101</v>
      </c>
      <c r="E334" s="6" t="str">
        <f t="shared" si="27"/>
        <v>98</v>
      </c>
      <c r="F334" s="7" t="str">
        <f t="shared" si="28"/>
        <v>85</v>
      </c>
    </row>
    <row r="335" spans="1:6" x14ac:dyDescent="0.3">
      <c r="A335" s="39" t="s">
        <v>507</v>
      </c>
      <c r="B335" s="5" t="str">
        <f t="shared" si="29"/>
        <v>AB9A</v>
      </c>
      <c r="C335" s="40" t="str">
        <f t="shared" si="25"/>
        <v>10110000</v>
      </c>
      <c r="D335" s="5" t="str">
        <f t="shared" si="26"/>
        <v>10001010</v>
      </c>
      <c r="E335" s="6" t="str">
        <f t="shared" si="27"/>
        <v>B0</v>
      </c>
      <c r="F335" s="7" t="str">
        <f t="shared" si="28"/>
        <v>8A</v>
      </c>
    </row>
    <row r="336" spans="1:6" x14ac:dyDescent="0.3">
      <c r="A336" s="39" t="s">
        <v>508</v>
      </c>
      <c r="B336" s="5" t="str">
        <f t="shared" si="29"/>
        <v>AB9C</v>
      </c>
      <c r="C336" s="40" t="str">
        <f t="shared" si="25"/>
        <v>11100000</v>
      </c>
      <c r="D336" s="5" t="str">
        <f t="shared" si="26"/>
        <v>10010100</v>
      </c>
      <c r="E336" s="6" t="str">
        <f t="shared" si="27"/>
        <v>E0</v>
      </c>
      <c r="F336" s="7" t="str">
        <f t="shared" si="28"/>
        <v>94</v>
      </c>
    </row>
    <row r="337" spans="1:6" x14ac:dyDescent="0.3">
      <c r="A337" s="39" t="s">
        <v>509</v>
      </c>
      <c r="B337" s="5" t="str">
        <f t="shared" si="29"/>
        <v>AB9E</v>
      </c>
      <c r="C337" s="40" t="str">
        <f t="shared" si="25"/>
        <v>11000000</v>
      </c>
      <c r="D337" s="5" t="str">
        <f t="shared" si="26"/>
        <v>10101001</v>
      </c>
      <c r="E337" s="6" t="str">
        <f t="shared" si="27"/>
        <v>C0</v>
      </c>
      <c r="F337" s="7" t="str">
        <f t="shared" si="28"/>
        <v>A9</v>
      </c>
    </row>
    <row r="338" spans="1:6" x14ac:dyDescent="0.3">
      <c r="A338" s="39" t="s">
        <v>510</v>
      </c>
      <c r="B338" s="5" t="str">
        <f t="shared" si="29"/>
        <v>ABA0</v>
      </c>
      <c r="C338" s="40" t="str">
        <f t="shared" si="25"/>
        <v>10000000</v>
      </c>
      <c r="D338" s="5" t="str">
        <f t="shared" si="26"/>
        <v>10101010</v>
      </c>
      <c r="E338" s="6" t="str">
        <f t="shared" si="27"/>
        <v>80</v>
      </c>
      <c r="F338" s="7" t="str">
        <f t="shared" si="28"/>
        <v>AA</v>
      </c>
    </row>
    <row r="339" spans="1:6" x14ac:dyDescent="0.3">
      <c r="A339" s="39" t="s">
        <v>511</v>
      </c>
      <c r="B339" s="5" t="str">
        <f t="shared" si="29"/>
        <v>ABA2</v>
      </c>
      <c r="C339" s="40" t="str">
        <f t="shared" si="25"/>
        <v>11010101</v>
      </c>
      <c r="D339" s="5" t="str">
        <f t="shared" si="26"/>
        <v>10000000</v>
      </c>
      <c r="E339" s="6" t="str">
        <f t="shared" si="27"/>
        <v>D5</v>
      </c>
      <c r="F339" s="7" t="str">
        <f t="shared" si="28"/>
        <v>80</v>
      </c>
    </row>
    <row r="340" spans="1:6" x14ac:dyDescent="0.3">
      <c r="A340" s="39" t="s">
        <v>512</v>
      </c>
      <c r="B340" s="5" t="str">
        <f t="shared" si="29"/>
        <v>ABA4</v>
      </c>
      <c r="C340" s="40" t="str">
        <f t="shared" si="25"/>
        <v>10101010</v>
      </c>
      <c r="D340" s="5" t="str">
        <f t="shared" si="26"/>
        <v>10000001</v>
      </c>
      <c r="E340" s="6" t="str">
        <f t="shared" si="27"/>
        <v>AA</v>
      </c>
      <c r="F340" s="7" t="str">
        <f t="shared" si="28"/>
        <v>81</v>
      </c>
    </row>
    <row r="341" spans="1:6" x14ac:dyDescent="0.3">
      <c r="A341" s="39" t="s">
        <v>513</v>
      </c>
      <c r="B341" s="5" t="str">
        <f t="shared" si="29"/>
        <v>ABA6</v>
      </c>
      <c r="C341" s="40" t="str">
        <f t="shared" si="25"/>
        <v>11010100</v>
      </c>
      <c r="D341" s="5" t="str">
        <f t="shared" si="26"/>
        <v>10000010</v>
      </c>
      <c r="E341" s="6" t="str">
        <f t="shared" si="27"/>
        <v>D4</v>
      </c>
      <c r="F341" s="7" t="str">
        <f t="shared" si="28"/>
        <v>82</v>
      </c>
    </row>
    <row r="342" spans="1:6" x14ac:dyDescent="0.3">
      <c r="A342" s="39" t="s">
        <v>514</v>
      </c>
      <c r="B342" s="5" t="str">
        <f t="shared" si="29"/>
        <v>ABA8</v>
      </c>
      <c r="C342" s="40" t="str">
        <f t="shared" si="25"/>
        <v>10101000</v>
      </c>
      <c r="D342" s="5" t="str">
        <f t="shared" si="26"/>
        <v>10000101</v>
      </c>
      <c r="E342" s="6" t="str">
        <f t="shared" si="27"/>
        <v>A8</v>
      </c>
      <c r="F342" s="7" t="str">
        <f t="shared" si="28"/>
        <v>85</v>
      </c>
    </row>
    <row r="343" spans="1:6" x14ac:dyDescent="0.3">
      <c r="A343" s="39" t="s">
        <v>515</v>
      </c>
      <c r="B343" s="5" t="str">
        <f t="shared" si="29"/>
        <v>ABAA</v>
      </c>
      <c r="C343" s="40" t="str">
        <f t="shared" si="25"/>
        <v>11010000</v>
      </c>
      <c r="D343" s="5" t="str">
        <f t="shared" si="26"/>
        <v>10001010</v>
      </c>
      <c r="E343" s="6" t="str">
        <f t="shared" si="27"/>
        <v>D0</v>
      </c>
      <c r="F343" s="7" t="str">
        <f t="shared" si="28"/>
        <v>8A</v>
      </c>
    </row>
    <row r="344" spans="1:6" x14ac:dyDescent="0.3">
      <c r="A344" s="39" t="s">
        <v>516</v>
      </c>
      <c r="B344" s="5" t="str">
        <f t="shared" si="29"/>
        <v>ABAC</v>
      </c>
      <c r="C344" s="40" t="str">
        <f t="shared" si="25"/>
        <v>10100000</v>
      </c>
      <c r="D344" s="5" t="str">
        <f t="shared" si="26"/>
        <v>10010101</v>
      </c>
      <c r="E344" s="6" t="str">
        <f t="shared" si="27"/>
        <v>A0</v>
      </c>
      <c r="F344" s="7" t="str">
        <f t="shared" si="28"/>
        <v>95</v>
      </c>
    </row>
    <row r="345" spans="1:6" x14ac:dyDescent="0.3">
      <c r="A345" s="39" t="s">
        <v>517</v>
      </c>
      <c r="B345" s="5" t="str">
        <f t="shared" si="29"/>
        <v>ABAE</v>
      </c>
      <c r="C345" s="40" t="str">
        <f t="shared" si="25"/>
        <v>11000000</v>
      </c>
      <c r="D345" s="5" t="str">
        <f t="shared" si="26"/>
        <v>10101010</v>
      </c>
      <c r="E345" s="6" t="str">
        <f t="shared" si="27"/>
        <v>C0</v>
      </c>
      <c r="F345" s="7" t="str">
        <f t="shared" si="28"/>
        <v>AA</v>
      </c>
    </row>
    <row r="346" spans="1:6" x14ac:dyDescent="0.3">
      <c r="A346" s="39" t="s">
        <v>518</v>
      </c>
      <c r="B346" s="5" t="str">
        <f t="shared" si="29"/>
        <v>ABB0</v>
      </c>
      <c r="C346" s="40" t="str">
        <f t="shared" si="25"/>
        <v>10000000</v>
      </c>
      <c r="D346" s="5" t="str">
        <f t="shared" si="26"/>
        <v>10101011</v>
      </c>
      <c r="E346" s="6" t="str">
        <f t="shared" si="27"/>
        <v>80</v>
      </c>
      <c r="F346" s="7" t="str">
        <f t="shared" si="28"/>
        <v>AB</v>
      </c>
    </row>
    <row r="347" spans="1:6" x14ac:dyDescent="0.3">
      <c r="A347" s="39" t="s">
        <v>519</v>
      </c>
      <c r="B347" s="5" t="str">
        <f t="shared" si="29"/>
        <v>ABB2</v>
      </c>
      <c r="C347" s="40" t="str">
        <f t="shared" si="25"/>
        <v>11010111</v>
      </c>
      <c r="D347" s="5" t="str">
        <f t="shared" si="26"/>
        <v>10000000</v>
      </c>
      <c r="E347" s="6" t="str">
        <f t="shared" si="27"/>
        <v>D7</v>
      </c>
      <c r="F347" s="7" t="str">
        <f t="shared" si="28"/>
        <v>80</v>
      </c>
    </row>
    <row r="348" spans="1:6" x14ac:dyDescent="0.3">
      <c r="A348" s="39" t="s">
        <v>520</v>
      </c>
      <c r="B348" s="5" t="str">
        <f t="shared" si="29"/>
        <v>ABB4</v>
      </c>
      <c r="C348" s="40" t="str">
        <f t="shared" si="25"/>
        <v>10101110</v>
      </c>
      <c r="D348" s="5" t="str">
        <f t="shared" si="26"/>
        <v>10000001</v>
      </c>
      <c r="E348" s="6" t="str">
        <f t="shared" si="27"/>
        <v>AE</v>
      </c>
      <c r="F348" s="7" t="str">
        <f t="shared" si="28"/>
        <v>81</v>
      </c>
    </row>
    <row r="349" spans="1:6" x14ac:dyDescent="0.3">
      <c r="A349" s="39" t="s">
        <v>521</v>
      </c>
      <c r="B349" s="5" t="str">
        <f t="shared" si="29"/>
        <v>ABB6</v>
      </c>
      <c r="C349" s="40" t="str">
        <f t="shared" si="25"/>
        <v>11011100</v>
      </c>
      <c r="D349" s="5" t="str">
        <f t="shared" si="26"/>
        <v>10000010</v>
      </c>
      <c r="E349" s="6" t="str">
        <f t="shared" si="27"/>
        <v>DC</v>
      </c>
      <c r="F349" s="7" t="str">
        <f t="shared" si="28"/>
        <v>82</v>
      </c>
    </row>
    <row r="350" spans="1:6" x14ac:dyDescent="0.3">
      <c r="A350" s="39" t="s">
        <v>522</v>
      </c>
      <c r="B350" s="5" t="str">
        <f t="shared" si="29"/>
        <v>ABB8</v>
      </c>
      <c r="C350" s="40" t="str">
        <f t="shared" si="25"/>
        <v>10111000</v>
      </c>
      <c r="D350" s="5" t="str">
        <f t="shared" si="26"/>
        <v>10000101</v>
      </c>
      <c r="E350" s="6" t="str">
        <f t="shared" si="27"/>
        <v>B8</v>
      </c>
      <c r="F350" s="7" t="str">
        <f t="shared" si="28"/>
        <v>85</v>
      </c>
    </row>
    <row r="351" spans="1:6" x14ac:dyDescent="0.3">
      <c r="A351" s="39" t="s">
        <v>523</v>
      </c>
      <c r="B351" s="5" t="str">
        <f t="shared" si="29"/>
        <v>ABBA</v>
      </c>
      <c r="C351" s="40" t="str">
        <f t="shared" si="25"/>
        <v>11110000</v>
      </c>
      <c r="D351" s="5" t="str">
        <f t="shared" si="26"/>
        <v>10001010</v>
      </c>
      <c r="E351" s="6" t="str">
        <f t="shared" si="27"/>
        <v>F0</v>
      </c>
      <c r="F351" s="7" t="str">
        <f t="shared" si="28"/>
        <v>8A</v>
      </c>
    </row>
    <row r="352" spans="1:6" x14ac:dyDescent="0.3">
      <c r="A352" s="39" t="s">
        <v>524</v>
      </c>
      <c r="B352" s="5" t="str">
        <f t="shared" si="29"/>
        <v>ABBC</v>
      </c>
      <c r="C352" s="40" t="str">
        <f t="shared" si="25"/>
        <v>11100000</v>
      </c>
      <c r="D352" s="5" t="str">
        <f t="shared" si="26"/>
        <v>10010101</v>
      </c>
      <c r="E352" s="6" t="str">
        <f t="shared" si="27"/>
        <v>E0</v>
      </c>
      <c r="F352" s="7" t="str">
        <f t="shared" si="28"/>
        <v>95</v>
      </c>
    </row>
    <row r="353" spans="1:6" x14ac:dyDescent="0.3">
      <c r="A353" s="39" t="s">
        <v>525</v>
      </c>
      <c r="B353" s="5" t="str">
        <f t="shared" si="29"/>
        <v>ABBE</v>
      </c>
      <c r="C353" s="40" t="str">
        <f t="shared" si="25"/>
        <v>11000000</v>
      </c>
      <c r="D353" s="5" t="str">
        <f t="shared" si="26"/>
        <v>10101011</v>
      </c>
      <c r="E353" s="6" t="str">
        <f t="shared" si="27"/>
        <v>C0</v>
      </c>
      <c r="F353" s="7" t="str">
        <f t="shared" si="28"/>
        <v>AB</v>
      </c>
    </row>
    <row r="354" spans="1:6" x14ac:dyDescent="0.3">
      <c r="A354" s="39" t="s">
        <v>526</v>
      </c>
      <c r="B354" s="5" t="str">
        <f t="shared" si="29"/>
        <v>ABC0</v>
      </c>
      <c r="C354" s="40" t="str">
        <f t="shared" si="25"/>
        <v>10000000</v>
      </c>
      <c r="D354" s="5" t="str">
        <f t="shared" si="26"/>
        <v>10101100</v>
      </c>
      <c r="E354" s="6" t="str">
        <f t="shared" si="27"/>
        <v>80</v>
      </c>
      <c r="F354" s="7" t="str">
        <f t="shared" si="28"/>
        <v>AC</v>
      </c>
    </row>
    <row r="355" spans="1:6" x14ac:dyDescent="0.3">
      <c r="A355" s="39" t="s">
        <v>527</v>
      </c>
      <c r="B355" s="5" t="str">
        <f t="shared" si="29"/>
        <v>ABC2</v>
      </c>
      <c r="C355" s="40" t="str">
        <f t="shared" ref="C355:C386" si="30">MID($A355,15,8)</f>
        <v>11011001</v>
      </c>
      <c r="D355" s="5" t="str">
        <f t="shared" si="26"/>
        <v>10000000</v>
      </c>
      <c r="E355" s="6" t="str">
        <f t="shared" si="27"/>
        <v>D9</v>
      </c>
      <c r="F355" s="7" t="str">
        <f t="shared" si="28"/>
        <v>80</v>
      </c>
    </row>
    <row r="356" spans="1:6" x14ac:dyDescent="0.3">
      <c r="A356" s="39" t="s">
        <v>528</v>
      </c>
      <c r="B356" s="5" t="str">
        <f t="shared" si="29"/>
        <v>ABC4</v>
      </c>
      <c r="C356" s="40" t="str">
        <f t="shared" si="30"/>
        <v>10110010</v>
      </c>
      <c r="D356" s="5" t="str">
        <f t="shared" si="26"/>
        <v>10000001</v>
      </c>
      <c r="E356" s="6" t="str">
        <f t="shared" si="27"/>
        <v>B2</v>
      </c>
      <c r="F356" s="7" t="str">
        <f t="shared" si="28"/>
        <v>81</v>
      </c>
    </row>
    <row r="357" spans="1:6" x14ac:dyDescent="0.3">
      <c r="A357" s="39" t="s">
        <v>529</v>
      </c>
      <c r="B357" s="5" t="str">
        <f t="shared" si="29"/>
        <v>ABC6</v>
      </c>
      <c r="C357" s="40" t="str">
        <f t="shared" si="30"/>
        <v>11100100</v>
      </c>
      <c r="D357" s="5" t="str">
        <f t="shared" si="26"/>
        <v>10000010</v>
      </c>
      <c r="E357" s="6" t="str">
        <f t="shared" si="27"/>
        <v>E4</v>
      </c>
      <c r="F357" s="7" t="str">
        <f t="shared" si="28"/>
        <v>82</v>
      </c>
    </row>
    <row r="358" spans="1:6" x14ac:dyDescent="0.3">
      <c r="A358" s="39" t="s">
        <v>530</v>
      </c>
      <c r="B358" s="5" t="str">
        <f t="shared" si="29"/>
        <v>ABC8</v>
      </c>
      <c r="C358" s="40" t="str">
        <f t="shared" si="30"/>
        <v>11001000</v>
      </c>
      <c r="D358" s="5" t="str">
        <f t="shared" si="26"/>
        <v>10000101</v>
      </c>
      <c r="E358" s="6" t="str">
        <f t="shared" si="27"/>
        <v>C8</v>
      </c>
      <c r="F358" s="7" t="str">
        <f t="shared" si="28"/>
        <v>85</v>
      </c>
    </row>
    <row r="359" spans="1:6" x14ac:dyDescent="0.3">
      <c r="A359" s="39" t="s">
        <v>531</v>
      </c>
      <c r="B359" s="5" t="str">
        <f t="shared" si="29"/>
        <v>ABCA</v>
      </c>
      <c r="C359" s="40" t="str">
        <f t="shared" si="30"/>
        <v>10010000</v>
      </c>
      <c r="D359" s="5" t="str">
        <f t="shared" si="26"/>
        <v>10001011</v>
      </c>
      <c r="E359" s="6" t="str">
        <f t="shared" si="27"/>
        <v>90</v>
      </c>
      <c r="F359" s="7" t="str">
        <f t="shared" si="28"/>
        <v>8B</v>
      </c>
    </row>
    <row r="360" spans="1:6" x14ac:dyDescent="0.3">
      <c r="A360" s="39" t="s">
        <v>532</v>
      </c>
      <c r="B360" s="5" t="str">
        <f t="shared" si="29"/>
        <v>ABCC</v>
      </c>
      <c r="C360" s="40" t="str">
        <f t="shared" si="30"/>
        <v>10100000</v>
      </c>
      <c r="D360" s="5" t="str">
        <f t="shared" si="26"/>
        <v>10010110</v>
      </c>
      <c r="E360" s="6" t="str">
        <f t="shared" si="27"/>
        <v>A0</v>
      </c>
      <c r="F360" s="7" t="str">
        <f t="shared" si="28"/>
        <v>96</v>
      </c>
    </row>
    <row r="361" spans="1:6" x14ac:dyDescent="0.3">
      <c r="A361" s="39" t="s">
        <v>533</v>
      </c>
      <c r="B361" s="5" t="str">
        <f t="shared" si="29"/>
        <v>ABCE</v>
      </c>
      <c r="C361" s="40" t="str">
        <f t="shared" si="30"/>
        <v>11000000</v>
      </c>
      <c r="D361" s="5" t="str">
        <f t="shared" si="26"/>
        <v>10101100</v>
      </c>
      <c r="E361" s="6" t="str">
        <f t="shared" si="27"/>
        <v>C0</v>
      </c>
      <c r="F361" s="7" t="str">
        <f t="shared" si="28"/>
        <v>AC</v>
      </c>
    </row>
    <row r="362" spans="1:6" x14ac:dyDescent="0.3">
      <c r="A362" s="39" t="s">
        <v>534</v>
      </c>
      <c r="B362" s="5" t="str">
        <f t="shared" si="29"/>
        <v>ABD0</v>
      </c>
      <c r="C362" s="40" t="str">
        <f t="shared" si="30"/>
        <v>10000000</v>
      </c>
      <c r="D362" s="5" t="str">
        <f t="shared" si="26"/>
        <v>10101101</v>
      </c>
      <c r="E362" s="6" t="str">
        <f t="shared" si="27"/>
        <v>80</v>
      </c>
      <c r="F362" s="7" t="str">
        <f t="shared" si="28"/>
        <v>AD</v>
      </c>
    </row>
    <row r="363" spans="1:6" x14ac:dyDescent="0.3">
      <c r="A363" s="39" t="s">
        <v>535</v>
      </c>
      <c r="B363" s="5" t="str">
        <f t="shared" si="29"/>
        <v>ABD2</v>
      </c>
      <c r="C363" s="40" t="str">
        <f t="shared" si="30"/>
        <v>11011011</v>
      </c>
      <c r="D363" s="5" t="str">
        <f t="shared" si="26"/>
        <v>10000000</v>
      </c>
      <c r="E363" s="6" t="str">
        <f t="shared" si="27"/>
        <v>DB</v>
      </c>
      <c r="F363" s="7" t="str">
        <f t="shared" si="28"/>
        <v>80</v>
      </c>
    </row>
    <row r="364" spans="1:6" x14ac:dyDescent="0.3">
      <c r="A364" s="39" t="s">
        <v>536</v>
      </c>
      <c r="B364" s="5" t="str">
        <f t="shared" si="29"/>
        <v>ABD4</v>
      </c>
      <c r="C364" s="40" t="str">
        <f t="shared" si="30"/>
        <v>10110110</v>
      </c>
      <c r="D364" s="5" t="str">
        <f t="shared" si="26"/>
        <v>10000001</v>
      </c>
      <c r="E364" s="6" t="str">
        <f t="shared" si="27"/>
        <v>B6</v>
      </c>
      <c r="F364" s="7" t="str">
        <f t="shared" si="28"/>
        <v>81</v>
      </c>
    </row>
    <row r="365" spans="1:6" x14ac:dyDescent="0.3">
      <c r="A365" s="39" t="s">
        <v>537</v>
      </c>
      <c r="B365" s="5" t="str">
        <f t="shared" si="29"/>
        <v>ABD6</v>
      </c>
      <c r="C365" s="40" t="str">
        <f t="shared" si="30"/>
        <v>11101100</v>
      </c>
      <c r="D365" s="5" t="str">
        <f t="shared" si="26"/>
        <v>10000010</v>
      </c>
      <c r="E365" s="6" t="str">
        <f t="shared" si="27"/>
        <v>EC</v>
      </c>
      <c r="F365" s="7" t="str">
        <f t="shared" si="28"/>
        <v>82</v>
      </c>
    </row>
    <row r="366" spans="1:6" x14ac:dyDescent="0.3">
      <c r="A366" s="39" t="s">
        <v>538</v>
      </c>
      <c r="B366" s="5" t="str">
        <f t="shared" si="29"/>
        <v>ABD8</v>
      </c>
      <c r="C366" s="40" t="str">
        <f t="shared" si="30"/>
        <v>11011000</v>
      </c>
      <c r="D366" s="5" t="str">
        <f t="shared" si="26"/>
        <v>10000101</v>
      </c>
      <c r="E366" s="6" t="str">
        <f t="shared" si="27"/>
        <v>D8</v>
      </c>
      <c r="F366" s="7" t="str">
        <f t="shared" si="28"/>
        <v>85</v>
      </c>
    </row>
    <row r="367" spans="1:6" x14ac:dyDescent="0.3">
      <c r="A367" s="39" t="s">
        <v>539</v>
      </c>
      <c r="B367" s="5" t="str">
        <f t="shared" si="29"/>
        <v>ABDA</v>
      </c>
      <c r="C367" s="40" t="str">
        <f t="shared" si="30"/>
        <v>10110000</v>
      </c>
      <c r="D367" s="5" t="str">
        <f t="shared" si="26"/>
        <v>10001011</v>
      </c>
      <c r="E367" s="6" t="str">
        <f t="shared" si="27"/>
        <v>B0</v>
      </c>
      <c r="F367" s="7" t="str">
        <f t="shared" si="28"/>
        <v>8B</v>
      </c>
    </row>
    <row r="368" spans="1:6" x14ac:dyDescent="0.3">
      <c r="A368" s="39" t="s">
        <v>540</v>
      </c>
      <c r="B368" s="5" t="str">
        <f t="shared" si="29"/>
        <v>ABDC</v>
      </c>
      <c r="C368" s="40" t="str">
        <f t="shared" si="30"/>
        <v>11100000</v>
      </c>
      <c r="D368" s="5" t="str">
        <f t="shared" si="26"/>
        <v>10010110</v>
      </c>
      <c r="E368" s="6" t="str">
        <f t="shared" si="27"/>
        <v>E0</v>
      </c>
      <c r="F368" s="7" t="str">
        <f t="shared" si="28"/>
        <v>96</v>
      </c>
    </row>
    <row r="369" spans="1:6" x14ac:dyDescent="0.3">
      <c r="A369" s="39" t="s">
        <v>541</v>
      </c>
      <c r="B369" s="5" t="str">
        <f t="shared" si="29"/>
        <v>ABDE</v>
      </c>
      <c r="C369" s="40" t="str">
        <f t="shared" si="30"/>
        <v>11000000</v>
      </c>
      <c r="D369" s="5" t="str">
        <f t="shared" si="26"/>
        <v>10101101</v>
      </c>
      <c r="E369" s="6" t="str">
        <f t="shared" si="27"/>
        <v>C0</v>
      </c>
      <c r="F369" s="7" t="str">
        <f t="shared" si="28"/>
        <v>AD</v>
      </c>
    </row>
    <row r="370" spans="1:6" x14ac:dyDescent="0.3">
      <c r="A370" s="39" t="s">
        <v>542</v>
      </c>
      <c r="B370" s="5" t="str">
        <f t="shared" si="29"/>
        <v>ABE0</v>
      </c>
      <c r="C370" s="40" t="str">
        <f t="shared" si="30"/>
        <v>10000000</v>
      </c>
      <c r="D370" s="5" t="str">
        <f t="shared" si="26"/>
        <v>10101110</v>
      </c>
      <c r="E370" s="6" t="str">
        <f t="shared" si="27"/>
        <v>80</v>
      </c>
      <c r="F370" s="7" t="str">
        <f t="shared" si="28"/>
        <v>AE</v>
      </c>
    </row>
    <row r="371" spans="1:6" x14ac:dyDescent="0.3">
      <c r="A371" s="39" t="s">
        <v>543</v>
      </c>
      <c r="B371" s="5" t="str">
        <f t="shared" si="29"/>
        <v>ABE2</v>
      </c>
      <c r="C371" s="40" t="str">
        <f t="shared" si="30"/>
        <v>11011101</v>
      </c>
      <c r="D371" s="5" t="str">
        <f t="shared" si="26"/>
        <v>10000000</v>
      </c>
      <c r="E371" s="6" t="str">
        <f t="shared" si="27"/>
        <v>DD</v>
      </c>
      <c r="F371" s="7" t="str">
        <f t="shared" si="28"/>
        <v>80</v>
      </c>
    </row>
    <row r="372" spans="1:6" x14ac:dyDescent="0.3">
      <c r="A372" s="39" t="s">
        <v>544</v>
      </c>
      <c r="B372" s="5" t="str">
        <f t="shared" si="29"/>
        <v>ABE4</v>
      </c>
      <c r="C372" s="40" t="str">
        <f t="shared" si="30"/>
        <v>10111010</v>
      </c>
      <c r="D372" s="5" t="str">
        <f t="shared" si="26"/>
        <v>10000001</v>
      </c>
      <c r="E372" s="6" t="str">
        <f t="shared" si="27"/>
        <v>BA</v>
      </c>
      <c r="F372" s="7" t="str">
        <f t="shared" si="28"/>
        <v>81</v>
      </c>
    </row>
    <row r="373" spans="1:6" x14ac:dyDescent="0.3">
      <c r="A373" s="39" t="s">
        <v>545</v>
      </c>
      <c r="B373" s="5" t="str">
        <f t="shared" si="29"/>
        <v>ABE6</v>
      </c>
      <c r="C373" s="40" t="str">
        <f t="shared" si="30"/>
        <v>11110100</v>
      </c>
      <c r="D373" s="5" t="str">
        <f t="shared" si="26"/>
        <v>10000010</v>
      </c>
      <c r="E373" s="6" t="str">
        <f t="shared" si="27"/>
        <v>F4</v>
      </c>
      <c r="F373" s="7" t="str">
        <f t="shared" si="28"/>
        <v>82</v>
      </c>
    </row>
    <row r="374" spans="1:6" x14ac:dyDescent="0.3">
      <c r="A374" s="39" t="s">
        <v>546</v>
      </c>
      <c r="B374" s="5" t="str">
        <f t="shared" si="29"/>
        <v>ABE8</v>
      </c>
      <c r="C374" s="40" t="str">
        <f t="shared" si="30"/>
        <v>11101000</v>
      </c>
      <c r="D374" s="5" t="str">
        <f t="shared" si="26"/>
        <v>10000101</v>
      </c>
      <c r="E374" s="6" t="str">
        <f t="shared" si="27"/>
        <v>E8</v>
      </c>
      <c r="F374" s="7" t="str">
        <f t="shared" si="28"/>
        <v>85</v>
      </c>
    </row>
    <row r="375" spans="1:6" x14ac:dyDescent="0.3">
      <c r="A375" s="39" t="s">
        <v>547</v>
      </c>
      <c r="B375" s="5" t="str">
        <f t="shared" si="29"/>
        <v>ABEA</v>
      </c>
      <c r="C375" s="40" t="str">
        <f t="shared" si="30"/>
        <v>11010000</v>
      </c>
      <c r="D375" s="5" t="str">
        <f t="shared" si="26"/>
        <v>10001011</v>
      </c>
      <c r="E375" s="6" t="str">
        <f t="shared" si="27"/>
        <v>D0</v>
      </c>
      <c r="F375" s="7" t="str">
        <f t="shared" si="28"/>
        <v>8B</v>
      </c>
    </row>
    <row r="376" spans="1:6" x14ac:dyDescent="0.3">
      <c r="A376" s="39" t="s">
        <v>548</v>
      </c>
      <c r="B376" s="5" t="str">
        <f t="shared" si="29"/>
        <v>ABEC</v>
      </c>
      <c r="C376" s="40" t="str">
        <f t="shared" si="30"/>
        <v>10100000</v>
      </c>
      <c r="D376" s="5" t="str">
        <f t="shared" si="26"/>
        <v>10010111</v>
      </c>
      <c r="E376" s="6" t="str">
        <f t="shared" si="27"/>
        <v>A0</v>
      </c>
      <c r="F376" s="7" t="str">
        <f t="shared" si="28"/>
        <v>97</v>
      </c>
    </row>
    <row r="377" spans="1:6" x14ac:dyDescent="0.3">
      <c r="A377" s="39" t="s">
        <v>549</v>
      </c>
      <c r="B377" s="5" t="str">
        <f t="shared" si="29"/>
        <v>ABEE</v>
      </c>
      <c r="C377" s="40" t="str">
        <f t="shared" si="30"/>
        <v>11000000</v>
      </c>
      <c r="D377" s="5" t="str">
        <f t="shared" si="26"/>
        <v>10101110</v>
      </c>
      <c r="E377" s="6" t="str">
        <f t="shared" si="27"/>
        <v>C0</v>
      </c>
      <c r="F377" s="7" t="str">
        <f t="shared" si="28"/>
        <v>AE</v>
      </c>
    </row>
    <row r="378" spans="1:6" x14ac:dyDescent="0.3">
      <c r="A378" s="39" t="s">
        <v>550</v>
      </c>
      <c r="B378" s="5" t="str">
        <f t="shared" si="29"/>
        <v>ABF0</v>
      </c>
      <c r="C378" s="40" t="str">
        <f t="shared" si="30"/>
        <v>10000000</v>
      </c>
      <c r="D378" s="5" t="str">
        <f t="shared" si="26"/>
        <v>10101111</v>
      </c>
      <c r="E378" s="6" t="str">
        <f t="shared" si="27"/>
        <v>80</v>
      </c>
      <c r="F378" s="7" t="str">
        <f t="shared" si="28"/>
        <v>AF</v>
      </c>
    </row>
    <row r="379" spans="1:6" x14ac:dyDescent="0.3">
      <c r="A379" s="39" t="s">
        <v>551</v>
      </c>
      <c r="B379" s="5" t="str">
        <f t="shared" si="29"/>
        <v>ABF2</v>
      </c>
      <c r="C379" s="40" t="str">
        <f t="shared" si="30"/>
        <v>11011111</v>
      </c>
      <c r="D379" s="5" t="str">
        <f t="shared" si="26"/>
        <v>10000000</v>
      </c>
      <c r="E379" s="6" t="str">
        <f t="shared" si="27"/>
        <v>DF</v>
      </c>
      <c r="F379" s="7" t="str">
        <f t="shared" si="28"/>
        <v>80</v>
      </c>
    </row>
    <row r="380" spans="1:6" x14ac:dyDescent="0.3">
      <c r="A380" s="39" t="s">
        <v>552</v>
      </c>
      <c r="B380" s="5" t="str">
        <f t="shared" si="29"/>
        <v>ABF4</v>
      </c>
      <c r="C380" s="40" t="str">
        <f t="shared" si="30"/>
        <v>10111110</v>
      </c>
      <c r="D380" s="5" t="str">
        <f t="shared" si="26"/>
        <v>10000001</v>
      </c>
      <c r="E380" s="6" t="str">
        <f t="shared" si="27"/>
        <v>BE</v>
      </c>
      <c r="F380" s="7" t="str">
        <f t="shared" si="28"/>
        <v>81</v>
      </c>
    </row>
    <row r="381" spans="1:6" x14ac:dyDescent="0.3">
      <c r="A381" s="39" t="s">
        <v>553</v>
      </c>
      <c r="B381" s="5" t="str">
        <f t="shared" si="29"/>
        <v>ABF6</v>
      </c>
      <c r="C381" s="40" t="str">
        <f t="shared" si="30"/>
        <v>11111100</v>
      </c>
      <c r="D381" s="5" t="str">
        <f t="shared" si="26"/>
        <v>10000010</v>
      </c>
      <c r="E381" s="6" t="str">
        <f t="shared" si="27"/>
        <v>FC</v>
      </c>
      <c r="F381" s="7" t="str">
        <f t="shared" si="28"/>
        <v>82</v>
      </c>
    </row>
    <row r="382" spans="1:6" x14ac:dyDescent="0.3">
      <c r="A382" s="39" t="s">
        <v>554</v>
      </c>
      <c r="B382" s="5" t="str">
        <f t="shared" si="29"/>
        <v>ABF8</v>
      </c>
      <c r="C382" s="40" t="str">
        <f t="shared" si="30"/>
        <v>11111000</v>
      </c>
      <c r="D382" s="5" t="str">
        <f t="shared" si="26"/>
        <v>10000101</v>
      </c>
      <c r="E382" s="6" t="str">
        <f t="shared" si="27"/>
        <v>F8</v>
      </c>
      <c r="F382" s="7" t="str">
        <f t="shared" si="28"/>
        <v>85</v>
      </c>
    </row>
    <row r="383" spans="1:6" x14ac:dyDescent="0.3">
      <c r="A383" s="39" t="s">
        <v>555</v>
      </c>
      <c r="B383" s="5" t="str">
        <f t="shared" si="29"/>
        <v>ABFA</v>
      </c>
      <c r="C383" s="40" t="str">
        <f t="shared" si="30"/>
        <v>11110000</v>
      </c>
      <c r="D383" s="5" t="str">
        <f t="shared" si="26"/>
        <v>10001011</v>
      </c>
      <c r="E383" s="6" t="str">
        <f t="shared" si="27"/>
        <v>F0</v>
      </c>
      <c r="F383" s="7" t="str">
        <f t="shared" si="28"/>
        <v>8B</v>
      </c>
    </row>
    <row r="384" spans="1:6" x14ac:dyDescent="0.3">
      <c r="A384" s="39" t="s">
        <v>556</v>
      </c>
      <c r="B384" s="5" t="str">
        <f t="shared" si="29"/>
        <v>ABFC</v>
      </c>
      <c r="C384" s="40" t="str">
        <f t="shared" si="30"/>
        <v>11100000</v>
      </c>
      <c r="D384" s="5" t="str">
        <f t="shared" si="26"/>
        <v>10010111</v>
      </c>
      <c r="E384" s="6" t="str">
        <f t="shared" si="27"/>
        <v>E0</v>
      </c>
      <c r="F384" s="7" t="str">
        <f t="shared" si="28"/>
        <v>97</v>
      </c>
    </row>
    <row r="385" spans="1:6" x14ac:dyDescent="0.3">
      <c r="A385" s="39" t="s">
        <v>557</v>
      </c>
      <c r="B385" s="5" t="str">
        <f t="shared" si="29"/>
        <v>ABFE</v>
      </c>
      <c r="C385" s="40" t="str">
        <f t="shared" si="30"/>
        <v>11000000</v>
      </c>
      <c r="D385" s="5" t="str">
        <f t="shared" si="26"/>
        <v>10101111</v>
      </c>
      <c r="E385" s="6" t="str">
        <f t="shared" si="27"/>
        <v>C0</v>
      </c>
      <c r="F385" s="7" t="str">
        <f t="shared" si="28"/>
        <v>AF</v>
      </c>
    </row>
    <row r="386" spans="1:6" x14ac:dyDescent="0.3">
      <c r="A386" s="39" t="s">
        <v>558</v>
      </c>
      <c r="B386" s="5" t="str">
        <f t="shared" si="29"/>
        <v>AC00</v>
      </c>
      <c r="C386" s="40" t="str">
        <f t="shared" si="30"/>
        <v>10000000</v>
      </c>
      <c r="D386" s="5" t="str">
        <f t="shared" si="26"/>
        <v>10110000</v>
      </c>
      <c r="E386" s="6" t="str">
        <f t="shared" si="27"/>
        <v>80</v>
      </c>
      <c r="F386" s="7" t="str">
        <f t="shared" si="28"/>
        <v>B0</v>
      </c>
    </row>
    <row r="387" spans="1:6" x14ac:dyDescent="0.3">
      <c r="A387" s="39" t="s">
        <v>559</v>
      </c>
      <c r="B387" s="5" t="str">
        <f t="shared" si="29"/>
        <v>AC02</v>
      </c>
      <c r="C387" s="40" t="str">
        <f t="shared" ref="C387:C418" si="31">MID($A387,15,8)</f>
        <v>11100001</v>
      </c>
      <c r="D387" s="5" t="str">
        <f t="shared" ref="D387:D450" si="32">MID($A387,26,8)</f>
        <v>10000000</v>
      </c>
      <c r="E387" s="6" t="str">
        <f t="shared" ref="E387:E450" si="33">BIN2HEX(C387)</f>
        <v>E1</v>
      </c>
      <c r="F387" s="7" t="str">
        <f t="shared" ref="F387:F450" si="34">BIN2HEX(D387)</f>
        <v>80</v>
      </c>
    </row>
    <row r="388" spans="1:6" x14ac:dyDescent="0.3">
      <c r="A388" s="39" t="s">
        <v>560</v>
      </c>
      <c r="B388" s="5" t="str">
        <f t="shared" ref="B388:B451" si="35">DEC2HEX(HEX2DEC(B387)+2)</f>
        <v>AC04</v>
      </c>
      <c r="C388" s="40" t="str">
        <f t="shared" si="31"/>
        <v>11000010</v>
      </c>
      <c r="D388" s="5" t="str">
        <f t="shared" si="32"/>
        <v>10000001</v>
      </c>
      <c r="E388" s="6" t="str">
        <f t="shared" si="33"/>
        <v>C2</v>
      </c>
      <c r="F388" s="7" t="str">
        <f t="shared" si="34"/>
        <v>81</v>
      </c>
    </row>
    <row r="389" spans="1:6" x14ac:dyDescent="0.3">
      <c r="A389" s="39" t="s">
        <v>561</v>
      </c>
      <c r="B389" s="5" t="str">
        <f t="shared" si="35"/>
        <v>AC06</v>
      </c>
      <c r="C389" s="40" t="str">
        <f t="shared" si="31"/>
        <v>10000100</v>
      </c>
      <c r="D389" s="5" t="str">
        <f t="shared" si="32"/>
        <v>10000011</v>
      </c>
      <c r="E389" s="6" t="str">
        <f t="shared" si="33"/>
        <v>84</v>
      </c>
      <c r="F389" s="7" t="str">
        <f t="shared" si="34"/>
        <v>83</v>
      </c>
    </row>
    <row r="390" spans="1:6" x14ac:dyDescent="0.3">
      <c r="A390" s="39" t="s">
        <v>562</v>
      </c>
      <c r="B390" s="5" t="str">
        <f t="shared" si="35"/>
        <v>AC08</v>
      </c>
      <c r="C390" s="40" t="str">
        <f t="shared" si="31"/>
        <v>10001000</v>
      </c>
      <c r="D390" s="5" t="str">
        <f t="shared" si="32"/>
        <v>10000110</v>
      </c>
      <c r="E390" s="6" t="str">
        <f t="shared" si="33"/>
        <v>88</v>
      </c>
      <c r="F390" s="7" t="str">
        <f t="shared" si="34"/>
        <v>86</v>
      </c>
    </row>
    <row r="391" spans="1:6" x14ac:dyDescent="0.3">
      <c r="A391" s="39" t="s">
        <v>563</v>
      </c>
      <c r="B391" s="5" t="str">
        <f t="shared" si="35"/>
        <v>AC0A</v>
      </c>
      <c r="C391" s="40" t="str">
        <f t="shared" si="31"/>
        <v>10010000</v>
      </c>
      <c r="D391" s="5" t="str">
        <f t="shared" si="32"/>
        <v>10001100</v>
      </c>
      <c r="E391" s="6" t="str">
        <f t="shared" si="33"/>
        <v>90</v>
      </c>
      <c r="F391" s="7" t="str">
        <f t="shared" si="34"/>
        <v>8C</v>
      </c>
    </row>
    <row r="392" spans="1:6" x14ac:dyDescent="0.3">
      <c r="A392" s="39" t="s">
        <v>564</v>
      </c>
      <c r="B392" s="5" t="str">
        <f t="shared" si="35"/>
        <v>AC0C</v>
      </c>
      <c r="C392" s="40" t="str">
        <f t="shared" si="31"/>
        <v>10100000</v>
      </c>
      <c r="D392" s="5" t="str">
        <f t="shared" si="32"/>
        <v>10011000</v>
      </c>
      <c r="E392" s="6" t="str">
        <f t="shared" si="33"/>
        <v>A0</v>
      </c>
      <c r="F392" s="7" t="str">
        <f t="shared" si="34"/>
        <v>98</v>
      </c>
    </row>
    <row r="393" spans="1:6" x14ac:dyDescent="0.3">
      <c r="A393" s="39" t="s">
        <v>565</v>
      </c>
      <c r="B393" s="5" t="str">
        <f t="shared" si="35"/>
        <v>AC0E</v>
      </c>
      <c r="C393" s="40" t="str">
        <f t="shared" si="31"/>
        <v>11000000</v>
      </c>
      <c r="D393" s="5" t="str">
        <f t="shared" si="32"/>
        <v>10110000</v>
      </c>
      <c r="E393" s="6" t="str">
        <f t="shared" si="33"/>
        <v>C0</v>
      </c>
      <c r="F393" s="7" t="str">
        <f t="shared" si="34"/>
        <v>B0</v>
      </c>
    </row>
    <row r="394" spans="1:6" x14ac:dyDescent="0.3">
      <c r="A394" s="39" t="s">
        <v>566</v>
      </c>
      <c r="B394" s="5" t="str">
        <f t="shared" si="35"/>
        <v>AC10</v>
      </c>
      <c r="C394" s="40" t="str">
        <f t="shared" si="31"/>
        <v>10000000</v>
      </c>
      <c r="D394" s="5" t="str">
        <f t="shared" si="32"/>
        <v>10110001</v>
      </c>
      <c r="E394" s="6" t="str">
        <f t="shared" si="33"/>
        <v>80</v>
      </c>
      <c r="F394" s="7" t="str">
        <f t="shared" si="34"/>
        <v>B1</v>
      </c>
    </row>
    <row r="395" spans="1:6" x14ac:dyDescent="0.3">
      <c r="A395" s="39" t="s">
        <v>567</v>
      </c>
      <c r="B395" s="5" t="str">
        <f t="shared" si="35"/>
        <v>AC12</v>
      </c>
      <c r="C395" s="40" t="str">
        <f t="shared" si="31"/>
        <v>11100011</v>
      </c>
      <c r="D395" s="5" t="str">
        <f t="shared" si="32"/>
        <v>10000000</v>
      </c>
      <c r="E395" s="6" t="str">
        <f t="shared" si="33"/>
        <v>E3</v>
      </c>
      <c r="F395" s="7" t="str">
        <f t="shared" si="34"/>
        <v>80</v>
      </c>
    </row>
    <row r="396" spans="1:6" x14ac:dyDescent="0.3">
      <c r="A396" s="39" t="s">
        <v>568</v>
      </c>
      <c r="B396" s="5" t="str">
        <f t="shared" si="35"/>
        <v>AC14</v>
      </c>
      <c r="C396" s="40" t="str">
        <f t="shared" si="31"/>
        <v>11000110</v>
      </c>
      <c r="D396" s="5" t="str">
        <f t="shared" si="32"/>
        <v>10000001</v>
      </c>
      <c r="E396" s="6" t="str">
        <f t="shared" si="33"/>
        <v>C6</v>
      </c>
      <c r="F396" s="7" t="str">
        <f t="shared" si="34"/>
        <v>81</v>
      </c>
    </row>
    <row r="397" spans="1:6" x14ac:dyDescent="0.3">
      <c r="A397" s="39" t="s">
        <v>569</v>
      </c>
      <c r="B397" s="5" t="str">
        <f t="shared" si="35"/>
        <v>AC16</v>
      </c>
      <c r="C397" s="40" t="str">
        <f t="shared" si="31"/>
        <v>10001100</v>
      </c>
      <c r="D397" s="5" t="str">
        <f t="shared" si="32"/>
        <v>10000011</v>
      </c>
      <c r="E397" s="6" t="str">
        <f t="shared" si="33"/>
        <v>8C</v>
      </c>
      <c r="F397" s="7" t="str">
        <f t="shared" si="34"/>
        <v>83</v>
      </c>
    </row>
    <row r="398" spans="1:6" x14ac:dyDescent="0.3">
      <c r="A398" s="39" t="s">
        <v>570</v>
      </c>
      <c r="B398" s="5" t="str">
        <f t="shared" si="35"/>
        <v>AC18</v>
      </c>
      <c r="C398" s="40" t="str">
        <f t="shared" si="31"/>
        <v>10011000</v>
      </c>
      <c r="D398" s="5" t="str">
        <f t="shared" si="32"/>
        <v>10000110</v>
      </c>
      <c r="E398" s="6" t="str">
        <f t="shared" si="33"/>
        <v>98</v>
      </c>
      <c r="F398" s="7" t="str">
        <f t="shared" si="34"/>
        <v>86</v>
      </c>
    </row>
    <row r="399" spans="1:6" x14ac:dyDescent="0.3">
      <c r="A399" s="39" t="s">
        <v>571</v>
      </c>
      <c r="B399" s="5" t="str">
        <f t="shared" si="35"/>
        <v>AC1A</v>
      </c>
      <c r="C399" s="40" t="str">
        <f t="shared" si="31"/>
        <v>10110000</v>
      </c>
      <c r="D399" s="5" t="str">
        <f t="shared" si="32"/>
        <v>10001100</v>
      </c>
      <c r="E399" s="6" t="str">
        <f t="shared" si="33"/>
        <v>B0</v>
      </c>
      <c r="F399" s="7" t="str">
        <f t="shared" si="34"/>
        <v>8C</v>
      </c>
    </row>
    <row r="400" spans="1:6" x14ac:dyDescent="0.3">
      <c r="A400" s="39" t="s">
        <v>572</v>
      </c>
      <c r="B400" s="5" t="str">
        <f t="shared" si="35"/>
        <v>AC1C</v>
      </c>
      <c r="C400" s="40" t="str">
        <f t="shared" si="31"/>
        <v>11100000</v>
      </c>
      <c r="D400" s="5" t="str">
        <f t="shared" si="32"/>
        <v>10011000</v>
      </c>
      <c r="E400" s="6" t="str">
        <f t="shared" si="33"/>
        <v>E0</v>
      </c>
      <c r="F400" s="7" t="str">
        <f t="shared" si="34"/>
        <v>98</v>
      </c>
    </row>
    <row r="401" spans="1:6" x14ac:dyDescent="0.3">
      <c r="A401" s="39" t="s">
        <v>573</v>
      </c>
      <c r="B401" s="5" t="str">
        <f t="shared" si="35"/>
        <v>AC1E</v>
      </c>
      <c r="C401" s="40" t="str">
        <f t="shared" si="31"/>
        <v>11000000</v>
      </c>
      <c r="D401" s="5" t="str">
        <f t="shared" si="32"/>
        <v>10110001</v>
      </c>
      <c r="E401" s="6" t="str">
        <f t="shared" si="33"/>
        <v>C0</v>
      </c>
      <c r="F401" s="7" t="str">
        <f t="shared" si="34"/>
        <v>B1</v>
      </c>
    </row>
    <row r="402" spans="1:6" x14ac:dyDescent="0.3">
      <c r="A402" s="39" t="s">
        <v>574</v>
      </c>
      <c r="B402" s="5" t="str">
        <f t="shared" si="35"/>
        <v>AC20</v>
      </c>
      <c r="C402" s="40" t="str">
        <f t="shared" si="31"/>
        <v>10000000</v>
      </c>
      <c r="D402" s="5" t="str">
        <f t="shared" si="32"/>
        <v>10110010</v>
      </c>
      <c r="E402" s="6" t="str">
        <f t="shared" si="33"/>
        <v>80</v>
      </c>
      <c r="F402" s="7" t="str">
        <f t="shared" si="34"/>
        <v>B2</v>
      </c>
    </row>
    <row r="403" spans="1:6" x14ac:dyDescent="0.3">
      <c r="A403" s="39" t="s">
        <v>575</v>
      </c>
      <c r="B403" s="5" t="str">
        <f t="shared" si="35"/>
        <v>AC22</v>
      </c>
      <c r="C403" s="40" t="str">
        <f t="shared" si="31"/>
        <v>11100101</v>
      </c>
      <c r="D403" s="5" t="str">
        <f t="shared" si="32"/>
        <v>10000000</v>
      </c>
      <c r="E403" s="6" t="str">
        <f t="shared" si="33"/>
        <v>E5</v>
      </c>
      <c r="F403" s="7" t="str">
        <f t="shared" si="34"/>
        <v>80</v>
      </c>
    </row>
    <row r="404" spans="1:6" x14ac:dyDescent="0.3">
      <c r="A404" s="39" t="s">
        <v>576</v>
      </c>
      <c r="B404" s="5" t="str">
        <f t="shared" si="35"/>
        <v>AC24</v>
      </c>
      <c r="C404" s="40" t="str">
        <f t="shared" si="31"/>
        <v>11001010</v>
      </c>
      <c r="D404" s="5" t="str">
        <f t="shared" si="32"/>
        <v>10000001</v>
      </c>
      <c r="E404" s="6" t="str">
        <f t="shared" si="33"/>
        <v>CA</v>
      </c>
      <c r="F404" s="7" t="str">
        <f t="shared" si="34"/>
        <v>81</v>
      </c>
    </row>
    <row r="405" spans="1:6" x14ac:dyDescent="0.3">
      <c r="A405" s="39" t="s">
        <v>577</v>
      </c>
      <c r="B405" s="5" t="str">
        <f t="shared" si="35"/>
        <v>AC26</v>
      </c>
      <c r="C405" s="40" t="str">
        <f t="shared" si="31"/>
        <v>10010100</v>
      </c>
      <c r="D405" s="5" t="str">
        <f t="shared" si="32"/>
        <v>10000011</v>
      </c>
      <c r="E405" s="6" t="str">
        <f t="shared" si="33"/>
        <v>94</v>
      </c>
      <c r="F405" s="7" t="str">
        <f t="shared" si="34"/>
        <v>83</v>
      </c>
    </row>
    <row r="406" spans="1:6" x14ac:dyDescent="0.3">
      <c r="A406" s="39" t="s">
        <v>578</v>
      </c>
      <c r="B406" s="5" t="str">
        <f t="shared" si="35"/>
        <v>AC28</v>
      </c>
      <c r="C406" s="40" t="str">
        <f t="shared" si="31"/>
        <v>10101000</v>
      </c>
      <c r="D406" s="5" t="str">
        <f t="shared" si="32"/>
        <v>10000110</v>
      </c>
      <c r="E406" s="6" t="str">
        <f t="shared" si="33"/>
        <v>A8</v>
      </c>
      <c r="F406" s="7" t="str">
        <f t="shared" si="34"/>
        <v>86</v>
      </c>
    </row>
    <row r="407" spans="1:6" x14ac:dyDescent="0.3">
      <c r="A407" s="39" t="s">
        <v>579</v>
      </c>
      <c r="B407" s="5" t="str">
        <f t="shared" si="35"/>
        <v>AC2A</v>
      </c>
      <c r="C407" s="40" t="str">
        <f t="shared" si="31"/>
        <v>11010000</v>
      </c>
      <c r="D407" s="5" t="str">
        <f t="shared" si="32"/>
        <v>10001100</v>
      </c>
      <c r="E407" s="6" t="str">
        <f t="shared" si="33"/>
        <v>D0</v>
      </c>
      <c r="F407" s="7" t="str">
        <f t="shared" si="34"/>
        <v>8C</v>
      </c>
    </row>
    <row r="408" spans="1:6" x14ac:dyDescent="0.3">
      <c r="A408" s="39" t="s">
        <v>580</v>
      </c>
      <c r="B408" s="5" t="str">
        <f t="shared" si="35"/>
        <v>AC2C</v>
      </c>
      <c r="C408" s="40" t="str">
        <f t="shared" si="31"/>
        <v>10100000</v>
      </c>
      <c r="D408" s="5" t="str">
        <f t="shared" si="32"/>
        <v>10011001</v>
      </c>
      <c r="E408" s="6" t="str">
        <f t="shared" si="33"/>
        <v>A0</v>
      </c>
      <c r="F408" s="7" t="str">
        <f t="shared" si="34"/>
        <v>99</v>
      </c>
    </row>
    <row r="409" spans="1:6" x14ac:dyDescent="0.3">
      <c r="A409" s="39" t="s">
        <v>581</v>
      </c>
      <c r="B409" s="5" t="str">
        <f t="shared" si="35"/>
        <v>AC2E</v>
      </c>
      <c r="C409" s="40" t="str">
        <f t="shared" si="31"/>
        <v>11000000</v>
      </c>
      <c r="D409" s="5" t="str">
        <f t="shared" si="32"/>
        <v>10110010</v>
      </c>
      <c r="E409" s="6" t="str">
        <f t="shared" si="33"/>
        <v>C0</v>
      </c>
      <c r="F409" s="7" t="str">
        <f t="shared" si="34"/>
        <v>B2</v>
      </c>
    </row>
    <row r="410" spans="1:6" x14ac:dyDescent="0.3">
      <c r="A410" s="39" t="s">
        <v>582</v>
      </c>
      <c r="B410" s="5" t="str">
        <f t="shared" si="35"/>
        <v>AC30</v>
      </c>
      <c r="C410" s="40" t="str">
        <f t="shared" si="31"/>
        <v>10000000</v>
      </c>
      <c r="D410" s="5" t="str">
        <f t="shared" si="32"/>
        <v>10110011</v>
      </c>
      <c r="E410" s="6" t="str">
        <f t="shared" si="33"/>
        <v>80</v>
      </c>
      <c r="F410" s="7" t="str">
        <f t="shared" si="34"/>
        <v>B3</v>
      </c>
    </row>
    <row r="411" spans="1:6" x14ac:dyDescent="0.3">
      <c r="A411" s="39" t="s">
        <v>583</v>
      </c>
      <c r="B411" s="5" t="str">
        <f t="shared" si="35"/>
        <v>AC32</v>
      </c>
      <c r="C411" s="40" t="str">
        <f t="shared" si="31"/>
        <v>11100111</v>
      </c>
      <c r="D411" s="5" t="str">
        <f t="shared" si="32"/>
        <v>10000000</v>
      </c>
      <c r="E411" s="6" t="str">
        <f t="shared" si="33"/>
        <v>E7</v>
      </c>
      <c r="F411" s="7" t="str">
        <f t="shared" si="34"/>
        <v>80</v>
      </c>
    </row>
    <row r="412" spans="1:6" x14ac:dyDescent="0.3">
      <c r="A412" s="39" t="s">
        <v>584</v>
      </c>
      <c r="B412" s="5" t="str">
        <f t="shared" si="35"/>
        <v>AC34</v>
      </c>
      <c r="C412" s="40" t="str">
        <f t="shared" si="31"/>
        <v>11001110</v>
      </c>
      <c r="D412" s="5" t="str">
        <f t="shared" si="32"/>
        <v>10000001</v>
      </c>
      <c r="E412" s="6" t="str">
        <f t="shared" si="33"/>
        <v>CE</v>
      </c>
      <c r="F412" s="7" t="str">
        <f t="shared" si="34"/>
        <v>81</v>
      </c>
    </row>
    <row r="413" spans="1:6" x14ac:dyDescent="0.3">
      <c r="A413" s="39" t="s">
        <v>585</v>
      </c>
      <c r="B413" s="5" t="str">
        <f t="shared" si="35"/>
        <v>AC36</v>
      </c>
      <c r="C413" s="40" t="str">
        <f t="shared" si="31"/>
        <v>10011100</v>
      </c>
      <c r="D413" s="5" t="str">
        <f t="shared" si="32"/>
        <v>10000011</v>
      </c>
      <c r="E413" s="6" t="str">
        <f t="shared" si="33"/>
        <v>9C</v>
      </c>
      <c r="F413" s="7" t="str">
        <f t="shared" si="34"/>
        <v>83</v>
      </c>
    </row>
    <row r="414" spans="1:6" x14ac:dyDescent="0.3">
      <c r="A414" s="39" t="s">
        <v>586</v>
      </c>
      <c r="B414" s="5" t="str">
        <f t="shared" si="35"/>
        <v>AC38</v>
      </c>
      <c r="C414" s="40" t="str">
        <f t="shared" si="31"/>
        <v>10111000</v>
      </c>
      <c r="D414" s="5" t="str">
        <f t="shared" si="32"/>
        <v>10000110</v>
      </c>
      <c r="E414" s="6" t="str">
        <f t="shared" si="33"/>
        <v>B8</v>
      </c>
      <c r="F414" s="7" t="str">
        <f t="shared" si="34"/>
        <v>86</v>
      </c>
    </row>
    <row r="415" spans="1:6" x14ac:dyDescent="0.3">
      <c r="A415" s="39" t="s">
        <v>587</v>
      </c>
      <c r="B415" s="5" t="str">
        <f t="shared" si="35"/>
        <v>AC3A</v>
      </c>
      <c r="C415" s="40" t="str">
        <f t="shared" si="31"/>
        <v>11110000</v>
      </c>
      <c r="D415" s="5" t="str">
        <f t="shared" si="32"/>
        <v>10001100</v>
      </c>
      <c r="E415" s="6" t="str">
        <f t="shared" si="33"/>
        <v>F0</v>
      </c>
      <c r="F415" s="7" t="str">
        <f t="shared" si="34"/>
        <v>8C</v>
      </c>
    </row>
    <row r="416" spans="1:6" x14ac:dyDescent="0.3">
      <c r="A416" s="39" t="s">
        <v>588</v>
      </c>
      <c r="B416" s="5" t="str">
        <f t="shared" si="35"/>
        <v>AC3C</v>
      </c>
      <c r="C416" s="40" t="str">
        <f t="shared" si="31"/>
        <v>11100000</v>
      </c>
      <c r="D416" s="5" t="str">
        <f t="shared" si="32"/>
        <v>10011001</v>
      </c>
      <c r="E416" s="6" t="str">
        <f t="shared" si="33"/>
        <v>E0</v>
      </c>
      <c r="F416" s="7" t="str">
        <f t="shared" si="34"/>
        <v>99</v>
      </c>
    </row>
    <row r="417" spans="1:6" x14ac:dyDescent="0.3">
      <c r="A417" s="39" t="s">
        <v>589</v>
      </c>
      <c r="B417" s="5" t="str">
        <f t="shared" si="35"/>
        <v>AC3E</v>
      </c>
      <c r="C417" s="40" t="str">
        <f t="shared" si="31"/>
        <v>11000000</v>
      </c>
      <c r="D417" s="5" t="str">
        <f t="shared" si="32"/>
        <v>10110011</v>
      </c>
      <c r="E417" s="6" t="str">
        <f t="shared" si="33"/>
        <v>C0</v>
      </c>
      <c r="F417" s="7" t="str">
        <f t="shared" si="34"/>
        <v>B3</v>
      </c>
    </row>
    <row r="418" spans="1:6" x14ac:dyDescent="0.3">
      <c r="A418" s="39" t="s">
        <v>590</v>
      </c>
      <c r="B418" s="5" t="str">
        <f t="shared" si="35"/>
        <v>AC40</v>
      </c>
      <c r="C418" s="40" t="str">
        <f t="shared" si="31"/>
        <v>10000000</v>
      </c>
      <c r="D418" s="5" t="str">
        <f t="shared" si="32"/>
        <v>10110100</v>
      </c>
      <c r="E418" s="6" t="str">
        <f t="shared" si="33"/>
        <v>80</v>
      </c>
      <c r="F418" s="7" t="str">
        <f t="shared" si="34"/>
        <v>B4</v>
      </c>
    </row>
    <row r="419" spans="1:6" x14ac:dyDescent="0.3">
      <c r="A419" s="39" t="s">
        <v>591</v>
      </c>
      <c r="B419" s="5" t="str">
        <f t="shared" si="35"/>
        <v>AC42</v>
      </c>
      <c r="C419" s="40" t="str">
        <f t="shared" ref="C419:C450" si="36">MID($A419,15,8)</f>
        <v>11101001</v>
      </c>
      <c r="D419" s="5" t="str">
        <f t="shared" si="32"/>
        <v>10000000</v>
      </c>
      <c r="E419" s="6" t="str">
        <f t="shared" si="33"/>
        <v>E9</v>
      </c>
      <c r="F419" s="7" t="str">
        <f t="shared" si="34"/>
        <v>80</v>
      </c>
    </row>
    <row r="420" spans="1:6" x14ac:dyDescent="0.3">
      <c r="A420" s="39" t="s">
        <v>592</v>
      </c>
      <c r="B420" s="5" t="str">
        <f t="shared" si="35"/>
        <v>AC44</v>
      </c>
      <c r="C420" s="40" t="str">
        <f t="shared" si="36"/>
        <v>11010010</v>
      </c>
      <c r="D420" s="5" t="str">
        <f t="shared" si="32"/>
        <v>10000001</v>
      </c>
      <c r="E420" s="6" t="str">
        <f t="shared" si="33"/>
        <v>D2</v>
      </c>
      <c r="F420" s="7" t="str">
        <f t="shared" si="34"/>
        <v>81</v>
      </c>
    </row>
    <row r="421" spans="1:6" x14ac:dyDescent="0.3">
      <c r="A421" s="39" t="s">
        <v>593</v>
      </c>
      <c r="B421" s="5" t="str">
        <f t="shared" si="35"/>
        <v>AC46</v>
      </c>
      <c r="C421" s="40" t="str">
        <f t="shared" si="36"/>
        <v>10100100</v>
      </c>
      <c r="D421" s="5" t="str">
        <f t="shared" si="32"/>
        <v>10000011</v>
      </c>
      <c r="E421" s="6" t="str">
        <f t="shared" si="33"/>
        <v>A4</v>
      </c>
      <c r="F421" s="7" t="str">
        <f t="shared" si="34"/>
        <v>83</v>
      </c>
    </row>
    <row r="422" spans="1:6" x14ac:dyDescent="0.3">
      <c r="A422" s="39" t="s">
        <v>594</v>
      </c>
      <c r="B422" s="5" t="str">
        <f t="shared" si="35"/>
        <v>AC48</v>
      </c>
      <c r="C422" s="40" t="str">
        <f t="shared" si="36"/>
        <v>11001000</v>
      </c>
      <c r="D422" s="5" t="str">
        <f t="shared" si="32"/>
        <v>10000110</v>
      </c>
      <c r="E422" s="6" t="str">
        <f t="shared" si="33"/>
        <v>C8</v>
      </c>
      <c r="F422" s="7" t="str">
        <f t="shared" si="34"/>
        <v>86</v>
      </c>
    </row>
    <row r="423" spans="1:6" x14ac:dyDescent="0.3">
      <c r="A423" s="39" t="s">
        <v>595</v>
      </c>
      <c r="B423" s="5" t="str">
        <f t="shared" si="35"/>
        <v>AC4A</v>
      </c>
      <c r="C423" s="40" t="str">
        <f t="shared" si="36"/>
        <v>10010000</v>
      </c>
      <c r="D423" s="5" t="str">
        <f t="shared" si="32"/>
        <v>10001101</v>
      </c>
      <c r="E423" s="6" t="str">
        <f t="shared" si="33"/>
        <v>90</v>
      </c>
      <c r="F423" s="7" t="str">
        <f t="shared" si="34"/>
        <v>8D</v>
      </c>
    </row>
    <row r="424" spans="1:6" x14ac:dyDescent="0.3">
      <c r="A424" s="39" t="s">
        <v>596</v>
      </c>
      <c r="B424" s="5" t="str">
        <f t="shared" si="35"/>
        <v>AC4C</v>
      </c>
      <c r="C424" s="40" t="str">
        <f t="shared" si="36"/>
        <v>10100000</v>
      </c>
      <c r="D424" s="5" t="str">
        <f t="shared" si="32"/>
        <v>10011010</v>
      </c>
      <c r="E424" s="6" t="str">
        <f t="shared" si="33"/>
        <v>A0</v>
      </c>
      <c r="F424" s="7" t="str">
        <f t="shared" si="34"/>
        <v>9A</v>
      </c>
    </row>
    <row r="425" spans="1:6" x14ac:dyDescent="0.3">
      <c r="A425" s="39" t="s">
        <v>597</v>
      </c>
      <c r="B425" s="5" t="str">
        <f t="shared" si="35"/>
        <v>AC4E</v>
      </c>
      <c r="C425" s="40" t="str">
        <f t="shared" si="36"/>
        <v>11000000</v>
      </c>
      <c r="D425" s="5" t="str">
        <f t="shared" si="32"/>
        <v>10110100</v>
      </c>
      <c r="E425" s="6" t="str">
        <f t="shared" si="33"/>
        <v>C0</v>
      </c>
      <c r="F425" s="7" t="str">
        <f t="shared" si="34"/>
        <v>B4</v>
      </c>
    </row>
    <row r="426" spans="1:6" x14ac:dyDescent="0.3">
      <c r="A426" s="39" t="s">
        <v>598</v>
      </c>
      <c r="B426" s="5" t="str">
        <f t="shared" si="35"/>
        <v>AC50</v>
      </c>
      <c r="C426" s="40" t="str">
        <f t="shared" si="36"/>
        <v>10000000</v>
      </c>
      <c r="D426" s="5" t="str">
        <f t="shared" si="32"/>
        <v>10110101</v>
      </c>
      <c r="E426" s="6" t="str">
        <f t="shared" si="33"/>
        <v>80</v>
      </c>
      <c r="F426" s="7" t="str">
        <f t="shared" si="34"/>
        <v>B5</v>
      </c>
    </row>
    <row r="427" spans="1:6" x14ac:dyDescent="0.3">
      <c r="A427" s="39" t="s">
        <v>599</v>
      </c>
      <c r="B427" s="5" t="str">
        <f t="shared" si="35"/>
        <v>AC52</v>
      </c>
      <c r="C427" s="40" t="str">
        <f t="shared" si="36"/>
        <v>11101011</v>
      </c>
      <c r="D427" s="5" t="str">
        <f t="shared" si="32"/>
        <v>10000000</v>
      </c>
      <c r="E427" s="6" t="str">
        <f t="shared" si="33"/>
        <v>EB</v>
      </c>
      <c r="F427" s="7" t="str">
        <f t="shared" si="34"/>
        <v>80</v>
      </c>
    </row>
    <row r="428" spans="1:6" x14ac:dyDescent="0.3">
      <c r="A428" s="39" t="s">
        <v>600</v>
      </c>
      <c r="B428" s="5" t="str">
        <f t="shared" si="35"/>
        <v>AC54</v>
      </c>
      <c r="C428" s="40" t="str">
        <f t="shared" si="36"/>
        <v>11010110</v>
      </c>
      <c r="D428" s="5" t="str">
        <f t="shared" si="32"/>
        <v>10000001</v>
      </c>
      <c r="E428" s="6" t="str">
        <f t="shared" si="33"/>
        <v>D6</v>
      </c>
      <c r="F428" s="7" t="str">
        <f t="shared" si="34"/>
        <v>81</v>
      </c>
    </row>
    <row r="429" spans="1:6" x14ac:dyDescent="0.3">
      <c r="A429" s="39" t="s">
        <v>601</v>
      </c>
      <c r="B429" s="5" t="str">
        <f t="shared" si="35"/>
        <v>AC56</v>
      </c>
      <c r="C429" s="40" t="str">
        <f t="shared" si="36"/>
        <v>10101100</v>
      </c>
      <c r="D429" s="5" t="str">
        <f t="shared" si="32"/>
        <v>10000011</v>
      </c>
      <c r="E429" s="6" t="str">
        <f t="shared" si="33"/>
        <v>AC</v>
      </c>
      <c r="F429" s="7" t="str">
        <f t="shared" si="34"/>
        <v>83</v>
      </c>
    </row>
    <row r="430" spans="1:6" x14ac:dyDescent="0.3">
      <c r="A430" s="39" t="s">
        <v>602</v>
      </c>
      <c r="B430" s="5" t="str">
        <f t="shared" si="35"/>
        <v>AC58</v>
      </c>
      <c r="C430" s="40" t="str">
        <f t="shared" si="36"/>
        <v>11011000</v>
      </c>
      <c r="D430" s="5" t="str">
        <f t="shared" si="32"/>
        <v>10000110</v>
      </c>
      <c r="E430" s="6" t="str">
        <f t="shared" si="33"/>
        <v>D8</v>
      </c>
      <c r="F430" s="7" t="str">
        <f t="shared" si="34"/>
        <v>86</v>
      </c>
    </row>
    <row r="431" spans="1:6" x14ac:dyDescent="0.3">
      <c r="A431" s="39" t="s">
        <v>603</v>
      </c>
      <c r="B431" s="5" t="str">
        <f t="shared" si="35"/>
        <v>AC5A</v>
      </c>
      <c r="C431" s="40" t="str">
        <f t="shared" si="36"/>
        <v>10110000</v>
      </c>
      <c r="D431" s="5" t="str">
        <f t="shared" si="32"/>
        <v>10001101</v>
      </c>
      <c r="E431" s="6" t="str">
        <f t="shared" si="33"/>
        <v>B0</v>
      </c>
      <c r="F431" s="7" t="str">
        <f t="shared" si="34"/>
        <v>8D</v>
      </c>
    </row>
    <row r="432" spans="1:6" x14ac:dyDescent="0.3">
      <c r="A432" s="39" t="s">
        <v>604</v>
      </c>
      <c r="B432" s="5" t="str">
        <f t="shared" si="35"/>
        <v>AC5C</v>
      </c>
      <c r="C432" s="40" t="str">
        <f t="shared" si="36"/>
        <v>11100000</v>
      </c>
      <c r="D432" s="5" t="str">
        <f t="shared" si="32"/>
        <v>10011010</v>
      </c>
      <c r="E432" s="6" t="str">
        <f t="shared" si="33"/>
        <v>E0</v>
      </c>
      <c r="F432" s="7" t="str">
        <f t="shared" si="34"/>
        <v>9A</v>
      </c>
    </row>
    <row r="433" spans="1:6" x14ac:dyDescent="0.3">
      <c r="A433" s="39" t="s">
        <v>605</v>
      </c>
      <c r="B433" s="5" t="str">
        <f t="shared" si="35"/>
        <v>AC5E</v>
      </c>
      <c r="C433" s="40" t="str">
        <f t="shared" si="36"/>
        <v>11000000</v>
      </c>
      <c r="D433" s="5" t="str">
        <f t="shared" si="32"/>
        <v>10110101</v>
      </c>
      <c r="E433" s="6" t="str">
        <f t="shared" si="33"/>
        <v>C0</v>
      </c>
      <c r="F433" s="7" t="str">
        <f t="shared" si="34"/>
        <v>B5</v>
      </c>
    </row>
    <row r="434" spans="1:6" x14ac:dyDescent="0.3">
      <c r="A434" s="39" t="s">
        <v>606</v>
      </c>
      <c r="B434" s="5" t="str">
        <f t="shared" si="35"/>
        <v>AC60</v>
      </c>
      <c r="C434" s="40" t="str">
        <f t="shared" si="36"/>
        <v>10000000</v>
      </c>
      <c r="D434" s="5" t="str">
        <f t="shared" si="32"/>
        <v>10110110</v>
      </c>
      <c r="E434" s="6" t="str">
        <f t="shared" si="33"/>
        <v>80</v>
      </c>
      <c r="F434" s="7" t="str">
        <f t="shared" si="34"/>
        <v>B6</v>
      </c>
    </row>
    <row r="435" spans="1:6" x14ac:dyDescent="0.3">
      <c r="A435" s="39" t="s">
        <v>607</v>
      </c>
      <c r="B435" s="5" t="str">
        <f t="shared" si="35"/>
        <v>AC62</v>
      </c>
      <c r="C435" s="40" t="str">
        <f t="shared" si="36"/>
        <v>11101101</v>
      </c>
      <c r="D435" s="5" t="str">
        <f t="shared" si="32"/>
        <v>10000000</v>
      </c>
      <c r="E435" s="6" t="str">
        <f t="shared" si="33"/>
        <v>ED</v>
      </c>
      <c r="F435" s="7" t="str">
        <f t="shared" si="34"/>
        <v>80</v>
      </c>
    </row>
    <row r="436" spans="1:6" x14ac:dyDescent="0.3">
      <c r="A436" s="39" t="s">
        <v>608</v>
      </c>
      <c r="B436" s="5" t="str">
        <f t="shared" si="35"/>
        <v>AC64</v>
      </c>
      <c r="C436" s="40" t="str">
        <f t="shared" si="36"/>
        <v>11011010</v>
      </c>
      <c r="D436" s="5" t="str">
        <f t="shared" si="32"/>
        <v>10000001</v>
      </c>
      <c r="E436" s="6" t="str">
        <f t="shared" si="33"/>
        <v>DA</v>
      </c>
      <c r="F436" s="7" t="str">
        <f t="shared" si="34"/>
        <v>81</v>
      </c>
    </row>
    <row r="437" spans="1:6" x14ac:dyDescent="0.3">
      <c r="A437" s="39" t="s">
        <v>609</v>
      </c>
      <c r="B437" s="5" t="str">
        <f t="shared" si="35"/>
        <v>AC66</v>
      </c>
      <c r="C437" s="40" t="str">
        <f t="shared" si="36"/>
        <v>10110100</v>
      </c>
      <c r="D437" s="5" t="str">
        <f t="shared" si="32"/>
        <v>10000011</v>
      </c>
      <c r="E437" s="6" t="str">
        <f t="shared" si="33"/>
        <v>B4</v>
      </c>
      <c r="F437" s="7" t="str">
        <f t="shared" si="34"/>
        <v>83</v>
      </c>
    </row>
    <row r="438" spans="1:6" x14ac:dyDescent="0.3">
      <c r="A438" s="39" t="s">
        <v>610</v>
      </c>
      <c r="B438" s="5" t="str">
        <f t="shared" si="35"/>
        <v>AC68</v>
      </c>
      <c r="C438" s="40" t="str">
        <f t="shared" si="36"/>
        <v>11101000</v>
      </c>
      <c r="D438" s="5" t="str">
        <f t="shared" si="32"/>
        <v>10000110</v>
      </c>
      <c r="E438" s="6" t="str">
        <f t="shared" si="33"/>
        <v>E8</v>
      </c>
      <c r="F438" s="7" t="str">
        <f t="shared" si="34"/>
        <v>86</v>
      </c>
    </row>
    <row r="439" spans="1:6" x14ac:dyDescent="0.3">
      <c r="A439" s="39" t="s">
        <v>611</v>
      </c>
      <c r="B439" s="5" t="str">
        <f t="shared" si="35"/>
        <v>AC6A</v>
      </c>
      <c r="C439" s="40" t="str">
        <f t="shared" si="36"/>
        <v>11010000</v>
      </c>
      <c r="D439" s="5" t="str">
        <f t="shared" si="32"/>
        <v>10001101</v>
      </c>
      <c r="E439" s="6" t="str">
        <f t="shared" si="33"/>
        <v>D0</v>
      </c>
      <c r="F439" s="7" t="str">
        <f t="shared" si="34"/>
        <v>8D</v>
      </c>
    </row>
    <row r="440" spans="1:6" x14ac:dyDescent="0.3">
      <c r="A440" s="39" t="s">
        <v>612</v>
      </c>
      <c r="B440" s="5" t="str">
        <f t="shared" si="35"/>
        <v>AC6C</v>
      </c>
      <c r="C440" s="40" t="str">
        <f t="shared" si="36"/>
        <v>10100000</v>
      </c>
      <c r="D440" s="5" t="str">
        <f t="shared" si="32"/>
        <v>10011011</v>
      </c>
      <c r="E440" s="6" t="str">
        <f t="shared" si="33"/>
        <v>A0</v>
      </c>
      <c r="F440" s="7" t="str">
        <f t="shared" si="34"/>
        <v>9B</v>
      </c>
    </row>
    <row r="441" spans="1:6" x14ac:dyDescent="0.3">
      <c r="A441" s="39" t="s">
        <v>613</v>
      </c>
      <c r="B441" s="5" t="str">
        <f t="shared" si="35"/>
        <v>AC6E</v>
      </c>
      <c r="C441" s="40" t="str">
        <f t="shared" si="36"/>
        <v>11000000</v>
      </c>
      <c r="D441" s="5" t="str">
        <f t="shared" si="32"/>
        <v>10110110</v>
      </c>
      <c r="E441" s="6" t="str">
        <f t="shared" si="33"/>
        <v>C0</v>
      </c>
      <c r="F441" s="7" t="str">
        <f t="shared" si="34"/>
        <v>B6</v>
      </c>
    </row>
    <row r="442" spans="1:6" x14ac:dyDescent="0.3">
      <c r="A442" s="39" t="s">
        <v>614</v>
      </c>
      <c r="B442" s="5" t="str">
        <f t="shared" si="35"/>
        <v>AC70</v>
      </c>
      <c r="C442" s="40" t="str">
        <f t="shared" si="36"/>
        <v>10000000</v>
      </c>
      <c r="D442" s="5" t="str">
        <f t="shared" si="32"/>
        <v>10110111</v>
      </c>
      <c r="E442" s="6" t="str">
        <f t="shared" si="33"/>
        <v>80</v>
      </c>
      <c r="F442" s="7" t="str">
        <f t="shared" si="34"/>
        <v>B7</v>
      </c>
    </row>
    <row r="443" spans="1:6" x14ac:dyDescent="0.3">
      <c r="A443" s="39" t="s">
        <v>615</v>
      </c>
      <c r="B443" s="5" t="str">
        <f t="shared" si="35"/>
        <v>AC72</v>
      </c>
      <c r="C443" s="40" t="str">
        <f t="shared" si="36"/>
        <v>11101111</v>
      </c>
      <c r="D443" s="5" t="str">
        <f t="shared" si="32"/>
        <v>10000000</v>
      </c>
      <c r="E443" s="6" t="str">
        <f t="shared" si="33"/>
        <v>EF</v>
      </c>
      <c r="F443" s="7" t="str">
        <f t="shared" si="34"/>
        <v>80</v>
      </c>
    </row>
    <row r="444" spans="1:6" x14ac:dyDescent="0.3">
      <c r="A444" s="39" t="s">
        <v>616</v>
      </c>
      <c r="B444" s="5" t="str">
        <f t="shared" si="35"/>
        <v>AC74</v>
      </c>
      <c r="C444" s="40" t="str">
        <f t="shared" si="36"/>
        <v>11011110</v>
      </c>
      <c r="D444" s="5" t="str">
        <f t="shared" si="32"/>
        <v>10000001</v>
      </c>
      <c r="E444" s="6" t="str">
        <f t="shared" si="33"/>
        <v>DE</v>
      </c>
      <c r="F444" s="7" t="str">
        <f t="shared" si="34"/>
        <v>81</v>
      </c>
    </row>
    <row r="445" spans="1:6" x14ac:dyDescent="0.3">
      <c r="A445" s="39" t="s">
        <v>617</v>
      </c>
      <c r="B445" s="5" t="str">
        <f t="shared" si="35"/>
        <v>AC76</v>
      </c>
      <c r="C445" s="40" t="str">
        <f t="shared" si="36"/>
        <v>10111100</v>
      </c>
      <c r="D445" s="5" t="str">
        <f t="shared" si="32"/>
        <v>10000011</v>
      </c>
      <c r="E445" s="6" t="str">
        <f t="shared" si="33"/>
        <v>BC</v>
      </c>
      <c r="F445" s="7" t="str">
        <f t="shared" si="34"/>
        <v>83</v>
      </c>
    </row>
    <row r="446" spans="1:6" x14ac:dyDescent="0.3">
      <c r="A446" s="39" t="s">
        <v>618</v>
      </c>
      <c r="B446" s="5" t="str">
        <f t="shared" si="35"/>
        <v>AC78</v>
      </c>
      <c r="C446" s="40" t="str">
        <f t="shared" si="36"/>
        <v>11111000</v>
      </c>
      <c r="D446" s="5" t="str">
        <f t="shared" si="32"/>
        <v>10000110</v>
      </c>
      <c r="E446" s="6" t="str">
        <f t="shared" si="33"/>
        <v>F8</v>
      </c>
      <c r="F446" s="7" t="str">
        <f t="shared" si="34"/>
        <v>86</v>
      </c>
    </row>
    <row r="447" spans="1:6" x14ac:dyDescent="0.3">
      <c r="A447" s="39" t="s">
        <v>619</v>
      </c>
      <c r="B447" s="5" t="str">
        <f t="shared" si="35"/>
        <v>AC7A</v>
      </c>
      <c r="C447" s="40" t="str">
        <f t="shared" si="36"/>
        <v>11110000</v>
      </c>
      <c r="D447" s="5" t="str">
        <f t="shared" si="32"/>
        <v>10001101</v>
      </c>
      <c r="E447" s="6" t="str">
        <f t="shared" si="33"/>
        <v>F0</v>
      </c>
      <c r="F447" s="7" t="str">
        <f t="shared" si="34"/>
        <v>8D</v>
      </c>
    </row>
    <row r="448" spans="1:6" x14ac:dyDescent="0.3">
      <c r="A448" s="39" t="s">
        <v>620</v>
      </c>
      <c r="B448" s="5" t="str">
        <f t="shared" si="35"/>
        <v>AC7C</v>
      </c>
      <c r="C448" s="40" t="str">
        <f t="shared" si="36"/>
        <v>11100000</v>
      </c>
      <c r="D448" s="5" t="str">
        <f t="shared" si="32"/>
        <v>10011011</v>
      </c>
      <c r="E448" s="6" t="str">
        <f t="shared" si="33"/>
        <v>E0</v>
      </c>
      <c r="F448" s="7" t="str">
        <f t="shared" si="34"/>
        <v>9B</v>
      </c>
    </row>
    <row r="449" spans="1:6" x14ac:dyDescent="0.3">
      <c r="A449" s="39" t="s">
        <v>621</v>
      </c>
      <c r="B449" s="5" t="str">
        <f t="shared" si="35"/>
        <v>AC7E</v>
      </c>
      <c r="C449" s="40" t="str">
        <f t="shared" si="36"/>
        <v>11000000</v>
      </c>
      <c r="D449" s="5" t="str">
        <f t="shared" si="32"/>
        <v>10110111</v>
      </c>
      <c r="E449" s="6" t="str">
        <f t="shared" si="33"/>
        <v>C0</v>
      </c>
      <c r="F449" s="7" t="str">
        <f t="shared" si="34"/>
        <v>B7</v>
      </c>
    </row>
    <row r="450" spans="1:6" x14ac:dyDescent="0.3">
      <c r="A450" s="39" t="s">
        <v>622</v>
      </c>
      <c r="B450" s="5" t="str">
        <f t="shared" si="35"/>
        <v>AC80</v>
      </c>
      <c r="C450" s="40" t="str">
        <f t="shared" si="36"/>
        <v>10000000</v>
      </c>
      <c r="D450" s="5" t="str">
        <f t="shared" si="32"/>
        <v>10111000</v>
      </c>
      <c r="E450" s="6" t="str">
        <f t="shared" si="33"/>
        <v>80</v>
      </c>
      <c r="F450" s="7" t="str">
        <f t="shared" si="34"/>
        <v>B8</v>
      </c>
    </row>
    <row r="451" spans="1:6" x14ac:dyDescent="0.3">
      <c r="A451" s="39" t="s">
        <v>623</v>
      </c>
      <c r="B451" s="5" t="str">
        <f t="shared" si="35"/>
        <v>AC82</v>
      </c>
      <c r="C451" s="40" t="str">
        <f t="shared" ref="C451:C482" si="37">MID($A451,15,8)</f>
        <v>11110001</v>
      </c>
      <c r="D451" s="5" t="str">
        <f t="shared" ref="D451:D513" si="38">MID($A451,26,8)</f>
        <v>10000000</v>
      </c>
      <c r="E451" s="6" t="str">
        <f t="shared" ref="E451:E513" si="39">BIN2HEX(C451)</f>
        <v>F1</v>
      </c>
      <c r="F451" s="7" t="str">
        <f t="shared" ref="F451:F513" si="40">BIN2HEX(D451)</f>
        <v>80</v>
      </c>
    </row>
    <row r="452" spans="1:6" x14ac:dyDescent="0.3">
      <c r="A452" s="39" t="s">
        <v>624</v>
      </c>
      <c r="B452" s="5" t="str">
        <f t="shared" ref="B452:B513" si="41">DEC2HEX(HEX2DEC(B451)+2)</f>
        <v>AC84</v>
      </c>
      <c r="C452" s="40" t="str">
        <f t="shared" si="37"/>
        <v>11100010</v>
      </c>
      <c r="D452" s="5" t="str">
        <f t="shared" si="38"/>
        <v>10000001</v>
      </c>
      <c r="E452" s="6" t="str">
        <f t="shared" si="39"/>
        <v>E2</v>
      </c>
      <c r="F452" s="7" t="str">
        <f t="shared" si="40"/>
        <v>81</v>
      </c>
    </row>
    <row r="453" spans="1:6" x14ac:dyDescent="0.3">
      <c r="A453" s="39" t="s">
        <v>625</v>
      </c>
      <c r="B453" s="5" t="str">
        <f t="shared" si="41"/>
        <v>AC86</v>
      </c>
      <c r="C453" s="40" t="str">
        <f t="shared" si="37"/>
        <v>11000100</v>
      </c>
      <c r="D453" s="5" t="str">
        <f t="shared" si="38"/>
        <v>10000011</v>
      </c>
      <c r="E453" s="6" t="str">
        <f t="shared" si="39"/>
        <v>C4</v>
      </c>
      <c r="F453" s="7" t="str">
        <f t="shared" si="40"/>
        <v>83</v>
      </c>
    </row>
    <row r="454" spans="1:6" x14ac:dyDescent="0.3">
      <c r="A454" s="39" t="s">
        <v>626</v>
      </c>
      <c r="B454" s="5" t="str">
        <f t="shared" si="41"/>
        <v>AC88</v>
      </c>
      <c r="C454" s="40" t="str">
        <f t="shared" si="37"/>
        <v>10001000</v>
      </c>
      <c r="D454" s="5" t="str">
        <f t="shared" si="38"/>
        <v>10000111</v>
      </c>
      <c r="E454" s="6" t="str">
        <f t="shared" si="39"/>
        <v>88</v>
      </c>
      <c r="F454" s="7" t="str">
        <f t="shared" si="40"/>
        <v>87</v>
      </c>
    </row>
    <row r="455" spans="1:6" x14ac:dyDescent="0.3">
      <c r="A455" s="39" t="s">
        <v>627</v>
      </c>
      <c r="B455" s="5" t="str">
        <f t="shared" si="41"/>
        <v>AC8A</v>
      </c>
      <c r="C455" s="40" t="str">
        <f t="shared" si="37"/>
        <v>10010000</v>
      </c>
      <c r="D455" s="5" t="str">
        <f t="shared" si="38"/>
        <v>10001110</v>
      </c>
      <c r="E455" s="6" t="str">
        <f t="shared" si="39"/>
        <v>90</v>
      </c>
      <c r="F455" s="7" t="str">
        <f t="shared" si="40"/>
        <v>8E</v>
      </c>
    </row>
    <row r="456" spans="1:6" x14ac:dyDescent="0.3">
      <c r="A456" s="39" t="s">
        <v>628</v>
      </c>
      <c r="B456" s="5" t="str">
        <f t="shared" si="41"/>
        <v>AC8C</v>
      </c>
      <c r="C456" s="40" t="str">
        <f t="shared" si="37"/>
        <v>10100000</v>
      </c>
      <c r="D456" s="5" t="str">
        <f t="shared" si="38"/>
        <v>10011100</v>
      </c>
      <c r="E456" s="6" t="str">
        <f t="shared" si="39"/>
        <v>A0</v>
      </c>
      <c r="F456" s="7" t="str">
        <f t="shared" si="40"/>
        <v>9C</v>
      </c>
    </row>
    <row r="457" spans="1:6" x14ac:dyDescent="0.3">
      <c r="A457" s="39" t="s">
        <v>629</v>
      </c>
      <c r="B457" s="5" t="str">
        <f t="shared" si="41"/>
        <v>AC8E</v>
      </c>
      <c r="C457" s="40" t="str">
        <f t="shared" si="37"/>
        <v>11000000</v>
      </c>
      <c r="D457" s="5" t="str">
        <f t="shared" si="38"/>
        <v>10111000</v>
      </c>
      <c r="E457" s="6" t="str">
        <f t="shared" si="39"/>
        <v>C0</v>
      </c>
      <c r="F457" s="7" t="str">
        <f t="shared" si="40"/>
        <v>B8</v>
      </c>
    </row>
    <row r="458" spans="1:6" x14ac:dyDescent="0.3">
      <c r="A458" s="39" t="s">
        <v>630</v>
      </c>
      <c r="B458" s="5" t="str">
        <f t="shared" si="41"/>
        <v>AC90</v>
      </c>
      <c r="C458" s="40" t="str">
        <f t="shared" si="37"/>
        <v>10000000</v>
      </c>
      <c r="D458" s="5" t="str">
        <f t="shared" si="38"/>
        <v>10111001</v>
      </c>
      <c r="E458" s="6" t="str">
        <f t="shared" si="39"/>
        <v>80</v>
      </c>
      <c r="F458" s="7" t="str">
        <f t="shared" si="40"/>
        <v>B9</v>
      </c>
    </row>
    <row r="459" spans="1:6" x14ac:dyDescent="0.3">
      <c r="A459" s="39" t="s">
        <v>631</v>
      </c>
      <c r="B459" s="5" t="str">
        <f t="shared" si="41"/>
        <v>AC92</v>
      </c>
      <c r="C459" s="40" t="str">
        <f t="shared" si="37"/>
        <v>11110011</v>
      </c>
      <c r="D459" s="5" t="str">
        <f t="shared" si="38"/>
        <v>10000000</v>
      </c>
      <c r="E459" s="6" t="str">
        <f t="shared" si="39"/>
        <v>F3</v>
      </c>
      <c r="F459" s="7" t="str">
        <f t="shared" si="40"/>
        <v>80</v>
      </c>
    </row>
    <row r="460" spans="1:6" x14ac:dyDescent="0.3">
      <c r="A460" s="39" t="s">
        <v>632</v>
      </c>
      <c r="B460" s="5" t="str">
        <f t="shared" si="41"/>
        <v>AC94</v>
      </c>
      <c r="C460" s="40" t="str">
        <f t="shared" si="37"/>
        <v>11100110</v>
      </c>
      <c r="D460" s="5" t="str">
        <f t="shared" si="38"/>
        <v>10000001</v>
      </c>
      <c r="E460" s="6" t="str">
        <f t="shared" si="39"/>
        <v>E6</v>
      </c>
      <c r="F460" s="7" t="str">
        <f t="shared" si="40"/>
        <v>81</v>
      </c>
    </row>
    <row r="461" spans="1:6" x14ac:dyDescent="0.3">
      <c r="A461" s="39" t="s">
        <v>633</v>
      </c>
      <c r="B461" s="5" t="str">
        <f t="shared" si="41"/>
        <v>AC96</v>
      </c>
      <c r="C461" s="40" t="str">
        <f t="shared" si="37"/>
        <v>11001100</v>
      </c>
      <c r="D461" s="5" t="str">
        <f t="shared" si="38"/>
        <v>10000011</v>
      </c>
      <c r="E461" s="6" t="str">
        <f t="shared" si="39"/>
        <v>CC</v>
      </c>
      <c r="F461" s="7" t="str">
        <f t="shared" si="40"/>
        <v>83</v>
      </c>
    </row>
    <row r="462" spans="1:6" x14ac:dyDescent="0.3">
      <c r="A462" s="39" t="s">
        <v>634</v>
      </c>
      <c r="B462" s="5" t="str">
        <f t="shared" si="41"/>
        <v>AC98</v>
      </c>
      <c r="C462" s="40" t="str">
        <f t="shared" si="37"/>
        <v>10011000</v>
      </c>
      <c r="D462" s="5" t="str">
        <f t="shared" si="38"/>
        <v>10000111</v>
      </c>
      <c r="E462" s="6" t="str">
        <f t="shared" si="39"/>
        <v>98</v>
      </c>
      <c r="F462" s="7" t="str">
        <f t="shared" si="40"/>
        <v>87</v>
      </c>
    </row>
    <row r="463" spans="1:6" x14ac:dyDescent="0.3">
      <c r="A463" s="39" t="s">
        <v>635</v>
      </c>
      <c r="B463" s="5" t="str">
        <f t="shared" si="41"/>
        <v>AC9A</v>
      </c>
      <c r="C463" s="40" t="str">
        <f t="shared" si="37"/>
        <v>10110000</v>
      </c>
      <c r="D463" s="5" t="str">
        <f t="shared" si="38"/>
        <v>10001110</v>
      </c>
      <c r="E463" s="6" t="str">
        <f t="shared" si="39"/>
        <v>B0</v>
      </c>
      <c r="F463" s="7" t="str">
        <f t="shared" si="40"/>
        <v>8E</v>
      </c>
    </row>
    <row r="464" spans="1:6" x14ac:dyDescent="0.3">
      <c r="A464" s="39" t="s">
        <v>636</v>
      </c>
      <c r="B464" s="5" t="str">
        <f t="shared" si="41"/>
        <v>AC9C</v>
      </c>
      <c r="C464" s="40" t="str">
        <f t="shared" si="37"/>
        <v>11100000</v>
      </c>
      <c r="D464" s="5" t="str">
        <f t="shared" si="38"/>
        <v>10011100</v>
      </c>
      <c r="E464" s="6" t="str">
        <f t="shared" si="39"/>
        <v>E0</v>
      </c>
      <c r="F464" s="7" t="str">
        <f t="shared" si="40"/>
        <v>9C</v>
      </c>
    </row>
    <row r="465" spans="1:6" x14ac:dyDescent="0.3">
      <c r="A465" s="39" t="s">
        <v>637</v>
      </c>
      <c r="B465" s="5" t="str">
        <f t="shared" si="41"/>
        <v>AC9E</v>
      </c>
      <c r="C465" s="40" t="str">
        <f t="shared" si="37"/>
        <v>11000000</v>
      </c>
      <c r="D465" s="5" t="str">
        <f t="shared" si="38"/>
        <v>10111001</v>
      </c>
      <c r="E465" s="6" t="str">
        <f t="shared" si="39"/>
        <v>C0</v>
      </c>
      <c r="F465" s="7" t="str">
        <f t="shared" si="40"/>
        <v>B9</v>
      </c>
    </row>
    <row r="466" spans="1:6" x14ac:dyDescent="0.3">
      <c r="A466" s="39" t="s">
        <v>638</v>
      </c>
      <c r="B466" s="5" t="str">
        <f t="shared" si="41"/>
        <v>ACA0</v>
      </c>
      <c r="C466" s="40" t="str">
        <f t="shared" si="37"/>
        <v>10000000</v>
      </c>
      <c r="D466" s="5" t="str">
        <f t="shared" si="38"/>
        <v>10111010</v>
      </c>
      <c r="E466" s="6" t="str">
        <f t="shared" si="39"/>
        <v>80</v>
      </c>
      <c r="F466" s="7" t="str">
        <f t="shared" si="40"/>
        <v>BA</v>
      </c>
    </row>
    <row r="467" spans="1:6" x14ac:dyDescent="0.3">
      <c r="A467" s="39" t="s">
        <v>639</v>
      </c>
      <c r="B467" s="5" t="str">
        <f t="shared" si="41"/>
        <v>ACA2</v>
      </c>
      <c r="C467" s="40" t="str">
        <f t="shared" si="37"/>
        <v>11110101</v>
      </c>
      <c r="D467" s="5" t="str">
        <f t="shared" si="38"/>
        <v>10000000</v>
      </c>
      <c r="E467" s="6" t="str">
        <f t="shared" si="39"/>
        <v>F5</v>
      </c>
      <c r="F467" s="7" t="str">
        <f t="shared" si="40"/>
        <v>80</v>
      </c>
    </row>
    <row r="468" spans="1:6" x14ac:dyDescent="0.3">
      <c r="A468" s="39" t="s">
        <v>640</v>
      </c>
      <c r="B468" s="5" t="str">
        <f t="shared" si="41"/>
        <v>ACA4</v>
      </c>
      <c r="C468" s="40" t="str">
        <f t="shared" si="37"/>
        <v>11101010</v>
      </c>
      <c r="D468" s="5" t="str">
        <f t="shared" si="38"/>
        <v>10000001</v>
      </c>
      <c r="E468" s="6" t="str">
        <f t="shared" si="39"/>
        <v>EA</v>
      </c>
      <c r="F468" s="7" t="str">
        <f t="shared" si="40"/>
        <v>81</v>
      </c>
    </row>
    <row r="469" spans="1:6" x14ac:dyDescent="0.3">
      <c r="A469" s="39" t="s">
        <v>641</v>
      </c>
      <c r="B469" s="5" t="str">
        <f t="shared" si="41"/>
        <v>ACA6</v>
      </c>
      <c r="C469" s="40" t="str">
        <f t="shared" si="37"/>
        <v>11010100</v>
      </c>
      <c r="D469" s="5" t="str">
        <f t="shared" si="38"/>
        <v>10000011</v>
      </c>
      <c r="E469" s="6" t="str">
        <f t="shared" si="39"/>
        <v>D4</v>
      </c>
      <c r="F469" s="7" t="str">
        <f t="shared" si="40"/>
        <v>83</v>
      </c>
    </row>
    <row r="470" spans="1:6" x14ac:dyDescent="0.3">
      <c r="A470" s="39" t="s">
        <v>642</v>
      </c>
      <c r="B470" s="5" t="str">
        <f t="shared" si="41"/>
        <v>ACA8</v>
      </c>
      <c r="C470" s="40" t="str">
        <f t="shared" si="37"/>
        <v>10101000</v>
      </c>
      <c r="D470" s="5" t="str">
        <f t="shared" si="38"/>
        <v>10000111</v>
      </c>
      <c r="E470" s="6" t="str">
        <f t="shared" si="39"/>
        <v>A8</v>
      </c>
      <c r="F470" s="7" t="str">
        <f t="shared" si="40"/>
        <v>87</v>
      </c>
    </row>
    <row r="471" spans="1:6" x14ac:dyDescent="0.3">
      <c r="A471" s="39" t="s">
        <v>643</v>
      </c>
      <c r="B471" s="5" t="str">
        <f t="shared" si="41"/>
        <v>ACAA</v>
      </c>
      <c r="C471" s="40" t="str">
        <f t="shared" si="37"/>
        <v>11010000</v>
      </c>
      <c r="D471" s="5" t="str">
        <f t="shared" si="38"/>
        <v>10001110</v>
      </c>
      <c r="E471" s="6" t="str">
        <f t="shared" si="39"/>
        <v>D0</v>
      </c>
      <c r="F471" s="7" t="str">
        <f t="shared" si="40"/>
        <v>8E</v>
      </c>
    </row>
    <row r="472" spans="1:6" x14ac:dyDescent="0.3">
      <c r="A472" s="39" t="s">
        <v>644</v>
      </c>
      <c r="B472" s="5" t="str">
        <f t="shared" si="41"/>
        <v>ACAC</v>
      </c>
      <c r="C472" s="40" t="str">
        <f t="shared" si="37"/>
        <v>10100000</v>
      </c>
      <c r="D472" s="5" t="str">
        <f t="shared" si="38"/>
        <v>10011101</v>
      </c>
      <c r="E472" s="6" t="str">
        <f t="shared" si="39"/>
        <v>A0</v>
      </c>
      <c r="F472" s="7" t="str">
        <f t="shared" si="40"/>
        <v>9D</v>
      </c>
    </row>
    <row r="473" spans="1:6" x14ac:dyDescent="0.3">
      <c r="A473" s="39" t="s">
        <v>645</v>
      </c>
      <c r="B473" s="5" t="str">
        <f t="shared" si="41"/>
        <v>ACAE</v>
      </c>
      <c r="C473" s="40" t="str">
        <f t="shared" si="37"/>
        <v>11000000</v>
      </c>
      <c r="D473" s="5" t="str">
        <f t="shared" si="38"/>
        <v>10111010</v>
      </c>
      <c r="E473" s="6" t="str">
        <f t="shared" si="39"/>
        <v>C0</v>
      </c>
      <c r="F473" s="7" t="str">
        <f t="shared" si="40"/>
        <v>BA</v>
      </c>
    </row>
    <row r="474" spans="1:6" x14ac:dyDescent="0.3">
      <c r="A474" s="39" t="s">
        <v>646</v>
      </c>
      <c r="B474" s="5" t="str">
        <f t="shared" si="41"/>
        <v>ACB0</v>
      </c>
      <c r="C474" s="40" t="str">
        <f t="shared" si="37"/>
        <v>10000000</v>
      </c>
      <c r="D474" s="5" t="str">
        <f t="shared" si="38"/>
        <v>10111011</v>
      </c>
      <c r="E474" s="6" t="str">
        <f t="shared" si="39"/>
        <v>80</v>
      </c>
      <c r="F474" s="7" t="str">
        <f t="shared" si="40"/>
        <v>BB</v>
      </c>
    </row>
    <row r="475" spans="1:6" x14ac:dyDescent="0.3">
      <c r="A475" s="39" t="s">
        <v>647</v>
      </c>
      <c r="B475" s="5" t="str">
        <f t="shared" si="41"/>
        <v>ACB2</v>
      </c>
      <c r="C475" s="40" t="str">
        <f t="shared" si="37"/>
        <v>11110111</v>
      </c>
      <c r="D475" s="5" t="str">
        <f t="shared" si="38"/>
        <v>10000000</v>
      </c>
      <c r="E475" s="6" t="str">
        <f t="shared" si="39"/>
        <v>F7</v>
      </c>
      <c r="F475" s="7" t="str">
        <f t="shared" si="40"/>
        <v>80</v>
      </c>
    </row>
    <row r="476" spans="1:6" x14ac:dyDescent="0.3">
      <c r="A476" s="39" t="s">
        <v>648</v>
      </c>
      <c r="B476" s="5" t="str">
        <f t="shared" si="41"/>
        <v>ACB4</v>
      </c>
      <c r="C476" s="40" t="str">
        <f t="shared" si="37"/>
        <v>11101110</v>
      </c>
      <c r="D476" s="5" t="str">
        <f t="shared" si="38"/>
        <v>10000001</v>
      </c>
      <c r="E476" s="6" t="str">
        <f t="shared" si="39"/>
        <v>EE</v>
      </c>
      <c r="F476" s="7" t="str">
        <f t="shared" si="40"/>
        <v>81</v>
      </c>
    </row>
    <row r="477" spans="1:6" x14ac:dyDescent="0.3">
      <c r="A477" s="39" t="s">
        <v>649</v>
      </c>
      <c r="B477" s="5" t="str">
        <f t="shared" si="41"/>
        <v>ACB6</v>
      </c>
      <c r="C477" s="40" t="str">
        <f t="shared" si="37"/>
        <v>11011100</v>
      </c>
      <c r="D477" s="5" t="str">
        <f t="shared" si="38"/>
        <v>10000011</v>
      </c>
      <c r="E477" s="6" t="str">
        <f t="shared" si="39"/>
        <v>DC</v>
      </c>
      <c r="F477" s="7" t="str">
        <f t="shared" si="40"/>
        <v>83</v>
      </c>
    </row>
    <row r="478" spans="1:6" x14ac:dyDescent="0.3">
      <c r="A478" s="39" t="s">
        <v>650</v>
      </c>
      <c r="B478" s="5" t="str">
        <f t="shared" si="41"/>
        <v>ACB8</v>
      </c>
      <c r="C478" s="40" t="str">
        <f t="shared" si="37"/>
        <v>10111000</v>
      </c>
      <c r="D478" s="5" t="str">
        <f t="shared" si="38"/>
        <v>10000111</v>
      </c>
      <c r="E478" s="6" t="str">
        <f t="shared" si="39"/>
        <v>B8</v>
      </c>
      <c r="F478" s="7" t="str">
        <f t="shared" si="40"/>
        <v>87</v>
      </c>
    </row>
    <row r="479" spans="1:6" x14ac:dyDescent="0.3">
      <c r="A479" s="39" t="s">
        <v>651</v>
      </c>
      <c r="B479" s="5" t="str">
        <f t="shared" si="41"/>
        <v>ACBA</v>
      </c>
      <c r="C479" s="40" t="str">
        <f t="shared" si="37"/>
        <v>11110000</v>
      </c>
      <c r="D479" s="5" t="str">
        <f t="shared" si="38"/>
        <v>10001110</v>
      </c>
      <c r="E479" s="6" t="str">
        <f t="shared" si="39"/>
        <v>F0</v>
      </c>
      <c r="F479" s="7" t="str">
        <f t="shared" si="40"/>
        <v>8E</v>
      </c>
    </row>
    <row r="480" spans="1:6" x14ac:dyDescent="0.3">
      <c r="A480" s="39" t="s">
        <v>652</v>
      </c>
      <c r="B480" s="5" t="str">
        <f t="shared" si="41"/>
        <v>ACBC</v>
      </c>
      <c r="C480" s="40" t="str">
        <f t="shared" si="37"/>
        <v>11100000</v>
      </c>
      <c r="D480" s="5" t="str">
        <f t="shared" si="38"/>
        <v>10011101</v>
      </c>
      <c r="E480" s="6" t="str">
        <f t="shared" si="39"/>
        <v>E0</v>
      </c>
      <c r="F480" s="7" t="str">
        <f t="shared" si="40"/>
        <v>9D</v>
      </c>
    </row>
    <row r="481" spans="1:6" x14ac:dyDescent="0.3">
      <c r="A481" s="39" t="s">
        <v>653</v>
      </c>
      <c r="B481" s="5" t="str">
        <f t="shared" si="41"/>
        <v>ACBE</v>
      </c>
      <c r="C481" s="40" t="str">
        <f t="shared" si="37"/>
        <v>11000000</v>
      </c>
      <c r="D481" s="5" t="str">
        <f t="shared" si="38"/>
        <v>10111011</v>
      </c>
      <c r="E481" s="6" t="str">
        <f t="shared" si="39"/>
        <v>C0</v>
      </c>
      <c r="F481" s="7" t="str">
        <f t="shared" si="40"/>
        <v>BB</v>
      </c>
    </row>
    <row r="482" spans="1:6" x14ac:dyDescent="0.3">
      <c r="A482" s="39" t="s">
        <v>654</v>
      </c>
      <c r="B482" s="5" t="str">
        <f t="shared" si="41"/>
        <v>ACC0</v>
      </c>
      <c r="C482" s="40" t="str">
        <f t="shared" si="37"/>
        <v>10000000</v>
      </c>
      <c r="D482" s="5" t="str">
        <f t="shared" si="38"/>
        <v>10111100</v>
      </c>
      <c r="E482" s="6" t="str">
        <f t="shared" si="39"/>
        <v>80</v>
      </c>
      <c r="F482" s="7" t="str">
        <f t="shared" si="40"/>
        <v>BC</v>
      </c>
    </row>
    <row r="483" spans="1:6" x14ac:dyDescent="0.3">
      <c r="A483" s="39" t="s">
        <v>655</v>
      </c>
      <c r="B483" s="5" t="str">
        <f t="shared" si="41"/>
        <v>ACC2</v>
      </c>
      <c r="C483" s="40" t="str">
        <f t="shared" ref="C483:C513" si="42">MID($A483,15,8)</f>
        <v>11111001</v>
      </c>
      <c r="D483" s="5" t="str">
        <f t="shared" si="38"/>
        <v>10000000</v>
      </c>
      <c r="E483" s="6" t="str">
        <f t="shared" si="39"/>
        <v>F9</v>
      </c>
      <c r="F483" s="7" t="str">
        <f t="shared" si="40"/>
        <v>80</v>
      </c>
    </row>
    <row r="484" spans="1:6" x14ac:dyDescent="0.3">
      <c r="A484" s="39" t="s">
        <v>656</v>
      </c>
      <c r="B484" s="5" t="str">
        <f t="shared" si="41"/>
        <v>ACC4</v>
      </c>
      <c r="C484" s="40" t="str">
        <f t="shared" si="42"/>
        <v>11110010</v>
      </c>
      <c r="D484" s="5" t="str">
        <f t="shared" si="38"/>
        <v>10000001</v>
      </c>
      <c r="E484" s="6" t="str">
        <f t="shared" si="39"/>
        <v>F2</v>
      </c>
      <c r="F484" s="7" t="str">
        <f t="shared" si="40"/>
        <v>81</v>
      </c>
    </row>
    <row r="485" spans="1:6" x14ac:dyDescent="0.3">
      <c r="A485" s="39" t="s">
        <v>657</v>
      </c>
      <c r="B485" s="5" t="str">
        <f t="shared" si="41"/>
        <v>ACC6</v>
      </c>
      <c r="C485" s="40" t="str">
        <f t="shared" si="42"/>
        <v>11100100</v>
      </c>
      <c r="D485" s="5" t="str">
        <f t="shared" si="38"/>
        <v>10000011</v>
      </c>
      <c r="E485" s="6" t="str">
        <f t="shared" si="39"/>
        <v>E4</v>
      </c>
      <c r="F485" s="7" t="str">
        <f t="shared" si="40"/>
        <v>83</v>
      </c>
    </row>
    <row r="486" spans="1:6" x14ac:dyDescent="0.3">
      <c r="A486" s="39" t="s">
        <v>658</v>
      </c>
      <c r="B486" s="5" t="str">
        <f t="shared" si="41"/>
        <v>ACC8</v>
      </c>
      <c r="C486" s="40" t="str">
        <f t="shared" si="42"/>
        <v>11001000</v>
      </c>
      <c r="D486" s="5" t="str">
        <f t="shared" si="38"/>
        <v>10000111</v>
      </c>
      <c r="E486" s="6" t="str">
        <f t="shared" si="39"/>
        <v>C8</v>
      </c>
      <c r="F486" s="7" t="str">
        <f t="shared" si="40"/>
        <v>87</v>
      </c>
    </row>
    <row r="487" spans="1:6" x14ac:dyDescent="0.3">
      <c r="A487" s="39" t="s">
        <v>659</v>
      </c>
      <c r="B487" s="5" t="str">
        <f t="shared" si="41"/>
        <v>ACCA</v>
      </c>
      <c r="C487" s="40" t="str">
        <f t="shared" si="42"/>
        <v>10010000</v>
      </c>
      <c r="D487" s="5" t="str">
        <f t="shared" si="38"/>
        <v>10001111</v>
      </c>
      <c r="E487" s="6" t="str">
        <f t="shared" si="39"/>
        <v>90</v>
      </c>
      <c r="F487" s="7" t="str">
        <f t="shared" si="40"/>
        <v>8F</v>
      </c>
    </row>
    <row r="488" spans="1:6" x14ac:dyDescent="0.3">
      <c r="A488" s="39" t="s">
        <v>660</v>
      </c>
      <c r="B488" s="5" t="str">
        <f t="shared" si="41"/>
        <v>ACCC</v>
      </c>
      <c r="C488" s="40" t="str">
        <f t="shared" si="42"/>
        <v>10100000</v>
      </c>
      <c r="D488" s="5" t="str">
        <f t="shared" si="38"/>
        <v>10011110</v>
      </c>
      <c r="E488" s="6" t="str">
        <f t="shared" si="39"/>
        <v>A0</v>
      </c>
      <c r="F488" s="7" t="str">
        <f t="shared" si="40"/>
        <v>9E</v>
      </c>
    </row>
    <row r="489" spans="1:6" x14ac:dyDescent="0.3">
      <c r="A489" s="39" t="s">
        <v>661</v>
      </c>
      <c r="B489" s="5" t="str">
        <f t="shared" si="41"/>
        <v>ACCE</v>
      </c>
      <c r="C489" s="40" t="str">
        <f t="shared" si="42"/>
        <v>11000000</v>
      </c>
      <c r="D489" s="5" t="str">
        <f t="shared" si="38"/>
        <v>10111100</v>
      </c>
      <c r="E489" s="6" t="str">
        <f t="shared" si="39"/>
        <v>C0</v>
      </c>
      <c r="F489" s="7" t="str">
        <f t="shared" si="40"/>
        <v>BC</v>
      </c>
    </row>
    <row r="490" spans="1:6" x14ac:dyDescent="0.3">
      <c r="A490" s="39" t="s">
        <v>662</v>
      </c>
      <c r="B490" s="5" t="str">
        <f t="shared" si="41"/>
        <v>ACD0</v>
      </c>
      <c r="C490" s="40" t="str">
        <f t="shared" si="42"/>
        <v>10000000</v>
      </c>
      <c r="D490" s="5" t="str">
        <f t="shared" si="38"/>
        <v>10111101</v>
      </c>
      <c r="E490" s="6" t="str">
        <f t="shared" si="39"/>
        <v>80</v>
      </c>
      <c r="F490" s="7" t="str">
        <f t="shared" si="40"/>
        <v>BD</v>
      </c>
    </row>
    <row r="491" spans="1:6" x14ac:dyDescent="0.3">
      <c r="A491" s="39" t="s">
        <v>663</v>
      </c>
      <c r="B491" s="5" t="str">
        <f t="shared" si="41"/>
        <v>ACD2</v>
      </c>
      <c r="C491" s="40" t="str">
        <f t="shared" si="42"/>
        <v>11111011</v>
      </c>
      <c r="D491" s="5" t="str">
        <f t="shared" si="38"/>
        <v>10000000</v>
      </c>
      <c r="E491" s="6" t="str">
        <f t="shared" si="39"/>
        <v>FB</v>
      </c>
      <c r="F491" s="7" t="str">
        <f t="shared" si="40"/>
        <v>80</v>
      </c>
    </row>
    <row r="492" spans="1:6" x14ac:dyDescent="0.3">
      <c r="A492" s="39" t="s">
        <v>664</v>
      </c>
      <c r="B492" s="5" t="str">
        <f t="shared" si="41"/>
        <v>ACD4</v>
      </c>
      <c r="C492" s="40" t="str">
        <f t="shared" si="42"/>
        <v>11110110</v>
      </c>
      <c r="D492" s="5" t="str">
        <f t="shared" si="38"/>
        <v>10000001</v>
      </c>
      <c r="E492" s="6" t="str">
        <f t="shared" si="39"/>
        <v>F6</v>
      </c>
      <c r="F492" s="7" t="str">
        <f t="shared" si="40"/>
        <v>81</v>
      </c>
    </row>
    <row r="493" spans="1:6" x14ac:dyDescent="0.3">
      <c r="A493" s="39" t="s">
        <v>665</v>
      </c>
      <c r="B493" s="5" t="str">
        <f t="shared" si="41"/>
        <v>ACD6</v>
      </c>
      <c r="C493" s="40" t="str">
        <f t="shared" si="42"/>
        <v>11101100</v>
      </c>
      <c r="D493" s="5" t="str">
        <f t="shared" si="38"/>
        <v>10000011</v>
      </c>
      <c r="E493" s="6" t="str">
        <f t="shared" si="39"/>
        <v>EC</v>
      </c>
      <c r="F493" s="7" t="str">
        <f t="shared" si="40"/>
        <v>83</v>
      </c>
    </row>
    <row r="494" spans="1:6" x14ac:dyDescent="0.3">
      <c r="A494" s="39" t="s">
        <v>666</v>
      </c>
      <c r="B494" s="5" t="str">
        <f t="shared" si="41"/>
        <v>ACD8</v>
      </c>
      <c r="C494" s="40" t="str">
        <f t="shared" si="42"/>
        <v>11011000</v>
      </c>
      <c r="D494" s="5" t="str">
        <f t="shared" si="38"/>
        <v>10000111</v>
      </c>
      <c r="E494" s="6" t="str">
        <f t="shared" si="39"/>
        <v>D8</v>
      </c>
      <c r="F494" s="7" t="str">
        <f t="shared" si="40"/>
        <v>87</v>
      </c>
    </row>
    <row r="495" spans="1:6" x14ac:dyDescent="0.3">
      <c r="A495" s="39" t="s">
        <v>667</v>
      </c>
      <c r="B495" s="5" t="str">
        <f t="shared" si="41"/>
        <v>ACDA</v>
      </c>
      <c r="C495" s="40" t="str">
        <f t="shared" si="42"/>
        <v>10110000</v>
      </c>
      <c r="D495" s="5" t="str">
        <f t="shared" si="38"/>
        <v>10001111</v>
      </c>
      <c r="E495" s="6" t="str">
        <f t="shared" si="39"/>
        <v>B0</v>
      </c>
      <c r="F495" s="7" t="str">
        <f t="shared" si="40"/>
        <v>8F</v>
      </c>
    </row>
    <row r="496" spans="1:6" x14ac:dyDescent="0.3">
      <c r="A496" s="39" t="s">
        <v>668</v>
      </c>
      <c r="B496" s="5" t="str">
        <f t="shared" si="41"/>
        <v>ACDC</v>
      </c>
      <c r="C496" s="40" t="str">
        <f t="shared" si="42"/>
        <v>11100000</v>
      </c>
      <c r="D496" s="5" t="str">
        <f t="shared" si="38"/>
        <v>10011110</v>
      </c>
      <c r="E496" s="6" t="str">
        <f t="shared" si="39"/>
        <v>E0</v>
      </c>
      <c r="F496" s="7" t="str">
        <f t="shared" si="40"/>
        <v>9E</v>
      </c>
    </row>
    <row r="497" spans="1:6" x14ac:dyDescent="0.3">
      <c r="A497" s="39" t="s">
        <v>669</v>
      </c>
      <c r="B497" s="5" t="str">
        <f t="shared" si="41"/>
        <v>ACDE</v>
      </c>
      <c r="C497" s="40" t="str">
        <f t="shared" si="42"/>
        <v>11000000</v>
      </c>
      <c r="D497" s="5" t="str">
        <f t="shared" si="38"/>
        <v>10111101</v>
      </c>
      <c r="E497" s="6" t="str">
        <f t="shared" si="39"/>
        <v>C0</v>
      </c>
      <c r="F497" s="7" t="str">
        <f t="shared" si="40"/>
        <v>BD</v>
      </c>
    </row>
    <row r="498" spans="1:6" x14ac:dyDescent="0.3">
      <c r="A498" s="39" t="s">
        <v>670</v>
      </c>
      <c r="B498" s="5" t="str">
        <f t="shared" si="41"/>
        <v>ACE0</v>
      </c>
      <c r="C498" s="40" t="str">
        <f t="shared" si="42"/>
        <v>10000000</v>
      </c>
      <c r="D498" s="5" t="str">
        <f t="shared" si="38"/>
        <v>10111110</v>
      </c>
      <c r="E498" s="6" t="str">
        <f t="shared" si="39"/>
        <v>80</v>
      </c>
      <c r="F498" s="7" t="str">
        <f t="shared" si="40"/>
        <v>BE</v>
      </c>
    </row>
    <row r="499" spans="1:6" x14ac:dyDescent="0.3">
      <c r="A499" s="39" t="s">
        <v>671</v>
      </c>
      <c r="B499" s="5" t="str">
        <f t="shared" si="41"/>
        <v>ACE2</v>
      </c>
      <c r="C499" s="40" t="str">
        <f t="shared" si="42"/>
        <v>11111101</v>
      </c>
      <c r="D499" s="5" t="str">
        <f t="shared" si="38"/>
        <v>10000000</v>
      </c>
      <c r="E499" s="6" t="str">
        <f t="shared" si="39"/>
        <v>FD</v>
      </c>
      <c r="F499" s="7" t="str">
        <f t="shared" si="40"/>
        <v>80</v>
      </c>
    </row>
    <row r="500" spans="1:6" x14ac:dyDescent="0.3">
      <c r="A500" s="39" t="s">
        <v>672</v>
      </c>
      <c r="B500" s="5" t="str">
        <f t="shared" si="41"/>
        <v>ACE4</v>
      </c>
      <c r="C500" s="40" t="str">
        <f t="shared" si="42"/>
        <v>11111010</v>
      </c>
      <c r="D500" s="5" t="str">
        <f t="shared" si="38"/>
        <v>10000001</v>
      </c>
      <c r="E500" s="6" t="str">
        <f t="shared" si="39"/>
        <v>FA</v>
      </c>
      <c r="F500" s="7" t="str">
        <f t="shared" si="40"/>
        <v>81</v>
      </c>
    </row>
    <row r="501" spans="1:6" x14ac:dyDescent="0.3">
      <c r="A501" s="39" t="s">
        <v>673</v>
      </c>
      <c r="B501" s="5" t="str">
        <f t="shared" si="41"/>
        <v>ACE6</v>
      </c>
      <c r="C501" s="40" t="str">
        <f t="shared" si="42"/>
        <v>11110100</v>
      </c>
      <c r="D501" s="5" t="str">
        <f t="shared" si="38"/>
        <v>10000011</v>
      </c>
      <c r="E501" s="6" t="str">
        <f t="shared" si="39"/>
        <v>F4</v>
      </c>
      <c r="F501" s="7" t="str">
        <f t="shared" si="40"/>
        <v>83</v>
      </c>
    </row>
    <row r="502" spans="1:6" x14ac:dyDescent="0.3">
      <c r="A502" s="39" t="s">
        <v>674</v>
      </c>
      <c r="B502" s="5" t="str">
        <f t="shared" si="41"/>
        <v>ACE8</v>
      </c>
      <c r="C502" s="40" t="str">
        <f t="shared" si="42"/>
        <v>11101000</v>
      </c>
      <c r="D502" s="5" t="str">
        <f t="shared" si="38"/>
        <v>10000111</v>
      </c>
      <c r="E502" s="6" t="str">
        <f t="shared" si="39"/>
        <v>E8</v>
      </c>
      <c r="F502" s="7" t="str">
        <f t="shared" si="40"/>
        <v>87</v>
      </c>
    </row>
    <row r="503" spans="1:6" x14ac:dyDescent="0.3">
      <c r="A503" s="39" t="s">
        <v>675</v>
      </c>
      <c r="B503" s="5" t="str">
        <f t="shared" si="41"/>
        <v>ACEA</v>
      </c>
      <c r="C503" s="40" t="str">
        <f t="shared" si="42"/>
        <v>11010000</v>
      </c>
      <c r="D503" s="5" t="str">
        <f t="shared" si="38"/>
        <v>10001111</v>
      </c>
      <c r="E503" s="6" t="str">
        <f t="shared" si="39"/>
        <v>D0</v>
      </c>
      <c r="F503" s="7" t="str">
        <f t="shared" si="40"/>
        <v>8F</v>
      </c>
    </row>
    <row r="504" spans="1:6" x14ac:dyDescent="0.3">
      <c r="A504" s="39" t="s">
        <v>676</v>
      </c>
      <c r="B504" s="5" t="str">
        <f t="shared" si="41"/>
        <v>ACEC</v>
      </c>
      <c r="C504" s="40" t="str">
        <f t="shared" si="42"/>
        <v>10100000</v>
      </c>
      <c r="D504" s="5" t="str">
        <f t="shared" si="38"/>
        <v>10011111</v>
      </c>
      <c r="E504" s="6" t="str">
        <f t="shared" si="39"/>
        <v>A0</v>
      </c>
      <c r="F504" s="7" t="str">
        <f t="shared" si="40"/>
        <v>9F</v>
      </c>
    </row>
    <row r="505" spans="1:6" x14ac:dyDescent="0.3">
      <c r="A505" s="39" t="s">
        <v>677</v>
      </c>
      <c r="B505" s="5" t="str">
        <f t="shared" si="41"/>
        <v>ACEE</v>
      </c>
      <c r="C505" s="40" t="str">
        <f t="shared" si="42"/>
        <v>11000000</v>
      </c>
      <c r="D505" s="5" t="str">
        <f t="shared" si="38"/>
        <v>10111110</v>
      </c>
      <c r="E505" s="6" t="str">
        <f t="shared" si="39"/>
        <v>C0</v>
      </c>
      <c r="F505" s="7" t="str">
        <f t="shared" si="40"/>
        <v>BE</v>
      </c>
    </row>
    <row r="506" spans="1:6" x14ac:dyDescent="0.3">
      <c r="A506" s="39" t="s">
        <v>678</v>
      </c>
      <c r="B506" s="5" t="str">
        <f t="shared" si="41"/>
        <v>ACF0</v>
      </c>
      <c r="C506" s="40" t="str">
        <f t="shared" si="42"/>
        <v>10000000</v>
      </c>
      <c r="D506" s="5" t="str">
        <f t="shared" si="38"/>
        <v>10111111</v>
      </c>
      <c r="E506" s="6" t="str">
        <f t="shared" si="39"/>
        <v>80</v>
      </c>
      <c r="F506" s="7" t="str">
        <f t="shared" si="40"/>
        <v>BF</v>
      </c>
    </row>
    <row r="507" spans="1:6" x14ac:dyDescent="0.3">
      <c r="A507" s="39" t="s">
        <v>679</v>
      </c>
      <c r="B507" s="5" t="str">
        <f t="shared" si="41"/>
        <v>ACF2</v>
      </c>
      <c r="C507" s="40" t="str">
        <f t="shared" si="42"/>
        <v>11111111</v>
      </c>
      <c r="D507" s="5" t="str">
        <f t="shared" si="38"/>
        <v>10000000</v>
      </c>
      <c r="E507" s="6" t="str">
        <f t="shared" si="39"/>
        <v>FF</v>
      </c>
      <c r="F507" s="7" t="str">
        <f t="shared" si="40"/>
        <v>80</v>
      </c>
    </row>
    <row r="508" spans="1:6" x14ac:dyDescent="0.3">
      <c r="A508" s="39" t="s">
        <v>680</v>
      </c>
      <c r="B508" s="5" t="str">
        <f t="shared" si="41"/>
        <v>ACF4</v>
      </c>
      <c r="C508" s="40" t="str">
        <f t="shared" si="42"/>
        <v>11111110</v>
      </c>
      <c r="D508" s="5" t="str">
        <f t="shared" si="38"/>
        <v>10000001</v>
      </c>
      <c r="E508" s="6" t="str">
        <f t="shared" si="39"/>
        <v>FE</v>
      </c>
      <c r="F508" s="7" t="str">
        <f t="shared" si="40"/>
        <v>81</v>
      </c>
    </row>
    <row r="509" spans="1:6" x14ac:dyDescent="0.3">
      <c r="A509" s="39" t="s">
        <v>681</v>
      </c>
      <c r="B509" s="5" t="str">
        <f t="shared" si="41"/>
        <v>ACF6</v>
      </c>
      <c r="C509" s="40" t="str">
        <f t="shared" si="42"/>
        <v>11111100</v>
      </c>
      <c r="D509" s="5" t="str">
        <f t="shared" si="38"/>
        <v>10000011</v>
      </c>
      <c r="E509" s="6" t="str">
        <f t="shared" si="39"/>
        <v>FC</v>
      </c>
      <c r="F509" s="7" t="str">
        <f t="shared" si="40"/>
        <v>83</v>
      </c>
    </row>
    <row r="510" spans="1:6" x14ac:dyDescent="0.3">
      <c r="A510" s="39" t="s">
        <v>682</v>
      </c>
      <c r="B510" s="5" t="str">
        <f t="shared" si="41"/>
        <v>ACF8</v>
      </c>
      <c r="C510" s="40" t="str">
        <f t="shared" si="42"/>
        <v>11111000</v>
      </c>
      <c r="D510" s="5" t="str">
        <f t="shared" si="38"/>
        <v>10000111</v>
      </c>
      <c r="E510" s="6" t="str">
        <f t="shared" si="39"/>
        <v>F8</v>
      </c>
      <c r="F510" s="7" t="str">
        <f t="shared" si="40"/>
        <v>87</v>
      </c>
    </row>
    <row r="511" spans="1:6" x14ac:dyDescent="0.3">
      <c r="A511" s="39" t="s">
        <v>683</v>
      </c>
      <c r="B511" s="5" t="str">
        <f t="shared" si="41"/>
        <v>ACFA</v>
      </c>
      <c r="C511" s="40" t="str">
        <f t="shared" si="42"/>
        <v>11110000</v>
      </c>
      <c r="D511" s="5" t="str">
        <f t="shared" si="38"/>
        <v>10001111</v>
      </c>
      <c r="E511" s="6" t="str">
        <f t="shared" si="39"/>
        <v>F0</v>
      </c>
      <c r="F511" s="7" t="str">
        <f t="shared" si="40"/>
        <v>8F</v>
      </c>
    </row>
    <row r="512" spans="1:6" x14ac:dyDescent="0.3">
      <c r="A512" s="39" t="s">
        <v>684</v>
      </c>
      <c r="B512" s="5" t="str">
        <f t="shared" si="41"/>
        <v>ACFC</v>
      </c>
      <c r="C512" s="40" t="str">
        <f t="shared" si="42"/>
        <v>11100000</v>
      </c>
      <c r="D512" s="5" t="str">
        <f t="shared" si="38"/>
        <v>10011111</v>
      </c>
      <c r="E512" s="6" t="str">
        <f t="shared" si="39"/>
        <v>E0</v>
      </c>
      <c r="F512" s="7" t="str">
        <f t="shared" si="40"/>
        <v>9F</v>
      </c>
    </row>
    <row r="513" spans="1:6" x14ac:dyDescent="0.3">
      <c r="A513" s="39" t="s">
        <v>685</v>
      </c>
      <c r="B513" s="5" t="str">
        <f t="shared" si="41"/>
        <v>ACFE</v>
      </c>
      <c r="C513" s="40" t="str">
        <f t="shared" si="42"/>
        <v>11000000</v>
      </c>
      <c r="D513" s="5" t="str">
        <f t="shared" si="38"/>
        <v>10111111</v>
      </c>
      <c r="E513" s="6" t="str">
        <f t="shared" si="39"/>
        <v>C0</v>
      </c>
      <c r="F513" s="7" t="str">
        <f t="shared" si="40"/>
        <v>BF</v>
      </c>
    </row>
  </sheetData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980-748F-4133-ABBA-D51F557B4517}">
  <sheetPr codeName="Tabelle10">
    <tabColor theme="0" tint="-0.14999847407452621"/>
  </sheetPr>
  <dimension ref="A1:R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:R114"/>
    </sheetView>
  </sheetViews>
  <sheetFormatPr baseColWidth="10" defaultRowHeight="10.15" x14ac:dyDescent="0.3"/>
  <cols>
    <col min="1" max="1" width="52.33203125" customWidth="1"/>
    <col min="2" max="2" width="6.58203125" style="5" customWidth="1"/>
    <col min="3" max="18" width="2.83203125" customWidth="1"/>
  </cols>
  <sheetData>
    <row r="1" spans="1:18" x14ac:dyDescent="0.3">
      <c r="C1" s="40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</row>
    <row r="2" spans="1:18" x14ac:dyDescent="0.3">
      <c r="A2" s="38" t="s">
        <v>741</v>
      </c>
      <c r="B2" s="29"/>
      <c r="C2" s="41" t="str">
        <f>DEC2HEX(C1)</f>
        <v>0</v>
      </c>
      <c r="D2" s="29" t="str">
        <f t="shared" ref="D2:R2" si="1">DEC2HEX(D1)</f>
        <v>1</v>
      </c>
      <c r="E2" s="29" t="str">
        <f t="shared" si="1"/>
        <v>2</v>
      </c>
      <c r="F2" s="29" t="str">
        <f t="shared" si="1"/>
        <v>3</v>
      </c>
      <c r="G2" s="29" t="str">
        <f t="shared" si="1"/>
        <v>4</v>
      </c>
      <c r="H2" s="29" t="str">
        <f t="shared" si="1"/>
        <v>5</v>
      </c>
      <c r="I2" s="29" t="str">
        <f t="shared" si="1"/>
        <v>6</v>
      </c>
      <c r="J2" s="29" t="str">
        <f t="shared" si="1"/>
        <v>7</v>
      </c>
      <c r="K2" s="29" t="str">
        <f t="shared" si="1"/>
        <v>8</v>
      </c>
      <c r="L2" s="29" t="str">
        <f t="shared" si="1"/>
        <v>9</v>
      </c>
      <c r="M2" s="29" t="str">
        <f t="shared" si="1"/>
        <v>A</v>
      </c>
      <c r="N2" s="29" t="str">
        <f t="shared" si="1"/>
        <v>B</v>
      </c>
      <c r="O2" s="29" t="str">
        <f t="shared" si="1"/>
        <v>C</v>
      </c>
      <c r="P2" s="29" t="str">
        <f t="shared" si="1"/>
        <v>D</v>
      </c>
      <c r="Q2" s="29" t="str">
        <f t="shared" si="1"/>
        <v>E</v>
      </c>
      <c r="R2" s="29" t="str">
        <f t="shared" si="1"/>
        <v>F</v>
      </c>
    </row>
    <row r="3" spans="1:18" x14ac:dyDescent="0.3">
      <c r="A3" s="39" t="s">
        <v>686</v>
      </c>
      <c r="B3" s="57" t="s">
        <v>878</v>
      </c>
      <c r="C3" s="17" t="str">
        <f>MID($A3,13+C$1*3,2)</f>
        <v>00</v>
      </c>
      <c r="D3" s="10" t="str">
        <f t="shared" ref="D3:R18" si="2">MID($A3,13+D$1*3,2)</f>
        <v>02</v>
      </c>
      <c r="E3" s="10" t="str">
        <f t="shared" si="2"/>
        <v>04</v>
      </c>
      <c r="F3" s="10" t="str">
        <f t="shared" si="2"/>
        <v>12</v>
      </c>
      <c r="G3" s="10" t="str">
        <f t="shared" si="2"/>
        <v>06</v>
      </c>
      <c r="H3" s="10" t="str">
        <f t="shared" si="2"/>
        <v>22</v>
      </c>
      <c r="I3" s="10" t="str">
        <f t="shared" si="2"/>
        <v>14</v>
      </c>
      <c r="J3" s="10" t="str">
        <f t="shared" si="2"/>
        <v>32</v>
      </c>
      <c r="K3" s="10" t="str">
        <f t="shared" si="2"/>
        <v>08</v>
      </c>
      <c r="L3" s="10" t="str">
        <f t="shared" si="2"/>
        <v>42</v>
      </c>
      <c r="M3" s="10" t="str">
        <f t="shared" si="2"/>
        <v>24</v>
      </c>
      <c r="N3" s="10" t="str">
        <f t="shared" si="2"/>
        <v>52</v>
      </c>
      <c r="O3" s="10" t="str">
        <f t="shared" si="2"/>
        <v>16</v>
      </c>
      <c r="P3" s="10" t="str">
        <f t="shared" si="2"/>
        <v>62</v>
      </c>
      <c r="Q3" s="10" t="str">
        <f t="shared" si="2"/>
        <v>34</v>
      </c>
      <c r="R3" s="10" t="str">
        <f t="shared" si="2"/>
        <v>72</v>
      </c>
    </row>
    <row r="4" spans="1:18" x14ac:dyDescent="0.3">
      <c r="A4" s="39" t="s">
        <v>687</v>
      </c>
      <c r="B4" s="5" t="str">
        <f>DEC2HEX(HEX2DEC(B3)+16)</f>
        <v>A210</v>
      </c>
      <c r="C4" s="18" t="str">
        <f t="shared" ref="C4:R19" si="3">MID($A4,13+C$1*3,2)</f>
        <v>0A</v>
      </c>
      <c r="D4" s="11" t="str">
        <f t="shared" si="2"/>
        <v>82</v>
      </c>
      <c r="E4" s="11" t="str">
        <f t="shared" si="2"/>
        <v>44</v>
      </c>
      <c r="F4" s="11" t="str">
        <f t="shared" si="2"/>
        <v>92</v>
      </c>
      <c r="G4" s="11" t="str">
        <f t="shared" si="2"/>
        <v>26</v>
      </c>
      <c r="H4" s="11" t="str">
        <f t="shared" si="2"/>
        <v>A2</v>
      </c>
      <c r="I4" s="28" t="str">
        <f t="shared" si="2"/>
        <v>54</v>
      </c>
      <c r="J4" s="11" t="str">
        <f t="shared" si="2"/>
        <v>B2</v>
      </c>
      <c r="K4" s="11" t="str">
        <f t="shared" si="2"/>
        <v>18</v>
      </c>
      <c r="L4" s="11" t="str">
        <f t="shared" si="2"/>
        <v>C2</v>
      </c>
      <c r="M4" s="11" t="str">
        <f t="shared" si="2"/>
        <v>64</v>
      </c>
      <c r="N4" s="11" t="str">
        <f t="shared" si="2"/>
        <v>D2</v>
      </c>
      <c r="O4" s="11" t="str">
        <f t="shared" si="2"/>
        <v>36</v>
      </c>
      <c r="P4" s="11" t="str">
        <f t="shared" si="2"/>
        <v>E2</v>
      </c>
      <c r="Q4" s="11" t="str">
        <f t="shared" si="2"/>
        <v>74</v>
      </c>
      <c r="R4" s="11" t="str">
        <f t="shared" si="2"/>
        <v>F2</v>
      </c>
    </row>
    <row r="5" spans="1:18" x14ac:dyDescent="0.3">
      <c r="A5" s="39" t="s">
        <v>688</v>
      </c>
      <c r="B5" s="5" t="str">
        <f t="shared" ref="B5:B68" si="4">DEC2HEX(HEX2DEC(B4)+16)</f>
        <v>A220</v>
      </c>
      <c r="C5" s="18" t="str">
        <f t="shared" si="3"/>
        <v>0C</v>
      </c>
      <c r="D5" s="11" t="str">
        <f t="shared" si="2"/>
        <v>02</v>
      </c>
      <c r="E5" s="11" t="str">
        <f t="shared" si="2"/>
        <v>84</v>
      </c>
      <c r="F5" s="11" t="str">
        <f t="shared" si="2"/>
        <v>12</v>
      </c>
      <c r="G5" s="11" t="str">
        <f t="shared" si="2"/>
        <v>46</v>
      </c>
      <c r="H5" s="11" t="str">
        <f t="shared" si="2"/>
        <v>22</v>
      </c>
      <c r="I5" s="11" t="str">
        <f t="shared" si="2"/>
        <v>94</v>
      </c>
      <c r="J5" s="11" t="str">
        <f t="shared" si="2"/>
        <v>32</v>
      </c>
      <c r="K5" s="11" t="str">
        <f t="shared" si="2"/>
        <v>28</v>
      </c>
      <c r="L5" s="11" t="str">
        <f t="shared" si="2"/>
        <v>42</v>
      </c>
      <c r="M5" s="11" t="str">
        <f t="shared" si="2"/>
        <v>A4</v>
      </c>
      <c r="N5" s="11" t="str">
        <f t="shared" si="2"/>
        <v>52</v>
      </c>
      <c r="O5" s="11" t="str">
        <f t="shared" si="2"/>
        <v>56</v>
      </c>
      <c r="P5" s="11" t="str">
        <f t="shared" si="2"/>
        <v>62</v>
      </c>
      <c r="Q5" s="11" t="str">
        <f t="shared" si="2"/>
        <v>B4</v>
      </c>
      <c r="R5" s="11" t="str">
        <f t="shared" si="2"/>
        <v>72</v>
      </c>
    </row>
    <row r="6" spans="1:18" x14ac:dyDescent="0.3">
      <c r="A6" s="39" t="s">
        <v>689</v>
      </c>
      <c r="B6" s="5" t="str">
        <f t="shared" si="4"/>
        <v>A230</v>
      </c>
      <c r="C6" s="18" t="str">
        <f t="shared" si="3"/>
        <v>1A</v>
      </c>
      <c r="D6" s="11" t="str">
        <f t="shared" si="2"/>
        <v>82</v>
      </c>
      <c r="E6" s="11" t="str">
        <f t="shared" si="2"/>
        <v>C4</v>
      </c>
      <c r="F6" s="11" t="str">
        <f t="shared" si="2"/>
        <v>92</v>
      </c>
      <c r="G6" s="11" t="str">
        <f t="shared" si="2"/>
        <v>66</v>
      </c>
      <c r="H6" s="11" t="str">
        <f t="shared" si="2"/>
        <v>A2</v>
      </c>
      <c r="I6" s="11" t="str">
        <f t="shared" si="2"/>
        <v>D4</v>
      </c>
      <c r="J6" s="11" t="str">
        <f t="shared" si="2"/>
        <v>B2</v>
      </c>
      <c r="K6" s="11" t="str">
        <f t="shared" si="2"/>
        <v>38</v>
      </c>
      <c r="L6" s="11" t="str">
        <f t="shared" si="2"/>
        <v>C2</v>
      </c>
      <c r="M6" s="11" t="str">
        <f t="shared" si="2"/>
        <v>E4</v>
      </c>
      <c r="N6" s="11" t="str">
        <f t="shared" si="2"/>
        <v>D2</v>
      </c>
      <c r="O6" s="11" t="str">
        <f t="shared" si="2"/>
        <v>76</v>
      </c>
      <c r="P6" s="11" t="str">
        <f t="shared" si="2"/>
        <v>E2</v>
      </c>
      <c r="Q6" s="11" t="str">
        <f t="shared" si="2"/>
        <v>F4</v>
      </c>
      <c r="R6" s="11" t="str">
        <f t="shared" si="2"/>
        <v>F2</v>
      </c>
    </row>
    <row r="7" spans="1:18" x14ac:dyDescent="0.3">
      <c r="A7" s="39" t="s">
        <v>690</v>
      </c>
      <c r="B7" s="5" t="str">
        <f t="shared" si="4"/>
        <v>A240</v>
      </c>
      <c r="C7" s="18" t="str">
        <f t="shared" si="3"/>
        <v>0E</v>
      </c>
      <c r="D7" s="11" t="str">
        <f t="shared" si="2"/>
        <v>02</v>
      </c>
      <c r="E7" s="11" t="str">
        <f t="shared" si="2"/>
        <v>04</v>
      </c>
      <c r="F7" s="11" t="str">
        <f t="shared" si="2"/>
        <v>12</v>
      </c>
      <c r="G7" s="11" t="str">
        <f t="shared" si="2"/>
        <v>86</v>
      </c>
      <c r="H7" s="11" t="str">
        <f t="shared" si="2"/>
        <v>22</v>
      </c>
      <c r="I7" s="11" t="str">
        <f t="shared" si="2"/>
        <v>14</v>
      </c>
      <c r="J7" s="11" t="str">
        <f t="shared" si="2"/>
        <v>32</v>
      </c>
      <c r="K7" s="11" t="str">
        <f t="shared" si="2"/>
        <v>48</v>
      </c>
      <c r="L7" s="11" t="str">
        <f t="shared" si="2"/>
        <v>42</v>
      </c>
      <c r="M7" s="11" t="str">
        <f t="shared" si="2"/>
        <v>24</v>
      </c>
      <c r="N7" s="11" t="str">
        <f t="shared" si="2"/>
        <v>52</v>
      </c>
      <c r="O7" s="11" t="str">
        <f t="shared" si="2"/>
        <v>96</v>
      </c>
      <c r="P7" s="11" t="str">
        <f t="shared" si="2"/>
        <v>62</v>
      </c>
      <c r="Q7" s="11" t="str">
        <f t="shared" si="2"/>
        <v>34</v>
      </c>
      <c r="R7" s="11" t="str">
        <f t="shared" si="2"/>
        <v>72</v>
      </c>
    </row>
    <row r="8" spans="1:18" x14ac:dyDescent="0.3">
      <c r="A8" s="39" t="s">
        <v>691</v>
      </c>
      <c r="B8" s="5" t="str">
        <f t="shared" si="4"/>
        <v>A250</v>
      </c>
      <c r="C8" s="18" t="str">
        <f t="shared" si="3"/>
        <v>2A</v>
      </c>
      <c r="D8" s="11" t="str">
        <f t="shared" si="2"/>
        <v>82</v>
      </c>
      <c r="E8" s="11" t="str">
        <f t="shared" si="2"/>
        <v>44</v>
      </c>
      <c r="F8" s="11" t="str">
        <f t="shared" si="2"/>
        <v>92</v>
      </c>
      <c r="G8" s="11" t="str">
        <f t="shared" si="2"/>
        <v>A6</v>
      </c>
      <c r="H8" s="11" t="str">
        <f t="shared" si="2"/>
        <v>A2</v>
      </c>
      <c r="I8" s="11" t="str">
        <f t="shared" si="2"/>
        <v>54</v>
      </c>
      <c r="J8" s="11" t="str">
        <f t="shared" si="2"/>
        <v>B2</v>
      </c>
      <c r="K8" s="11" t="str">
        <f t="shared" si="2"/>
        <v>58</v>
      </c>
      <c r="L8" s="11" t="str">
        <f t="shared" si="2"/>
        <v>C2</v>
      </c>
      <c r="M8" s="11" t="str">
        <f t="shared" si="2"/>
        <v>64</v>
      </c>
      <c r="N8" s="11" t="str">
        <f t="shared" si="2"/>
        <v>D2</v>
      </c>
      <c r="O8" s="11" t="str">
        <f t="shared" si="2"/>
        <v>B6</v>
      </c>
      <c r="P8" s="11" t="str">
        <f t="shared" si="2"/>
        <v>E2</v>
      </c>
      <c r="Q8" s="11" t="str">
        <f t="shared" si="2"/>
        <v>74</v>
      </c>
      <c r="R8" s="11" t="str">
        <f t="shared" si="2"/>
        <v>F2</v>
      </c>
    </row>
    <row r="9" spans="1:18" x14ac:dyDescent="0.3">
      <c r="A9" s="39" t="s">
        <v>692</v>
      </c>
      <c r="B9" s="5" t="str">
        <f t="shared" si="4"/>
        <v>A260</v>
      </c>
      <c r="C9" s="18" t="str">
        <f t="shared" si="3"/>
        <v>1C</v>
      </c>
      <c r="D9" s="11" t="str">
        <f t="shared" si="2"/>
        <v>02</v>
      </c>
      <c r="E9" s="11" t="str">
        <f t="shared" si="2"/>
        <v>84</v>
      </c>
      <c r="F9" s="11" t="str">
        <f t="shared" si="2"/>
        <v>12</v>
      </c>
      <c r="G9" s="11" t="str">
        <f t="shared" si="2"/>
        <v>C6</v>
      </c>
      <c r="H9" s="11" t="str">
        <f t="shared" si="2"/>
        <v>22</v>
      </c>
      <c r="I9" s="11" t="str">
        <f t="shared" si="2"/>
        <v>94</v>
      </c>
      <c r="J9" s="11" t="str">
        <f t="shared" si="2"/>
        <v>32</v>
      </c>
      <c r="K9" s="11" t="str">
        <f t="shared" si="2"/>
        <v>68</v>
      </c>
      <c r="L9" s="11" t="str">
        <f t="shared" si="2"/>
        <v>42</v>
      </c>
      <c r="M9" s="11" t="str">
        <f t="shared" si="2"/>
        <v>A4</v>
      </c>
      <c r="N9" s="11" t="str">
        <f t="shared" si="2"/>
        <v>52</v>
      </c>
      <c r="O9" s="11" t="str">
        <f t="shared" si="2"/>
        <v>D6</v>
      </c>
      <c r="P9" s="11" t="str">
        <f t="shared" si="2"/>
        <v>62</v>
      </c>
      <c r="Q9" s="11" t="str">
        <f t="shared" si="2"/>
        <v>B4</v>
      </c>
      <c r="R9" s="11" t="str">
        <f t="shared" si="2"/>
        <v>72</v>
      </c>
    </row>
    <row r="10" spans="1:18" x14ac:dyDescent="0.3">
      <c r="A10" s="39" t="s">
        <v>693</v>
      </c>
      <c r="B10" s="58" t="str">
        <f t="shared" si="4"/>
        <v>A270</v>
      </c>
      <c r="C10" s="19" t="str">
        <f t="shared" si="3"/>
        <v>3A</v>
      </c>
      <c r="D10" s="12" t="str">
        <f t="shared" si="2"/>
        <v>82</v>
      </c>
      <c r="E10" s="12" t="str">
        <f t="shared" si="2"/>
        <v>C4</v>
      </c>
      <c r="F10" s="12" t="str">
        <f t="shared" si="2"/>
        <v>92</v>
      </c>
      <c r="G10" s="12" t="str">
        <f t="shared" si="2"/>
        <v>E6</v>
      </c>
      <c r="H10" s="12" t="str">
        <f t="shared" si="2"/>
        <v>A2</v>
      </c>
      <c r="I10" s="12" t="str">
        <f t="shared" si="2"/>
        <v>D4</v>
      </c>
      <c r="J10" s="12" t="str">
        <f t="shared" si="2"/>
        <v>B2</v>
      </c>
      <c r="K10" s="12" t="str">
        <f t="shared" si="2"/>
        <v>78</v>
      </c>
      <c r="L10" s="12" t="str">
        <f t="shared" si="2"/>
        <v>C2</v>
      </c>
      <c r="M10" s="12" t="str">
        <f t="shared" si="2"/>
        <v>E4</v>
      </c>
      <c r="N10" s="12" t="str">
        <f t="shared" si="2"/>
        <v>D2</v>
      </c>
      <c r="O10" s="12" t="str">
        <f t="shared" si="2"/>
        <v>F6</v>
      </c>
      <c r="P10" s="12" t="str">
        <f t="shared" si="2"/>
        <v>E2</v>
      </c>
      <c r="Q10" s="12" t="str">
        <f t="shared" si="2"/>
        <v>F4</v>
      </c>
      <c r="R10" s="12" t="str">
        <f t="shared" si="2"/>
        <v>F2</v>
      </c>
    </row>
    <row r="11" spans="1:18" x14ac:dyDescent="0.3">
      <c r="A11" s="39" t="s">
        <v>694</v>
      </c>
      <c r="B11" s="5" t="str">
        <f t="shared" si="4"/>
        <v>A280</v>
      </c>
      <c r="C11" s="20" t="str">
        <f t="shared" si="3"/>
        <v>A9</v>
      </c>
      <c r="D11" s="11" t="str">
        <f t="shared" si="2"/>
        <v>A9</v>
      </c>
      <c r="E11" s="11" t="str">
        <f t="shared" si="2"/>
        <v>A9</v>
      </c>
      <c r="F11" s="11" t="str">
        <f t="shared" si="2"/>
        <v>A9</v>
      </c>
      <c r="G11" s="11" t="str">
        <f t="shared" si="2"/>
        <v>A9</v>
      </c>
      <c r="H11" s="11" t="str">
        <f t="shared" si="2"/>
        <v>A9</v>
      </c>
      <c r="I11" s="11" t="str">
        <f t="shared" si="2"/>
        <v>A9</v>
      </c>
      <c r="J11" s="11" t="str">
        <f t="shared" si="2"/>
        <v>A9</v>
      </c>
      <c r="K11" s="11" t="str">
        <f t="shared" si="2"/>
        <v>A9</v>
      </c>
      <c r="L11" s="11" t="str">
        <f t="shared" si="2"/>
        <v>A9</v>
      </c>
      <c r="M11" s="11" t="str">
        <f t="shared" si="2"/>
        <v>A9</v>
      </c>
      <c r="N11" s="11" t="str">
        <f t="shared" si="2"/>
        <v>A9</v>
      </c>
      <c r="O11" s="11" t="str">
        <f t="shared" si="2"/>
        <v>A9</v>
      </c>
      <c r="P11" s="11" t="str">
        <f t="shared" si="2"/>
        <v>A9</v>
      </c>
      <c r="Q11" s="11" t="str">
        <f t="shared" si="2"/>
        <v>A9</v>
      </c>
      <c r="R11" s="11" t="str">
        <f t="shared" si="2"/>
        <v>A9</v>
      </c>
    </row>
    <row r="12" spans="1:18" x14ac:dyDescent="0.3">
      <c r="A12" s="39" t="s">
        <v>694</v>
      </c>
      <c r="B12" s="5" t="str">
        <f t="shared" si="4"/>
        <v>A290</v>
      </c>
      <c r="C12" s="18" t="str">
        <f t="shared" si="3"/>
        <v>A9</v>
      </c>
      <c r="D12" s="11" t="str">
        <f t="shared" si="2"/>
        <v>A9</v>
      </c>
      <c r="E12" s="11" t="str">
        <f t="shared" si="2"/>
        <v>A9</v>
      </c>
      <c r="F12" s="11" t="str">
        <f t="shared" si="2"/>
        <v>A9</v>
      </c>
      <c r="G12" s="11" t="str">
        <f t="shared" si="2"/>
        <v>A9</v>
      </c>
      <c r="H12" s="11" t="str">
        <f t="shared" si="2"/>
        <v>A9</v>
      </c>
      <c r="I12" s="11" t="str">
        <f t="shared" si="2"/>
        <v>A9</v>
      </c>
      <c r="J12" s="11" t="str">
        <f t="shared" si="2"/>
        <v>A9</v>
      </c>
      <c r="K12" s="11" t="str">
        <f t="shared" si="2"/>
        <v>A9</v>
      </c>
      <c r="L12" s="11" t="str">
        <f t="shared" si="2"/>
        <v>A9</v>
      </c>
      <c r="M12" s="11" t="str">
        <f t="shared" si="2"/>
        <v>A9</v>
      </c>
      <c r="N12" s="11" t="str">
        <f t="shared" si="2"/>
        <v>A9</v>
      </c>
      <c r="O12" s="11" t="str">
        <f t="shared" si="2"/>
        <v>A9</v>
      </c>
      <c r="P12" s="11" t="str">
        <f t="shared" si="2"/>
        <v>A9</v>
      </c>
      <c r="Q12" s="11" t="str">
        <f t="shared" si="2"/>
        <v>A9</v>
      </c>
      <c r="R12" s="11" t="str">
        <f t="shared" si="2"/>
        <v>A9</v>
      </c>
    </row>
    <row r="13" spans="1:18" x14ac:dyDescent="0.3">
      <c r="A13" s="39" t="s">
        <v>695</v>
      </c>
      <c r="B13" s="5" t="str">
        <f t="shared" si="4"/>
        <v>A2A0</v>
      </c>
      <c r="C13" s="18" t="str">
        <f t="shared" si="3"/>
        <v>A9</v>
      </c>
      <c r="D13" s="11" t="str">
        <f t="shared" si="2"/>
        <v>AA</v>
      </c>
      <c r="E13" s="11" t="str">
        <f t="shared" si="2"/>
        <v>A9</v>
      </c>
      <c r="F13" s="11" t="str">
        <f t="shared" si="2"/>
        <v>AA</v>
      </c>
      <c r="G13" s="11" t="str">
        <f t="shared" si="2"/>
        <v>A9</v>
      </c>
      <c r="H13" s="11" t="str">
        <f t="shared" si="2"/>
        <v>AA</v>
      </c>
      <c r="I13" s="11" t="str">
        <f t="shared" si="2"/>
        <v>A9</v>
      </c>
      <c r="J13" s="11" t="str">
        <f t="shared" si="2"/>
        <v>AA</v>
      </c>
      <c r="K13" s="11" t="str">
        <f t="shared" si="2"/>
        <v>A9</v>
      </c>
      <c r="L13" s="11" t="str">
        <f t="shared" si="2"/>
        <v>AA</v>
      </c>
      <c r="M13" s="11" t="str">
        <f t="shared" si="2"/>
        <v>A9</v>
      </c>
      <c r="N13" s="11" t="str">
        <f t="shared" si="2"/>
        <v>AA</v>
      </c>
      <c r="O13" s="11" t="str">
        <f t="shared" si="2"/>
        <v>A9</v>
      </c>
      <c r="P13" s="11" t="str">
        <f t="shared" si="2"/>
        <v>AA</v>
      </c>
      <c r="Q13" s="11" t="str">
        <f t="shared" si="2"/>
        <v>A9</v>
      </c>
      <c r="R13" s="11" t="str">
        <f t="shared" si="2"/>
        <v>AA</v>
      </c>
    </row>
    <row r="14" spans="1:18" x14ac:dyDescent="0.3">
      <c r="A14" s="39" t="s">
        <v>695</v>
      </c>
      <c r="B14" s="5" t="str">
        <f t="shared" si="4"/>
        <v>A2B0</v>
      </c>
      <c r="C14" s="18" t="str">
        <f t="shared" si="3"/>
        <v>A9</v>
      </c>
      <c r="D14" s="11" t="str">
        <f t="shared" si="2"/>
        <v>AA</v>
      </c>
      <c r="E14" s="11" t="str">
        <f t="shared" si="2"/>
        <v>A9</v>
      </c>
      <c r="F14" s="11" t="str">
        <f t="shared" si="2"/>
        <v>AA</v>
      </c>
      <c r="G14" s="11" t="str">
        <f t="shared" si="2"/>
        <v>A9</v>
      </c>
      <c r="H14" s="11" t="str">
        <f t="shared" si="2"/>
        <v>AA</v>
      </c>
      <c r="I14" s="11" t="str">
        <f t="shared" si="2"/>
        <v>A9</v>
      </c>
      <c r="J14" s="11" t="str">
        <f t="shared" si="2"/>
        <v>AA</v>
      </c>
      <c r="K14" s="11" t="str">
        <f t="shared" si="2"/>
        <v>A9</v>
      </c>
      <c r="L14" s="11" t="str">
        <f t="shared" si="2"/>
        <v>AA</v>
      </c>
      <c r="M14" s="11" t="str">
        <f t="shared" si="2"/>
        <v>A9</v>
      </c>
      <c r="N14" s="11" t="str">
        <f t="shared" si="2"/>
        <v>AA</v>
      </c>
      <c r="O14" s="11" t="str">
        <f t="shared" si="2"/>
        <v>A9</v>
      </c>
      <c r="P14" s="11" t="str">
        <f t="shared" si="2"/>
        <v>AA</v>
      </c>
      <c r="Q14" s="11" t="str">
        <f t="shared" si="2"/>
        <v>A9</v>
      </c>
      <c r="R14" s="11" t="str">
        <f t="shared" si="2"/>
        <v>AA</v>
      </c>
    </row>
    <row r="15" spans="1:18" x14ac:dyDescent="0.3">
      <c r="A15" s="39" t="s">
        <v>696</v>
      </c>
      <c r="B15" s="5" t="str">
        <f t="shared" si="4"/>
        <v>A2C0</v>
      </c>
      <c r="C15" s="18" t="str">
        <f t="shared" si="3"/>
        <v>A9</v>
      </c>
      <c r="D15" s="11" t="str">
        <f t="shared" si="2"/>
        <v>AB</v>
      </c>
      <c r="E15" s="11" t="str">
        <f t="shared" si="2"/>
        <v>AA</v>
      </c>
      <c r="F15" s="11" t="str">
        <f t="shared" si="2"/>
        <v>AB</v>
      </c>
      <c r="G15" s="11" t="str">
        <f t="shared" si="2"/>
        <v>A9</v>
      </c>
      <c r="H15" s="11" t="str">
        <f t="shared" si="2"/>
        <v>AB</v>
      </c>
      <c r="I15" s="11" t="str">
        <f t="shared" si="2"/>
        <v>AA</v>
      </c>
      <c r="J15" s="11" t="str">
        <f t="shared" si="2"/>
        <v>AB</v>
      </c>
      <c r="K15" s="11" t="str">
        <f t="shared" si="2"/>
        <v>A9</v>
      </c>
      <c r="L15" s="11" t="str">
        <f t="shared" si="2"/>
        <v>AB</v>
      </c>
      <c r="M15" s="11" t="str">
        <f t="shared" si="2"/>
        <v>AA</v>
      </c>
      <c r="N15" s="11" t="str">
        <f t="shared" si="2"/>
        <v>AB</v>
      </c>
      <c r="O15" s="11" t="str">
        <f t="shared" si="2"/>
        <v>A9</v>
      </c>
      <c r="P15" s="11" t="str">
        <f t="shared" si="2"/>
        <v>AB</v>
      </c>
      <c r="Q15" s="11" t="str">
        <f t="shared" si="2"/>
        <v>AA</v>
      </c>
      <c r="R15" s="11" t="str">
        <f t="shared" si="2"/>
        <v>AB</v>
      </c>
    </row>
    <row r="16" spans="1:18" x14ac:dyDescent="0.3">
      <c r="A16" s="39" t="s">
        <v>696</v>
      </c>
      <c r="B16" s="5" t="str">
        <f t="shared" si="4"/>
        <v>A2D0</v>
      </c>
      <c r="C16" s="18" t="str">
        <f t="shared" si="3"/>
        <v>A9</v>
      </c>
      <c r="D16" s="11" t="str">
        <f t="shared" si="2"/>
        <v>AB</v>
      </c>
      <c r="E16" s="11" t="str">
        <f t="shared" si="2"/>
        <v>AA</v>
      </c>
      <c r="F16" s="11" t="str">
        <f t="shared" si="2"/>
        <v>AB</v>
      </c>
      <c r="G16" s="11" t="str">
        <f t="shared" si="2"/>
        <v>A9</v>
      </c>
      <c r="H16" s="11" t="str">
        <f t="shared" si="2"/>
        <v>AB</v>
      </c>
      <c r="I16" s="11" t="str">
        <f t="shared" si="2"/>
        <v>AA</v>
      </c>
      <c r="J16" s="11" t="str">
        <f t="shared" si="2"/>
        <v>AB</v>
      </c>
      <c r="K16" s="11" t="str">
        <f t="shared" si="2"/>
        <v>A9</v>
      </c>
      <c r="L16" s="11" t="str">
        <f t="shared" si="2"/>
        <v>AB</v>
      </c>
      <c r="M16" s="11" t="str">
        <f t="shared" si="2"/>
        <v>AA</v>
      </c>
      <c r="N16" s="11" t="str">
        <f t="shared" si="2"/>
        <v>AB</v>
      </c>
      <c r="O16" s="11" t="str">
        <f t="shared" si="2"/>
        <v>A9</v>
      </c>
      <c r="P16" s="11" t="str">
        <f t="shared" si="2"/>
        <v>AB</v>
      </c>
      <c r="Q16" s="11" t="str">
        <f t="shared" si="2"/>
        <v>AA</v>
      </c>
      <c r="R16" s="11" t="str">
        <f t="shared" si="2"/>
        <v>AB</v>
      </c>
    </row>
    <row r="17" spans="1:18" x14ac:dyDescent="0.3">
      <c r="A17" s="39" t="s">
        <v>697</v>
      </c>
      <c r="B17" s="5" t="str">
        <f t="shared" si="4"/>
        <v>A2E0</v>
      </c>
      <c r="C17" s="18" t="str">
        <f t="shared" si="3"/>
        <v>A9</v>
      </c>
      <c r="D17" s="11" t="str">
        <f t="shared" si="2"/>
        <v>AC</v>
      </c>
      <c r="E17" s="11" t="str">
        <f t="shared" si="2"/>
        <v>AA</v>
      </c>
      <c r="F17" s="11" t="str">
        <f t="shared" si="2"/>
        <v>AC</v>
      </c>
      <c r="G17" s="11" t="str">
        <f t="shared" si="2"/>
        <v>A9</v>
      </c>
      <c r="H17" s="11" t="str">
        <f t="shared" si="2"/>
        <v>AC</v>
      </c>
      <c r="I17" s="11" t="str">
        <f t="shared" si="2"/>
        <v>AA</v>
      </c>
      <c r="J17" s="11" t="str">
        <f t="shared" si="2"/>
        <v>AC</v>
      </c>
      <c r="K17" s="11" t="str">
        <f t="shared" si="2"/>
        <v>A9</v>
      </c>
      <c r="L17" s="11" t="str">
        <f t="shared" si="2"/>
        <v>AC</v>
      </c>
      <c r="M17" s="11" t="str">
        <f t="shared" si="2"/>
        <v>AA</v>
      </c>
      <c r="N17" s="11" t="str">
        <f t="shared" si="2"/>
        <v>AC</v>
      </c>
      <c r="O17" s="11" t="str">
        <f t="shared" si="2"/>
        <v>A9</v>
      </c>
      <c r="P17" s="11" t="str">
        <f t="shared" si="2"/>
        <v>AC</v>
      </c>
      <c r="Q17" s="11" t="str">
        <f t="shared" si="2"/>
        <v>AA</v>
      </c>
      <c r="R17" s="11" t="str">
        <f t="shared" si="2"/>
        <v>AC</v>
      </c>
    </row>
    <row r="18" spans="1:18" x14ac:dyDescent="0.3">
      <c r="A18" s="39" t="s">
        <v>697</v>
      </c>
      <c r="B18" s="58" t="str">
        <f t="shared" si="4"/>
        <v>A2F0</v>
      </c>
      <c r="C18" s="19" t="str">
        <f t="shared" si="3"/>
        <v>A9</v>
      </c>
      <c r="D18" s="12" t="str">
        <f t="shared" si="2"/>
        <v>AC</v>
      </c>
      <c r="E18" s="12" t="str">
        <f t="shared" si="2"/>
        <v>AA</v>
      </c>
      <c r="F18" s="12" t="str">
        <f t="shared" si="2"/>
        <v>AC</v>
      </c>
      <c r="G18" s="12" t="str">
        <f t="shared" si="2"/>
        <v>A9</v>
      </c>
      <c r="H18" s="12" t="str">
        <f t="shared" si="2"/>
        <v>AC</v>
      </c>
      <c r="I18" s="12" t="str">
        <f t="shared" si="2"/>
        <v>AA</v>
      </c>
      <c r="J18" s="12" t="str">
        <f t="shared" si="2"/>
        <v>AC</v>
      </c>
      <c r="K18" s="12" t="str">
        <f t="shared" si="2"/>
        <v>A9</v>
      </c>
      <c r="L18" s="12" t="str">
        <f t="shared" si="2"/>
        <v>AC</v>
      </c>
      <c r="M18" s="12" t="str">
        <f t="shared" si="2"/>
        <v>AA</v>
      </c>
      <c r="N18" s="12" t="str">
        <f t="shared" si="2"/>
        <v>AC</v>
      </c>
      <c r="O18" s="12" t="str">
        <f t="shared" si="2"/>
        <v>A9</v>
      </c>
      <c r="P18" s="12" t="str">
        <f t="shared" si="2"/>
        <v>AC</v>
      </c>
      <c r="Q18" s="12" t="str">
        <f t="shared" si="2"/>
        <v>AA</v>
      </c>
      <c r="R18" s="12" t="str">
        <f t="shared" si="2"/>
        <v>AC</v>
      </c>
    </row>
    <row r="19" spans="1:18" x14ac:dyDescent="0.3">
      <c r="A19" s="39" t="s">
        <v>698</v>
      </c>
      <c r="B19" s="29" t="str">
        <f t="shared" si="4"/>
        <v>A300</v>
      </c>
      <c r="C19" s="17" t="str">
        <f t="shared" si="3"/>
        <v>00</v>
      </c>
      <c r="D19" s="10" t="str">
        <f t="shared" si="3"/>
        <v>04</v>
      </c>
      <c r="E19" s="10" t="str">
        <f t="shared" si="3"/>
        <v>06</v>
      </c>
      <c r="F19" s="10" t="str">
        <f t="shared" si="3"/>
        <v>14</v>
      </c>
      <c r="G19" s="10" t="str">
        <f t="shared" si="3"/>
        <v>08</v>
      </c>
      <c r="H19" s="10" t="str">
        <f t="shared" si="3"/>
        <v>24</v>
      </c>
      <c r="I19" s="10" t="str">
        <f t="shared" si="3"/>
        <v>16</v>
      </c>
      <c r="J19" s="10" t="str">
        <f t="shared" si="3"/>
        <v>34</v>
      </c>
      <c r="K19" s="10" t="str">
        <f t="shared" si="3"/>
        <v>0A</v>
      </c>
      <c r="L19" s="10" t="str">
        <f t="shared" si="3"/>
        <v>44</v>
      </c>
      <c r="M19" s="9" t="str">
        <f t="shared" si="3"/>
        <v>26</v>
      </c>
      <c r="N19" s="10" t="str">
        <f t="shared" si="3"/>
        <v>54</v>
      </c>
      <c r="O19" s="10" t="str">
        <f t="shared" si="3"/>
        <v>18</v>
      </c>
      <c r="P19" s="10" t="str">
        <f t="shared" si="3"/>
        <v>64</v>
      </c>
      <c r="Q19" s="10" t="str">
        <f t="shared" si="3"/>
        <v>36</v>
      </c>
      <c r="R19" s="10" t="str">
        <f t="shared" si="3"/>
        <v>74</v>
      </c>
    </row>
    <row r="20" spans="1:18" x14ac:dyDescent="0.3">
      <c r="A20" s="39" t="s">
        <v>699</v>
      </c>
      <c r="B20" s="5" t="str">
        <f t="shared" si="4"/>
        <v>A310</v>
      </c>
      <c r="C20" s="18" t="str">
        <f t="shared" ref="C20:R35" si="5">MID($A20,13+C$1*3,2)</f>
        <v>0C</v>
      </c>
      <c r="D20" s="11" t="str">
        <f t="shared" si="5"/>
        <v>84</v>
      </c>
      <c r="E20" s="11" t="str">
        <f t="shared" si="5"/>
        <v>46</v>
      </c>
      <c r="F20" s="11" t="str">
        <f t="shared" si="5"/>
        <v>94</v>
      </c>
      <c r="G20" s="11" t="str">
        <f t="shared" si="5"/>
        <v>28</v>
      </c>
      <c r="H20" s="11" t="str">
        <f t="shared" si="5"/>
        <v>A4</v>
      </c>
      <c r="I20" s="11" t="str">
        <f t="shared" si="5"/>
        <v>56</v>
      </c>
      <c r="J20" s="11" t="str">
        <f t="shared" si="5"/>
        <v>B4</v>
      </c>
      <c r="K20" s="11" t="str">
        <f t="shared" si="5"/>
        <v>1A</v>
      </c>
      <c r="L20" s="11" t="str">
        <f t="shared" si="5"/>
        <v>C4</v>
      </c>
      <c r="M20" s="11" t="str">
        <f t="shared" si="5"/>
        <v>66</v>
      </c>
      <c r="N20" s="11" t="str">
        <f t="shared" si="5"/>
        <v>D4</v>
      </c>
      <c r="O20" s="11" t="str">
        <f t="shared" si="5"/>
        <v>38</v>
      </c>
      <c r="P20" s="11" t="str">
        <f t="shared" si="5"/>
        <v>E4</v>
      </c>
      <c r="Q20" s="11" t="str">
        <f t="shared" si="5"/>
        <v>76</v>
      </c>
      <c r="R20" s="11" t="str">
        <f t="shared" si="5"/>
        <v>F4</v>
      </c>
    </row>
    <row r="21" spans="1:18" x14ac:dyDescent="0.3">
      <c r="A21" s="39" t="s">
        <v>700</v>
      </c>
      <c r="B21" s="5" t="str">
        <f t="shared" si="4"/>
        <v>A320</v>
      </c>
      <c r="C21" s="18" t="str">
        <f t="shared" si="5"/>
        <v>0E</v>
      </c>
      <c r="D21" s="11" t="str">
        <f t="shared" si="5"/>
        <v>04</v>
      </c>
      <c r="E21" s="11" t="str">
        <f t="shared" si="5"/>
        <v>86</v>
      </c>
      <c r="F21" s="11" t="str">
        <f t="shared" si="5"/>
        <v>14</v>
      </c>
      <c r="G21" s="11" t="str">
        <f t="shared" si="5"/>
        <v>48</v>
      </c>
      <c r="H21" s="11" t="str">
        <f t="shared" si="5"/>
        <v>24</v>
      </c>
      <c r="I21" s="11" t="str">
        <f t="shared" si="5"/>
        <v>96</v>
      </c>
      <c r="J21" s="11" t="str">
        <f t="shared" si="5"/>
        <v>34</v>
      </c>
      <c r="K21" s="11" t="str">
        <f t="shared" si="5"/>
        <v>2A</v>
      </c>
      <c r="L21" s="11" t="str">
        <f t="shared" si="5"/>
        <v>44</v>
      </c>
      <c r="M21" s="11" t="str">
        <f t="shared" si="5"/>
        <v>A6</v>
      </c>
      <c r="N21" s="11" t="str">
        <f t="shared" si="5"/>
        <v>54</v>
      </c>
      <c r="O21" s="11" t="str">
        <f t="shared" si="5"/>
        <v>58</v>
      </c>
      <c r="P21" s="11" t="str">
        <f t="shared" si="5"/>
        <v>64</v>
      </c>
      <c r="Q21" s="11" t="str">
        <f t="shared" si="5"/>
        <v>B6</v>
      </c>
      <c r="R21" s="11" t="str">
        <f t="shared" si="5"/>
        <v>74</v>
      </c>
    </row>
    <row r="22" spans="1:18" x14ac:dyDescent="0.3">
      <c r="A22" s="39" t="s">
        <v>701</v>
      </c>
      <c r="B22" s="5" t="str">
        <f t="shared" si="4"/>
        <v>A330</v>
      </c>
      <c r="C22" s="18" t="str">
        <f t="shared" si="5"/>
        <v>1C</v>
      </c>
      <c r="D22" s="11" t="str">
        <f t="shared" si="5"/>
        <v>84</v>
      </c>
      <c r="E22" s="11" t="str">
        <f t="shared" si="5"/>
        <v>C6</v>
      </c>
      <c r="F22" s="11" t="str">
        <f t="shared" si="5"/>
        <v>94</v>
      </c>
      <c r="G22" s="11" t="str">
        <f t="shared" si="5"/>
        <v>68</v>
      </c>
      <c r="H22" s="11" t="str">
        <f t="shared" si="5"/>
        <v>A4</v>
      </c>
      <c r="I22" s="11" t="str">
        <f t="shared" si="5"/>
        <v>D6</v>
      </c>
      <c r="J22" s="11" t="str">
        <f t="shared" si="5"/>
        <v>B4</v>
      </c>
      <c r="K22" s="11" t="str">
        <f t="shared" si="5"/>
        <v>3A</v>
      </c>
      <c r="L22" s="11" t="str">
        <f t="shared" si="5"/>
        <v>C4</v>
      </c>
      <c r="M22" s="11" t="str">
        <f t="shared" si="5"/>
        <v>E6</v>
      </c>
      <c r="N22" s="11" t="str">
        <f t="shared" si="5"/>
        <v>D4</v>
      </c>
      <c r="O22" s="11" t="str">
        <f t="shared" si="5"/>
        <v>78</v>
      </c>
      <c r="P22" s="11" t="str">
        <f t="shared" si="5"/>
        <v>E4</v>
      </c>
      <c r="Q22" s="11" t="str">
        <f t="shared" si="5"/>
        <v>F6</v>
      </c>
      <c r="R22" s="11" t="str">
        <f t="shared" si="5"/>
        <v>F4</v>
      </c>
    </row>
    <row r="23" spans="1:18" x14ac:dyDescent="0.3">
      <c r="A23" s="39" t="s">
        <v>702</v>
      </c>
      <c r="B23" s="5" t="str">
        <f t="shared" si="4"/>
        <v>A340</v>
      </c>
      <c r="C23" s="18" t="str">
        <f t="shared" si="5"/>
        <v>10</v>
      </c>
      <c r="D23" s="11" t="str">
        <f t="shared" si="5"/>
        <v>04</v>
      </c>
      <c r="E23" s="11" t="str">
        <f t="shared" si="5"/>
        <v>06</v>
      </c>
      <c r="F23" s="11" t="str">
        <f t="shared" si="5"/>
        <v>14</v>
      </c>
      <c r="G23" s="11" t="str">
        <f t="shared" si="5"/>
        <v>88</v>
      </c>
      <c r="H23" s="11" t="str">
        <f t="shared" si="5"/>
        <v>24</v>
      </c>
      <c r="I23" s="11" t="str">
        <f t="shared" si="5"/>
        <v>16</v>
      </c>
      <c r="J23" s="11" t="str">
        <f t="shared" si="5"/>
        <v>34</v>
      </c>
      <c r="K23" s="11" t="str">
        <f t="shared" si="5"/>
        <v>4A</v>
      </c>
      <c r="L23" s="11" t="str">
        <f t="shared" si="5"/>
        <v>44</v>
      </c>
      <c r="M23" s="11" t="str">
        <f t="shared" si="5"/>
        <v>26</v>
      </c>
      <c r="N23" s="11" t="str">
        <f t="shared" si="5"/>
        <v>54</v>
      </c>
      <c r="O23" s="11" t="str">
        <f t="shared" si="5"/>
        <v>98</v>
      </c>
      <c r="P23" s="11" t="str">
        <f t="shared" si="5"/>
        <v>64</v>
      </c>
      <c r="Q23" s="11" t="str">
        <f t="shared" si="5"/>
        <v>36</v>
      </c>
      <c r="R23" s="11" t="str">
        <f t="shared" si="5"/>
        <v>74</v>
      </c>
    </row>
    <row r="24" spans="1:18" x14ac:dyDescent="0.3">
      <c r="A24" s="39" t="s">
        <v>703</v>
      </c>
      <c r="B24" s="5" t="str">
        <f t="shared" si="4"/>
        <v>A350</v>
      </c>
      <c r="C24" s="18" t="str">
        <f t="shared" si="5"/>
        <v>2C</v>
      </c>
      <c r="D24" s="11" t="str">
        <f t="shared" si="5"/>
        <v>84</v>
      </c>
      <c r="E24" s="11" t="str">
        <f t="shared" si="5"/>
        <v>46</v>
      </c>
      <c r="F24" s="11" t="str">
        <f t="shared" si="5"/>
        <v>94</v>
      </c>
      <c r="G24" s="11" t="str">
        <f t="shared" si="5"/>
        <v>A8</v>
      </c>
      <c r="H24" s="11" t="str">
        <f t="shared" si="5"/>
        <v>A4</v>
      </c>
      <c r="I24" s="11" t="str">
        <f t="shared" si="5"/>
        <v>56</v>
      </c>
      <c r="J24" s="11" t="str">
        <f t="shared" si="5"/>
        <v>B4</v>
      </c>
      <c r="K24" s="11" t="str">
        <f t="shared" si="5"/>
        <v>5A</v>
      </c>
      <c r="L24" s="11" t="str">
        <f t="shared" si="5"/>
        <v>C4</v>
      </c>
      <c r="M24" s="11" t="str">
        <f t="shared" si="5"/>
        <v>66</v>
      </c>
      <c r="N24" s="11" t="str">
        <f t="shared" si="5"/>
        <v>D4</v>
      </c>
      <c r="O24" s="11" t="str">
        <f t="shared" si="5"/>
        <v>B8</v>
      </c>
      <c r="P24" s="11" t="str">
        <f t="shared" si="5"/>
        <v>E4</v>
      </c>
      <c r="Q24" s="11" t="str">
        <f t="shared" si="5"/>
        <v>76</v>
      </c>
      <c r="R24" s="11" t="str">
        <f t="shared" si="5"/>
        <v>F4</v>
      </c>
    </row>
    <row r="25" spans="1:18" x14ac:dyDescent="0.3">
      <c r="A25" s="39" t="s">
        <v>704</v>
      </c>
      <c r="B25" s="5" t="str">
        <f t="shared" si="4"/>
        <v>A360</v>
      </c>
      <c r="C25" s="18" t="str">
        <f t="shared" si="5"/>
        <v>1E</v>
      </c>
      <c r="D25" s="11" t="str">
        <f t="shared" si="5"/>
        <v>04</v>
      </c>
      <c r="E25" s="11" t="str">
        <f t="shared" si="5"/>
        <v>86</v>
      </c>
      <c r="F25" s="11" t="str">
        <f t="shared" si="5"/>
        <v>14</v>
      </c>
      <c r="G25" s="11" t="str">
        <f t="shared" si="5"/>
        <v>C8</v>
      </c>
      <c r="H25" s="11" t="str">
        <f t="shared" si="5"/>
        <v>24</v>
      </c>
      <c r="I25" s="11" t="str">
        <f t="shared" si="5"/>
        <v>96</v>
      </c>
      <c r="J25" s="11" t="str">
        <f t="shared" si="5"/>
        <v>34</v>
      </c>
      <c r="K25" s="11" t="str">
        <f t="shared" si="5"/>
        <v>6A</v>
      </c>
      <c r="L25" s="11" t="str">
        <f t="shared" si="5"/>
        <v>44</v>
      </c>
      <c r="M25" s="11" t="str">
        <f t="shared" si="5"/>
        <v>A6</v>
      </c>
      <c r="N25" s="11" t="str">
        <f t="shared" si="5"/>
        <v>54</v>
      </c>
      <c r="O25" s="11" t="str">
        <f t="shared" si="5"/>
        <v>D8</v>
      </c>
      <c r="P25" s="11" t="str">
        <f t="shared" si="5"/>
        <v>64</v>
      </c>
      <c r="Q25" s="11" t="str">
        <f t="shared" si="5"/>
        <v>B6</v>
      </c>
      <c r="R25" s="11" t="str">
        <f t="shared" si="5"/>
        <v>74</v>
      </c>
    </row>
    <row r="26" spans="1:18" x14ac:dyDescent="0.3">
      <c r="A26" s="39" t="s">
        <v>705</v>
      </c>
      <c r="B26" s="58" t="str">
        <f t="shared" si="4"/>
        <v>A370</v>
      </c>
      <c r="C26" s="19" t="str">
        <f t="shared" si="5"/>
        <v>3C</v>
      </c>
      <c r="D26" s="12" t="str">
        <f t="shared" si="5"/>
        <v>84</v>
      </c>
      <c r="E26" s="12" t="str">
        <f t="shared" si="5"/>
        <v>C6</v>
      </c>
      <c r="F26" s="12" t="str">
        <f t="shared" si="5"/>
        <v>94</v>
      </c>
      <c r="G26" s="12" t="str">
        <f t="shared" si="5"/>
        <v>E8</v>
      </c>
      <c r="H26" s="12" t="str">
        <f t="shared" si="5"/>
        <v>A4</v>
      </c>
      <c r="I26" s="12" t="str">
        <f t="shared" si="5"/>
        <v>D6</v>
      </c>
      <c r="J26" s="12" t="str">
        <f t="shared" si="5"/>
        <v>B4</v>
      </c>
      <c r="K26" s="12" t="str">
        <f t="shared" si="5"/>
        <v>7A</v>
      </c>
      <c r="L26" s="12" t="str">
        <f t="shared" si="5"/>
        <v>C4</v>
      </c>
      <c r="M26" s="12" t="str">
        <f t="shared" si="5"/>
        <v>E6</v>
      </c>
      <c r="N26" s="12" t="str">
        <f t="shared" si="5"/>
        <v>D4</v>
      </c>
      <c r="O26" s="12" t="str">
        <f t="shared" si="5"/>
        <v>F8</v>
      </c>
      <c r="P26" s="12" t="str">
        <f t="shared" si="5"/>
        <v>E4</v>
      </c>
      <c r="Q26" s="12" t="str">
        <f t="shared" si="5"/>
        <v>F6</v>
      </c>
      <c r="R26" s="12" t="str">
        <f t="shared" si="5"/>
        <v>F4</v>
      </c>
    </row>
    <row r="27" spans="1:18" x14ac:dyDescent="0.3">
      <c r="A27" s="39" t="s">
        <v>694</v>
      </c>
      <c r="B27" s="5" t="str">
        <f t="shared" si="4"/>
        <v>A380</v>
      </c>
      <c r="C27" s="17" t="str">
        <f t="shared" si="5"/>
        <v>A9</v>
      </c>
      <c r="D27" s="10" t="str">
        <f t="shared" si="5"/>
        <v>A9</v>
      </c>
      <c r="E27" s="10" t="str">
        <f t="shared" si="5"/>
        <v>A9</v>
      </c>
      <c r="F27" s="10" t="str">
        <f t="shared" si="5"/>
        <v>A9</v>
      </c>
      <c r="G27" s="10" t="str">
        <f t="shared" si="5"/>
        <v>A9</v>
      </c>
      <c r="H27" s="10" t="str">
        <f t="shared" si="5"/>
        <v>A9</v>
      </c>
      <c r="I27" s="10" t="str">
        <f t="shared" si="5"/>
        <v>A9</v>
      </c>
      <c r="J27" s="10" t="str">
        <f t="shared" si="5"/>
        <v>A9</v>
      </c>
      <c r="K27" s="10" t="str">
        <f t="shared" si="5"/>
        <v>A9</v>
      </c>
      <c r="L27" s="10" t="str">
        <f t="shared" si="5"/>
        <v>A9</v>
      </c>
      <c r="M27" s="10" t="str">
        <f t="shared" si="5"/>
        <v>A9</v>
      </c>
      <c r="N27" s="10" t="str">
        <f t="shared" si="5"/>
        <v>A9</v>
      </c>
      <c r="O27" s="10" t="str">
        <f t="shared" si="5"/>
        <v>A9</v>
      </c>
      <c r="P27" s="10" t="str">
        <f t="shared" si="5"/>
        <v>A9</v>
      </c>
      <c r="Q27" s="10" t="str">
        <f t="shared" si="5"/>
        <v>A9</v>
      </c>
      <c r="R27" s="10" t="str">
        <f t="shared" si="5"/>
        <v>A9</v>
      </c>
    </row>
    <row r="28" spans="1:18" x14ac:dyDescent="0.3">
      <c r="A28" s="39" t="s">
        <v>694</v>
      </c>
      <c r="B28" s="5" t="str">
        <f t="shared" si="4"/>
        <v>A390</v>
      </c>
      <c r="C28" s="18" t="str">
        <f t="shared" si="5"/>
        <v>A9</v>
      </c>
      <c r="D28" s="11" t="str">
        <f t="shared" si="5"/>
        <v>A9</v>
      </c>
      <c r="E28" s="11" t="str">
        <f t="shared" si="5"/>
        <v>A9</v>
      </c>
      <c r="F28" s="11" t="str">
        <f t="shared" si="5"/>
        <v>A9</v>
      </c>
      <c r="G28" s="11" t="str">
        <f t="shared" si="5"/>
        <v>A9</v>
      </c>
      <c r="H28" s="11" t="str">
        <f t="shared" si="5"/>
        <v>A9</v>
      </c>
      <c r="I28" s="11" t="str">
        <f t="shared" si="5"/>
        <v>A9</v>
      </c>
      <c r="J28" s="11" t="str">
        <f t="shared" si="5"/>
        <v>A9</v>
      </c>
      <c r="K28" s="11" t="str">
        <f t="shared" si="5"/>
        <v>A9</v>
      </c>
      <c r="L28" s="11" t="str">
        <f t="shared" si="5"/>
        <v>A9</v>
      </c>
      <c r="M28" s="11" t="str">
        <f t="shared" si="5"/>
        <v>A9</v>
      </c>
      <c r="N28" s="11" t="str">
        <f t="shared" si="5"/>
        <v>A9</v>
      </c>
      <c r="O28" s="11" t="str">
        <f t="shared" si="5"/>
        <v>A9</v>
      </c>
      <c r="P28" s="11" t="str">
        <f t="shared" si="5"/>
        <v>A9</v>
      </c>
      <c r="Q28" s="11" t="str">
        <f t="shared" si="5"/>
        <v>A9</v>
      </c>
      <c r="R28" s="11" t="str">
        <f t="shared" si="5"/>
        <v>A9</v>
      </c>
    </row>
    <row r="29" spans="1:18" x14ac:dyDescent="0.3">
      <c r="A29" s="39" t="s">
        <v>695</v>
      </c>
      <c r="B29" s="5" t="str">
        <f t="shared" si="4"/>
        <v>A3A0</v>
      </c>
      <c r="C29" s="18" t="str">
        <f t="shared" si="5"/>
        <v>A9</v>
      </c>
      <c r="D29" s="11" t="str">
        <f t="shared" si="5"/>
        <v>AA</v>
      </c>
      <c r="E29" s="11" t="str">
        <f t="shared" si="5"/>
        <v>A9</v>
      </c>
      <c r="F29" s="11" t="str">
        <f t="shared" si="5"/>
        <v>AA</v>
      </c>
      <c r="G29" s="11" t="str">
        <f t="shared" si="5"/>
        <v>A9</v>
      </c>
      <c r="H29" s="11" t="str">
        <f t="shared" si="5"/>
        <v>AA</v>
      </c>
      <c r="I29" s="11" t="str">
        <f t="shared" si="5"/>
        <v>A9</v>
      </c>
      <c r="J29" s="11" t="str">
        <f t="shared" si="5"/>
        <v>AA</v>
      </c>
      <c r="K29" s="11" t="str">
        <f t="shared" si="5"/>
        <v>A9</v>
      </c>
      <c r="L29" s="11" t="str">
        <f t="shared" si="5"/>
        <v>AA</v>
      </c>
      <c r="M29" s="11" t="str">
        <f t="shared" si="5"/>
        <v>A9</v>
      </c>
      <c r="N29" s="11" t="str">
        <f t="shared" si="5"/>
        <v>AA</v>
      </c>
      <c r="O29" s="11" t="str">
        <f t="shared" si="5"/>
        <v>A9</v>
      </c>
      <c r="P29" s="11" t="str">
        <f t="shared" si="5"/>
        <v>AA</v>
      </c>
      <c r="Q29" s="11" t="str">
        <f t="shared" si="5"/>
        <v>A9</v>
      </c>
      <c r="R29" s="11" t="str">
        <f t="shared" si="5"/>
        <v>AA</v>
      </c>
    </row>
    <row r="30" spans="1:18" x14ac:dyDescent="0.3">
      <c r="A30" s="39" t="s">
        <v>695</v>
      </c>
      <c r="B30" s="5" t="str">
        <f t="shared" si="4"/>
        <v>A3B0</v>
      </c>
      <c r="C30" s="18" t="str">
        <f t="shared" si="5"/>
        <v>A9</v>
      </c>
      <c r="D30" s="11" t="str">
        <f t="shared" si="5"/>
        <v>AA</v>
      </c>
      <c r="E30" s="11" t="str">
        <f t="shared" si="5"/>
        <v>A9</v>
      </c>
      <c r="F30" s="11" t="str">
        <f t="shared" si="5"/>
        <v>AA</v>
      </c>
      <c r="G30" s="11" t="str">
        <f t="shared" si="5"/>
        <v>A9</v>
      </c>
      <c r="H30" s="11" t="str">
        <f t="shared" si="5"/>
        <v>AA</v>
      </c>
      <c r="I30" s="11" t="str">
        <f t="shared" si="5"/>
        <v>A9</v>
      </c>
      <c r="J30" s="11" t="str">
        <f t="shared" si="5"/>
        <v>AA</v>
      </c>
      <c r="K30" s="11" t="str">
        <f t="shared" si="5"/>
        <v>A9</v>
      </c>
      <c r="L30" s="11" t="str">
        <f t="shared" si="5"/>
        <v>AA</v>
      </c>
      <c r="M30" s="11" t="str">
        <f t="shared" si="5"/>
        <v>A9</v>
      </c>
      <c r="N30" s="11" t="str">
        <f t="shared" si="5"/>
        <v>AA</v>
      </c>
      <c r="O30" s="11" t="str">
        <f t="shared" si="5"/>
        <v>A9</v>
      </c>
      <c r="P30" s="11" t="str">
        <f t="shared" si="5"/>
        <v>AA</v>
      </c>
      <c r="Q30" s="11" t="str">
        <f t="shared" si="5"/>
        <v>A9</v>
      </c>
      <c r="R30" s="11" t="str">
        <f t="shared" si="5"/>
        <v>AA</v>
      </c>
    </row>
    <row r="31" spans="1:18" x14ac:dyDescent="0.3">
      <c r="A31" s="39" t="s">
        <v>696</v>
      </c>
      <c r="B31" s="5" t="str">
        <f t="shared" si="4"/>
        <v>A3C0</v>
      </c>
      <c r="C31" s="18" t="str">
        <f t="shared" si="5"/>
        <v>A9</v>
      </c>
      <c r="D31" s="11" t="str">
        <f t="shared" si="5"/>
        <v>AB</v>
      </c>
      <c r="E31" s="11" t="str">
        <f t="shared" si="5"/>
        <v>AA</v>
      </c>
      <c r="F31" s="11" t="str">
        <f t="shared" si="5"/>
        <v>AB</v>
      </c>
      <c r="G31" s="11" t="str">
        <f t="shared" si="5"/>
        <v>A9</v>
      </c>
      <c r="H31" s="11" t="str">
        <f t="shared" si="5"/>
        <v>AB</v>
      </c>
      <c r="I31" s="11" t="str">
        <f t="shared" si="5"/>
        <v>AA</v>
      </c>
      <c r="J31" s="11" t="str">
        <f t="shared" si="5"/>
        <v>AB</v>
      </c>
      <c r="K31" s="11" t="str">
        <f t="shared" si="5"/>
        <v>A9</v>
      </c>
      <c r="L31" s="11" t="str">
        <f t="shared" si="5"/>
        <v>AB</v>
      </c>
      <c r="M31" s="11" t="str">
        <f t="shared" si="5"/>
        <v>AA</v>
      </c>
      <c r="N31" s="11" t="str">
        <f t="shared" si="5"/>
        <v>AB</v>
      </c>
      <c r="O31" s="11" t="str">
        <f t="shared" si="5"/>
        <v>A9</v>
      </c>
      <c r="P31" s="11" t="str">
        <f t="shared" si="5"/>
        <v>AB</v>
      </c>
      <c r="Q31" s="11" t="str">
        <f t="shared" si="5"/>
        <v>AA</v>
      </c>
      <c r="R31" s="11" t="str">
        <f t="shared" si="5"/>
        <v>AB</v>
      </c>
    </row>
    <row r="32" spans="1:18" x14ac:dyDescent="0.3">
      <c r="A32" s="39" t="s">
        <v>696</v>
      </c>
      <c r="B32" s="5" t="str">
        <f t="shared" si="4"/>
        <v>A3D0</v>
      </c>
      <c r="C32" s="18" t="str">
        <f t="shared" si="5"/>
        <v>A9</v>
      </c>
      <c r="D32" s="11" t="str">
        <f t="shared" si="5"/>
        <v>AB</v>
      </c>
      <c r="E32" s="11" t="str">
        <f t="shared" si="5"/>
        <v>AA</v>
      </c>
      <c r="F32" s="11" t="str">
        <f t="shared" si="5"/>
        <v>AB</v>
      </c>
      <c r="G32" s="11" t="str">
        <f t="shared" si="5"/>
        <v>A9</v>
      </c>
      <c r="H32" s="11" t="str">
        <f t="shared" si="5"/>
        <v>AB</v>
      </c>
      <c r="I32" s="11" t="str">
        <f t="shared" si="5"/>
        <v>AA</v>
      </c>
      <c r="J32" s="11" t="str">
        <f t="shared" si="5"/>
        <v>AB</v>
      </c>
      <c r="K32" s="11" t="str">
        <f t="shared" si="5"/>
        <v>A9</v>
      </c>
      <c r="L32" s="11" t="str">
        <f t="shared" si="5"/>
        <v>AB</v>
      </c>
      <c r="M32" s="11" t="str">
        <f t="shared" si="5"/>
        <v>AA</v>
      </c>
      <c r="N32" s="11" t="str">
        <f t="shared" si="5"/>
        <v>AB</v>
      </c>
      <c r="O32" s="11" t="str">
        <f t="shared" si="5"/>
        <v>A9</v>
      </c>
      <c r="P32" s="11" t="str">
        <f t="shared" si="5"/>
        <v>AB</v>
      </c>
      <c r="Q32" s="11" t="str">
        <f t="shared" si="5"/>
        <v>AA</v>
      </c>
      <c r="R32" s="11" t="str">
        <f t="shared" si="5"/>
        <v>AB</v>
      </c>
    </row>
    <row r="33" spans="1:18" x14ac:dyDescent="0.3">
      <c r="A33" s="39" t="s">
        <v>697</v>
      </c>
      <c r="B33" s="5" t="str">
        <f t="shared" si="4"/>
        <v>A3E0</v>
      </c>
      <c r="C33" s="18" t="str">
        <f t="shared" si="5"/>
        <v>A9</v>
      </c>
      <c r="D33" s="11" t="str">
        <f t="shared" si="5"/>
        <v>AC</v>
      </c>
      <c r="E33" s="11" t="str">
        <f t="shared" si="5"/>
        <v>AA</v>
      </c>
      <c r="F33" s="11" t="str">
        <f t="shared" si="5"/>
        <v>AC</v>
      </c>
      <c r="G33" s="11" t="str">
        <f t="shared" si="5"/>
        <v>A9</v>
      </c>
      <c r="H33" s="11" t="str">
        <f t="shared" si="5"/>
        <v>AC</v>
      </c>
      <c r="I33" s="11" t="str">
        <f t="shared" si="5"/>
        <v>AA</v>
      </c>
      <c r="J33" s="11" t="str">
        <f t="shared" si="5"/>
        <v>AC</v>
      </c>
      <c r="K33" s="11" t="str">
        <f t="shared" si="5"/>
        <v>A9</v>
      </c>
      <c r="L33" s="11" t="str">
        <f t="shared" si="5"/>
        <v>AC</v>
      </c>
      <c r="M33" s="11" t="str">
        <f t="shared" si="5"/>
        <v>AA</v>
      </c>
      <c r="N33" s="11" t="str">
        <f t="shared" si="5"/>
        <v>AC</v>
      </c>
      <c r="O33" s="11" t="str">
        <f t="shared" si="5"/>
        <v>A9</v>
      </c>
      <c r="P33" s="11" t="str">
        <f t="shared" si="5"/>
        <v>AC</v>
      </c>
      <c r="Q33" s="11" t="str">
        <f t="shared" si="5"/>
        <v>AA</v>
      </c>
      <c r="R33" s="11" t="str">
        <f t="shared" si="5"/>
        <v>AC</v>
      </c>
    </row>
    <row r="34" spans="1:18" x14ac:dyDescent="0.3">
      <c r="A34" s="39" t="s">
        <v>697</v>
      </c>
      <c r="B34" s="58" t="str">
        <f t="shared" si="4"/>
        <v>A3F0</v>
      </c>
      <c r="C34" s="19" t="str">
        <f t="shared" si="5"/>
        <v>A9</v>
      </c>
      <c r="D34" s="12" t="str">
        <f t="shared" si="5"/>
        <v>AC</v>
      </c>
      <c r="E34" s="12" t="str">
        <f t="shared" si="5"/>
        <v>AA</v>
      </c>
      <c r="F34" s="12" t="str">
        <f t="shared" si="5"/>
        <v>AC</v>
      </c>
      <c r="G34" s="12" t="str">
        <f t="shared" si="5"/>
        <v>A9</v>
      </c>
      <c r="H34" s="12" t="str">
        <f t="shared" si="5"/>
        <v>AC</v>
      </c>
      <c r="I34" s="12" t="str">
        <f t="shared" si="5"/>
        <v>AA</v>
      </c>
      <c r="J34" s="12" t="str">
        <f t="shared" si="5"/>
        <v>AC</v>
      </c>
      <c r="K34" s="12" t="str">
        <f t="shared" si="5"/>
        <v>A9</v>
      </c>
      <c r="L34" s="12" t="str">
        <f t="shared" si="5"/>
        <v>AC</v>
      </c>
      <c r="M34" s="12" t="str">
        <f t="shared" si="5"/>
        <v>AA</v>
      </c>
      <c r="N34" s="12" t="str">
        <f t="shared" si="5"/>
        <v>AC</v>
      </c>
      <c r="O34" s="12" t="str">
        <f t="shared" si="5"/>
        <v>A9</v>
      </c>
      <c r="P34" s="12" t="str">
        <f t="shared" si="5"/>
        <v>AC</v>
      </c>
      <c r="Q34" s="12" t="str">
        <f t="shared" si="5"/>
        <v>AA</v>
      </c>
      <c r="R34" s="12" t="str">
        <f t="shared" si="5"/>
        <v>AC</v>
      </c>
    </row>
    <row r="35" spans="1:18" x14ac:dyDescent="0.3">
      <c r="A35" s="39" t="s">
        <v>706</v>
      </c>
      <c r="B35" s="29" t="str">
        <f t="shared" si="4"/>
        <v>A400</v>
      </c>
      <c r="C35" s="17" t="str">
        <f t="shared" si="5"/>
        <v>00</v>
      </c>
      <c r="D35" s="10" t="str">
        <f t="shared" si="5"/>
        <v>06</v>
      </c>
      <c r="E35" s="10" t="str">
        <f t="shared" si="5"/>
        <v>08</v>
      </c>
      <c r="F35" s="10" t="str">
        <f t="shared" si="5"/>
        <v>16</v>
      </c>
      <c r="G35" s="10" t="str">
        <f t="shared" si="5"/>
        <v>0A</v>
      </c>
      <c r="H35" s="10" t="str">
        <f t="shared" si="5"/>
        <v>26</v>
      </c>
      <c r="I35" s="10" t="str">
        <f t="shared" si="5"/>
        <v>18</v>
      </c>
      <c r="J35" s="10" t="str">
        <f t="shared" si="5"/>
        <v>36</v>
      </c>
      <c r="K35" s="10" t="str">
        <f t="shared" si="5"/>
        <v>0C</v>
      </c>
      <c r="L35" s="10" t="str">
        <f t="shared" si="5"/>
        <v>46</v>
      </c>
      <c r="M35" s="10" t="str">
        <f t="shared" si="5"/>
        <v>28</v>
      </c>
      <c r="N35" s="10" t="str">
        <f t="shared" si="5"/>
        <v>56</v>
      </c>
      <c r="O35" s="10" t="str">
        <f t="shared" si="5"/>
        <v>1A</v>
      </c>
      <c r="P35" s="10" t="str">
        <f t="shared" si="5"/>
        <v>66</v>
      </c>
      <c r="Q35" s="10" t="str">
        <f t="shared" si="5"/>
        <v>38</v>
      </c>
      <c r="R35" s="10" t="str">
        <f t="shared" ref="R35:R98" si="6">MID($A35,13+R$1*3,2)</f>
        <v>76</v>
      </c>
    </row>
    <row r="36" spans="1:18" x14ac:dyDescent="0.3">
      <c r="A36" s="39" t="s">
        <v>707</v>
      </c>
      <c r="B36" s="5" t="str">
        <f t="shared" si="4"/>
        <v>A410</v>
      </c>
      <c r="C36" s="18" t="str">
        <f t="shared" ref="C36:Q51" si="7">MID($A36,13+C$1*3,2)</f>
        <v>0E</v>
      </c>
      <c r="D36" s="11" t="str">
        <f t="shared" si="7"/>
        <v>86</v>
      </c>
      <c r="E36" s="11" t="str">
        <f t="shared" si="7"/>
        <v>48</v>
      </c>
      <c r="F36" s="11" t="str">
        <f t="shared" si="7"/>
        <v>96</v>
      </c>
      <c r="G36" s="11" t="str">
        <f t="shared" si="7"/>
        <v>2A</v>
      </c>
      <c r="H36" s="11" t="str">
        <f t="shared" si="7"/>
        <v>A6</v>
      </c>
      <c r="I36" s="11" t="str">
        <f t="shared" si="7"/>
        <v>58</v>
      </c>
      <c r="J36" s="11" t="str">
        <f t="shared" si="7"/>
        <v>B6</v>
      </c>
      <c r="K36" s="11" t="str">
        <f t="shared" si="7"/>
        <v>1C</v>
      </c>
      <c r="L36" s="11" t="str">
        <f t="shared" si="7"/>
        <v>C6</v>
      </c>
      <c r="M36" s="11" t="str">
        <f t="shared" si="7"/>
        <v>68</v>
      </c>
      <c r="N36" s="11" t="str">
        <f t="shared" si="7"/>
        <v>D6</v>
      </c>
      <c r="O36" s="11" t="str">
        <f t="shared" si="7"/>
        <v>3A</v>
      </c>
      <c r="P36" s="11" t="str">
        <f t="shared" si="7"/>
        <v>E6</v>
      </c>
      <c r="Q36" s="11" t="str">
        <f t="shared" si="7"/>
        <v>78</v>
      </c>
      <c r="R36" s="11" t="str">
        <f t="shared" si="6"/>
        <v>F6</v>
      </c>
    </row>
    <row r="37" spans="1:18" x14ac:dyDescent="0.3">
      <c r="A37" s="39" t="s">
        <v>708</v>
      </c>
      <c r="B37" s="5" t="str">
        <f t="shared" si="4"/>
        <v>A420</v>
      </c>
      <c r="C37" s="18" t="str">
        <f t="shared" si="7"/>
        <v>10</v>
      </c>
      <c r="D37" s="11" t="str">
        <f t="shared" si="7"/>
        <v>06</v>
      </c>
      <c r="E37" s="11" t="str">
        <f t="shared" si="7"/>
        <v>88</v>
      </c>
      <c r="F37" s="11" t="str">
        <f t="shared" si="7"/>
        <v>16</v>
      </c>
      <c r="G37" s="11" t="str">
        <f t="shared" si="7"/>
        <v>4A</v>
      </c>
      <c r="H37" s="11" t="str">
        <f t="shared" si="7"/>
        <v>26</v>
      </c>
      <c r="I37" s="11" t="str">
        <f t="shared" si="7"/>
        <v>98</v>
      </c>
      <c r="J37" s="11" t="str">
        <f t="shared" si="7"/>
        <v>36</v>
      </c>
      <c r="K37" s="11" t="str">
        <f t="shared" si="7"/>
        <v>2C</v>
      </c>
      <c r="L37" s="11" t="str">
        <f t="shared" si="7"/>
        <v>46</v>
      </c>
      <c r="M37" s="11" t="str">
        <f t="shared" si="7"/>
        <v>A8</v>
      </c>
      <c r="N37" s="11" t="str">
        <f t="shared" si="7"/>
        <v>56</v>
      </c>
      <c r="O37" s="11" t="str">
        <f t="shared" si="7"/>
        <v>5A</v>
      </c>
      <c r="P37" s="11" t="str">
        <f t="shared" si="7"/>
        <v>66</v>
      </c>
      <c r="Q37" s="11" t="str">
        <f t="shared" si="7"/>
        <v>B8</v>
      </c>
      <c r="R37" s="11" t="str">
        <f t="shared" si="6"/>
        <v>76</v>
      </c>
    </row>
    <row r="38" spans="1:18" x14ac:dyDescent="0.3">
      <c r="A38" s="39" t="s">
        <v>709</v>
      </c>
      <c r="B38" s="5" t="str">
        <f t="shared" si="4"/>
        <v>A430</v>
      </c>
      <c r="C38" s="18" t="str">
        <f t="shared" si="7"/>
        <v>1E</v>
      </c>
      <c r="D38" s="11" t="str">
        <f t="shared" si="7"/>
        <v>86</v>
      </c>
      <c r="E38" s="11" t="str">
        <f t="shared" si="7"/>
        <v>C8</v>
      </c>
      <c r="F38" s="11" t="str">
        <f t="shared" si="7"/>
        <v>96</v>
      </c>
      <c r="G38" s="11" t="str">
        <f t="shared" si="7"/>
        <v>6A</v>
      </c>
      <c r="H38" s="11" t="str">
        <f t="shared" si="7"/>
        <v>A6</v>
      </c>
      <c r="I38" s="11" t="str">
        <f t="shared" si="7"/>
        <v>D8</v>
      </c>
      <c r="J38" s="11" t="str">
        <f t="shared" si="7"/>
        <v>B6</v>
      </c>
      <c r="K38" s="11" t="str">
        <f t="shared" si="7"/>
        <v>3C</v>
      </c>
      <c r="L38" s="11" t="str">
        <f t="shared" si="7"/>
        <v>C6</v>
      </c>
      <c r="M38" s="11" t="str">
        <f t="shared" si="7"/>
        <v>E8</v>
      </c>
      <c r="N38" s="11" t="str">
        <f t="shared" si="7"/>
        <v>D6</v>
      </c>
      <c r="O38" s="11" t="str">
        <f t="shared" si="7"/>
        <v>7A</v>
      </c>
      <c r="P38" s="11" t="str">
        <f t="shared" si="7"/>
        <v>E6</v>
      </c>
      <c r="Q38" s="11" t="str">
        <f t="shared" si="7"/>
        <v>F8</v>
      </c>
      <c r="R38" s="11" t="str">
        <f t="shared" si="6"/>
        <v>F6</v>
      </c>
    </row>
    <row r="39" spans="1:18" x14ac:dyDescent="0.3">
      <c r="A39" s="39" t="s">
        <v>710</v>
      </c>
      <c r="B39" s="5" t="str">
        <f t="shared" si="4"/>
        <v>A440</v>
      </c>
      <c r="C39" s="18" t="str">
        <f t="shared" si="7"/>
        <v>20</v>
      </c>
      <c r="D39" s="11" t="str">
        <f t="shared" si="7"/>
        <v>06</v>
      </c>
      <c r="E39" s="11" t="str">
        <f t="shared" si="7"/>
        <v>08</v>
      </c>
      <c r="F39" s="11" t="str">
        <f t="shared" si="7"/>
        <v>16</v>
      </c>
      <c r="G39" s="11" t="str">
        <f t="shared" si="7"/>
        <v>8A</v>
      </c>
      <c r="H39" s="11" t="str">
        <f t="shared" si="7"/>
        <v>26</v>
      </c>
      <c r="I39" s="11" t="str">
        <f t="shared" si="7"/>
        <v>18</v>
      </c>
      <c r="J39" s="11" t="str">
        <f t="shared" si="7"/>
        <v>36</v>
      </c>
      <c r="K39" s="11" t="str">
        <f t="shared" si="7"/>
        <v>4C</v>
      </c>
      <c r="L39" s="11" t="str">
        <f t="shared" si="7"/>
        <v>46</v>
      </c>
      <c r="M39" s="11" t="str">
        <f t="shared" si="7"/>
        <v>28</v>
      </c>
      <c r="N39" s="11" t="str">
        <f t="shared" si="7"/>
        <v>56</v>
      </c>
      <c r="O39" s="11" t="str">
        <f t="shared" si="7"/>
        <v>9A</v>
      </c>
      <c r="P39" s="11" t="str">
        <f t="shared" si="7"/>
        <v>66</v>
      </c>
      <c r="Q39" s="11" t="str">
        <f t="shared" si="7"/>
        <v>38</v>
      </c>
      <c r="R39" s="11" t="str">
        <f t="shared" si="6"/>
        <v>76</v>
      </c>
    </row>
    <row r="40" spans="1:18" x14ac:dyDescent="0.3">
      <c r="A40" s="39" t="s">
        <v>711</v>
      </c>
      <c r="B40" s="5" t="str">
        <f t="shared" si="4"/>
        <v>A450</v>
      </c>
      <c r="C40" s="18" t="str">
        <f t="shared" si="7"/>
        <v>2E</v>
      </c>
      <c r="D40" s="11" t="str">
        <f t="shared" si="7"/>
        <v>86</v>
      </c>
      <c r="E40" s="11" t="str">
        <f t="shared" si="7"/>
        <v>48</v>
      </c>
      <c r="F40" s="11" t="str">
        <f t="shared" si="7"/>
        <v>96</v>
      </c>
      <c r="G40" s="11" t="str">
        <f t="shared" si="7"/>
        <v>AA</v>
      </c>
      <c r="H40" s="11" t="str">
        <f t="shared" si="7"/>
        <v>A6</v>
      </c>
      <c r="I40" s="11" t="str">
        <f t="shared" si="7"/>
        <v>58</v>
      </c>
      <c r="J40" s="11" t="str">
        <f t="shared" si="7"/>
        <v>B6</v>
      </c>
      <c r="K40" s="11" t="str">
        <f t="shared" si="7"/>
        <v>5C</v>
      </c>
      <c r="L40" s="11" t="str">
        <f t="shared" si="7"/>
        <v>C6</v>
      </c>
      <c r="M40" s="11" t="str">
        <f t="shared" si="7"/>
        <v>68</v>
      </c>
      <c r="N40" s="11" t="str">
        <f t="shared" si="7"/>
        <v>D6</v>
      </c>
      <c r="O40" s="11" t="str">
        <f t="shared" si="7"/>
        <v>BA</v>
      </c>
      <c r="P40" s="11" t="str">
        <f t="shared" si="7"/>
        <v>E6</v>
      </c>
      <c r="Q40" s="11" t="str">
        <f t="shared" si="7"/>
        <v>78</v>
      </c>
      <c r="R40" s="11" t="str">
        <f t="shared" si="6"/>
        <v>F6</v>
      </c>
    </row>
    <row r="41" spans="1:18" x14ac:dyDescent="0.3">
      <c r="A41" s="39" t="s">
        <v>712</v>
      </c>
      <c r="B41" s="5" t="str">
        <f t="shared" si="4"/>
        <v>A460</v>
      </c>
      <c r="C41" s="18" t="str">
        <f t="shared" si="7"/>
        <v>30</v>
      </c>
      <c r="D41" s="11" t="str">
        <f t="shared" si="7"/>
        <v>06</v>
      </c>
      <c r="E41" s="11" t="str">
        <f t="shared" si="7"/>
        <v>88</v>
      </c>
      <c r="F41" s="11" t="str">
        <f t="shared" si="7"/>
        <v>16</v>
      </c>
      <c r="G41" s="11" t="str">
        <f t="shared" si="7"/>
        <v>CA</v>
      </c>
      <c r="H41" s="11" t="str">
        <f t="shared" si="7"/>
        <v>26</v>
      </c>
      <c r="I41" s="11" t="str">
        <f t="shared" si="7"/>
        <v>98</v>
      </c>
      <c r="J41" s="11" t="str">
        <f t="shared" si="7"/>
        <v>36</v>
      </c>
      <c r="K41" s="11" t="str">
        <f t="shared" si="7"/>
        <v>6C</v>
      </c>
      <c r="L41" s="11" t="str">
        <f t="shared" si="7"/>
        <v>46</v>
      </c>
      <c r="M41" s="11" t="str">
        <f t="shared" si="7"/>
        <v>A8</v>
      </c>
      <c r="N41" s="11" t="str">
        <f t="shared" si="7"/>
        <v>56</v>
      </c>
      <c r="O41" s="11" t="str">
        <f t="shared" si="7"/>
        <v>DA</v>
      </c>
      <c r="P41" s="11" t="str">
        <f t="shared" si="7"/>
        <v>66</v>
      </c>
      <c r="Q41" s="11" t="str">
        <f t="shared" si="7"/>
        <v>B8</v>
      </c>
      <c r="R41" s="11" t="str">
        <f t="shared" si="6"/>
        <v>76</v>
      </c>
    </row>
    <row r="42" spans="1:18" x14ac:dyDescent="0.3">
      <c r="A42" s="39" t="s">
        <v>713</v>
      </c>
      <c r="B42" s="58" t="str">
        <f t="shared" si="4"/>
        <v>A470</v>
      </c>
      <c r="C42" s="19" t="str">
        <f t="shared" si="7"/>
        <v>3E</v>
      </c>
      <c r="D42" s="12" t="str">
        <f t="shared" si="7"/>
        <v>86</v>
      </c>
      <c r="E42" s="12" t="str">
        <f t="shared" si="7"/>
        <v>C8</v>
      </c>
      <c r="F42" s="12" t="str">
        <f t="shared" si="7"/>
        <v>96</v>
      </c>
      <c r="G42" s="12" t="str">
        <f t="shared" si="7"/>
        <v>EA</v>
      </c>
      <c r="H42" s="12" t="str">
        <f t="shared" si="7"/>
        <v>A6</v>
      </c>
      <c r="I42" s="12" t="str">
        <f t="shared" si="7"/>
        <v>D8</v>
      </c>
      <c r="J42" s="12" t="str">
        <f t="shared" si="7"/>
        <v>B6</v>
      </c>
      <c r="K42" s="12" t="str">
        <f t="shared" si="7"/>
        <v>7C</v>
      </c>
      <c r="L42" s="12" t="str">
        <f t="shared" si="7"/>
        <v>C6</v>
      </c>
      <c r="M42" s="12" t="str">
        <f t="shared" si="7"/>
        <v>E8</v>
      </c>
      <c r="N42" s="12" t="str">
        <f t="shared" si="7"/>
        <v>D6</v>
      </c>
      <c r="O42" s="12" t="str">
        <f t="shared" si="7"/>
        <v>FA</v>
      </c>
      <c r="P42" s="12" t="str">
        <f t="shared" si="7"/>
        <v>E6</v>
      </c>
      <c r="Q42" s="12" t="str">
        <f t="shared" si="7"/>
        <v>F8</v>
      </c>
      <c r="R42" s="12" t="str">
        <f t="shared" si="6"/>
        <v>F6</v>
      </c>
    </row>
    <row r="43" spans="1:18" x14ac:dyDescent="0.3">
      <c r="A43" s="39" t="s">
        <v>694</v>
      </c>
      <c r="B43" s="5" t="str">
        <f t="shared" si="4"/>
        <v>A480</v>
      </c>
      <c r="C43" s="17" t="str">
        <f t="shared" si="7"/>
        <v>A9</v>
      </c>
      <c r="D43" s="10" t="str">
        <f t="shared" si="7"/>
        <v>A9</v>
      </c>
      <c r="E43" s="10" t="str">
        <f t="shared" si="7"/>
        <v>A9</v>
      </c>
      <c r="F43" s="10" t="str">
        <f t="shared" si="7"/>
        <v>A9</v>
      </c>
      <c r="G43" s="10" t="str">
        <f t="shared" si="7"/>
        <v>A9</v>
      </c>
      <c r="H43" s="10" t="str">
        <f t="shared" si="7"/>
        <v>A9</v>
      </c>
      <c r="I43" s="10" t="str">
        <f t="shared" si="7"/>
        <v>A9</v>
      </c>
      <c r="J43" s="10" t="str">
        <f t="shared" si="7"/>
        <v>A9</v>
      </c>
      <c r="K43" s="10" t="str">
        <f t="shared" si="7"/>
        <v>A9</v>
      </c>
      <c r="L43" s="10" t="str">
        <f t="shared" si="7"/>
        <v>A9</v>
      </c>
      <c r="M43" s="10" t="str">
        <f t="shared" si="7"/>
        <v>A9</v>
      </c>
      <c r="N43" s="10" t="str">
        <f t="shared" si="7"/>
        <v>A9</v>
      </c>
      <c r="O43" s="10" t="str">
        <f t="shared" si="7"/>
        <v>A9</v>
      </c>
      <c r="P43" s="10" t="str">
        <f t="shared" si="7"/>
        <v>A9</v>
      </c>
      <c r="Q43" s="10" t="str">
        <f t="shared" si="7"/>
        <v>A9</v>
      </c>
      <c r="R43" s="10" t="str">
        <f t="shared" si="6"/>
        <v>A9</v>
      </c>
    </row>
    <row r="44" spans="1:18" x14ac:dyDescent="0.3">
      <c r="A44" s="39" t="s">
        <v>694</v>
      </c>
      <c r="B44" s="5" t="str">
        <f t="shared" si="4"/>
        <v>A490</v>
      </c>
      <c r="C44" s="18" t="str">
        <f t="shared" si="7"/>
        <v>A9</v>
      </c>
      <c r="D44" s="11" t="str">
        <f t="shared" si="7"/>
        <v>A9</v>
      </c>
      <c r="E44" s="11" t="str">
        <f t="shared" si="7"/>
        <v>A9</v>
      </c>
      <c r="F44" s="11" t="str">
        <f t="shared" si="7"/>
        <v>A9</v>
      </c>
      <c r="G44" s="11" t="str">
        <f t="shared" si="7"/>
        <v>A9</v>
      </c>
      <c r="H44" s="11" t="str">
        <f t="shared" si="7"/>
        <v>A9</v>
      </c>
      <c r="I44" s="11" t="str">
        <f t="shared" si="7"/>
        <v>A9</v>
      </c>
      <c r="J44" s="11" t="str">
        <f t="shared" si="7"/>
        <v>A9</v>
      </c>
      <c r="K44" s="11" t="str">
        <f t="shared" si="7"/>
        <v>A9</v>
      </c>
      <c r="L44" s="11" t="str">
        <f t="shared" si="7"/>
        <v>A9</v>
      </c>
      <c r="M44" s="11" t="str">
        <f t="shared" si="7"/>
        <v>A9</v>
      </c>
      <c r="N44" s="11" t="str">
        <f t="shared" si="7"/>
        <v>A9</v>
      </c>
      <c r="O44" s="11" t="str">
        <f t="shared" si="7"/>
        <v>A9</v>
      </c>
      <c r="P44" s="11" t="str">
        <f t="shared" si="7"/>
        <v>A9</v>
      </c>
      <c r="Q44" s="11" t="str">
        <f t="shared" si="7"/>
        <v>A9</v>
      </c>
      <c r="R44" s="11" t="str">
        <f t="shared" si="6"/>
        <v>A9</v>
      </c>
    </row>
    <row r="45" spans="1:18" x14ac:dyDescent="0.3">
      <c r="A45" s="39" t="s">
        <v>695</v>
      </c>
      <c r="B45" s="5" t="str">
        <f t="shared" si="4"/>
        <v>A4A0</v>
      </c>
      <c r="C45" s="18" t="str">
        <f t="shared" si="7"/>
        <v>A9</v>
      </c>
      <c r="D45" s="11" t="str">
        <f t="shared" si="7"/>
        <v>AA</v>
      </c>
      <c r="E45" s="11" t="str">
        <f t="shared" si="7"/>
        <v>A9</v>
      </c>
      <c r="F45" s="11" t="str">
        <f t="shared" si="7"/>
        <v>AA</v>
      </c>
      <c r="G45" s="11" t="str">
        <f t="shared" si="7"/>
        <v>A9</v>
      </c>
      <c r="H45" s="11" t="str">
        <f t="shared" si="7"/>
        <v>AA</v>
      </c>
      <c r="I45" s="11" t="str">
        <f t="shared" si="7"/>
        <v>A9</v>
      </c>
      <c r="J45" s="11" t="str">
        <f t="shared" si="7"/>
        <v>AA</v>
      </c>
      <c r="K45" s="11" t="str">
        <f t="shared" si="7"/>
        <v>A9</v>
      </c>
      <c r="L45" s="11" t="str">
        <f t="shared" si="7"/>
        <v>AA</v>
      </c>
      <c r="M45" s="11" t="str">
        <f t="shared" si="7"/>
        <v>A9</v>
      </c>
      <c r="N45" s="11" t="str">
        <f t="shared" si="7"/>
        <v>AA</v>
      </c>
      <c r="O45" s="11" t="str">
        <f t="shared" si="7"/>
        <v>A9</v>
      </c>
      <c r="P45" s="11" t="str">
        <f t="shared" si="7"/>
        <v>AA</v>
      </c>
      <c r="Q45" s="11" t="str">
        <f t="shared" si="7"/>
        <v>A9</v>
      </c>
      <c r="R45" s="11" t="str">
        <f t="shared" si="6"/>
        <v>AA</v>
      </c>
    </row>
    <row r="46" spans="1:18" x14ac:dyDescent="0.3">
      <c r="A46" s="39" t="s">
        <v>695</v>
      </c>
      <c r="B46" s="5" t="str">
        <f t="shared" si="4"/>
        <v>A4B0</v>
      </c>
      <c r="C46" s="18" t="str">
        <f t="shared" si="7"/>
        <v>A9</v>
      </c>
      <c r="D46" s="11" t="str">
        <f t="shared" si="7"/>
        <v>AA</v>
      </c>
      <c r="E46" s="11" t="str">
        <f t="shared" si="7"/>
        <v>A9</v>
      </c>
      <c r="F46" s="11" t="str">
        <f t="shared" si="7"/>
        <v>AA</v>
      </c>
      <c r="G46" s="11" t="str">
        <f t="shared" si="7"/>
        <v>A9</v>
      </c>
      <c r="H46" s="11" t="str">
        <f t="shared" si="7"/>
        <v>AA</v>
      </c>
      <c r="I46" s="11" t="str">
        <f t="shared" si="7"/>
        <v>A9</v>
      </c>
      <c r="J46" s="11" t="str">
        <f t="shared" si="7"/>
        <v>AA</v>
      </c>
      <c r="K46" s="11" t="str">
        <f t="shared" si="7"/>
        <v>A9</v>
      </c>
      <c r="L46" s="11" t="str">
        <f t="shared" si="7"/>
        <v>AA</v>
      </c>
      <c r="M46" s="11" t="str">
        <f t="shared" si="7"/>
        <v>A9</v>
      </c>
      <c r="N46" s="11" t="str">
        <f t="shared" si="7"/>
        <v>AA</v>
      </c>
      <c r="O46" s="11" t="str">
        <f t="shared" si="7"/>
        <v>A9</v>
      </c>
      <c r="P46" s="11" t="str">
        <f t="shared" si="7"/>
        <v>AA</v>
      </c>
      <c r="Q46" s="11" t="str">
        <f t="shared" si="7"/>
        <v>A9</v>
      </c>
      <c r="R46" s="11" t="str">
        <f t="shared" si="6"/>
        <v>AA</v>
      </c>
    </row>
    <row r="47" spans="1:18" x14ac:dyDescent="0.3">
      <c r="A47" s="39" t="s">
        <v>696</v>
      </c>
      <c r="B47" s="5" t="str">
        <f t="shared" si="4"/>
        <v>A4C0</v>
      </c>
      <c r="C47" s="18" t="str">
        <f t="shared" si="7"/>
        <v>A9</v>
      </c>
      <c r="D47" s="11" t="str">
        <f t="shared" si="7"/>
        <v>AB</v>
      </c>
      <c r="E47" s="11" t="str">
        <f t="shared" si="7"/>
        <v>AA</v>
      </c>
      <c r="F47" s="11" t="str">
        <f t="shared" si="7"/>
        <v>AB</v>
      </c>
      <c r="G47" s="11" t="str">
        <f t="shared" si="7"/>
        <v>A9</v>
      </c>
      <c r="H47" s="11" t="str">
        <f t="shared" si="7"/>
        <v>AB</v>
      </c>
      <c r="I47" s="11" t="str">
        <f t="shared" si="7"/>
        <v>AA</v>
      </c>
      <c r="J47" s="11" t="str">
        <f t="shared" si="7"/>
        <v>AB</v>
      </c>
      <c r="K47" s="11" t="str">
        <f t="shared" si="7"/>
        <v>A9</v>
      </c>
      <c r="L47" s="11" t="str">
        <f t="shared" si="7"/>
        <v>AB</v>
      </c>
      <c r="M47" s="11" t="str">
        <f t="shared" si="7"/>
        <v>AA</v>
      </c>
      <c r="N47" s="11" t="str">
        <f t="shared" si="7"/>
        <v>AB</v>
      </c>
      <c r="O47" s="11" t="str">
        <f t="shared" si="7"/>
        <v>A9</v>
      </c>
      <c r="P47" s="11" t="str">
        <f t="shared" si="7"/>
        <v>AB</v>
      </c>
      <c r="Q47" s="11" t="str">
        <f t="shared" si="7"/>
        <v>AA</v>
      </c>
      <c r="R47" s="11" t="str">
        <f t="shared" si="6"/>
        <v>AB</v>
      </c>
    </row>
    <row r="48" spans="1:18" x14ac:dyDescent="0.3">
      <c r="A48" s="39" t="s">
        <v>696</v>
      </c>
      <c r="B48" s="5" t="str">
        <f t="shared" si="4"/>
        <v>A4D0</v>
      </c>
      <c r="C48" s="18" t="str">
        <f t="shared" si="7"/>
        <v>A9</v>
      </c>
      <c r="D48" s="11" t="str">
        <f t="shared" si="7"/>
        <v>AB</v>
      </c>
      <c r="E48" s="11" t="str">
        <f t="shared" si="7"/>
        <v>AA</v>
      </c>
      <c r="F48" s="11" t="str">
        <f t="shared" si="7"/>
        <v>AB</v>
      </c>
      <c r="G48" s="11" t="str">
        <f t="shared" si="7"/>
        <v>A9</v>
      </c>
      <c r="H48" s="11" t="str">
        <f t="shared" si="7"/>
        <v>AB</v>
      </c>
      <c r="I48" s="11" t="str">
        <f t="shared" si="7"/>
        <v>AA</v>
      </c>
      <c r="J48" s="11" t="str">
        <f t="shared" si="7"/>
        <v>AB</v>
      </c>
      <c r="K48" s="11" t="str">
        <f t="shared" si="7"/>
        <v>A9</v>
      </c>
      <c r="L48" s="11" t="str">
        <f t="shared" si="7"/>
        <v>AB</v>
      </c>
      <c r="M48" s="11" t="str">
        <f t="shared" si="7"/>
        <v>AA</v>
      </c>
      <c r="N48" s="11" t="str">
        <f t="shared" si="7"/>
        <v>AB</v>
      </c>
      <c r="O48" s="11" t="str">
        <f t="shared" si="7"/>
        <v>A9</v>
      </c>
      <c r="P48" s="11" t="str">
        <f t="shared" si="7"/>
        <v>AB</v>
      </c>
      <c r="Q48" s="11" t="str">
        <f t="shared" si="7"/>
        <v>AA</v>
      </c>
      <c r="R48" s="11" t="str">
        <f t="shared" si="6"/>
        <v>AB</v>
      </c>
    </row>
    <row r="49" spans="1:18" x14ac:dyDescent="0.3">
      <c r="A49" s="39" t="s">
        <v>697</v>
      </c>
      <c r="B49" s="5" t="str">
        <f t="shared" si="4"/>
        <v>A4E0</v>
      </c>
      <c r="C49" s="18" t="str">
        <f t="shared" si="7"/>
        <v>A9</v>
      </c>
      <c r="D49" s="11" t="str">
        <f t="shared" si="7"/>
        <v>AC</v>
      </c>
      <c r="E49" s="11" t="str">
        <f t="shared" si="7"/>
        <v>AA</v>
      </c>
      <c r="F49" s="11" t="str">
        <f t="shared" si="7"/>
        <v>AC</v>
      </c>
      <c r="G49" s="11" t="str">
        <f t="shared" si="7"/>
        <v>A9</v>
      </c>
      <c r="H49" s="11" t="str">
        <f t="shared" si="7"/>
        <v>AC</v>
      </c>
      <c r="I49" s="11" t="str">
        <f t="shared" si="7"/>
        <v>AA</v>
      </c>
      <c r="J49" s="11" t="str">
        <f t="shared" si="7"/>
        <v>AC</v>
      </c>
      <c r="K49" s="11" t="str">
        <f t="shared" si="7"/>
        <v>A9</v>
      </c>
      <c r="L49" s="11" t="str">
        <f t="shared" si="7"/>
        <v>AC</v>
      </c>
      <c r="M49" s="11" t="str">
        <f t="shared" si="7"/>
        <v>AA</v>
      </c>
      <c r="N49" s="11" t="str">
        <f t="shared" si="7"/>
        <v>AC</v>
      </c>
      <c r="O49" s="11" t="str">
        <f t="shared" si="7"/>
        <v>A9</v>
      </c>
      <c r="P49" s="11" t="str">
        <f t="shared" si="7"/>
        <v>AC</v>
      </c>
      <c r="Q49" s="11" t="str">
        <f t="shared" si="7"/>
        <v>AA</v>
      </c>
      <c r="R49" s="11" t="str">
        <f t="shared" si="6"/>
        <v>AC</v>
      </c>
    </row>
    <row r="50" spans="1:18" x14ac:dyDescent="0.3">
      <c r="A50" s="39" t="s">
        <v>697</v>
      </c>
      <c r="B50" s="58" t="str">
        <f t="shared" si="4"/>
        <v>A4F0</v>
      </c>
      <c r="C50" s="19" t="str">
        <f t="shared" si="7"/>
        <v>A9</v>
      </c>
      <c r="D50" s="12" t="str">
        <f t="shared" si="7"/>
        <v>AC</v>
      </c>
      <c r="E50" s="12" t="str">
        <f t="shared" si="7"/>
        <v>AA</v>
      </c>
      <c r="F50" s="12" t="str">
        <f t="shared" si="7"/>
        <v>AC</v>
      </c>
      <c r="G50" s="12" t="str">
        <f t="shared" si="7"/>
        <v>A9</v>
      </c>
      <c r="H50" s="12" t="str">
        <f t="shared" si="7"/>
        <v>AC</v>
      </c>
      <c r="I50" s="12" t="str">
        <f t="shared" si="7"/>
        <v>AA</v>
      </c>
      <c r="J50" s="12" t="str">
        <f t="shared" si="7"/>
        <v>AC</v>
      </c>
      <c r="K50" s="12" t="str">
        <f t="shared" si="7"/>
        <v>A9</v>
      </c>
      <c r="L50" s="12" t="str">
        <f t="shared" si="7"/>
        <v>AC</v>
      </c>
      <c r="M50" s="12" t="str">
        <f t="shared" si="7"/>
        <v>AA</v>
      </c>
      <c r="N50" s="12" t="str">
        <f t="shared" si="7"/>
        <v>AC</v>
      </c>
      <c r="O50" s="12" t="str">
        <f t="shared" si="7"/>
        <v>A9</v>
      </c>
      <c r="P50" s="12" t="str">
        <f t="shared" si="7"/>
        <v>AC</v>
      </c>
      <c r="Q50" s="12" t="str">
        <f t="shared" si="7"/>
        <v>AA</v>
      </c>
      <c r="R50" s="12" t="str">
        <f t="shared" si="6"/>
        <v>AC</v>
      </c>
    </row>
    <row r="51" spans="1:18" x14ac:dyDescent="0.3">
      <c r="A51" s="39" t="s">
        <v>714</v>
      </c>
      <c r="B51" s="59" t="str">
        <f t="shared" si="4"/>
        <v>A500</v>
      </c>
      <c r="C51" s="17" t="str">
        <f t="shared" si="7"/>
        <v>00</v>
      </c>
      <c r="D51" s="10" t="str">
        <f t="shared" si="7"/>
        <v>08</v>
      </c>
      <c r="E51" s="10" t="str">
        <f t="shared" si="7"/>
        <v>0A</v>
      </c>
      <c r="F51" s="10" t="str">
        <f t="shared" si="7"/>
        <v>18</v>
      </c>
      <c r="G51" s="10" t="str">
        <f t="shared" si="7"/>
        <v>0C</v>
      </c>
      <c r="H51" s="10" t="str">
        <f t="shared" si="7"/>
        <v>28</v>
      </c>
      <c r="I51" s="10" t="str">
        <f t="shared" si="7"/>
        <v>1A</v>
      </c>
      <c r="J51" s="10" t="str">
        <f t="shared" si="7"/>
        <v>38</v>
      </c>
      <c r="K51" s="10" t="str">
        <f t="shared" si="7"/>
        <v>0E</v>
      </c>
      <c r="L51" s="10" t="str">
        <f t="shared" si="7"/>
        <v>48</v>
      </c>
      <c r="M51" s="10" t="str">
        <f t="shared" si="7"/>
        <v>2A</v>
      </c>
      <c r="N51" s="10" t="str">
        <f t="shared" si="7"/>
        <v>58</v>
      </c>
      <c r="O51" s="10" t="str">
        <f t="shared" si="7"/>
        <v>1C</v>
      </c>
      <c r="P51" s="10" t="str">
        <f t="shared" si="7"/>
        <v>68</v>
      </c>
      <c r="Q51" s="10" t="str">
        <f t="shared" si="7"/>
        <v>3A</v>
      </c>
      <c r="R51" s="10" t="str">
        <f t="shared" si="6"/>
        <v>78</v>
      </c>
    </row>
    <row r="52" spans="1:18" x14ac:dyDescent="0.3">
      <c r="A52" s="39" t="s">
        <v>715</v>
      </c>
      <c r="B52" s="24" t="str">
        <f t="shared" si="4"/>
        <v>A510</v>
      </c>
      <c r="C52" s="18" t="str">
        <f t="shared" ref="C52:Q67" si="8">MID($A52,13+C$1*3,2)</f>
        <v>10</v>
      </c>
      <c r="D52" s="11" t="str">
        <f t="shared" si="8"/>
        <v>88</v>
      </c>
      <c r="E52" s="11" t="str">
        <f t="shared" si="8"/>
        <v>4A</v>
      </c>
      <c r="F52" s="11" t="str">
        <f t="shared" si="8"/>
        <v>98</v>
      </c>
      <c r="G52" s="11" t="str">
        <f t="shared" si="8"/>
        <v>2C</v>
      </c>
      <c r="H52" s="11" t="str">
        <f t="shared" si="8"/>
        <v>A8</v>
      </c>
      <c r="I52" s="27" t="str">
        <f t="shared" si="8"/>
        <v>5A</v>
      </c>
      <c r="J52" s="11" t="str">
        <f t="shared" si="8"/>
        <v>B8</v>
      </c>
      <c r="K52" s="11" t="str">
        <f t="shared" si="8"/>
        <v>1E</v>
      </c>
      <c r="L52" s="11" t="str">
        <f t="shared" si="8"/>
        <v>C8</v>
      </c>
      <c r="M52" s="11" t="str">
        <f t="shared" si="8"/>
        <v>6A</v>
      </c>
      <c r="N52" s="11" t="str">
        <f t="shared" si="8"/>
        <v>D8</v>
      </c>
      <c r="O52" s="11" t="str">
        <f t="shared" si="8"/>
        <v>3C</v>
      </c>
      <c r="P52" s="11" t="str">
        <f t="shared" si="8"/>
        <v>E8</v>
      </c>
      <c r="Q52" s="11" t="str">
        <f t="shared" si="8"/>
        <v>7A</v>
      </c>
      <c r="R52" s="11" t="str">
        <f t="shared" si="6"/>
        <v>F8</v>
      </c>
    </row>
    <row r="53" spans="1:18" x14ac:dyDescent="0.3">
      <c r="A53" s="39" t="s">
        <v>716</v>
      </c>
      <c r="B53" s="5" t="str">
        <f t="shared" si="4"/>
        <v>A520</v>
      </c>
      <c r="C53" s="18" t="str">
        <f t="shared" si="8"/>
        <v>20</v>
      </c>
      <c r="D53" s="11" t="str">
        <f t="shared" si="8"/>
        <v>08</v>
      </c>
      <c r="E53" s="11" t="str">
        <f t="shared" si="8"/>
        <v>8A</v>
      </c>
      <c r="F53" s="11" t="str">
        <f t="shared" si="8"/>
        <v>18</v>
      </c>
      <c r="G53" s="11" t="str">
        <f t="shared" si="8"/>
        <v>4C</v>
      </c>
      <c r="H53" s="11" t="str">
        <f t="shared" si="8"/>
        <v>28</v>
      </c>
      <c r="I53" s="11" t="str">
        <f t="shared" si="8"/>
        <v>9A</v>
      </c>
      <c r="J53" s="11" t="str">
        <f t="shared" si="8"/>
        <v>38</v>
      </c>
      <c r="K53" s="11" t="str">
        <f t="shared" si="8"/>
        <v>2E</v>
      </c>
      <c r="L53" s="11" t="str">
        <f t="shared" si="8"/>
        <v>48</v>
      </c>
      <c r="M53" s="11" t="str">
        <f t="shared" si="8"/>
        <v>AA</v>
      </c>
      <c r="N53" s="11" t="str">
        <f t="shared" si="8"/>
        <v>58</v>
      </c>
      <c r="O53" s="11" t="str">
        <f t="shared" si="8"/>
        <v>5C</v>
      </c>
      <c r="P53" s="11" t="str">
        <f t="shared" si="8"/>
        <v>68</v>
      </c>
      <c r="Q53" s="11" t="str">
        <f t="shared" si="8"/>
        <v>BA</v>
      </c>
      <c r="R53" s="11" t="str">
        <f t="shared" si="6"/>
        <v>78</v>
      </c>
    </row>
    <row r="54" spans="1:18" x14ac:dyDescent="0.3">
      <c r="A54" s="39" t="s">
        <v>717</v>
      </c>
      <c r="B54" s="5" t="str">
        <f t="shared" si="4"/>
        <v>A530</v>
      </c>
      <c r="C54" s="18" t="str">
        <f t="shared" si="8"/>
        <v>30</v>
      </c>
      <c r="D54" s="11" t="str">
        <f t="shared" si="8"/>
        <v>88</v>
      </c>
      <c r="E54" s="11" t="str">
        <f t="shared" si="8"/>
        <v>CA</v>
      </c>
      <c r="F54" s="11" t="str">
        <f t="shared" si="8"/>
        <v>98</v>
      </c>
      <c r="G54" s="11" t="str">
        <f t="shared" si="8"/>
        <v>6C</v>
      </c>
      <c r="H54" s="11" t="str">
        <f t="shared" si="8"/>
        <v>A8</v>
      </c>
      <c r="I54" s="11" t="str">
        <f t="shared" si="8"/>
        <v>DA</v>
      </c>
      <c r="J54" s="11" t="str">
        <f t="shared" si="8"/>
        <v>B8</v>
      </c>
      <c r="K54" s="11" t="str">
        <f t="shared" si="8"/>
        <v>3E</v>
      </c>
      <c r="L54" s="11" t="str">
        <f t="shared" si="8"/>
        <v>C8</v>
      </c>
      <c r="M54" s="11" t="str">
        <f t="shared" si="8"/>
        <v>EA</v>
      </c>
      <c r="N54" s="11" t="str">
        <f t="shared" si="8"/>
        <v>D8</v>
      </c>
      <c r="O54" s="11" t="str">
        <f t="shared" si="8"/>
        <v>7C</v>
      </c>
      <c r="P54" s="11" t="str">
        <f t="shared" si="8"/>
        <v>E8</v>
      </c>
      <c r="Q54" s="11" t="str">
        <f t="shared" si="8"/>
        <v>FA</v>
      </c>
      <c r="R54" s="11" t="str">
        <f t="shared" si="6"/>
        <v>F8</v>
      </c>
    </row>
    <row r="55" spans="1:18" x14ac:dyDescent="0.3">
      <c r="A55" s="39" t="s">
        <v>718</v>
      </c>
      <c r="B55" s="5" t="str">
        <f t="shared" si="4"/>
        <v>A540</v>
      </c>
      <c r="C55" s="18" t="str">
        <f t="shared" si="8"/>
        <v>40</v>
      </c>
      <c r="D55" s="11" t="str">
        <f t="shared" si="8"/>
        <v>08</v>
      </c>
      <c r="E55" s="11" t="str">
        <f t="shared" si="8"/>
        <v>0A</v>
      </c>
      <c r="F55" s="11" t="str">
        <f t="shared" si="8"/>
        <v>18</v>
      </c>
      <c r="G55" s="11" t="str">
        <f t="shared" si="8"/>
        <v>8C</v>
      </c>
      <c r="H55" s="11" t="str">
        <f t="shared" si="8"/>
        <v>28</v>
      </c>
      <c r="I55" s="11" t="str">
        <f t="shared" si="8"/>
        <v>1A</v>
      </c>
      <c r="J55" s="11" t="str">
        <f t="shared" si="8"/>
        <v>38</v>
      </c>
      <c r="K55" s="11" t="str">
        <f t="shared" si="8"/>
        <v>4E</v>
      </c>
      <c r="L55" s="11" t="str">
        <f t="shared" si="8"/>
        <v>48</v>
      </c>
      <c r="M55" s="11" t="str">
        <f t="shared" si="8"/>
        <v>2A</v>
      </c>
      <c r="N55" s="11" t="str">
        <f t="shared" si="8"/>
        <v>58</v>
      </c>
      <c r="O55" s="11" t="str">
        <f t="shared" si="8"/>
        <v>9C</v>
      </c>
      <c r="P55" s="11" t="str">
        <f t="shared" si="8"/>
        <v>68</v>
      </c>
      <c r="Q55" s="11" t="str">
        <f t="shared" si="8"/>
        <v>3A</v>
      </c>
      <c r="R55" s="11" t="str">
        <f t="shared" si="6"/>
        <v>78</v>
      </c>
    </row>
    <row r="56" spans="1:18" x14ac:dyDescent="0.3">
      <c r="A56" s="39" t="s">
        <v>719</v>
      </c>
      <c r="B56" s="5" t="str">
        <f t="shared" si="4"/>
        <v>A550</v>
      </c>
      <c r="C56" s="18" t="str">
        <f t="shared" si="8"/>
        <v>50</v>
      </c>
      <c r="D56" s="11" t="str">
        <f t="shared" si="8"/>
        <v>88</v>
      </c>
      <c r="E56" s="11" t="str">
        <f t="shared" si="8"/>
        <v>4A</v>
      </c>
      <c r="F56" s="11" t="str">
        <f t="shared" si="8"/>
        <v>98</v>
      </c>
      <c r="G56" s="11" t="str">
        <f t="shared" si="8"/>
        <v>AC</v>
      </c>
      <c r="H56" s="11" t="str">
        <f t="shared" si="8"/>
        <v>A8</v>
      </c>
      <c r="I56" s="11" t="str">
        <f t="shared" si="8"/>
        <v>5A</v>
      </c>
      <c r="J56" s="11" t="str">
        <f t="shared" si="8"/>
        <v>B8</v>
      </c>
      <c r="K56" s="11" t="str">
        <f t="shared" si="8"/>
        <v>5E</v>
      </c>
      <c r="L56" s="11" t="str">
        <f t="shared" si="8"/>
        <v>C8</v>
      </c>
      <c r="M56" s="11" t="str">
        <f t="shared" si="8"/>
        <v>6A</v>
      </c>
      <c r="N56" s="11" t="str">
        <f t="shared" si="8"/>
        <v>D8</v>
      </c>
      <c r="O56" s="11" t="str">
        <f t="shared" si="8"/>
        <v>BC</v>
      </c>
      <c r="P56" s="11" t="str">
        <f t="shared" si="8"/>
        <v>E8</v>
      </c>
      <c r="Q56" s="11" t="str">
        <f t="shared" si="8"/>
        <v>7A</v>
      </c>
      <c r="R56" s="11" t="str">
        <f t="shared" si="6"/>
        <v>F8</v>
      </c>
    </row>
    <row r="57" spans="1:18" x14ac:dyDescent="0.3">
      <c r="A57" s="39" t="s">
        <v>720</v>
      </c>
      <c r="B57" s="5" t="str">
        <f t="shared" si="4"/>
        <v>A560</v>
      </c>
      <c r="C57" s="18" t="str">
        <f t="shared" si="8"/>
        <v>60</v>
      </c>
      <c r="D57" s="11" t="str">
        <f t="shared" si="8"/>
        <v>08</v>
      </c>
      <c r="E57" s="11" t="str">
        <f t="shared" si="8"/>
        <v>8A</v>
      </c>
      <c r="F57" s="11" t="str">
        <f t="shared" si="8"/>
        <v>18</v>
      </c>
      <c r="G57" s="11" t="str">
        <f t="shared" si="8"/>
        <v>CC</v>
      </c>
      <c r="H57" s="11" t="str">
        <f t="shared" si="8"/>
        <v>28</v>
      </c>
      <c r="I57" s="11" t="str">
        <f t="shared" si="8"/>
        <v>9A</v>
      </c>
      <c r="J57" s="11" t="str">
        <f t="shared" si="8"/>
        <v>38</v>
      </c>
      <c r="K57" s="11" t="str">
        <f t="shared" si="8"/>
        <v>6E</v>
      </c>
      <c r="L57" s="11" t="str">
        <f t="shared" si="8"/>
        <v>48</v>
      </c>
      <c r="M57" s="11" t="str">
        <f t="shared" si="8"/>
        <v>AA</v>
      </c>
      <c r="N57" s="11" t="str">
        <f t="shared" si="8"/>
        <v>58</v>
      </c>
      <c r="O57" s="11" t="str">
        <f t="shared" si="8"/>
        <v>DC</v>
      </c>
      <c r="P57" s="11" t="str">
        <f t="shared" si="8"/>
        <v>68</v>
      </c>
      <c r="Q57" s="11" t="str">
        <f t="shared" si="8"/>
        <v>BA</v>
      </c>
      <c r="R57" s="11" t="str">
        <f t="shared" si="6"/>
        <v>78</v>
      </c>
    </row>
    <row r="58" spans="1:18" x14ac:dyDescent="0.3">
      <c r="A58" s="39" t="s">
        <v>721</v>
      </c>
      <c r="B58" s="58" t="str">
        <f t="shared" si="4"/>
        <v>A570</v>
      </c>
      <c r="C58" s="19" t="str">
        <f t="shared" si="8"/>
        <v>70</v>
      </c>
      <c r="D58" s="12" t="str">
        <f t="shared" si="8"/>
        <v>88</v>
      </c>
      <c r="E58" s="12" t="str">
        <f t="shared" si="8"/>
        <v>CA</v>
      </c>
      <c r="F58" s="12" t="str">
        <f t="shared" si="8"/>
        <v>98</v>
      </c>
      <c r="G58" s="12" t="str">
        <f t="shared" si="8"/>
        <v>EC</v>
      </c>
      <c r="H58" s="12" t="str">
        <f t="shared" si="8"/>
        <v>A8</v>
      </c>
      <c r="I58" s="12" t="str">
        <f t="shared" si="8"/>
        <v>DA</v>
      </c>
      <c r="J58" s="12" t="str">
        <f t="shared" si="8"/>
        <v>B8</v>
      </c>
      <c r="K58" s="12" t="str">
        <f t="shared" si="8"/>
        <v>7E</v>
      </c>
      <c r="L58" s="12" t="str">
        <f t="shared" si="8"/>
        <v>C8</v>
      </c>
      <c r="M58" s="12" t="str">
        <f t="shared" si="8"/>
        <v>EA</v>
      </c>
      <c r="N58" s="12" t="str">
        <f t="shared" si="8"/>
        <v>D8</v>
      </c>
      <c r="O58" s="12" t="str">
        <f t="shared" si="8"/>
        <v>FC</v>
      </c>
      <c r="P58" s="12" t="str">
        <f t="shared" si="8"/>
        <v>E8</v>
      </c>
      <c r="Q58" s="12" t="str">
        <f t="shared" si="8"/>
        <v>FA</v>
      </c>
      <c r="R58" s="12" t="str">
        <f t="shared" si="6"/>
        <v>F8</v>
      </c>
    </row>
    <row r="59" spans="1:18" x14ac:dyDescent="0.3">
      <c r="A59" s="39" t="s">
        <v>694</v>
      </c>
      <c r="B59" s="5" t="str">
        <f t="shared" si="4"/>
        <v>A580</v>
      </c>
      <c r="C59" s="17" t="str">
        <f t="shared" si="8"/>
        <v>A9</v>
      </c>
      <c r="D59" s="10" t="str">
        <f t="shared" si="8"/>
        <v>A9</v>
      </c>
      <c r="E59" s="10" t="str">
        <f t="shared" si="8"/>
        <v>A9</v>
      </c>
      <c r="F59" s="10" t="str">
        <f t="shared" si="8"/>
        <v>A9</v>
      </c>
      <c r="G59" s="10" t="str">
        <f t="shared" si="8"/>
        <v>A9</v>
      </c>
      <c r="H59" s="10" t="str">
        <f t="shared" si="8"/>
        <v>A9</v>
      </c>
      <c r="I59" s="10" t="str">
        <f t="shared" si="8"/>
        <v>A9</v>
      </c>
      <c r="J59" s="10" t="str">
        <f t="shared" si="8"/>
        <v>A9</v>
      </c>
      <c r="K59" s="10" t="str">
        <f t="shared" si="8"/>
        <v>A9</v>
      </c>
      <c r="L59" s="10" t="str">
        <f t="shared" si="8"/>
        <v>A9</v>
      </c>
      <c r="M59" s="10" t="str">
        <f t="shared" si="8"/>
        <v>A9</v>
      </c>
      <c r="N59" s="10" t="str">
        <f t="shared" si="8"/>
        <v>A9</v>
      </c>
      <c r="O59" s="10" t="str">
        <f t="shared" si="8"/>
        <v>A9</v>
      </c>
      <c r="P59" s="10" t="str">
        <f t="shared" si="8"/>
        <v>A9</v>
      </c>
      <c r="Q59" s="10" t="str">
        <f t="shared" si="8"/>
        <v>A9</v>
      </c>
      <c r="R59" s="10" t="str">
        <f t="shared" si="6"/>
        <v>A9</v>
      </c>
    </row>
    <row r="60" spans="1:18" x14ac:dyDescent="0.3">
      <c r="A60" s="39" t="s">
        <v>694</v>
      </c>
      <c r="B60" s="24" t="str">
        <f t="shared" si="4"/>
        <v>A590</v>
      </c>
      <c r="C60" s="18" t="str">
        <f t="shared" si="8"/>
        <v>A9</v>
      </c>
      <c r="D60" s="11" t="str">
        <f t="shared" si="8"/>
        <v>A9</v>
      </c>
      <c r="E60" s="11" t="str">
        <f t="shared" si="8"/>
        <v>A9</v>
      </c>
      <c r="F60" s="11" t="str">
        <f t="shared" si="8"/>
        <v>A9</v>
      </c>
      <c r="G60" s="11" t="str">
        <f t="shared" si="8"/>
        <v>A9</v>
      </c>
      <c r="H60" s="11" t="str">
        <f t="shared" si="8"/>
        <v>A9</v>
      </c>
      <c r="I60" s="27" t="str">
        <f t="shared" si="8"/>
        <v>A9</v>
      </c>
      <c r="J60" s="11" t="str">
        <f t="shared" si="8"/>
        <v>A9</v>
      </c>
      <c r="K60" s="11" t="str">
        <f t="shared" si="8"/>
        <v>A9</v>
      </c>
      <c r="L60" s="11" t="str">
        <f t="shared" si="8"/>
        <v>A9</v>
      </c>
      <c r="M60" s="11" t="str">
        <f t="shared" si="8"/>
        <v>A9</v>
      </c>
      <c r="N60" s="11" t="str">
        <f t="shared" si="8"/>
        <v>A9</v>
      </c>
      <c r="O60" s="11" t="str">
        <f t="shared" si="8"/>
        <v>A9</v>
      </c>
      <c r="P60" s="11" t="str">
        <f t="shared" si="8"/>
        <v>A9</v>
      </c>
      <c r="Q60" s="11" t="str">
        <f t="shared" si="8"/>
        <v>A9</v>
      </c>
      <c r="R60" s="11" t="str">
        <f t="shared" si="6"/>
        <v>A9</v>
      </c>
    </row>
    <row r="61" spans="1:18" x14ac:dyDescent="0.3">
      <c r="A61" s="39" t="s">
        <v>695</v>
      </c>
      <c r="B61" s="5" t="str">
        <f t="shared" si="4"/>
        <v>A5A0</v>
      </c>
      <c r="C61" s="18" t="str">
        <f t="shared" si="8"/>
        <v>A9</v>
      </c>
      <c r="D61" s="11" t="str">
        <f t="shared" si="8"/>
        <v>AA</v>
      </c>
      <c r="E61" s="11" t="str">
        <f t="shared" si="8"/>
        <v>A9</v>
      </c>
      <c r="F61" s="11" t="str">
        <f t="shared" si="8"/>
        <v>AA</v>
      </c>
      <c r="G61" s="11" t="str">
        <f t="shared" si="8"/>
        <v>A9</v>
      </c>
      <c r="H61" s="11" t="str">
        <f t="shared" si="8"/>
        <v>AA</v>
      </c>
      <c r="I61" s="11" t="str">
        <f t="shared" si="8"/>
        <v>A9</v>
      </c>
      <c r="J61" s="11" t="str">
        <f t="shared" si="8"/>
        <v>AA</v>
      </c>
      <c r="K61" s="11" t="str">
        <f t="shared" si="8"/>
        <v>A9</v>
      </c>
      <c r="L61" s="11" t="str">
        <f t="shared" si="8"/>
        <v>AA</v>
      </c>
      <c r="M61" s="11" t="str">
        <f t="shared" si="8"/>
        <v>A9</v>
      </c>
      <c r="N61" s="11" t="str">
        <f t="shared" si="8"/>
        <v>AA</v>
      </c>
      <c r="O61" s="11" t="str">
        <f t="shared" si="8"/>
        <v>A9</v>
      </c>
      <c r="P61" s="11" t="str">
        <f t="shared" si="8"/>
        <v>AA</v>
      </c>
      <c r="Q61" s="11" t="str">
        <f t="shared" si="8"/>
        <v>A9</v>
      </c>
      <c r="R61" s="11" t="str">
        <f t="shared" si="6"/>
        <v>AA</v>
      </c>
    </row>
    <row r="62" spans="1:18" x14ac:dyDescent="0.3">
      <c r="A62" s="39" t="s">
        <v>695</v>
      </c>
      <c r="B62" s="5" t="str">
        <f t="shared" si="4"/>
        <v>A5B0</v>
      </c>
      <c r="C62" s="18" t="str">
        <f t="shared" si="8"/>
        <v>A9</v>
      </c>
      <c r="D62" s="11" t="str">
        <f t="shared" si="8"/>
        <v>AA</v>
      </c>
      <c r="E62" s="11" t="str">
        <f t="shared" si="8"/>
        <v>A9</v>
      </c>
      <c r="F62" s="11" t="str">
        <f t="shared" si="8"/>
        <v>AA</v>
      </c>
      <c r="G62" s="11" t="str">
        <f t="shared" si="8"/>
        <v>A9</v>
      </c>
      <c r="H62" s="11" t="str">
        <f t="shared" si="8"/>
        <v>AA</v>
      </c>
      <c r="I62" s="11" t="str">
        <f t="shared" si="8"/>
        <v>A9</v>
      </c>
      <c r="J62" s="11" t="str">
        <f t="shared" si="8"/>
        <v>AA</v>
      </c>
      <c r="K62" s="11" t="str">
        <f t="shared" si="8"/>
        <v>A9</v>
      </c>
      <c r="L62" s="11" t="str">
        <f t="shared" si="8"/>
        <v>AA</v>
      </c>
      <c r="M62" s="11" t="str">
        <f t="shared" si="8"/>
        <v>A9</v>
      </c>
      <c r="N62" s="11" t="str">
        <f t="shared" si="8"/>
        <v>AA</v>
      </c>
      <c r="O62" s="11" t="str">
        <f t="shared" si="8"/>
        <v>A9</v>
      </c>
      <c r="P62" s="11" t="str">
        <f t="shared" si="8"/>
        <v>AA</v>
      </c>
      <c r="Q62" s="11" t="str">
        <f t="shared" si="8"/>
        <v>A9</v>
      </c>
      <c r="R62" s="11" t="str">
        <f t="shared" si="6"/>
        <v>AA</v>
      </c>
    </row>
    <row r="63" spans="1:18" x14ac:dyDescent="0.3">
      <c r="A63" s="39" t="s">
        <v>696</v>
      </c>
      <c r="B63" s="5" t="str">
        <f t="shared" si="4"/>
        <v>A5C0</v>
      </c>
      <c r="C63" s="18" t="str">
        <f t="shared" si="8"/>
        <v>A9</v>
      </c>
      <c r="D63" s="11" t="str">
        <f t="shared" si="8"/>
        <v>AB</v>
      </c>
      <c r="E63" s="11" t="str">
        <f t="shared" si="8"/>
        <v>AA</v>
      </c>
      <c r="F63" s="11" t="str">
        <f t="shared" si="8"/>
        <v>AB</v>
      </c>
      <c r="G63" s="11" t="str">
        <f t="shared" si="8"/>
        <v>A9</v>
      </c>
      <c r="H63" s="11" t="str">
        <f t="shared" si="8"/>
        <v>AB</v>
      </c>
      <c r="I63" s="11" t="str">
        <f t="shared" si="8"/>
        <v>AA</v>
      </c>
      <c r="J63" s="11" t="str">
        <f t="shared" si="8"/>
        <v>AB</v>
      </c>
      <c r="K63" s="11" t="str">
        <f t="shared" si="8"/>
        <v>A9</v>
      </c>
      <c r="L63" s="11" t="str">
        <f t="shared" si="8"/>
        <v>AB</v>
      </c>
      <c r="M63" s="11" t="str">
        <f t="shared" si="8"/>
        <v>AA</v>
      </c>
      <c r="N63" s="11" t="str">
        <f t="shared" si="8"/>
        <v>AB</v>
      </c>
      <c r="O63" s="11" t="str">
        <f t="shared" si="8"/>
        <v>A9</v>
      </c>
      <c r="P63" s="11" t="str">
        <f t="shared" si="8"/>
        <v>AB</v>
      </c>
      <c r="Q63" s="11" t="str">
        <f t="shared" si="8"/>
        <v>AA</v>
      </c>
      <c r="R63" s="11" t="str">
        <f t="shared" si="6"/>
        <v>AB</v>
      </c>
    </row>
    <row r="64" spans="1:18" x14ac:dyDescent="0.3">
      <c r="A64" s="39" t="s">
        <v>696</v>
      </c>
      <c r="B64" s="5" t="str">
        <f t="shared" si="4"/>
        <v>A5D0</v>
      </c>
      <c r="C64" s="18" t="str">
        <f t="shared" si="8"/>
        <v>A9</v>
      </c>
      <c r="D64" s="11" t="str">
        <f t="shared" si="8"/>
        <v>AB</v>
      </c>
      <c r="E64" s="11" t="str">
        <f t="shared" si="8"/>
        <v>AA</v>
      </c>
      <c r="F64" s="11" t="str">
        <f t="shared" si="8"/>
        <v>AB</v>
      </c>
      <c r="G64" s="11" t="str">
        <f t="shared" si="8"/>
        <v>A9</v>
      </c>
      <c r="H64" s="11" t="str">
        <f t="shared" si="8"/>
        <v>AB</v>
      </c>
      <c r="I64" s="11" t="str">
        <f t="shared" si="8"/>
        <v>AA</v>
      </c>
      <c r="J64" s="11" t="str">
        <f t="shared" si="8"/>
        <v>AB</v>
      </c>
      <c r="K64" s="11" t="str">
        <f t="shared" si="8"/>
        <v>A9</v>
      </c>
      <c r="L64" s="11" t="str">
        <f t="shared" si="8"/>
        <v>AB</v>
      </c>
      <c r="M64" s="11" t="str">
        <f t="shared" si="8"/>
        <v>AA</v>
      </c>
      <c r="N64" s="11" t="str">
        <f t="shared" si="8"/>
        <v>AB</v>
      </c>
      <c r="O64" s="11" t="str">
        <f t="shared" si="8"/>
        <v>A9</v>
      </c>
      <c r="P64" s="11" t="str">
        <f t="shared" si="8"/>
        <v>AB</v>
      </c>
      <c r="Q64" s="11" t="str">
        <f t="shared" si="8"/>
        <v>AA</v>
      </c>
      <c r="R64" s="11" t="str">
        <f t="shared" si="6"/>
        <v>AB</v>
      </c>
    </row>
    <row r="65" spans="1:18" x14ac:dyDescent="0.3">
      <c r="A65" s="39" t="s">
        <v>697</v>
      </c>
      <c r="B65" s="5" t="str">
        <f t="shared" si="4"/>
        <v>A5E0</v>
      </c>
      <c r="C65" s="18" t="str">
        <f t="shared" si="8"/>
        <v>A9</v>
      </c>
      <c r="D65" s="11" t="str">
        <f t="shared" si="8"/>
        <v>AC</v>
      </c>
      <c r="E65" s="11" t="str">
        <f t="shared" si="8"/>
        <v>AA</v>
      </c>
      <c r="F65" s="11" t="str">
        <f t="shared" si="8"/>
        <v>AC</v>
      </c>
      <c r="G65" s="11" t="str">
        <f t="shared" si="8"/>
        <v>A9</v>
      </c>
      <c r="H65" s="11" t="str">
        <f t="shared" si="8"/>
        <v>AC</v>
      </c>
      <c r="I65" s="11" t="str">
        <f t="shared" si="8"/>
        <v>AA</v>
      </c>
      <c r="J65" s="11" t="str">
        <f t="shared" si="8"/>
        <v>AC</v>
      </c>
      <c r="K65" s="11" t="str">
        <f t="shared" si="8"/>
        <v>A9</v>
      </c>
      <c r="L65" s="11" t="str">
        <f t="shared" si="8"/>
        <v>AC</v>
      </c>
      <c r="M65" s="11" t="str">
        <f t="shared" si="8"/>
        <v>AA</v>
      </c>
      <c r="N65" s="11" t="str">
        <f t="shared" si="8"/>
        <v>AC</v>
      </c>
      <c r="O65" s="11" t="str">
        <f t="shared" si="8"/>
        <v>A9</v>
      </c>
      <c r="P65" s="11" t="str">
        <f t="shared" si="8"/>
        <v>AC</v>
      </c>
      <c r="Q65" s="11" t="str">
        <f t="shared" si="8"/>
        <v>AA</v>
      </c>
      <c r="R65" s="11" t="str">
        <f t="shared" si="6"/>
        <v>AC</v>
      </c>
    </row>
    <row r="66" spans="1:18" x14ac:dyDescent="0.3">
      <c r="A66" s="39" t="s">
        <v>697</v>
      </c>
      <c r="B66" s="58" t="str">
        <f t="shared" si="4"/>
        <v>A5F0</v>
      </c>
      <c r="C66" s="19" t="str">
        <f t="shared" si="8"/>
        <v>A9</v>
      </c>
      <c r="D66" s="12" t="str">
        <f t="shared" si="8"/>
        <v>AC</v>
      </c>
      <c r="E66" s="12" t="str">
        <f t="shared" si="8"/>
        <v>AA</v>
      </c>
      <c r="F66" s="12" t="str">
        <f t="shared" si="8"/>
        <v>AC</v>
      </c>
      <c r="G66" s="12" t="str">
        <f t="shared" si="8"/>
        <v>A9</v>
      </c>
      <c r="H66" s="12" t="str">
        <f t="shared" si="8"/>
        <v>AC</v>
      </c>
      <c r="I66" s="12" t="str">
        <f t="shared" si="8"/>
        <v>AA</v>
      </c>
      <c r="J66" s="12" t="str">
        <f t="shared" si="8"/>
        <v>AC</v>
      </c>
      <c r="K66" s="12" t="str">
        <f t="shared" si="8"/>
        <v>A9</v>
      </c>
      <c r="L66" s="12" t="str">
        <f t="shared" si="8"/>
        <v>AC</v>
      </c>
      <c r="M66" s="12" t="str">
        <f t="shared" si="8"/>
        <v>AA</v>
      </c>
      <c r="N66" s="12" t="str">
        <f t="shared" si="8"/>
        <v>AC</v>
      </c>
      <c r="O66" s="12" t="str">
        <f t="shared" si="8"/>
        <v>A9</v>
      </c>
      <c r="P66" s="12" t="str">
        <f t="shared" si="8"/>
        <v>AC</v>
      </c>
      <c r="Q66" s="12" t="str">
        <f t="shared" si="8"/>
        <v>AA</v>
      </c>
      <c r="R66" s="12" t="str">
        <f t="shared" si="6"/>
        <v>AC</v>
      </c>
    </row>
    <row r="67" spans="1:18" x14ac:dyDescent="0.3">
      <c r="A67" s="39" t="s">
        <v>722</v>
      </c>
      <c r="B67" s="29" t="str">
        <f t="shared" si="4"/>
        <v>A600</v>
      </c>
      <c r="C67" s="17" t="str">
        <f t="shared" si="8"/>
        <v>00</v>
      </c>
      <c r="D67" s="10" t="str">
        <f t="shared" si="8"/>
        <v>0A</v>
      </c>
      <c r="E67" s="10" t="str">
        <f t="shared" si="8"/>
        <v>0C</v>
      </c>
      <c r="F67" s="10" t="str">
        <f t="shared" si="8"/>
        <v>1A</v>
      </c>
      <c r="G67" s="10" t="str">
        <f t="shared" si="8"/>
        <v>0E</v>
      </c>
      <c r="H67" s="10" t="str">
        <f t="shared" si="8"/>
        <v>2A</v>
      </c>
      <c r="I67" s="10" t="str">
        <f t="shared" si="8"/>
        <v>1C</v>
      </c>
      <c r="J67" s="10" t="str">
        <f t="shared" si="8"/>
        <v>3A</v>
      </c>
      <c r="K67" s="10" t="str">
        <f t="shared" si="8"/>
        <v>10</v>
      </c>
      <c r="L67" s="10" t="str">
        <f t="shared" si="8"/>
        <v>4A</v>
      </c>
      <c r="M67" s="10" t="str">
        <f t="shared" si="8"/>
        <v>2C</v>
      </c>
      <c r="N67" s="10" t="str">
        <f t="shared" si="8"/>
        <v>5A</v>
      </c>
      <c r="O67" s="10" t="str">
        <f t="shared" si="8"/>
        <v>1E</v>
      </c>
      <c r="P67" s="10" t="str">
        <f t="shared" si="8"/>
        <v>6A</v>
      </c>
      <c r="Q67" s="10" t="str">
        <f t="shared" si="8"/>
        <v>3C</v>
      </c>
      <c r="R67" s="10" t="str">
        <f t="shared" si="6"/>
        <v>7A</v>
      </c>
    </row>
    <row r="68" spans="1:18" x14ac:dyDescent="0.3">
      <c r="A68" s="39" t="s">
        <v>723</v>
      </c>
      <c r="B68" s="5" t="str">
        <f t="shared" si="4"/>
        <v>A610</v>
      </c>
      <c r="C68" s="18" t="str">
        <f t="shared" ref="C68:Q83" si="9">MID($A68,13+C$1*3,2)</f>
        <v>20</v>
      </c>
      <c r="D68" s="11" t="str">
        <f t="shared" si="9"/>
        <v>8A</v>
      </c>
      <c r="E68" s="11" t="str">
        <f t="shared" si="9"/>
        <v>4C</v>
      </c>
      <c r="F68" s="11" t="str">
        <f t="shared" si="9"/>
        <v>9A</v>
      </c>
      <c r="G68" s="11" t="str">
        <f t="shared" si="9"/>
        <v>2E</v>
      </c>
      <c r="H68" s="11" t="str">
        <f t="shared" si="9"/>
        <v>AA</v>
      </c>
      <c r="I68" s="11" t="str">
        <f t="shared" si="9"/>
        <v>5C</v>
      </c>
      <c r="J68" s="11" t="str">
        <f t="shared" si="9"/>
        <v>BA</v>
      </c>
      <c r="K68" s="11" t="str">
        <f t="shared" si="9"/>
        <v>30</v>
      </c>
      <c r="L68" s="11" t="str">
        <f t="shared" si="9"/>
        <v>CA</v>
      </c>
      <c r="M68" s="11" t="str">
        <f t="shared" si="9"/>
        <v>6C</v>
      </c>
      <c r="N68" s="11" t="str">
        <f t="shared" si="9"/>
        <v>DA</v>
      </c>
      <c r="O68" s="11" t="str">
        <f t="shared" si="9"/>
        <v>3E</v>
      </c>
      <c r="P68" s="11" t="str">
        <f t="shared" si="9"/>
        <v>EA</v>
      </c>
      <c r="Q68" s="11" t="str">
        <f t="shared" si="9"/>
        <v>7C</v>
      </c>
      <c r="R68" s="11" t="str">
        <f t="shared" si="6"/>
        <v>FA</v>
      </c>
    </row>
    <row r="69" spans="1:18" x14ac:dyDescent="0.3">
      <c r="A69" s="39" t="s">
        <v>724</v>
      </c>
      <c r="B69" s="5" t="str">
        <f t="shared" ref="B69:B114" si="10">DEC2HEX(HEX2DEC(B68)+16)</f>
        <v>A620</v>
      </c>
      <c r="C69" s="18" t="str">
        <f t="shared" si="9"/>
        <v>40</v>
      </c>
      <c r="D69" s="11" t="str">
        <f t="shared" si="9"/>
        <v>0A</v>
      </c>
      <c r="E69" s="11" t="str">
        <f t="shared" si="9"/>
        <v>8C</v>
      </c>
      <c r="F69" s="11" t="str">
        <f t="shared" si="9"/>
        <v>1A</v>
      </c>
      <c r="G69" s="11" t="str">
        <f t="shared" si="9"/>
        <v>4E</v>
      </c>
      <c r="H69" s="11" t="str">
        <f t="shared" si="9"/>
        <v>2A</v>
      </c>
      <c r="I69" s="11" t="str">
        <f t="shared" si="9"/>
        <v>9C</v>
      </c>
      <c r="J69" s="11" t="str">
        <f t="shared" si="9"/>
        <v>3A</v>
      </c>
      <c r="K69" s="11" t="str">
        <f t="shared" si="9"/>
        <v>50</v>
      </c>
      <c r="L69" s="11" t="str">
        <f t="shared" si="9"/>
        <v>4A</v>
      </c>
      <c r="M69" s="11" t="str">
        <f t="shared" si="9"/>
        <v>AC</v>
      </c>
      <c r="N69" s="11" t="str">
        <f t="shared" si="9"/>
        <v>5A</v>
      </c>
      <c r="O69" s="11" t="str">
        <f t="shared" si="9"/>
        <v>5E</v>
      </c>
      <c r="P69" s="11" t="str">
        <f t="shared" si="9"/>
        <v>6A</v>
      </c>
      <c r="Q69" s="11" t="str">
        <f t="shared" si="9"/>
        <v>BC</v>
      </c>
      <c r="R69" s="11" t="str">
        <f t="shared" si="6"/>
        <v>7A</v>
      </c>
    </row>
    <row r="70" spans="1:18" x14ac:dyDescent="0.3">
      <c r="A70" s="39" t="s">
        <v>725</v>
      </c>
      <c r="B70" s="5" t="str">
        <f t="shared" si="10"/>
        <v>A630</v>
      </c>
      <c r="C70" s="18" t="str">
        <f t="shared" si="9"/>
        <v>60</v>
      </c>
      <c r="D70" s="11" t="str">
        <f t="shared" si="9"/>
        <v>8A</v>
      </c>
      <c r="E70" s="11" t="str">
        <f t="shared" si="9"/>
        <v>CC</v>
      </c>
      <c r="F70" s="11" t="str">
        <f t="shared" si="9"/>
        <v>9A</v>
      </c>
      <c r="G70" s="11" t="str">
        <f t="shared" si="9"/>
        <v>6E</v>
      </c>
      <c r="H70" s="11" t="str">
        <f t="shared" si="9"/>
        <v>AA</v>
      </c>
      <c r="I70" s="11" t="str">
        <f t="shared" si="9"/>
        <v>DC</v>
      </c>
      <c r="J70" s="11" t="str">
        <f t="shared" si="9"/>
        <v>BA</v>
      </c>
      <c r="K70" s="11" t="str">
        <f t="shared" si="9"/>
        <v>70</v>
      </c>
      <c r="L70" s="11" t="str">
        <f t="shared" si="9"/>
        <v>CA</v>
      </c>
      <c r="M70" s="11" t="str">
        <f t="shared" si="9"/>
        <v>EC</v>
      </c>
      <c r="N70" s="11" t="str">
        <f t="shared" si="9"/>
        <v>DA</v>
      </c>
      <c r="O70" s="11" t="str">
        <f t="shared" si="9"/>
        <v>7E</v>
      </c>
      <c r="P70" s="11" t="str">
        <f t="shared" si="9"/>
        <v>EA</v>
      </c>
      <c r="Q70" s="11" t="str">
        <f t="shared" si="9"/>
        <v>FC</v>
      </c>
      <c r="R70" s="11" t="str">
        <f t="shared" si="6"/>
        <v>FA</v>
      </c>
    </row>
    <row r="71" spans="1:18" x14ac:dyDescent="0.3">
      <c r="A71" s="39" t="s">
        <v>726</v>
      </c>
      <c r="B71" s="5" t="str">
        <f t="shared" si="10"/>
        <v>A640</v>
      </c>
      <c r="C71" s="18" t="str">
        <f t="shared" si="9"/>
        <v>80</v>
      </c>
      <c r="D71" s="11" t="str">
        <f t="shared" si="9"/>
        <v>0A</v>
      </c>
      <c r="E71" s="11" t="str">
        <f t="shared" si="9"/>
        <v>0C</v>
      </c>
      <c r="F71" s="11" t="str">
        <f t="shared" si="9"/>
        <v>1A</v>
      </c>
      <c r="G71" s="11" t="str">
        <f t="shared" si="9"/>
        <v>8E</v>
      </c>
      <c r="H71" s="11" t="str">
        <f t="shared" si="9"/>
        <v>2A</v>
      </c>
      <c r="I71" s="11" t="str">
        <f t="shared" si="9"/>
        <v>1C</v>
      </c>
      <c r="J71" s="11" t="str">
        <f t="shared" si="9"/>
        <v>3A</v>
      </c>
      <c r="K71" s="11" t="str">
        <f t="shared" si="9"/>
        <v>90</v>
      </c>
      <c r="L71" s="11" t="str">
        <f t="shared" si="9"/>
        <v>4A</v>
      </c>
      <c r="M71" s="11" t="str">
        <f t="shared" si="9"/>
        <v>2C</v>
      </c>
      <c r="N71" s="11" t="str">
        <f t="shared" si="9"/>
        <v>5A</v>
      </c>
      <c r="O71" s="11" t="str">
        <f t="shared" si="9"/>
        <v>9E</v>
      </c>
      <c r="P71" s="11" t="str">
        <f t="shared" si="9"/>
        <v>6A</v>
      </c>
      <c r="Q71" s="11" t="str">
        <f t="shared" si="9"/>
        <v>3C</v>
      </c>
      <c r="R71" s="11" t="str">
        <f t="shared" si="6"/>
        <v>7A</v>
      </c>
    </row>
    <row r="72" spans="1:18" x14ac:dyDescent="0.3">
      <c r="A72" s="39" t="s">
        <v>727</v>
      </c>
      <c r="B72" s="5" t="str">
        <f t="shared" si="10"/>
        <v>A650</v>
      </c>
      <c r="C72" s="18" t="str">
        <f t="shared" si="9"/>
        <v>A0</v>
      </c>
      <c r="D72" s="11" t="str">
        <f t="shared" si="9"/>
        <v>8A</v>
      </c>
      <c r="E72" s="11" t="str">
        <f t="shared" si="9"/>
        <v>4C</v>
      </c>
      <c r="F72" s="11" t="str">
        <f t="shared" si="9"/>
        <v>9A</v>
      </c>
      <c r="G72" s="11" t="str">
        <f t="shared" si="9"/>
        <v>AE</v>
      </c>
      <c r="H72" s="11" t="str">
        <f t="shared" si="9"/>
        <v>AA</v>
      </c>
      <c r="I72" s="11" t="str">
        <f t="shared" si="9"/>
        <v>5C</v>
      </c>
      <c r="J72" s="11" t="str">
        <f t="shared" si="9"/>
        <v>BA</v>
      </c>
      <c r="K72" s="11" t="str">
        <f t="shared" si="9"/>
        <v>B0</v>
      </c>
      <c r="L72" s="11" t="str">
        <f t="shared" si="9"/>
        <v>CA</v>
      </c>
      <c r="M72" s="11" t="str">
        <f t="shared" si="9"/>
        <v>6C</v>
      </c>
      <c r="N72" s="11" t="str">
        <f t="shared" si="9"/>
        <v>DA</v>
      </c>
      <c r="O72" s="11" t="str">
        <f t="shared" si="9"/>
        <v>BE</v>
      </c>
      <c r="P72" s="11" t="str">
        <f t="shared" si="9"/>
        <v>EA</v>
      </c>
      <c r="Q72" s="11" t="str">
        <f t="shared" si="9"/>
        <v>7C</v>
      </c>
      <c r="R72" s="11" t="str">
        <f t="shared" si="6"/>
        <v>FA</v>
      </c>
    </row>
    <row r="73" spans="1:18" x14ac:dyDescent="0.3">
      <c r="A73" s="39" t="s">
        <v>728</v>
      </c>
      <c r="B73" s="5" t="str">
        <f t="shared" si="10"/>
        <v>A660</v>
      </c>
      <c r="C73" s="18" t="str">
        <f t="shared" si="9"/>
        <v>C0</v>
      </c>
      <c r="D73" s="11" t="str">
        <f t="shared" si="9"/>
        <v>0A</v>
      </c>
      <c r="E73" s="11" t="str">
        <f t="shared" si="9"/>
        <v>8C</v>
      </c>
      <c r="F73" s="11" t="str">
        <f t="shared" si="9"/>
        <v>1A</v>
      </c>
      <c r="G73" s="11" t="str">
        <f t="shared" si="9"/>
        <v>CE</v>
      </c>
      <c r="H73" s="11" t="str">
        <f t="shared" si="9"/>
        <v>2A</v>
      </c>
      <c r="I73" s="11" t="str">
        <f t="shared" si="9"/>
        <v>9C</v>
      </c>
      <c r="J73" s="11" t="str">
        <f t="shared" si="9"/>
        <v>3A</v>
      </c>
      <c r="K73" s="11" t="str">
        <f t="shared" si="9"/>
        <v>D0</v>
      </c>
      <c r="L73" s="11" t="str">
        <f t="shared" si="9"/>
        <v>4A</v>
      </c>
      <c r="M73" s="11" t="str">
        <f t="shared" si="9"/>
        <v>AC</v>
      </c>
      <c r="N73" s="11" t="str">
        <f t="shared" si="9"/>
        <v>5A</v>
      </c>
      <c r="O73" s="11" t="str">
        <f t="shared" si="9"/>
        <v>DE</v>
      </c>
      <c r="P73" s="11" t="str">
        <f t="shared" si="9"/>
        <v>6A</v>
      </c>
      <c r="Q73" s="11" t="str">
        <f t="shared" si="9"/>
        <v>BC</v>
      </c>
      <c r="R73" s="11" t="str">
        <f t="shared" si="6"/>
        <v>7A</v>
      </c>
    </row>
    <row r="74" spans="1:18" x14ac:dyDescent="0.3">
      <c r="A74" s="39" t="s">
        <v>729</v>
      </c>
      <c r="B74" s="58" t="str">
        <f t="shared" si="10"/>
        <v>A670</v>
      </c>
      <c r="C74" s="19" t="str">
        <f t="shared" si="9"/>
        <v>E0</v>
      </c>
      <c r="D74" s="12" t="str">
        <f t="shared" si="9"/>
        <v>8A</v>
      </c>
      <c r="E74" s="12" t="str">
        <f t="shared" si="9"/>
        <v>CC</v>
      </c>
      <c r="F74" s="12" t="str">
        <f t="shared" si="9"/>
        <v>9A</v>
      </c>
      <c r="G74" s="12" t="str">
        <f t="shared" si="9"/>
        <v>EE</v>
      </c>
      <c r="H74" s="12" t="str">
        <f t="shared" si="9"/>
        <v>AA</v>
      </c>
      <c r="I74" s="12" t="str">
        <f t="shared" si="9"/>
        <v>DC</v>
      </c>
      <c r="J74" s="12" t="str">
        <f t="shared" si="9"/>
        <v>BA</v>
      </c>
      <c r="K74" s="12" t="str">
        <f t="shared" si="9"/>
        <v>F0</v>
      </c>
      <c r="L74" s="12" t="str">
        <f t="shared" si="9"/>
        <v>CA</v>
      </c>
      <c r="M74" s="12" t="str">
        <f t="shared" si="9"/>
        <v>EC</v>
      </c>
      <c r="N74" s="12" t="str">
        <f t="shared" si="9"/>
        <v>DA</v>
      </c>
      <c r="O74" s="12" t="str">
        <f t="shared" si="9"/>
        <v>FE</v>
      </c>
      <c r="P74" s="12" t="str">
        <f t="shared" si="9"/>
        <v>EA</v>
      </c>
      <c r="Q74" s="12" t="str">
        <f t="shared" si="9"/>
        <v>FC</v>
      </c>
      <c r="R74" s="12" t="str">
        <f t="shared" si="6"/>
        <v>FA</v>
      </c>
    </row>
    <row r="75" spans="1:18" x14ac:dyDescent="0.3">
      <c r="A75" s="39" t="s">
        <v>694</v>
      </c>
      <c r="B75" s="5" t="str">
        <f t="shared" si="10"/>
        <v>A680</v>
      </c>
      <c r="C75" s="17" t="str">
        <f t="shared" si="9"/>
        <v>A9</v>
      </c>
      <c r="D75" s="10" t="str">
        <f t="shared" si="9"/>
        <v>A9</v>
      </c>
      <c r="E75" s="10" t="str">
        <f t="shared" si="9"/>
        <v>A9</v>
      </c>
      <c r="F75" s="10" t="str">
        <f t="shared" si="9"/>
        <v>A9</v>
      </c>
      <c r="G75" s="10" t="str">
        <f t="shared" si="9"/>
        <v>A9</v>
      </c>
      <c r="H75" s="10" t="str">
        <f t="shared" si="9"/>
        <v>A9</v>
      </c>
      <c r="I75" s="10" t="str">
        <f t="shared" si="9"/>
        <v>A9</v>
      </c>
      <c r="J75" s="10" t="str">
        <f t="shared" si="9"/>
        <v>A9</v>
      </c>
      <c r="K75" s="10" t="str">
        <f t="shared" si="9"/>
        <v>A9</v>
      </c>
      <c r="L75" s="10" t="str">
        <f t="shared" si="9"/>
        <v>A9</v>
      </c>
      <c r="M75" s="10" t="str">
        <f t="shared" si="9"/>
        <v>A9</v>
      </c>
      <c r="N75" s="10" t="str">
        <f t="shared" si="9"/>
        <v>A9</v>
      </c>
      <c r="O75" s="10" t="str">
        <f t="shared" si="9"/>
        <v>A9</v>
      </c>
      <c r="P75" s="10" t="str">
        <f t="shared" si="9"/>
        <v>A9</v>
      </c>
      <c r="Q75" s="10" t="str">
        <f t="shared" si="9"/>
        <v>A9</v>
      </c>
      <c r="R75" s="10" t="str">
        <f t="shared" si="6"/>
        <v>A9</v>
      </c>
    </row>
    <row r="76" spans="1:18" x14ac:dyDescent="0.3">
      <c r="A76" s="39" t="s">
        <v>694</v>
      </c>
      <c r="B76" s="5" t="str">
        <f t="shared" si="10"/>
        <v>A690</v>
      </c>
      <c r="C76" s="18" t="str">
        <f t="shared" si="9"/>
        <v>A9</v>
      </c>
      <c r="D76" s="11" t="str">
        <f t="shared" si="9"/>
        <v>A9</v>
      </c>
      <c r="E76" s="11" t="str">
        <f t="shared" si="9"/>
        <v>A9</v>
      </c>
      <c r="F76" s="11" t="str">
        <f t="shared" si="9"/>
        <v>A9</v>
      </c>
      <c r="G76" s="11" t="str">
        <f t="shared" si="9"/>
        <v>A9</v>
      </c>
      <c r="H76" s="11" t="str">
        <f t="shared" si="9"/>
        <v>A9</v>
      </c>
      <c r="I76" s="11" t="str">
        <f t="shared" si="9"/>
        <v>A9</v>
      </c>
      <c r="J76" s="11" t="str">
        <f t="shared" si="9"/>
        <v>A9</v>
      </c>
      <c r="K76" s="11" t="str">
        <f t="shared" si="9"/>
        <v>A9</v>
      </c>
      <c r="L76" s="11" t="str">
        <f t="shared" si="9"/>
        <v>A9</v>
      </c>
      <c r="M76" s="11" t="str">
        <f t="shared" si="9"/>
        <v>A9</v>
      </c>
      <c r="N76" s="11" t="str">
        <f t="shared" si="9"/>
        <v>A9</v>
      </c>
      <c r="O76" s="11" t="str">
        <f t="shared" si="9"/>
        <v>A9</v>
      </c>
      <c r="P76" s="11" t="str">
        <f t="shared" si="9"/>
        <v>A9</v>
      </c>
      <c r="Q76" s="11" t="str">
        <f t="shared" si="9"/>
        <v>A9</v>
      </c>
      <c r="R76" s="11" t="str">
        <f t="shared" si="6"/>
        <v>A9</v>
      </c>
    </row>
    <row r="77" spans="1:18" x14ac:dyDescent="0.3">
      <c r="A77" s="39" t="s">
        <v>695</v>
      </c>
      <c r="B77" s="5" t="str">
        <f t="shared" si="10"/>
        <v>A6A0</v>
      </c>
      <c r="C77" s="18" t="str">
        <f t="shared" si="9"/>
        <v>A9</v>
      </c>
      <c r="D77" s="11" t="str">
        <f t="shared" si="9"/>
        <v>AA</v>
      </c>
      <c r="E77" s="11" t="str">
        <f t="shared" si="9"/>
        <v>A9</v>
      </c>
      <c r="F77" s="11" t="str">
        <f t="shared" si="9"/>
        <v>AA</v>
      </c>
      <c r="G77" s="11" t="str">
        <f t="shared" si="9"/>
        <v>A9</v>
      </c>
      <c r="H77" s="11" t="str">
        <f t="shared" si="9"/>
        <v>AA</v>
      </c>
      <c r="I77" s="11" t="str">
        <f t="shared" si="9"/>
        <v>A9</v>
      </c>
      <c r="J77" s="11" t="str">
        <f t="shared" si="9"/>
        <v>AA</v>
      </c>
      <c r="K77" s="11" t="str">
        <f t="shared" si="9"/>
        <v>A9</v>
      </c>
      <c r="L77" s="11" t="str">
        <f t="shared" si="9"/>
        <v>AA</v>
      </c>
      <c r="M77" s="11" t="str">
        <f t="shared" si="9"/>
        <v>A9</v>
      </c>
      <c r="N77" s="11" t="str">
        <f t="shared" si="9"/>
        <v>AA</v>
      </c>
      <c r="O77" s="11" t="str">
        <f t="shared" si="9"/>
        <v>A9</v>
      </c>
      <c r="P77" s="11" t="str">
        <f t="shared" si="9"/>
        <v>AA</v>
      </c>
      <c r="Q77" s="11" t="str">
        <f t="shared" si="9"/>
        <v>A9</v>
      </c>
      <c r="R77" s="11" t="str">
        <f t="shared" si="6"/>
        <v>AA</v>
      </c>
    </row>
    <row r="78" spans="1:18" x14ac:dyDescent="0.3">
      <c r="A78" s="39" t="s">
        <v>695</v>
      </c>
      <c r="B78" s="5" t="str">
        <f t="shared" si="10"/>
        <v>A6B0</v>
      </c>
      <c r="C78" s="18" t="str">
        <f t="shared" si="9"/>
        <v>A9</v>
      </c>
      <c r="D78" s="11" t="str">
        <f t="shared" si="9"/>
        <v>AA</v>
      </c>
      <c r="E78" s="11" t="str">
        <f t="shared" si="9"/>
        <v>A9</v>
      </c>
      <c r="F78" s="11" t="str">
        <f t="shared" si="9"/>
        <v>AA</v>
      </c>
      <c r="G78" s="11" t="str">
        <f t="shared" si="9"/>
        <v>A9</v>
      </c>
      <c r="H78" s="11" t="str">
        <f t="shared" si="9"/>
        <v>AA</v>
      </c>
      <c r="I78" s="11" t="str">
        <f t="shared" si="9"/>
        <v>A9</v>
      </c>
      <c r="J78" s="11" t="str">
        <f t="shared" si="9"/>
        <v>AA</v>
      </c>
      <c r="K78" s="11" t="str">
        <f t="shared" si="9"/>
        <v>A9</v>
      </c>
      <c r="L78" s="11" t="str">
        <f t="shared" si="9"/>
        <v>AA</v>
      </c>
      <c r="M78" s="11" t="str">
        <f t="shared" si="9"/>
        <v>A9</v>
      </c>
      <c r="N78" s="11" t="str">
        <f t="shared" si="9"/>
        <v>AA</v>
      </c>
      <c r="O78" s="11" t="str">
        <f t="shared" si="9"/>
        <v>A9</v>
      </c>
      <c r="P78" s="11" t="str">
        <f t="shared" si="9"/>
        <v>AA</v>
      </c>
      <c r="Q78" s="11" t="str">
        <f t="shared" si="9"/>
        <v>A9</v>
      </c>
      <c r="R78" s="11" t="str">
        <f t="shared" si="6"/>
        <v>AA</v>
      </c>
    </row>
    <row r="79" spans="1:18" x14ac:dyDescent="0.3">
      <c r="A79" s="39" t="s">
        <v>696</v>
      </c>
      <c r="B79" s="5" t="str">
        <f t="shared" si="10"/>
        <v>A6C0</v>
      </c>
      <c r="C79" s="18" t="str">
        <f t="shared" si="9"/>
        <v>A9</v>
      </c>
      <c r="D79" s="11" t="str">
        <f t="shared" si="9"/>
        <v>AB</v>
      </c>
      <c r="E79" s="11" t="str">
        <f t="shared" si="9"/>
        <v>AA</v>
      </c>
      <c r="F79" s="11" t="str">
        <f t="shared" si="9"/>
        <v>AB</v>
      </c>
      <c r="G79" s="11" t="str">
        <f t="shared" si="9"/>
        <v>A9</v>
      </c>
      <c r="H79" s="11" t="str">
        <f t="shared" si="9"/>
        <v>AB</v>
      </c>
      <c r="I79" s="11" t="str">
        <f t="shared" si="9"/>
        <v>AA</v>
      </c>
      <c r="J79" s="11" t="str">
        <f t="shared" si="9"/>
        <v>AB</v>
      </c>
      <c r="K79" s="11" t="str">
        <f t="shared" si="9"/>
        <v>A9</v>
      </c>
      <c r="L79" s="11" t="str">
        <f t="shared" si="9"/>
        <v>AB</v>
      </c>
      <c r="M79" s="11" t="str">
        <f t="shared" si="9"/>
        <v>AA</v>
      </c>
      <c r="N79" s="11" t="str">
        <f t="shared" si="9"/>
        <v>AB</v>
      </c>
      <c r="O79" s="11" t="str">
        <f t="shared" si="9"/>
        <v>A9</v>
      </c>
      <c r="P79" s="11" t="str">
        <f t="shared" si="9"/>
        <v>AB</v>
      </c>
      <c r="Q79" s="11" t="str">
        <f t="shared" si="9"/>
        <v>AA</v>
      </c>
      <c r="R79" s="11" t="str">
        <f t="shared" si="6"/>
        <v>AB</v>
      </c>
    </row>
    <row r="80" spans="1:18" x14ac:dyDescent="0.3">
      <c r="A80" s="39" t="s">
        <v>696</v>
      </c>
      <c r="B80" s="5" t="str">
        <f t="shared" si="10"/>
        <v>A6D0</v>
      </c>
      <c r="C80" s="18" t="str">
        <f t="shared" si="9"/>
        <v>A9</v>
      </c>
      <c r="D80" s="11" t="str">
        <f t="shared" si="9"/>
        <v>AB</v>
      </c>
      <c r="E80" s="11" t="str">
        <f t="shared" si="9"/>
        <v>AA</v>
      </c>
      <c r="F80" s="11" t="str">
        <f t="shared" si="9"/>
        <v>AB</v>
      </c>
      <c r="G80" s="11" t="str">
        <f t="shared" si="9"/>
        <v>A9</v>
      </c>
      <c r="H80" s="11" t="str">
        <f t="shared" si="9"/>
        <v>AB</v>
      </c>
      <c r="I80" s="11" t="str">
        <f t="shared" si="9"/>
        <v>AA</v>
      </c>
      <c r="J80" s="11" t="str">
        <f t="shared" si="9"/>
        <v>AB</v>
      </c>
      <c r="K80" s="11" t="str">
        <f t="shared" si="9"/>
        <v>A9</v>
      </c>
      <c r="L80" s="11" t="str">
        <f t="shared" si="9"/>
        <v>AB</v>
      </c>
      <c r="M80" s="11" t="str">
        <f t="shared" si="9"/>
        <v>AA</v>
      </c>
      <c r="N80" s="11" t="str">
        <f t="shared" si="9"/>
        <v>AB</v>
      </c>
      <c r="O80" s="11" t="str">
        <f t="shared" si="9"/>
        <v>A9</v>
      </c>
      <c r="P80" s="11" t="str">
        <f t="shared" si="9"/>
        <v>AB</v>
      </c>
      <c r="Q80" s="11" t="str">
        <f t="shared" si="9"/>
        <v>AA</v>
      </c>
      <c r="R80" s="11" t="str">
        <f t="shared" si="6"/>
        <v>AB</v>
      </c>
    </row>
    <row r="81" spans="1:18" x14ac:dyDescent="0.3">
      <c r="A81" s="39" t="s">
        <v>697</v>
      </c>
      <c r="B81" s="5" t="str">
        <f t="shared" si="10"/>
        <v>A6E0</v>
      </c>
      <c r="C81" s="18" t="str">
        <f t="shared" si="9"/>
        <v>A9</v>
      </c>
      <c r="D81" s="11" t="str">
        <f t="shared" si="9"/>
        <v>AC</v>
      </c>
      <c r="E81" s="11" t="str">
        <f t="shared" si="9"/>
        <v>AA</v>
      </c>
      <c r="F81" s="11" t="str">
        <f t="shared" si="9"/>
        <v>AC</v>
      </c>
      <c r="G81" s="11" t="str">
        <f t="shared" si="9"/>
        <v>A9</v>
      </c>
      <c r="H81" s="11" t="str">
        <f t="shared" si="9"/>
        <v>AC</v>
      </c>
      <c r="I81" s="11" t="str">
        <f t="shared" si="9"/>
        <v>AA</v>
      </c>
      <c r="J81" s="11" t="str">
        <f t="shared" si="9"/>
        <v>AC</v>
      </c>
      <c r="K81" s="11" t="str">
        <f t="shared" si="9"/>
        <v>A9</v>
      </c>
      <c r="L81" s="11" t="str">
        <f t="shared" si="9"/>
        <v>AC</v>
      </c>
      <c r="M81" s="11" t="str">
        <f t="shared" si="9"/>
        <v>AA</v>
      </c>
      <c r="N81" s="11" t="str">
        <f t="shared" si="9"/>
        <v>AC</v>
      </c>
      <c r="O81" s="11" t="str">
        <f t="shared" si="9"/>
        <v>A9</v>
      </c>
      <c r="P81" s="11" t="str">
        <f t="shared" si="9"/>
        <v>AC</v>
      </c>
      <c r="Q81" s="11" t="str">
        <f t="shared" si="9"/>
        <v>AA</v>
      </c>
      <c r="R81" s="11" t="str">
        <f t="shared" si="6"/>
        <v>AC</v>
      </c>
    </row>
    <row r="82" spans="1:18" x14ac:dyDescent="0.3">
      <c r="A82" s="39" t="s">
        <v>697</v>
      </c>
      <c r="B82" s="58" t="str">
        <f t="shared" si="10"/>
        <v>A6F0</v>
      </c>
      <c r="C82" s="19" t="str">
        <f t="shared" si="9"/>
        <v>A9</v>
      </c>
      <c r="D82" s="12" t="str">
        <f t="shared" si="9"/>
        <v>AC</v>
      </c>
      <c r="E82" s="12" t="str">
        <f t="shared" si="9"/>
        <v>AA</v>
      </c>
      <c r="F82" s="12" t="str">
        <f t="shared" si="9"/>
        <v>AC</v>
      </c>
      <c r="G82" s="12" t="str">
        <f t="shared" si="9"/>
        <v>A9</v>
      </c>
      <c r="H82" s="12" t="str">
        <f t="shared" si="9"/>
        <v>AC</v>
      </c>
      <c r="I82" s="12" t="str">
        <f t="shared" si="9"/>
        <v>AA</v>
      </c>
      <c r="J82" s="12" t="str">
        <f t="shared" si="9"/>
        <v>AC</v>
      </c>
      <c r="K82" s="12" t="str">
        <f t="shared" si="9"/>
        <v>A9</v>
      </c>
      <c r="L82" s="12" t="str">
        <f t="shared" si="9"/>
        <v>AC</v>
      </c>
      <c r="M82" s="12" t="str">
        <f t="shared" si="9"/>
        <v>AA</v>
      </c>
      <c r="N82" s="12" t="str">
        <f t="shared" si="9"/>
        <v>AC</v>
      </c>
      <c r="O82" s="12" t="str">
        <f t="shared" si="9"/>
        <v>A9</v>
      </c>
      <c r="P82" s="12" t="str">
        <f t="shared" si="9"/>
        <v>AC</v>
      </c>
      <c r="Q82" s="12" t="str">
        <f t="shared" si="9"/>
        <v>AA</v>
      </c>
      <c r="R82" s="12" t="str">
        <f t="shared" si="6"/>
        <v>AC</v>
      </c>
    </row>
    <row r="83" spans="1:18" x14ac:dyDescent="0.3">
      <c r="A83" s="39" t="s">
        <v>730</v>
      </c>
      <c r="B83" s="29" t="str">
        <f t="shared" si="10"/>
        <v>A700</v>
      </c>
      <c r="C83" s="17" t="str">
        <f t="shared" si="9"/>
        <v>00</v>
      </c>
      <c r="D83" s="10" t="str">
        <f t="shared" si="9"/>
        <v>0C</v>
      </c>
      <c r="E83" s="10" t="str">
        <f t="shared" si="9"/>
        <v>0E</v>
      </c>
      <c r="F83" s="10" t="str">
        <f t="shared" si="9"/>
        <v>1C</v>
      </c>
      <c r="G83" s="10" t="str">
        <f t="shared" si="9"/>
        <v>10</v>
      </c>
      <c r="H83" s="10" t="str">
        <f t="shared" si="9"/>
        <v>2C</v>
      </c>
      <c r="I83" s="10" t="str">
        <f t="shared" si="9"/>
        <v>1E</v>
      </c>
      <c r="J83" s="10" t="str">
        <f t="shared" si="9"/>
        <v>3C</v>
      </c>
      <c r="K83" s="10" t="str">
        <f t="shared" si="9"/>
        <v>20</v>
      </c>
      <c r="L83" s="10" t="str">
        <f t="shared" si="9"/>
        <v>4C</v>
      </c>
      <c r="M83" s="10" t="str">
        <f t="shared" si="9"/>
        <v>2E</v>
      </c>
      <c r="N83" s="10" t="str">
        <f t="shared" si="9"/>
        <v>5C</v>
      </c>
      <c r="O83" s="10" t="str">
        <f t="shared" si="9"/>
        <v>30</v>
      </c>
      <c r="P83" s="10" t="str">
        <f t="shared" si="9"/>
        <v>6C</v>
      </c>
      <c r="Q83" s="10" t="str">
        <f t="shared" si="9"/>
        <v>3E</v>
      </c>
      <c r="R83" s="10" t="str">
        <f t="shared" si="6"/>
        <v>7C</v>
      </c>
    </row>
    <row r="84" spans="1:18" x14ac:dyDescent="0.3">
      <c r="A84" s="39" t="s">
        <v>731</v>
      </c>
      <c r="B84" s="5" t="str">
        <f t="shared" si="10"/>
        <v>A710</v>
      </c>
      <c r="C84" s="18" t="str">
        <f t="shared" ref="C84:R99" si="11">MID($A84,13+C$1*3,2)</f>
        <v>40</v>
      </c>
      <c r="D84" s="11" t="str">
        <f t="shared" si="11"/>
        <v>8C</v>
      </c>
      <c r="E84" s="11" t="str">
        <f t="shared" si="11"/>
        <v>4E</v>
      </c>
      <c r="F84" s="11" t="str">
        <f t="shared" si="11"/>
        <v>9C</v>
      </c>
      <c r="G84" s="11" t="str">
        <f t="shared" si="11"/>
        <v>50</v>
      </c>
      <c r="H84" s="11" t="str">
        <f t="shared" si="11"/>
        <v>AC</v>
      </c>
      <c r="I84" s="11" t="str">
        <f t="shared" si="11"/>
        <v>5E</v>
      </c>
      <c r="J84" s="11" t="str">
        <f t="shared" si="11"/>
        <v>BC</v>
      </c>
      <c r="K84" s="11" t="str">
        <f t="shared" si="11"/>
        <v>60</v>
      </c>
      <c r="L84" s="11" t="str">
        <f t="shared" si="11"/>
        <v>CC</v>
      </c>
      <c r="M84" s="11" t="str">
        <f t="shared" si="11"/>
        <v>6E</v>
      </c>
      <c r="N84" s="11" t="str">
        <f t="shared" si="11"/>
        <v>DC</v>
      </c>
      <c r="O84" s="11" t="str">
        <f t="shared" si="11"/>
        <v>70</v>
      </c>
      <c r="P84" s="11" t="str">
        <f t="shared" si="11"/>
        <v>EC</v>
      </c>
      <c r="Q84" s="11" t="str">
        <f t="shared" si="11"/>
        <v>7E</v>
      </c>
      <c r="R84" s="11" t="str">
        <f t="shared" si="6"/>
        <v>FC</v>
      </c>
    </row>
    <row r="85" spans="1:18" x14ac:dyDescent="0.3">
      <c r="A85" s="39" t="s">
        <v>732</v>
      </c>
      <c r="B85" s="5" t="str">
        <f t="shared" si="10"/>
        <v>A720</v>
      </c>
      <c r="C85" s="18" t="str">
        <f t="shared" si="11"/>
        <v>80</v>
      </c>
      <c r="D85" s="11" t="str">
        <f t="shared" si="11"/>
        <v>0C</v>
      </c>
      <c r="E85" s="11" t="str">
        <f t="shared" si="11"/>
        <v>8E</v>
      </c>
      <c r="F85" s="11" t="str">
        <f t="shared" si="11"/>
        <v>1C</v>
      </c>
      <c r="G85" s="11" t="str">
        <f t="shared" si="11"/>
        <v>90</v>
      </c>
      <c r="H85" s="11" t="str">
        <f t="shared" si="11"/>
        <v>2C</v>
      </c>
      <c r="I85" s="11" t="str">
        <f t="shared" si="11"/>
        <v>9E</v>
      </c>
      <c r="J85" s="11" t="str">
        <f t="shared" si="11"/>
        <v>3C</v>
      </c>
      <c r="K85" s="11" t="str">
        <f t="shared" si="11"/>
        <v>A0</v>
      </c>
      <c r="L85" s="11" t="str">
        <f t="shared" si="11"/>
        <v>4C</v>
      </c>
      <c r="M85" s="11" t="str">
        <f t="shared" si="11"/>
        <v>AE</v>
      </c>
      <c r="N85" s="11" t="str">
        <f t="shared" si="11"/>
        <v>5C</v>
      </c>
      <c r="O85" s="11" t="str">
        <f t="shared" si="11"/>
        <v>B0</v>
      </c>
      <c r="P85" s="11" t="str">
        <f t="shared" si="11"/>
        <v>6C</v>
      </c>
      <c r="Q85" s="11" t="str">
        <f t="shared" si="11"/>
        <v>BE</v>
      </c>
      <c r="R85" s="11" t="str">
        <f t="shared" si="6"/>
        <v>7C</v>
      </c>
    </row>
    <row r="86" spans="1:18" x14ac:dyDescent="0.3">
      <c r="A86" s="39" t="s">
        <v>733</v>
      </c>
      <c r="B86" s="5" t="str">
        <f t="shared" si="10"/>
        <v>A730</v>
      </c>
      <c r="C86" s="18" t="str">
        <f t="shared" si="11"/>
        <v>C0</v>
      </c>
      <c r="D86" s="11" t="str">
        <f t="shared" si="11"/>
        <v>8C</v>
      </c>
      <c r="E86" s="11" t="str">
        <f t="shared" si="11"/>
        <v>CE</v>
      </c>
      <c r="F86" s="11" t="str">
        <f t="shared" si="11"/>
        <v>9C</v>
      </c>
      <c r="G86" s="11" t="str">
        <f t="shared" si="11"/>
        <v>D0</v>
      </c>
      <c r="H86" s="11" t="str">
        <f t="shared" si="11"/>
        <v>AC</v>
      </c>
      <c r="I86" s="11" t="str">
        <f t="shared" si="11"/>
        <v>DE</v>
      </c>
      <c r="J86" s="11" t="str">
        <f t="shared" si="11"/>
        <v>BC</v>
      </c>
      <c r="K86" s="11" t="str">
        <f t="shared" si="11"/>
        <v>E0</v>
      </c>
      <c r="L86" s="11" t="str">
        <f t="shared" si="11"/>
        <v>CC</v>
      </c>
      <c r="M86" s="11" t="str">
        <f t="shared" si="11"/>
        <v>EE</v>
      </c>
      <c r="N86" s="11" t="str">
        <f t="shared" si="11"/>
        <v>DC</v>
      </c>
      <c r="O86" s="11" t="str">
        <f t="shared" si="11"/>
        <v>F0</v>
      </c>
      <c r="P86" s="11" t="str">
        <f t="shared" si="11"/>
        <v>EC</v>
      </c>
      <c r="Q86" s="11" t="str">
        <f t="shared" si="11"/>
        <v>FE</v>
      </c>
      <c r="R86" s="11" t="str">
        <f t="shared" si="6"/>
        <v>FC</v>
      </c>
    </row>
    <row r="87" spans="1:18" x14ac:dyDescent="0.3">
      <c r="A87" s="39" t="s">
        <v>730</v>
      </c>
      <c r="B87" s="5" t="str">
        <f t="shared" si="10"/>
        <v>A740</v>
      </c>
      <c r="C87" s="18" t="str">
        <f t="shared" si="11"/>
        <v>00</v>
      </c>
      <c r="D87" s="11" t="str">
        <f t="shared" si="11"/>
        <v>0C</v>
      </c>
      <c r="E87" s="11" t="str">
        <f t="shared" si="11"/>
        <v>0E</v>
      </c>
      <c r="F87" s="11" t="str">
        <f t="shared" si="11"/>
        <v>1C</v>
      </c>
      <c r="G87" s="11" t="str">
        <f t="shared" si="11"/>
        <v>10</v>
      </c>
      <c r="H87" s="11" t="str">
        <f t="shared" si="11"/>
        <v>2C</v>
      </c>
      <c r="I87" s="11" t="str">
        <f t="shared" si="11"/>
        <v>1E</v>
      </c>
      <c r="J87" s="11" t="str">
        <f t="shared" si="11"/>
        <v>3C</v>
      </c>
      <c r="K87" s="11" t="str">
        <f t="shared" si="11"/>
        <v>20</v>
      </c>
      <c r="L87" s="11" t="str">
        <f t="shared" si="11"/>
        <v>4C</v>
      </c>
      <c r="M87" s="11" t="str">
        <f t="shared" si="11"/>
        <v>2E</v>
      </c>
      <c r="N87" s="11" t="str">
        <f t="shared" si="11"/>
        <v>5C</v>
      </c>
      <c r="O87" s="11" t="str">
        <f t="shared" si="11"/>
        <v>30</v>
      </c>
      <c r="P87" s="11" t="str">
        <f t="shared" si="11"/>
        <v>6C</v>
      </c>
      <c r="Q87" s="11" t="str">
        <f t="shared" si="11"/>
        <v>3E</v>
      </c>
      <c r="R87" s="11" t="str">
        <f t="shared" si="6"/>
        <v>7C</v>
      </c>
    </row>
    <row r="88" spans="1:18" x14ac:dyDescent="0.3">
      <c r="A88" s="39" t="s">
        <v>731</v>
      </c>
      <c r="B88" s="5" t="str">
        <f t="shared" si="10"/>
        <v>A750</v>
      </c>
      <c r="C88" s="18" t="str">
        <f t="shared" si="11"/>
        <v>40</v>
      </c>
      <c r="D88" s="11" t="str">
        <f t="shared" si="11"/>
        <v>8C</v>
      </c>
      <c r="E88" s="11" t="str">
        <f t="shared" si="11"/>
        <v>4E</v>
      </c>
      <c r="F88" s="11" t="str">
        <f t="shared" si="11"/>
        <v>9C</v>
      </c>
      <c r="G88" s="11" t="str">
        <f t="shared" si="11"/>
        <v>50</v>
      </c>
      <c r="H88" s="11" t="str">
        <f t="shared" si="11"/>
        <v>AC</v>
      </c>
      <c r="I88" s="11" t="str">
        <f t="shared" si="11"/>
        <v>5E</v>
      </c>
      <c r="J88" s="11" t="str">
        <f t="shared" si="11"/>
        <v>BC</v>
      </c>
      <c r="K88" s="11" t="str">
        <f t="shared" si="11"/>
        <v>60</v>
      </c>
      <c r="L88" s="11" t="str">
        <f t="shared" si="11"/>
        <v>CC</v>
      </c>
      <c r="M88" s="11" t="str">
        <f t="shared" si="11"/>
        <v>6E</v>
      </c>
      <c r="N88" s="11" t="str">
        <f t="shared" si="11"/>
        <v>DC</v>
      </c>
      <c r="O88" s="11" t="str">
        <f t="shared" si="11"/>
        <v>70</v>
      </c>
      <c r="P88" s="11" t="str">
        <f t="shared" si="11"/>
        <v>EC</v>
      </c>
      <c r="Q88" s="11" t="str">
        <f t="shared" si="11"/>
        <v>7E</v>
      </c>
      <c r="R88" s="11" t="str">
        <f t="shared" si="6"/>
        <v>FC</v>
      </c>
    </row>
    <row r="89" spans="1:18" x14ac:dyDescent="0.3">
      <c r="A89" s="39" t="s">
        <v>732</v>
      </c>
      <c r="B89" s="5" t="str">
        <f t="shared" si="10"/>
        <v>A760</v>
      </c>
      <c r="C89" s="18" t="str">
        <f t="shared" si="11"/>
        <v>80</v>
      </c>
      <c r="D89" s="11" t="str">
        <f t="shared" si="11"/>
        <v>0C</v>
      </c>
      <c r="E89" s="11" t="str">
        <f t="shared" si="11"/>
        <v>8E</v>
      </c>
      <c r="F89" s="11" t="str">
        <f t="shared" si="11"/>
        <v>1C</v>
      </c>
      <c r="G89" s="11" t="str">
        <f t="shared" si="11"/>
        <v>90</v>
      </c>
      <c r="H89" s="11" t="str">
        <f t="shared" si="11"/>
        <v>2C</v>
      </c>
      <c r="I89" s="11" t="str">
        <f t="shared" si="11"/>
        <v>9E</v>
      </c>
      <c r="J89" s="11" t="str">
        <f t="shared" si="11"/>
        <v>3C</v>
      </c>
      <c r="K89" s="11" t="str">
        <f t="shared" si="11"/>
        <v>A0</v>
      </c>
      <c r="L89" s="11" t="str">
        <f t="shared" si="11"/>
        <v>4C</v>
      </c>
      <c r="M89" s="11" t="str">
        <f t="shared" si="11"/>
        <v>AE</v>
      </c>
      <c r="N89" s="11" t="str">
        <f t="shared" si="11"/>
        <v>5C</v>
      </c>
      <c r="O89" s="11" t="str">
        <f t="shared" si="11"/>
        <v>B0</v>
      </c>
      <c r="P89" s="11" t="str">
        <f t="shared" si="11"/>
        <v>6C</v>
      </c>
      <c r="Q89" s="11" t="str">
        <f t="shared" si="11"/>
        <v>BE</v>
      </c>
      <c r="R89" s="11" t="str">
        <f t="shared" si="6"/>
        <v>7C</v>
      </c>
    </row>
    <row r="90" spans="1:18" x14ac:dyDescent="0.3">
      <c r="A90" s="39" t="s">
        <v>733</v>
      </c>
      <c r="B90" s="58" t="str">
        <f t="shared" si="10"/>
        <v>A770</v>
      </c>
      <c r="C90" s="19" t="str">
        <f t="shared" si="11"/>
        <v>C0</v>
      </c>
      <c r="D90" s="12" t="str">
        <f t="shared" si="11"/>
        <v>8C</v>
      </c>
      <c r="E90" s="12" t="str">
        <f t="shared" si="11"/>
        <v>CE</v>
      </c>
      <c r="F90" s="12" t="str">
        <f t="shared" si="11"/>
        <v>9C</v>
      </c>
      <c r="G90" s="12" t="str">
        <f t="shared" si="11"/>
        <v>D0</v>
      </c>
      <c r="H90" s="12" t="str">
        <f t="shared" si="11"/>
        <v>AC</v>
      </c>
      <c r="I90" s="12" t="str">
        <f t="shared" si="11"/>
        <v>DE</v>
      </c>
      <c r="J90" s="12" t="str">
        <f t="shared" si="11"/>
        <v>BC</v>
      </c>
      <c r="K90" s="12" t="str">
        <f t="shared" si="11"/>
        <v>E0</v>
      </c>
      <c r="L90" s="12" t="str">
        <f t="shared" si="11"/>
        <v>CC</v>
      </c>
      <c r="M90" s="12" t="str">
        <f t="shared" si="11"/>
        <v>EE</v>
      </c>
      <c r="N90" s="12" t="str">
        <f t="shared" si="11"/>
        <v>DC</v>
      </c>
      <c r="O90" s="12" t="str">
        <f t="shared" si="11"/>
        <v>F0</v>
      </c>
      <c r="P90" s="12" t="str">
        <f t="shared" si="11"/>
        <v>EC</v>
      </c>
      <c r="Q90" s="12" t="str">
        <f t="shared" si="11"/>
        <v>FE</v>
      </c>
      <c r="R90" s="12" t="str">
        <f t="shared" si="6"/>
        <v>FC</v>
      </c>
    </row>
    <row r="91" spans="1:18" x14ac:dyDescent="0.3">
      <c r="A91" s="39" t="s">
        <v>694</v>
      </c>
      <c r="B91" s="5" t="str">
        <f t="shared" si="10"/>
        <v>A780</v>
      </c>
      <c r="C91" s="17" t="str">
        <f t="shared" si="11"/>
        <v>A9</v>
      </c>
      <c r="D91" s="10" t="str">
        <f t="shared" si="11"/>
        <v>A9</v>
      </c>
      <c r="E91" s="10" t="str">
        <f t="shared" si="11"/>
        <v>A9</v>
      </c>
      <c r="F91" s="10" t="str">
        <f t="shared" si="11"/>
        <v>A9</v>
      </c>
      <c r="G91" s="10" t="str">
        <f t="shared" si="11"/>
        <v>A9</v>
      </c>
      <c r="H91" s="10" t="str">
        <f t="shared" si="11"/>
        <v>A9</v>
      </c>
      <c r="I91" s="10" t="str">
        <f t="shared" si="11"/>
        <v>A9</v>
      </c>
      <c r="J91" s="10" t="str">
        <f t="shared" si="11"/>
        <v>A9</v>
      </c>
      <c r="K91" s="10" t="str">
        <f t="shared" si="11"/>
        <v>A9</v>
      </c>
      <c r="L91" s="10" t="str">
        <f t="shared" si="11"/>
        <v>A9</v>
      </c>
      <c r="M91" s="10" t="str">
        <f t="shared" si="11"/>
        <v>A9</v>
      </c>
      <c r="N91" s="10" t="str">
        <f t="shared" si="11"/>
        <v>A9</v>
      </c>
      <c r="O91" s="10" t="str">
        <f t="shared" si="11"/>
        <v>A9</v>
      </c>
      <c r="P91" s="10" t="str">
        <f t="shared" si="11"/>
        <v>A9</v>
      </c>
      <c r="Q91" s="10" t="str">
        <f t="shared" si="11"/>
        <v>A9</v>
      </c>
      <c r="R91" s="10" t="str">
        <f t="shared" si="6"/>
        <v>A9</v>
      </c>
    </row>
    <row r="92" spans="1:18" x14ac:dyDescent="0.3">
      <c r="A92" s="39" t="s">
        <v>694</v>
      </c>
      <c r="B92" s="5" t="str">
        <f t="shared" si="10"/>
        <v>A790</v>
      </c>
      <c r="C92" s="18" t="str">
        <f t="shared" si="11"/>
        <v>A9</v>
      </c>
      <c r="D92" s="11" t="str">
        <f t="shared" si="11"/>
        <v>A9</v>
      </c>
      <c r="E92" s="11" t="str">
        <f t="shared" si="11"/>
        <v>A9</v>
      </c>
      <c r="F92" s="11" t="str">
        <f t="shared" si="11"/>
        <v>A9</v>
      </c>
      <c r="G92" s="11" t="str">
        <f t="shared" si="11"/>
        <v>A9</v>
      </c>
      <c r="H92" s="11" t="str">
        <f t="shared" si="11"/>
        <v>A9</v>
      </c>
      <c r="I92" s="11" t="str">
        <f t="shared" si="11"/>
        <v>A9</v>
      </c>
      <c r="J92" s="11" t="str">
        <f t="shared" si="11"/>
        <v>A9</v>
      </c>
      <c r="K92" s="11" t="str">
        <f t="shared" si="11"/>
        <v>A9</v>
      </c>
      <c r="L92" s="11" t="str">
        <f t="shared" si="11"/>
        <v>A9</v>
      </c>
      <c r="M92" s="11" t="str">
        <f t="shared" si="11"/>
        <v>A9</v>
      </c>
      <c r="N92" s="11" t="str">
        <f t="shared" si="11"/>
        <v>A9</v>
      </c>
      <c r="O92" s="11" t="str">
        <f t="shared" si="11"/>
        <v>A9</v>
      </c>
      <c r="P92" s="11" t="str">
        <f t="shared" si="11"/>
        <v>A9</v>
      </c>
      <c r="Q92" s="11" t="str">
        <f t="shared" si="11"/>
        <v>A9</v>
      </c>
      <c r="R92" s="11" t="str">
        <f t="shared" si="6"/>
        <v>A9</v>
      </c>
    </row>
    <row r="93" spans="1:18" x14ac:dyDescent="0.3">
      <c r="A93" s="39" t="s">
        <v>695</v>
      </c>
      <c r="B93" s="5" t="str">
        <f t="shared" si="10"/>
        <v>A7A0</v>
      </c>
      <c r="C93" s="18" t="str">
        <f t="shared" si="11"/>
        <v>A9</v>
      </c>
      <c r="D93" s="11" t="str">
        <f t="shared" si="11"/>
        <v>AA</v>
      </c>
      <c r="E93" s="11" t="str">
        <f t="shared" si="11"/>
        <v>A9</v>
      </c>
      <c r="F93" s="11" t="str">
        <f t="shared" si="11"/>
        <v>AA</v>
      </c>
      <c r="G93" s="11" t="str">
        <f t="shared" si="11"/>
        <v>A9</v>
      </c>
      <c r="H93" s="11" t="str">
        <f t="shared" si="11"/>
        <v>AA</v>
      </c>
      <c r="I93" s="11" t="str">
        <f t="shared" si="11"/>
        <v>A9</v>
      </c>
      <c r="J93" s="11" t="str">
        <f t="shared" si="11"/>
        <v>AA</v>
      </c>
      <c r="K93" s="11" t="str">
        <f t="shared" si="11"/>
        <v>A9</v>
      </c>
      <c r="L93" s="11" t="str">
        <f t="shared" si="11"/>
        <v>AA</v>
      </c>
      <c r="M93" s="11" t="str">
        <f t="shared" si="11"/>
        <v>A9</v>
      </c>
      <c r="N93" s="11" t="str">
        <f t="shared" si="11"/>
        <v>AA</v>
      </c>
      <c r="O93" s="11" t="str">
        <f t="shared" si="11"/>
        <v>A9</v>
      </c>
      <c r="P93" s="11" t="str">
        <f t="shared" si="11"/>
        <v>AA</v>
      </c>
      <c r="Q93" s="11" t="str">
        <f t="shared" si="11"/>
        <v>A9</v>
      </c>
      <c r="R93" s="11" t="str">
        <f t="shared" si="6"/>
        <v>AA</v>
      </c>
    </row>
    <row r="94" spans="1:18" x14ac:dyDescent="0.3">
      <c r="A94" s="39" t="s">
        <v>695</v>
      </c>
      <c r="B94" s="5" t="str">
        <f t="shared" si="10"/>
        <v>A7B0</v>
      </c>
      <c r="C94" s="18" t="str">
        <f t="shared" si="11"/>
        <v>A9</v>
      </c>
      <c r="D94" s="11" t="str">
        <f t="shared" si="11"/>
        <v>AA</v>
      </c>
      <c r="E94" s="11" t="str">
        <f t="shared" si="11"/>
        <v>A9</v>
      </c>
      <c r="F94" s="11" t="str">
        <f t="shared" si="11"/>
        <v>AA</v>
      </c>
      <c r="G94" s="11" t="str">
        <f t="shared" si="11"/>
        <v>A9</v>
      </c>
      <c r="H94" s="11" t="str">
        <f t="shared" si="11"/>
        <v>AA</v>
      </c>
      <c r="I94" s="11" t="str">
        <f t="shared" si="11"/>
        <v>A9</v>
      </c>
      <c r="J94" s="11" t="str">
        <f t="shared" si="11"/>
        <v>AA</v>
      </c>
      <c r="K94" s="11" t="str">
        <f t="shared" si="11"/>
        <v>A9</v>
      </c>
      <c r="L94" s="11" t="str">
        <f t="shared" si="11"/>
        <v>AA</v>
      </c>
      <c r="M94" s="11" t="str">
        <f t="shared" si="11"/>
        <v>A9</v>
      </c>
      <c r="N94" s="11" t="str">
        <f t="shared" si="11"/>
        <v>AA</v>
      </c>
      <c r="O94" s="11" t="str">
        <f t="shared" si="11"/>
        <v>A9</v>
      </c>
      <c r="P94" s="11" t="str">
        <f t="shared" si="11"/>
        <v>AA</v>
      </c>
      <c r="Q94" s="11" t="str">
        <f t="shared" si="11"/>
        <v>A9</v>
      </c>
      <c r="R94" s="11" t="str">
        <f t="shared" si="6"/>
        <v>AA</v>
      </c>
    </row>
    <row r="95" spans="1:18" x14ac:dyDescent="0.3">
      <c r="A95" s="39" t="s">
        <v>734</v>
      </c>
      <c r="B95" s="5" t="str">
        <f t="shared" si="10"/>
        <v>A7C0</v>
      </c>
      <c r="C95" s="18" t="str">
        <f t="shared" si="11"/>
        <v>AA</v>
      </c>
      <c r="D95" s="11" t="str">
        <f t="shared" si="11"/>
        <v>AB</v>
      </c>
      <c r="E95" s="11" t="str">
        <f t="shared" si="11"/>
        <v>AA</v>
      </c>
      <c r="F95" s="11" t="str">
        <f t="shared" si="11"/>
        <v>AB</v>
      </c>
      <c r="G95" s="11" t="str">
        <f t="shared" si="11"/>
        <v>AA</v>
      </c>
      <c r="H95" s="11" t="str">
        <f t="shared" si="11"/>
        <v>AB</v>
      </c>
      <c r="I95" s="11" t="str">
        <f t="shared" si="11"/>
        <v>AA</v>
      </c>
      <c r="J95" s="11" t="str">
        <f t="shared" si="11"/>
        <v>AB</v>
      </c>
      <c r="K95" s="11" t="str">
        <f t="shared" si="11"/>
        <v>AA</v>
      </c>
      <c r="L95" s="11" t="str">
        <f t="shared" si="11"/>
        <v>AB</v>
      </c>
      <c r="M95" s="11" t="str">
        <f t="shared" si="11"/>
        <v>AA</v>
      </c>
      <c r="N95" s="11" t="str">
        <f t="shared" si="11"/>
        <v>AB</v>
      </c>
      <c r="O95" s="11" t="str">
        <f t="shared" si="11"/>
        <v>AA</v>
      </c>
      <c r="P95" s="11" t="str">
        <f t="shared" si="11"/>
        <v>AB</v>
      </c>
      <c r="Q95" s="11" t="str">
        <f t="shared" si="11"/>
        <v>AA</v>
      </c>
      <c r="R95" s="11" t="str">
        <f t="shared" si="6"/>
        <v>AB</v>
      </c>
    </row>
    <row r="96" spans="1:18" x14ac:dyDescent="0.3">
      <c r="A96" s="39" t="s">
        <v>734</v>
      </c>
      <c r="B96" s="5" t="str">
        <f t="shared" si="10"/>
        <v>A7D0</v>
      </c>
      <c r="C96" s="18" t="str">
        <f t="shared" si="11"/>
        <v>AA</v>
      </c>
      <c r="D96" s="11" t="str">
        <f t="shared" si="11"/>
        <v>AB</v>
      </c>
      <c r="E96" s="11" t="str">
        <f t="shared" si="11"/>
        <v>AA</v>
      </c>
      <c r="F96" s="11" t="str">
        <f t="shared" si="11"/>
        <v>AB</v>
      </c>
      <c r="G96" s="11" t="str">
        <f t="shared" si="11"/>
        <v>AA</v>
      </c>
      <c r="H96" s="11" t="str">
        <f t="shared" si="11"/>
        <v>AB</v>
      </c>
      <c r="I96" s="11" t="str">
        <f t="shared" si="11"/>
        <v>AA</v>
      </c>
      <c r="J96" s="11" t="str">
        <f t="shared" si="11"/>
        <v>AB</v>
      </c>
      <c r="K96" s="11" t="str">
        <f t="shared" si="11"/>
        <v>AA</v>
      </c>
      <c r="L96" s="11" t="str">
        <f t="shared" si="11"/>
        <v>AB</v>
      </c>
      <c r="M96" s="11" t="str">
        <f t="shared" si="11"/>
        <v>AA</v>
      </c>
      <c r="N96" s="11" t="str">
        <f t="shared" si="11"/>
        <v>AB</v>
      </c>
      <c r="O96" s="11" t="str">
        <f t="shared" si="11"/>
        <v>AA</v>
      </c>
      <c r="P96" s="11" t="str">
        <f t="shared" si="11"/>
        <v>AB</v>
      </c>
      <c r="Q96" s="11" t="str">
        <f t="shared" si="11"/>
        <v>AA</v>
      </c>
      <c r="R96" s="11" t="str">
        <f t="shared" si="6"/>
        <v>AB</v>
      </c>
    </row>
    <row r="97" spans="1:18" x14ac:dyDescent="0.3">
      <c r="A97" s="39" t="s">
        <v>735</v>
      </c>
      <c r="B97" s="5" t="str">
        <f t="shared" si="10"/>
        <v>A7E0</v>
      </c>
      <c r="C97" s="18" t="str">
        <f t="shared" si="11"/>
        <v>AA</v>
      </c>
      <c r="D97" s="11" t="str">
        <f t="shared" si="11"/>
        <v>AC</v>
      </c>
      <c r="E97" s="11" t="str">
        <f t="shared" si="11"/>
        <v>AA</v>
      </c>
      <c r="F97" s="11" t="str">
        <f t="shared" si="11"/>
        <v>AC</v>
      </c>
      <c r="G97" s="11" t="str">
        <f t="shared" si="11"/>
        <v>AA</v>
      </c>
      <c r="H97" s="11" t="str">
        <f t="shared" si="11"/>
        <v>AC</v>
      </c>
      <c r="I97" s="11" t="str">
        <f t="shared" si="11"/>
        <v>AA</v>
      </c>
      <c r="J97" s="11" t="str">
        <f t="shared" si="11"/>
        <v>AC</v>
      </c>
      <c r="K97" s="11" t="str">
        <f t="shared" si="11"/>
        <v>AA</v>
      </c>
      <c r="L97" s="11" t="str">
        <f t="shared" si="11"/>
        <v>AC</v>
      </c>
      <c r="M97" s="11" t="str">
        <f t="shared" si="11"/>
        <v>AA</v>
      </c>
      <c r="N97" s="11" t="str">
        <f t="shared" si="11"/>
        <v>AC</v>
      </c>
      <c r="O97" s="11" t="str">
        <f t="shared" si="11"/>
        <v>AA</v>
      </c>
      <c r="P97" s="11" t="str">
        <f t="shared" si="11"/>
        <v>AC</v>
      </c>
      <c r="Q97" s="11" t="str">
        <f t="shared" si="11"/>
        <v>AA</v>
      </c>
      <c r="R97" s="11" t="str">
        <f t="shared" si="6"/>
        <v>AC</v>
      </c>
    </row>
    <row r="98" spans="1:18" x14ac:dyDescent="0.3">
      <c r="A98" s="39" t="s">
        <v>735</v>
      </c>
      <c r="B98" s="58" t="str">
        <f t="shared" si="10"/>
        <v>A7F0</v>
      </c>
      <c r="C98" s="19" t="str">
        <f t="shared" si="11"/>
        <v>AA</v>
      </c>
      <c r="D98" s="12" t="str">
        <f t="shared" si="11"/>
        <v>AC</v>
      </c>
      <c r="E98" s="12" t="str">
        <f t="shared" si="11"/>
        <v>AA</v>
      </c>
      <c r="F98" s="12" t="str">
        <f t="shared" si="11"/>
        <v>AC</v>
      </c>
      <c r="G98" s="12" t="str">
        <f t="shared" si="11"/>
        <v>AA</v>
      </c>
      <c r="H98" s="12" t="str">
        <f t="shared" si="11"/>
        <v>AC</v>
      </c>
      <c r="I98" s="12" t="str">
        <f t="shared" si="11"/>
        <v>AA</v>
      </c>
      <c r="J98" s="12" t="str">
        <f t="shared" si="11"/>
        <v>AC</v>
      </c>
      <c r="K98" s="12" t="str">
        <f t="shared" si="11"/>
        <v>AA</v>
      </c>
      <c r="L98" s="12" t="str">
        <f t="shared" si="11"/>
        <v>AC</v>
      </c>
      <c r="M98" s="12" t="str">
        <f t="shared" si="11"/>
        <v>AA</v>
      </c>
      <c r="N98" s="12" t="str">
        <f t="shared" si="11"/>
        <v>AC</v>
      </c>
      <c r="O98" s="12" t="str">
        <f t="shared" si="11"/>
        <v>AA</v>
      </c>
      <c r="P98" s="12" t="str">
        <f t="shared" si="11"/>
        <v>AC</v>
      </c>
      <c r="Q98" s="12" t="str">
        <f t="shared" si="11"/>
        <v>AA</v>
      </c>
      <c r="R98" s="12" t="str">
        <f t="shared" si="6"/>
        <v>AC</v>
      </c>
    </row>
    <row r="99" spans="1:18" x14ac:dyDescent="0.3">
      <c r="A99" s="39" t="s">
        <v>736</v>
      </c>
      <c r="B99" s="29" t="str">
        <f t="shared" si="10"/>
        <v>A800</v>
      </c>
      <c r="C99" s="17" t="str">
        <f t="shared" si="11"/>
        <v>00</v>
      </c>
      <c r="D99" s="10" t="str">
        <f t="shared" si="11"/>
        <v>0E</v>
      </c>
      <c r="E99" s="10" t="str">
        <f t="shared" si="11"/>
        <v>10</v>
      </c>
      <c r="F99" s="10" t="str">
        <f t="shared" si="11"/>
        <v>1E</v>
      </c>
      <c r="G99" s="10" t="str">
        <f t="shared" si="11"/>
        <v>20</v>
      </c>
      <c r="H99" s="10" t="str">
        <f t="shared" si="11"/>
        <v>2E</v>
      </c>
      <c r="I99" s="10" t="str">
        <f t="shared" si="11"/>
        <v>30</v>
      </c>
      <c r="J99" s="10" t="str">
        <f t="shared" si="11"/>
        <v>3E</v>
      </c>
      <c r="K99" s="10" t="str">
        <f t="shared" si="11"/>
        <v>40</v>
      </c>
      <c r="L99" s="10" t="str">
        <f t="shared" si="11"/>
        <v>4E</v>
      </c>
      <c r="M99" s="10" t="str">
        <f t="shared" si="11"/>
        <v>50</v>
      </c>
      <c r="N99" s="10" t="str">
        <f t="shared" si="11"/>
        <v>5E</v>
      </c>
      <c r="O99" s="10" t="str">
        <f t="shared" si="11"/>
        <v>60</v>
      </c>
      <c r="P99" s="10" t="str">
        <f t="shared" si="11"/>
        <v>6E</v>
      </c>
      <c r="Q99" s="10" t="str">
        <f t="shared" si="11"/>
        <v>70</v>
      </c>
      <c r="R99" s="10" t="str">
        <f t="shared" si="11"/>
        <v>7E</v>
      </c>
    </row>
    <row r="100" spans="1:18" x14ac:dyDescent="0.3">
      <c r="A100" s="39" t="s">
        <v>737</v>
      </c>
      <c r="B100" s="5" t="str">
        <f t="shared" si="10"/>
        <v>A810</v>
      </c>
      <c r="C100" s="18" t="str">
        <f t="shared" ref="C100:R114" si="12">MID($A100,13+C$1*3,2)</f>
        <v>80</v>
      </c>
      <c r="D100" s="11" t="str">
        <f t="shared" si="12"/>
        <v>8E</v>
      </c>
      <c r="E100" s="11" t="str">
        <f t="shared" si="12"/>
        <v>90</v>
      </c>
      <c r="F100" s="11" t="str">
        <f t="shared" si="12"/>
        <v>9E</v>
      </c>
      <c r="G100" s="11" t="str">
        <f t="shared" si="12"/>
        <v>A0</v>
      </c>
      <c r="H100" s="11" t="str">
        <f t="shared" si="12"/>
        <v>AE</v>
      </c>
      <c r="I100" s="11" t="str">
        <f t="shared" si="12"/>
        <v>B0</v>
      </c>
      <c r="J100" s="11" t="str">
        <f t="shared" si="12"/>
        <v>BE</v>
      </c>
      <c r="K100" s="11" t="str">
        <f t="shared" si="12"/>
        <v>C0</v>
      </c>
      <c r="L100" s="11" t="str">
        <f t="shared" si="12"/>
        <v>CE</v>
      </c>
      <c r="M100" s="11" t="str">
        <f t="shared" si="12"/>
        <v>D0</v>
      </c>
      <c r="N100" s="11" t="str">
        <f t="shared" si="12"/>
        <v>DE</v>
      </c>
      <c r="O100" s="11" t="str">
        <f t="shared" si="12"/>
        <v>E0</v>
      </c>
      <c r="P100" s="11" t="str">
        <f t="shared" si="12"/>
        <v>EE</v>
      </c>
      <c r="Q100" s="11" t="str">
        <f t="shared" si="12"/>
        <v>F0</v>
      </c>
      <c r="R100" s="11" t="str">
        <f t="shared" si="12"/>
        <v>FE</v>
      </c>
    </row>
    <row r="101" spans="1:18" x14ac:dyDescent="0.3">
      <c r="A101" s="39" t="s">
        <v>736</v>
      </c>
      <c r="B101" s="5" t="str">
        <f t="shared" si="10"/>
        <v>A820</v>
      </c>
      <c r="C101" s="18" t="str">
        <f t="shared" si="12"/>
        <v>00</v>
      </c>
      <c r="D101" s="11" t="str">
        <f t="shared" si="12"/>
        <v>0E</v>
      </c>
      <c r="E101" s="11" t="str">
        <f t="shared" si="12"/>
        <v>10</v>
      </c>
      <c r="F101" s="11" t="str">
        <f t="shared" si="12"/>
        <v>1E</v>
      </c>
      <c r="G101" s="11" t="str">
        <f t="shared" si="12"/>
        <v>20</v>
      </c>
      <c r="H101" s="11" t="str">
        <f t="shared" si="12"/>
        <v>2E</v>
      </c>
      <c r="I101" s="11" t="str">
        <f t="shared" si="12"/>
        <v>30</v>
      </c>
      <c r="J101" s="11" t="str">
        <f t="shared" si="12"/>
        <v>3E</v>
      </c>
      <c r="K101" s="11" t="str">
        <f t="shared" si="12"/>
        <v>40</v>
      </c>
      <c r="L101" s="11" t="str">
        <f t="shared" si="12"/>
        <v>4E</v>
      </c>
      <c r="M101" s="11" t="str">
        <f t="shared" si="12"/>
        <v>50</v>
      </c>
      <c r="N101" s="11" t="str">
        <f t="shared" si="12"/>
        <v>5E</v>
      </c>
      <c r="O101" s="11" t="str">
        <f t="shared" si="12"/>
        <v>60</v>
      </c>
      <c r="P101" s="11" t="str">
        <f t="shared" si="12"/>
        <v>6E</v>
      </c>
      <c r="Q101" s="11" t="str">
        <f t="shared" si="12"/>
        <v>70</v>
      </c>
      <c r="R101" s="11" t="str">
        <f t="shared" si="12"/>
        <v>7E</v>
      </c>
    </row>
    <row r="102" spans="1:18" x14ac:dyDescent="0.3">
      <c r="A102" s="39" t="s">
        <v>737</v>
      </c>
      <c r="B102" s="5" t="str">
        <f t="shared" si="10"/>
        <v>A830</v>
      </c>
      <c r="C102" s="18" t="str">
        <f t="shared" si="12"/>
        <v>80</v>
      </c>
      <c r="D102" s="11" t="str">
        <f t="shared" si="12"/>
        <v>8E</v>
      </c>
      <c r="E102" s="11" t="str">
        <f t="shared" si="12"/>
        <v>90</v>
      </c>
      <c r="F102" s="11" t="str">
        <f t="shared" si="12"/>
        <v>9E</v>
      </c>
      <c r="G102" s="11" t="str">
        <f t="shared" si="12"/>
        <v>A0</v>
      </c>
      <c r="H102" s="11" t="str">
        <f t="shared" si="12"/>
        <v>AE</v>
      </c>
      <c r="I102" s="11" t="str">
        <f t="shared" si="12"/>
        <v>B0</v>
      </c>
      <c r="J102" s="11" t="str">
        <f t="shared" si="12"/>
        <v>BE</v>
      </c>
      <c r="K102" s="11" t="str">
        <f t="shared" si="12"/>
        <v>C0</v>
      </c>
      <c r="L102" s="11" t="str">
        <f t="shared" si="12"/>
        <v>CE</v>
      </c>
      <c r="M102" s="11" t="str">
        <f t="shared" si="12"/>
        <v>D0</v>
      </c>
      <c r="N102" s="11" t="str">
        <f t="shared" si="12"/>
        <v>DE</v>
      </c>
      <c r="O102" s="11" t="str">
        <f t="shared" si="12"/>
        <v>E0</v>
      </c>
      <c r="P102" s="11" t="str">
        <f t="shared" si="12"/>
        <v>EE</v>
      </c>
      <c r="Q102" s="11" t="str">
        <f t="shared" si="12"/>
        <v>F0</v>
      </c>
      <c r="R102" s="11" t="str">
        <f t="shared" si="12"/>
        <v>FE</v>
      </c>
    </row>
    <row r="103" spans="1:18" x14ac:dyDescent="0.3">
      <c r="A103" s="39" t="s">
        <v>736</v>
      </c>
      <c r="B103" s="5" t="str">
        <f t="shared" si="10"/>
        <v>A840</v>
      </c>
      <c r="C103" s="18" t="str">
        <f t="shared" si="12"/>
        <v>00</v>
      </c>
      <c r="D103" s="11" t="str">
        <f t="shared" si="12"/>
        <v>0E</v>
      </c>
      <c r="E103" s="11" t="str">
        <f t="shared" si="12"/>
        <v>10</v>
      </c>
      <c r="F103" s="11" t="str">
        <f t="shared" si="12"/>
        <v>1E</v>
      </c>
      <c r="G103" s="11" t="str">
        <f t="shared" si="12"/>
        <v>20</v>
      </c>
      <c r="H103" s="11" t="str">
        <f t="shared" si="12"/>
        <v>2E</v>
      </c>
      <c r="I103" s="11" t="str">
        <f t="shared" si="12"/>
        <v>30</v>
      </c>
      <c r="J103" s="11" t="str">
        <f t="shared" si="12"/>
        <v>3E</v>
      </c>
      <c r="K103" s="11" t="str">
        <f t="shared" si="12"/>
        <v>40</v>
      </c>
      <c r="L103" s="11" t="str">
        <f t="shared" si="12"/>
        <v>4E</v>
      </c>
      <c r="M103" s="11" t="str">
        <f t="shared" si="12"/>
        <v>50</v>
      </c>
      <c r="N103" s="11" t="str">
        <f t="shared" si="12"/>
        <v>5E</v>
      </c>
      <c r="O103" s="11" t="str">
        <f t="shared" si="12"/>
        <v>60</v>
      </c>
      <c r="P103" s="11" t="str">
        <f t="shared" si="12"/>
        <v>6E</v>
      </c>
      <c r="Q103" s="11" t="str">
        <f t="shared" si="12"/>
        <v>70</v>
      </c>
      <c r="R103" s="11" t="str">
        <f t="shared" si="12"/>
        <v>7E</v>
      </c>
    </row>
    <row r="104" spans="1:18" x14ac:dyDescent="0.3">
      <c r="A104" s="39" t="s">
        <v>737</v>
      </c>
      <c r="B104" s="5" t="str">
        <f t="shared" si="10"/>
        <v>A850</v>
      </c>
      <c r="C104" s="18" t="str">
        <f t="shared" si="12"/>
        <v>80</v>
      </c>
      <c r="D104" s="11" t="str">
        <f t="shared" si="12"/>
        <v>8E</v>
      </c>
      <c r="E104" s="11" t="str">
        <f t="shared" si="12"/>
        <v>90</v>
      </c>
      <c r="F104" s="11" t="str">
        <f t="shared" si="12"/>
        <v>9E</v>
      </c>
      <c r="G104" s="11" t="str">
        <f t="shared" si="12"/>
        <v>A0</v>
      </c>
      <c r="H104" s="11" t="str">
        <f t="shared" si="12"/>
        <v>AE</v>
      </c>
      <c r="I104" s="11" t="str">
        <f t="shared" si="12"/>
        <v>B0</v>
      </c>
      <c r="J104" s="11" t="str">
        <f t="shared" si="12"/>
        <v>BE</v>
      </c>
      <c r="K104" s="11" t="str">
        <f t="shared" si="12"/>
        <v>C0</v>
      </c>
      <c r="L104" s="11" t="str">
        <f t="shared" si="12"/>
        <v>CE</v>
      </c>
      <c r="M104" s="11" t="str">
        <f t="shared" si="12"/>
        <v>D0</v>
      </c>
      <c r="N104" s="11" t="str">
        <f t="shared" si="12"/>
        <v>DE</v>
      </c>
      <c r="O104" s="11" t="str">
        <f t="shared" si="12"/>
        <v>E0</v>
      </c>
      <c r="P104" s="11" t="str">
        <f t="shared" si="12"/>
        <v>EE</v>
      </c>
      <c r="Q104" s="11" t="str">
        <f t="shared" si="12"/>
        <v>F0</v>
      </c>
      <c r="R104" s="11" t="str">
        <f t="shared" si="12"/>
        <v>FE</v>
      </c>
    </row>
    <row r="105" spans="1:18" x14ac:dyDescent="0.3">
      <c r="A105" s="39" t="s">
        <v>736</v>
      </c>
      <c r="B105" s="5" t="str">
        <f t="shared" si="10"/>
        <v>A860</v>
      </c>
      <c r="C105" s="18" t="str">
        <f t="shared" si="12"/>
        <v>00</v>
      </c>
      <c r="D105" s="11" t="str">
        <f t="shared" si="12"/>
        <v>0E</v>
      </c>
      <c r="E105" s="11" t="str">
        <f t="shared" si="12"/>
        <v>10</v>
      </c>
      <c r="F105" s="11" t="str">
        <f t="shared" si="12"/>
        <v>1E</v>
      </c>
      <c r="G105" s="11" t="str">
        <f t="shared" si="12"/>
        <v>20</v>
      </c>
      <c r="H105" s="11" t="str">
        <f t="shared" si="12"/>
        <v>2E</v>
      </c>
      <c r="I105" s="11" t="str">
        <f t="shared" si="12"/>
        <v>30</v>
      </c>
      <c r="J105" s="11" t="str">
        <f t="shared" si="12"/>
        <v>3E</v>
      </c>
      <c r="K105" s="11" t="str">
        <f t="shared" si="12"/>
        <v>40</v>
      </c>
      <c r="L105" s="11" t="str">
        <f t="shared" si="12"/>
        <v>4E</v>
      </c>
      <c r="M105" s="11" t="str">
        <f t="shared" si="12"/>
        <v>50</v>
      </c>
      <c r="N105" s="11" t="str">
        <f t="shared" si="12"/>
        <v>5E</v>
      </c>
      <c r="O105" s="11" t="str">
        <f t="shared" si="12"/>
        <v>60</v>
      </c>
      <c r="P105" s="11" t="str">
        <f t="shared" si="12"/>
        <v>6E</v>
      </c>
      <c r="Q105" s="11" t="str">
        <f t="shared" si="12"/>
        <v>70</v>
      </c>
      <c r="R105" s="11" t="str">
        <f t="shared" si="12"/>
        <v>7E</v>
      </c>
    </row>
    <row r="106" spans="1:18" x14ac:dyDescent="0.3">
      <c r="A106" s="39" t="s">
        <v>737</v>
      </c>
      <c r="B106" s="58" t="str">
        <f t="shared" si="10"/>
        <v>A870</v>
      </c>
      <c r="C106" s="19" t="str">
        <f t="shared" si="12"/>
        <v>80</v>
      </c>
      <c r="D106" s="12" t="str">
        <f t="shared" si="12"/>
        <v>8E</v>
      </c>
      <c r="E106" s="12" t="str">
        <f t="shared" si="12"/>
        <v>90</v>
      </c>
      <c r="F106" s="12" t="str">
        <f t="shared" si="12"/>
        <v>9E</v>
      </c>
      <c r="G106" s="12" t="str">
        <f t="shared" si="12"/>
        <v>A0</v>
      </c>
      <c r="H106" s="12" t="str">
        <f t="shared" si="12"/>
        <v>AE</v>
      </c>
      <c r="I106" s="12" t="str">
        <f t="shared" si="12"/>
        <v>B0</v>
      </c>
      <c r="J106" s="12" t="str">
        <f t="shared" si="12"/>
        <v>BE</v>
      </c>
      <c r="K106" s="12" t="str">
        <f t="shared" si="12"/>
        <v>C0</v>
      </c>
      <c r="L106" s="12" t="str">
        <f t="shared" si="12"/>
        <v>CE</v>
      </c>
      <c r="M106" s="12" t="str">
        <f t="shared" si="12"/>
        <v>D0</v>
      </c>
      <c r="N106" s="12" t="str">
        <f t="shared" si="12"/>
        <v>DE</v>
      </c>
      <c r="O106" s="12" t="str">
        <f t="shared" si="12"/>
        <v>E0</v>
      </c>
      <c r="P106" s="12" t="str">
        <f t="shared" si="12"/>
        <v>EE</v>
      </c>
      <c r="Q106" s="12" t="str">
        <f t="shared" si="12"/>
        <v>F0</v>
      </c>
      <c r="R106" s="12" t="str">
        <f t="shared" si="12"/>
        <v>FE</v>
      </c>
    </row>
    <row r="107" spans="1:18" x14ac:dyDescent="0.3">
      <c r="A107" s="39" t="s">
        <v>694</v>
      </c>
      <c r="B107" s="5" t="str">
        <f t="shared" si="10"/>
        <v>A880</v>
      </c>
      <c r="C107" s="17" t="str">
        <f t="shared" si="12"/>
        <v>A9</v>
      </c>
      <c r="D107" s="10" t="str">
        <f t="shared" si="12"/>
        <v>A9</v>
      </c>
      <c r="E107" s="10" t="str">
        <f t="shared" si="12"/>
        <v>A9</v>
      </c>
      <c r="F107" s="10" t="str">
        <f t="shared" si="12"/>
        <v>A9</v>
      </c>
      <c r="G107" s="10" t="str">
        <f t="shared" si="12"/>
        <v>A9</v>
      </c>
      <c r="H107" s="10" t="str">
        <f t="shared" si="12"/>
        <v>A9</v>
      </c>
      <c r="I107" s="10" t="str">
        <f t="shared" si="12"/>
        <v>A9</v>
      </c>
      <c r="J107" s="10" t="str">
        <f t="shared" si="12"/>
        <v>A9</v>
      </c>
      <c r="K107" s="10" t="str">
        <f t="shared" si="12"/>
        <v>A9</v>
      </c>
      <c r="L107" s="10" t="str">
        <f t="shared" si="12"/>
        <v>A9</v>
      </c>
      <c r="M107" s="10" t="str">
        <f t="shared" si="12"/>
        <v>A9</v>
      </c>
      <c r="N107" s="10" t="str">
        <f t="shared" si="12"/>
        <v>A9</v>
      </c>
      <c r="O107" s="10" t="str">
        <f t="shared" si="12"/>
        <v>A9</v>
      </c>
      <c r="P107" s="10" t="str">
        <f t="shared" si="12"/>
        <v>A9</v>
      </c>
      <c r="Q107" s="10" t="str">
        <f t="shared" si="12"/>
        <v>A9</v>
      </c>
      <c r="R107" s="10" t="str">
        <f t="shared" si="12"/>
        <v>A9</v>
      </c>
    </row>
    <row r="108" spans="1:18" x14ac:dyDescent="0.3">
      <c r="A108" s="39" t="s">
        <v>694</v>
      </c>
      <c r="B108" s="5" t="str">
        <f t="shared" si="10"/>
        <v>A890</v>
      </c>
      <c r="C108" s="18" t="str">
        <f t="shared" si="12"/>
        <v>A9</v>
      </c>
      <c r="D108" s="11" t="str">
        <f t="shared" si="12"/>
        <v>A9</v>
      </c>
      <c r="E108" s="11" t="str">
        <f t="shared" si="12"/>
        <v>A9</v>
      </c>
      <c r="F108" s="11" t="str">
        <f t="shared" si="12"/>
        <v>A9</v>
      </c>
      <c r="G108" s="11" t="str">
        <f t="shared" si="12"/>
        <v>A9</v>
      </c>
      <c r="H108" s="11" t="str">
        <f t="shared" si="12"/>
        <v>A9</v>
      </c>
      <c r="I108" s="11" t="str">
        <f t="shared" si="12"/>
        <v>A9</v>
      </c>
      <c r="J108" s="11" t="str">
        <f t="shared" si="12"/>
        <v>A9</v>
      </c>
      <c r="K108" s="11" t="str">
        <f t="shared" si="12"/>
        <v>A9</v>
      </c>
      <c r="L108" s="11" t="str">
        <f t="shared" si="12"/>
        <v>A9</v>
      </c>
      <c r="M108" s="11" t="str">
        <f t="shared" si="12"/>
        <v>A9</v>
      </c>
      <c r="N108" s="11" t="str">
        <f t="shared" si="12"/>
        <v>A9</v>
      </c>
      <c r="O108" s="11" t="str">
        <f t="shared" si="12"/>
        <v>A9</v>
      </c>
      <c r="P108" s="11" t="str">
        <f t="shared" si="12"/>
        <v>A9</v>
      </c>
      <c r="Q108" s="11" t="str">
        <f t="shared" si="12"/>
        <v>A9</v>
      </c>
      <c r="R108" s="11" t="str">
        <f t="shared" si="12"/>
        <v>A9</v>
      </c>
    </row>
    <row r="109" spans="1:18" x14ac:dyDescent="0.3">
      <c r="A109" s="39" t="s">
        <v>738</v>
      </c>
      <c r="B109" s="5" t="str">
        <f t="shared" si="10"/>
        <v>A8A0</v>
      </c>
      <c r="C109" s="18" t="str">
        <f t="shared" si="12"/>
        <v>AA</v>
      </c>
      <c r="D109" s="11" t="str">
        <f t="shared" si="12"/>
        <v>AA</v>
      </c>
      <c r="E109" s="11" t="str">
        <f t="shared" si="12"/>
        <v>AA</v>
      </c>
      <c r="F109" s="11" t="str">
        <f t="shared" si="12"/>
        <v>AA</v>
      </c>
      <c r="G109" s="11" t="str">
        <f t="shared" si="12"/>
        <v>AA</v>
      </c>
      <c r="H109" s="11" t="str">
        <f t="shared" si="12"/>
        <v>AA</v>
      </c>
      <c r="I109" s="11" t="str">
        <f t="shared" si="12"/>
        <v>AA</v>
      </c>
      <c r="J109" s="11" t="str">
        <f t="shared" si="12"/>
        <v>AA</v>
      </c>
      <c r="K109" s="11" t="str">
        <f t="shared" si="12"/>
        <v>AA</v>
      </c>
      <c r="L109" s="11" t="str">
        <f t="shared" si="12"/>
        <v>AA</v>
      </c>
      <c r="M109" s="11" t="str">
        <f t="shared" si="12"/>
        <v>AA</v>
      </c>
      <c r="N109" s="11" t="str">
        <f t="shared" si="12"/>
        <v>AA</v>
      </c>
      <c r="O109" s="11" t="str">
        <f t="shared" si="12"/>
        <v>AA</v>
      </c>
      <c r="P109" s="11" t="str">
        <f t="shared" si="12"/>
        <v>AA</v>
      </c>
      <c r="Q109" s="11" t="str">
        <f t="shared" si="12"/>
        <v>AA</v>
      </c>
      <c r="R109" s="11" t="str">
        <f t="shared" si="12"/>
        <v>AA</v>
      </c>
    </row>
    <row r="110" spans="1:18" x14ac:dyDescent="0.3">
      <c r="A110" s="39" t="s">
        <v>738</v>
      </c>
      <c r="B110" s="5" t="str">
        <f t="shared" si="10"/>
        <v>A8B0</v>
      </c>
      <c r="C110" s="18" t="str">
        <f t="shared" si="12"/>
        <v>AA</v>
      </c>
      <c r="D110" s="11" t="str">
        <f t="shared" si="12"/>
        <v>AA</v>
      </c>
      <c r="E110" s="11" t="str">
        <f t="shared" si="12"/>
        <v>AA</v>
      </c>
      <c r="F110" s="11" t="str">
        <f t="shared" si="12"/>
        <v>AA</v>
      </c>
      <c r="G110" s="11" t="str">
        <f t="shared" si="12"/>
        <v>AA</v>
      </c>
      <c r="H110" s="11" t="str">
        <f t="shared" si="12"/>
        <v>AA</v>
      </c>
      <c r="I110" s="11" t="str">
        <f t="shared" si="12"/>
        <v>AA</v>
      </c>
      <c r="J110" s="11" t="str">
        <f t="shared" si="12"/>
        <v>AA</v>
      </c>
      <c r="K110" s="11" t="str">
        <f t="shared" si="12"/>
        <v>AA</v>
      </c>
      <c r="L110" s="11" t="str">
        <f t="shared" si="12"/>
        <v>AA</v>
      </c>
      <c r="M110" s="11" t="str">
        <f t="shared" si="12"/>
        <v>AA</v>
      </c>
      <c r="N110" s="11" t="str">
        <f t="shared" si="12"/>
        <v>AA</v>
      </c>
      <c r="O110" s="11" t="str">
        <f t="shared" si="12"/>
        <v>AA</v>
      </c>
      <c r="P110" s="11" t="str">
        <f t="shared" si="12"/>
        <v>AA</v>
      </c>
      <c r="Q110" s="11" t="str">
        <f t="shared" si="12"/>
        <v>AA</v>
      </c>
      <c r="R110" s="11" t="str">
        <f t="shared" si="12"/>
        <v>AA</v>
      </c>
    </row>
    <row r="111" spans="1:18" x14ac:dyDescent="0.3">
      <c r="A111" s="39" t="s">
        <v>739</v>
      </c>
      <c r="B111" s="5" t="str">
        <f t="shared" si="10"/>
        <v>A8C0</v>
      </c>
      <c r="C111" s="18" t="str">
        <f t="shared" si="12"/>
        <v>AB</v>
      </c>
      <c r="D111" s="11" t="str">
        <f t="shared" si="12"/>
        <v>AB</v>
      </c>
      <c r="E111" s="11" t="str">
        <f t="shared" si="12"/>
        <v>AB</v>
      </c>
      <c r="F111" s="11" t="str">
        <f t="shared" si="12"/>
        <v>AB</v>
      </c>
      <c r="G111" s="11" t="str">
        <f t="shared" si="12"/>
        <v>AB</v>
      </c>
      <c r="H111" s="11" t="str">
        <f t="shared" si="12"/>
        <v>AB</v>
      </c>
      <c r="I111" s="11" t="str">
        <f t="shared" si="12"/>
        <v>AB</v>
      </c>
      <c r="J111" s="11" t="str">
        <f t="shared" si="12"/>
        <v>AB</v>
      </c>
      <c r="K111" s="11" t="str">
        <f t="shared" si="12"/>
        <v>AB</v>
      </c>
      <c r="L111" s="11" t="str">
        <f t="shared" si="12"/>
        <v>AB</v>
      </c>
      <c r="M111" s="11" t="str">
        <f t="shared" si="12"/>
        <v>AB</v>
      </c>
      <c r="N111" s="11" t="str">
        <f t="shared" si="12"/>
        <v>AB</v>
      </c>
      <c r="O111" s="11" t="str">
        <f t="shared" si="12"/>
        <v>AB</v>
      </c>
      <c r="P111" s="11" t="str">
        <f t="shared" si="12"/>
        <v>AB</v>
      </c>
      <c r="Q111" s="11" t="str">
        <f t="shared" si="12"/>
        <v>AB</v>
      </c>
      <c r="R111" s="11" t="str">
        <f t="shared" si="12"/>
        <v>AB</v>
      </c>
    </row>
    <row r="112" spans="1:18" x14ac:dyDescent="0.3">
      <c r="A112" s="39" t="s">
        <v>739</v>
      </c>
      <c r="B112" s="5" t="str">
        <f t="shared" si="10"/>
        <v>A8D0</v>
      </c>
      <c r="C112" s="18" t="str">
        <f t="shared" si="12"/>
        <v>AB</v>
      </c>
      <c r="D112" s="11" t="str">
        <f t="shared" si="12"/>
        <v>AB</v>
      </c>
      <c r="E112" s="11" t="str">
        <f t="shared" si="12"/>
        <v>AB</v>
      </c>
      <c r="F112" s="11" t="str">
        <f t="shared" si="12"/>
        <v>AB</v>
      </c>
      <c r="G112" s="11" t="str">
        <f t="shared" si="12"/>
        <v>AB</v>
      </c>
      <c r="H112" s="11" t="str">
        <f t="shared" si="12"/>
        <v>AB</v>
      </c>
      <c r="I112" s="11" t="str">
        <f t="shared" si="12"/>
        <v>AB</v>
      </c>
      <c r="J112" s="11" t="str">
        <f t="shared" si="12"/>
        <v>AB</v>
      </c>
      <c r="K112" s="11" t="str">
        <f t="shared" si="12"/>
        <v>AB</v>
      </c>
      <c r="L112" s="11" t="str">
        <f t="shared" si="12"/>
        <v>AB</v>
      </c>
      <c r="M112" s="11" t="str">
        <f t="shared" si="12"/>
        <v>AB</v>
      </c>
      <c r="N112" s="11" t="str">
        <f t="shared" si="12"/>
        <v>AB</v>
      </c>
      <c r="O112" s="11" t="str">
        <f t="shared" si="12"/>
        <v>AB</v>
      </c>
      <c r="P112" s="11" t="str">
        <f t="shared" si="12"/>
        <v>AB</v>
      </c>
      <c r="Q112" s="11" t="str">
        <f t="shared" si="12"/>
        <v>AB</v>
      </c>
      <c r="R112" s="11" t="str">
        <f t="shared" si="12"/>
        <v>AB</v>
      </c>
    </row>
    <row r="113" spans="1:18" x14ac:dyDescent="0.3">
      <c r="A113" s="39" t="s">
        <v>740</v>
      </c>
      <c r="B113" s="5" t="str">
        <f t="shared" si="10"/>
        <v>A8E0</v>
      </c>
      <c r="C113" s="18" t="str">
        <f t="shared" si="12"/>
        <v>AC</v>
      </c>
      <c r="D113" s="11" t="str">
        <f t="shared" si="12"/>
        <v>AC</v>
      </c>
      <c r="E113" s="11" t="str">
        <f t="shared" si="12"/>
        <v>AC</v>
      </c>
      <c r="F113" s="11" t="str">
        <f t="shared" si="12"/>
        <v>AC</v>
      </c>
      <c r="G113" s="11" t="str">
        <f t="shared" si="12"/>
        <v>AC</v>
      </c>
      <c r="H113" s="11" t="str">
        <f t="shared" si="12"/>
        <v>AC</v>
      </c>
      <c r="I113" s="11" t="str">
        <f t="shared" si="12"/>
        <v>AC</v>
      </c>
      <c r="J113" s="11" t="str">
        <f t="shared" si="12"/>
        <v>AC</v>
      </c>
      <c r="K113" s="11" t="str">
        <f t="shared" si="12"/>
        <v>AC</v>
      </c>
      <c r="L113" s="11" t="str">
        <f t="shared" si="12"/>
        <v>AC</v>
      </c>
      <c r="M113" s="11" t="str">
        <f t="shared" si="12"/>
        <v>AC</v>
      </c>
      <c r="N113" s="11" t="str">
        <f t="shared" si="12"/>
        <v>AC</v>
      </c>
      <c r="O113" s="11" t="str">
        <f t="shared" si="12"/>
        <v>AC</v>
      </c>
      <c r="P113" s="11" t="str">
        <f t="shared" si="12"/>
        <v>AC</v>
      </c>
      <c r="Q113" s="11" t="str">
        <f t="shared" si="12"/>
        <v>AC</v>
      </c>
      <c r="R113" s="11" t="str">
        <f t="shared" si="12"/>
        <v>AC</v>
      </c>
    </row>
    <row r="114" spans="1:18" x14ac:dyDescent="0.3">
      <c r="A114" s="39" t="s">
        <v>740</v>
      </c>
      <c r="B114" s="58" t="str">
        <f t="shared" si="10"/>
        <v>A8F0</v>
      </c>
      <c r="C114" s="19" t="str">
        <f t="shared" si="12"/>
        <v>AC</v>
      </c>
      <c r="D114" s="12" t="str">
        <f t="shared" si="12"/>
        <v>AC</v>
      </c>
      <c r="E114" s="12" t="str">
        <f t="shared" si="12"/>
        <v>AC</v>
      </c>
      <c r="F114" s="12" t="str">
        <f t="shared" si="12"/>
        <v>AC</v>
      </c>
      <c r="G114" s="12" t="str">
        <f t="shared" si="12"/>
        <v>AC</v>
      </c>
      <c r="H114" s="12" t="str">
        <f t="shared" si="12"/>
        <v>AC</v>
      </c>
      <c r="I114" s="12" t="str">
        <f t="shared" si="12"/>
        <v>AC</v>
      </c>
      <c r="J114" s="12" t="str">
        <f t="shared" si="12"/>
        <v>AC</v>
      </c>
      <c r="K114" s="12" t="str">
        <f t="shared" si="12"/>
        <v>AC</v>
      </c>
      <c r="L114" s="12" t="str">
        <f t="shared" si="12"/>
        <v>AC</v>
      </c>
      <c r="M114" s="12" t="str">
        <f t="shared" si="12"/>
        <v>AC</v>
      </c>
      <c r="N114" s="12" t="str">
        <f t="shared" si="12"/>
        <v>AC</v>
      </c>
      <c r="O114" s="12" t="str">
        <f t="shared" si="12"/>
        <v>AC</v>
      </c>
      <c r="P114" s="12" t="str">
        <f t="shared" si="12"/>
        <v>AC</v>
      </c>
      <c r="Q114" s="12" t="str">
        <f t="shared" si="12"/>
        <v>AC</v>
      </c>
      <c r="R114" s="12" t="str">
        <f t="shared" si="12"/>
        <v>AC</v>
      </c>
    </row>
  </sheetData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27219-B146-4E44-A547-7C9A26D3FA0D}">
  <sheetPr codeName="Tabelle32">
    <tabColor rgb="FF2B164B"/>
  </sheetPr>
  <dimension ref="A1:L39"/>
  <sheetViews>
    <sheetView showRowColHeaders="0" zoomScaleNormal="100" workbookViewId="0">
      <selection activeCell="I29" sqref="I29"/>
    </sheetView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G27" s="61" t="s">
        <v>962</v>
      </c>
      <c r="K27" s="62"/>
      <c r="L27" s="62"/>
    </row>
    <row r="28" spans="7:12" x14ac:dyDescent="0.3">
      <c r="G28" s="61" t="s">
        <v>941</v>
      </c>
      <c r="I28" s="63"/>
      <c r="K28" s="62"/>
      <c r="L28" s="62"/>
    </row>
    <row r="29" spans="7:12" x14ac:dyDescent="0.3">
      <c r="G29" s="61" t="s">
        <v>955</v>
      </c>
      <c r="I29" s="64" t="b">
        <f>MasterCheck</f>
        <v>1</v>
      </c>
    </row>
    <row r="30" spans="7:12" ht="15" x14ac:dyDescent="0.4">
      <c r="G30" s="65" t="s">
        <v>912</v>
      </c>
      <c r="I30" s="64" t="b">
        <v>1</v>
      </c>
    </row>
    <row r="31" spans="7:12" x14ac:dyDescent="0.3">
      <c r="G31" s="61" t="s">
        <v>911</v>
      </c>
    </row>
    <row r="32" spans="7:12" x14ac:dyDescent="0.3">
      <c r="I32" s="66"/>
    </row>
    <row r="33" spans="9:12" x14ac:dyDescent="0.3">
      <c r="I33" s="66"/>
    </row>
    <row r="34" spans="9:12" x14ac:dyDescent="0.3">
      <c r="I34" s="66"/>
    </row>
    <row r="35" spans="9:12" x14ac:dyDescent="0.3">
      <c r="I35" s="66"/>
    </row>
    <row r="36" spans="9:12" x14ac:dyDescent="0.3">
      <c r="I36" s="66"/>
      <c r="J36" s="67"/>
    </row>
    <row r="37" spans="9:12" x14ac:dyDescent="0.3">
      <c r="I37" s="66"/>
    </row>
    <row r="38" spans="9:12" x14ac:dyDescent="0.3">
      <c r="I38" s="66"/>
      <c r="J38" s="63"/>
    </row>
    <row r="39" spans="9:12" x14ac:dyDescent="0.3">
      <c r="I39" s="66"/>
      <c r="J39" s="63"/>
      <c r="L39" s="68"/>
    </row>
  </sheetData>
  <conditionalFormatting sqref="I30">
    <cfRule type="expression" dxfId="14" priority="3">
      <formula>IFERROR(NOT(I30),TRUE)</formula>
    </cfRule>
  </conditionalFormatting>
  <conditionalFormatting sqref="I29">
    <cfRule type="expression" dxfId="13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982A-B93B-40D9-8A20-B9C43DFD0E0C}">
  <sheetPr codeName="Tabelle6"/>
  <dimension ref="B2:H17"/>
  <sheetViews>
    <sheetView workbookViewId="0"/>
  </sheetViews>
  <sheetFormatPr baseColWidth="10" defaultRowHeight="10.15" x14ac:dyDescent="0.3"/>
  <cols>
    <col min="2" max="2" width="13.25" customWidth="1"/>
    <col min="3" max="3" width="6.5" customWidth="1"/>
    <col min="4" max="5" width="7.58203125" customWidth="1"/>
    <col min="6" max="6" width="5.58203125" customWidth="1"/>
    <col min="7" max="8" width="4.25" customWidth="1"/>
  </cols>
  <sheetData>
    <row r="2" spans="2:8" x14ac:dyDescent="0.3">
      <c r="B2" t="s">
        <v>169</v>
      </c>
      <c r="C2" s="4" t="s">
        <v>170</v>
      </c>
    </row>
    <row r="3" spans="2:8" x14ac:dyDescent="0.3">
      <c r="B3" t="s">
        <v>171</v>
      </c>
      <c r="C3" s="2">
        <v>104</v>
      </c>
    </row>
    <row r="6" spans="2:8" x14ac:dyDescent="0.3">
      <c r="D6" s="29">
        <v>0</v>
      </c>
      <c r="E6" s="29">
        <v>1</v>
      </c>
      <c r="G6" s="44" t="s">
        <v>172</v>
      </c>
      <c r="H6" s="43"/>
    </row>
    <row r="7" spans="2:8" x14ac:dyDescent="0.3">
      <c r="C7" s="38">
        <v>0</v>
      </c>
      <c r="D7" s="2" t="str">
        <f t="shared" ref="D7:E17" si="0">DEC2HEX(HEX2DEC(SpriteBaseAddress) + ($C7*2+D$6)*SpriteCount + SpriteToLoad)</f>
        <v>AD08</v>
      </c>
      <c r="E7" s="2" t="str">
        <f t="shared" si="0"/>
        <v>AD70</v>
      </c>
      <c r="G7">
        <v>0</v>
      </c>
      <c r="H7">
        <f t="shared" ref="H7:H17" si="1">HEX2DEC(E7)-HEX2DEC(D7)</f>
        <v>104</v>
      </c>
    </row>
    <row r="8" spans="2:8" x14ac:dyDescent="0.3">
      <c r="C8" s="38">
        <f>C7+1</f>
        <v>1</v>
      </c>
      <c r="D8" s="2" t="str">
        <f t="shared" si="0"/>
        <v>ADD8</v>
      </c>
      <c r="E8" s="2" t="str">
        <f t="shared" si="0"/>
        <v>AE40</v>
      </c>
      <c r="G8">
        <f t="shared" ref="G8:G17" si="2">HEX2DEC(D8)-HEX2DEC(E7)</f>
        <v>104</v>
      </c>
      <c r="H8">
        <f t="shared" si="1"/>
        <v>104</v>
      </c>
    </row>
    <row r="9" spans="2:8" x14ac:dyDescent="0.3">
      <c r="C9" s="38">
        <f t="shared" ref="C9:C17" si="3">C8+1</f>
        <v>2</v>
      </c>
      <c r="D9" s="2" t="str">
        <f t="shared" si="0"/>
        <v>AEA8</v>
      </c>
      <c r="E9" s="2" t="str">
        <f t="shared" si="0"/>
        <v>AF10</v>
      </c>
      <c r="G9">
        <f t="shared" si="2"/>
        <v>104</v>
      </c>
      <c r="H9">
        <f t="shared" si="1"/>
        <v>104</v>
      </c>
    </row>
    <row r="10" spans="2:8" x14ac:dyDescent="0.3">
      <c r="C10" s="38">
        <f t="shared" si="3"/>
        <v>3</v>
      </c>
      <c r="D10" s="2" t="str">
        <f t="shared" si="0"/>
        <v>AF78</v>
      </c>
      <c r="E10" s="2" t="str">
        <f t="shared" si="0"/>
        <v>AFE0</v>
      </c>
      <c r="G10">
        <f t="shared" si="2"/>
        <v>104</v>
      </c>
      <c r="H10">
        <f t="shared" si="1"/>
        <v>104</v>
      </c>
    </row>
    <row r="11" spans="2:8" x14ac:dyDescent="0.3">
      <c r="C11" s="38">
        <f t="shared" si="3"/>
        <v>4</v>
      </c>
      <c r="D11" s="2" t="str">
        <f t="shared" si="0"/>
        <v>B048</v>
      </c>
      <c r="E11" s="2" t="str">
        <f t="shared" si="0"/>
        <v>B0B0</v>
      </c>
      <c r="G11">
        <f t="shared" si="2"/>
        <v>104</v>
      </c>
      <c r="H11">
        <f t="shared" si="1"/>
        <v>104</v>
      </c>
    </row>
    <row r="12" spans="2:8" x14ac:dyDescent="0.3">
      <c r="C12" s="38">
        <f t="shared" si="3"/>
        <v>5</v>
      </c>
      <c r="D12" s="2" t="str">
        <f t="shared" si="0"/>
        <v>B118</v>
      </c>
      <c r="E12" s="2" t="str">
        <f t="shared" si="0"/>
        <v>B180</v>
      </c>
      <c r="G12">
        <f t="shared" si="2"/>
        <v>104</v>
      </c>
      <c r="H12">
        <f t="shared" si="1"/>
        <v>104</v>
      </c>
    </row>
    <row r="13" spans="2:8" x14ac:dyDescent="0.3">
      <c r="C13" s="38">
        <f t="shared" si="3"/>
        <v>6</v>
      </c>
      <c r="D13" s="2" t="str">
        <f t="shared" si="0"/>
        <v>B1E8</v>
      </c>
      <c r="E13" s="2" t="str">
        <f t="shared" si="0"/>
        <v>B250</v>
      </c>
      <c r="G13">
        <f t="shared" si="2"/>
        <v>104</v>
      </c>
      <c r="H13">
        <f t="shared" si="1"/>
        <v>104</v>
      </c>
    </row>
    <row r="14" spans="2:8" x14ac:dyDescent="0.3">
      <c r="C14" s="38">
        <f t="shared" si="3"/>
        <v>7</v>
      </c>
      <c r="D14" s="2" t="str">
        <f t="shared" si="0"/>
        <v>B2B8</v>
      </c>
      <c r="E14" s="2" t="str">
        <f t="shared" si="0"/>
        <v>B320</v>
      </c>
      <c r="G14">
        <f t="shared" si="2"/>
        <v>104</v>
      </c>
      <c r="H14">
        <f t="shared" si="1"/>
        <v>104</v>
      </c>
    </row>
    <row r="15" spans="2:8" x14ac:dyDescent="0.3">
      <c r="C15" s="38">
        <f t="shared" si="3"/>
        <v>8</v>
      </c>
      <c r="D15" s="2" t="str">
        <f t="shared" si="0"/>
        <v>B388</v>
      </c>
      <c r="E15" s="2" t="str">
        <f t="shared" si="0"/>
        <v>B3F0</v>
      </c>
      <c r="G15">
        <f t="shared" si="2"/>
        <v>104</v>
      </c>
      <c r="H15">
        <f t="shared" si="1"/>
        <v>104</v>
      </c>
    </row>
    <row r="16" spans="2:8" x14ac:dyDescent="0.3">
      <c r="C16" s="38">
        <f t="shared" si="3"/>
        <v>9</v>
      </c>
      <c r="D16" s="2" t="str">
        <f t="shared" si="0"/>
        <v>B458</v>
      </c>
      <c r="E16" s="2" t="str">
        <f t="shared" si="0"/>
        <v>B4C0</v>
      </c>
      <c r="G16">
        <f t="shared" si="2"/>
        <v>104</v>
      </c>
      <c r="H16">
        <f t="shared" si="1"/>
        <v>104</v>
      </c>
    </row>
    <row r="17" spans="3:8" x14ac:dyDescent="0.3">
      <c r="C17" s="38">
        <f t="shared" si="3"/>
        <v>10</v>
      </c>
      <c r="D17" s="2" t="str">
        <f t="shared" si="0"/>
        <v>B528</v>
      </c>
      <c r="E17" s="2" t="str">
        <f t="shared" si="0"/>
        <v>B590</v>
      </c>
      <c r="G17">
        <f t="shared" si="2"/>
        <v>104</v>
      </c>
      <c r="H17">
        <f t="shared" si="1"/>
        <v>104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0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8</v>
      </c>
      <c r="S4" s="79" t="s">
        <v>8</v>
      </c>
      <c r="T4" s="80" t="str">
        <f>hextobits(R4)</f>
        <v>0000000</v>
      </c>
      <c r="U4" s="80" t="str">
        <f t="shared" ref="U4:U14" si="0">hextobits(S4)</f>
        <v>0000000</v>
      </c>
      <c r="W4" s="79" t="str" cm="1">
        <f t="array" ref="W4">ByteToHex(_xlfn.BITAND(HexToByte(R4),127))</f>
        <v>00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82">
        <v>1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8</v>
      </c>
      <c r="S5" s="79" t="s">
        <v>8</v>
      </c>
      <c r="T5" s="80" t="str">
        <f t="shared" ref="T5:T14" si="1">hextobits(R5)</f>
        <v>0000000</v>
      </c>
      <c r="U5" s="80" t="str">
        <f t="shared" si="0"/>
        <v>0000000</v>
      </c>
      <c r="W5" s="79" t="str" cm="1">
        <f t="array" ref="W5">ByteToHex(_xlfn.BITAND(HexToByte(R5),127))</f>
        <v>00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82">
        <v>1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8</v>
      </c>
      <c r="S6" s="79" t="s">
        <v>8</v>
      </c>
      <c r="T6" s="80" t="str">
        <f t="shared" si="1"/>
        <v>0000000</v>
      </c>
      <c r="U6" s="80" t="str">
        <f t="shared" si="0"/>
        <v>0000000</v>
      </c>
      <c r="W6" s="79" t="str" cm="1">
        <f t="array" ref="W6">ByteToHex(_xlfn.BITAND(HexToByte(R6),127))</f>
        <v>00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1</v>
      </c>
      <c r="C7" s="35">
        <v>0</v>
      </c>
      <c r="D7" s="35">
        <v>1</v>
      </c>
      <c r="E7" s="35">
        <v>0</v>
      </c>
      <c r="F7" s="35">
        <v>1</v>
      </c>
      <c r="G7" s="35">
        <v>0</v>
      </c>
      <c r="H7" s="35">
        <v>1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9</v>
      </c>
      <c r="S7" s="79" t="s">
        <v>8</v>
      </c>
      <c r="T7" s="80" t="str">
        <f t="shared" si="1"/>
        <v>1010101</v>
      </c>
      <c r="U7" s="80" t="str">
        <f t="shared" si="0"/>
        <v>0000000</v>
      </c>
      <c r="W7" s="79" t="str" cm="1">
        <f t="array" ref="W7">ByteToHex(_xlfn.BITAND(HexToByte(R7),127))</f>
        <v>55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1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1</v>
      </c>
      <c r="I8" s="82">
        <v>1</v>
      </c>
      <c r="J8" s="86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10</v>
      </c>
      <c r="S8" s="79" t="s">
        <v>8</v>
      </c>
      <c r="T8" s="80" t="str">
        <f t="shared" si="1"/>
        <v>1000001</v>
      </c>
      <c r="U8" s="80" t="str">
        <f t="shared" si="0"/>
        <v>0000000</v>
      </c>
      <c r="W8" s="79" t="str" cm="1">
        <f t="array" ref="W8">ByteToHex(_xlfn.BITAND(HexToByte(R8),127))</f>
        <v>41</v>
      </c>
      <c r="X8" s="79" t="str" cm="1">
        <f t="array" ref="X8">ByteToHex(_xlfn.BITAND(HexToByte(S8),127))</f>
        <v>00</v>
      </c>
    </row>
    <row r="9" spans="1:24" x14ac:dyDescent="0.3">
      <c r="A9" s="48">
        <v>5</v>
      </c>
      <c r="B9" s="34">
        <v>1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82">
        <v>1</v>
      </c>
      <c r="J9" s="86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11</v>
      </c>
      <c r="S9" s="79" t="s">
        <v>8</v>
      </c>
      <c r="T9" s="80" t="str">
        <f t="shared" si="1"/>
        <v>0000001</v>
      </c>
      <c r="U9" s="80" t="str">
        <f t="shared" si="0"/>
        <v>0000000</v>
      </c>
      <c r="W9" s="79" t="str" cm="1">
        <f t="array" ref="W9">ByteToHex(_xlfn.BITAND(HexToByte(R9),127))</f>
        <v>01</v>
      </c>
      <c r="X9" s="79" t="str" cm="1">
        <f t="array" ref="X9">ByteToHex(_xlfn.BITAND(HexToByte(S9),127))</f>
        <v>00</v>
      </c>
    </row>
    <row r="10" spans="1:24" x14ac:dyDescent="0.3">
      <c r="A10" s="48">
        <v>6</v>
      </c>
      <c r="B10" s="34">
        <v>1</v>
      </c>
      <c r="C10" s="35">
        <v>0</v>
      </c>
      <c r="D10" s="35">
        <v>1</v>
      </c>
      <c r="E10" s="35">
        <v>0</v>
      </c>
      <c r="F10" s="35">
        <v>1</v>
      </c>
      <c r="G10" s="35">
        <v>0</v>
      </c>
      <c r="H10" s="35">
        <v>1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9</v>
      </c>
      <c r="S10" s="79" t="s">
        <v>8</v>
      </c>
      <c r="T10" s="80" t="str">
        <f t="shared" si="1"/>
        <v>1010101</v>
      </c>
      <c r="U10" s="80" t="str">
        <f t="shared" si="0"/>
        <v>0000000</v>
      </c>
      <c r="W10" s="79" t="str" cm="1">
        <f t="array" ref="W10">ByteToHex(_xlfn.BITAND(HexToByte(R10),127))</f>
        <v>55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0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12</v>
      </c>
      <c r="S11" s="79" t="s">
        <v>8</v>
      </c>
      <c r="T11" s="80" t="str">
        <f t="shared" si="1"/>
        <v>1010000</v>
      </c>
      <c r="U11" s="80" t="str">
        <f t="shared" si="0"/>
        <v>0000000</v>
      </c>
      <c r="W11" s="79" t="str" cm="1">
        <f t="array" ref="W11">ByteToHex(_xlfn.BITAND(HexToByte(R11),127))</f>
        <v>50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0</v>
      </c>
      <c r="F12" s="35">
        <v>1</v>
      </c>
      <c r="G12" s="35">
        <v>0</v>
      </c>
      <c r="H12" s="35">
        <v>1</v>
      </c>
      <c r="I12" s="82">
        <v>1</v>
      </c>
      <c r="J12" s="86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12</v>
      </c>
      <c r="S12" s="79" t="s">
        <v>8</v>
      </c>
      <c r="T12" s="80" t="str">
        <f t="shared" si="1"/>
        <v>1010000</v>
      </c>
      <c r="U12" s="80" t="str">
        <f t="shared" si="0"/>
        <v>0000000</v>
      </c>
      <c r="W12" s="79" t="str" cm="1">
        <f t="array" ref="W12">ByteToHex(_xlfn.BITAND(HexToByte(R12),127))</f>
        <v>50</v>
      </c>
      <c r="X12" s="79" t="str" cm="1">
        <f t="array" ref="X12">ByteToHex(_xlfn.BITAND(HexToByte(S12),127))</f>
        <v>00</v>
      </c>
    </row>
    <row r="13" spans="1:24" x14ac:dyDescent="0.3">
      <c r="A13" s="48">
        <v>9</v>
      </c>
      <c r="B13" s="34">
        <v>1</v>
      </c>
      <c r="C13" s="35">
        <v>0</v>
      </c>
      <c r="D13" s="35">
        <v>0</v>
      </c>
      <c r="E13" s="35">
        <v>0</v>
      </c>
      <c r="F13" s="35">
        <v>1</v>
      </c>
      <c r="G13" s="35">
        <v>0</v>
      </c>
      <c r="H13" s="35">
        <v>1</v>
      </c>
      <c r="I13" s="82">
        <v>1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13</v>
      </c>
      <c r="S13" s="79" t="s">
        <v>8</v>
      </c>
      <c r="T13" s="80" t="str">
        <f t="shared" si="1"/>
        <v>1010001</v>
      </c>
      <c r="U13" s="80" t="str">
        <f t="shared" si="0"/>
        <v>0000000</v>
      </c>
      <c r="W13" s="79" t="str" cm="1">
        <f t="array" ref="W13">ByteToHex(_xlfn.BITAND(HexToByte(R13),127))</f>
        <v>51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1</v>
      </c>
      <c r="C14" s="35">
        <v>0</v>
      </c>
      <c r="D14" s="35">
        <v>1</v>
      </c>
      <c r="E14" s="35">
        <v>0</v>
      </c>
      <c r="F14" s="35">
        <v>1</v>
      </c>
      <c r="G14" s="35">
        <v>0</v>
      </c>
      <c r="H14" s="35">
        <v>1</v>
      </c>
      <c r="I14" s="82">
        <v>1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9</v>
      </c>
      <c r="S14" s="79" t="s">
        <v>8</v>
      </c>
      <c r="T14" s="80" t="str">
        <f t="shared" si="1"/>
        <v>1010101</v>
      </c>
      <c r="U14" s="80" t="str">
        <f t="shared" si="0"/>
        <v>0000000</v>
      </c>
      <c r="W14" s="79" t="str" cm="1">
        <f t="array" ref="W14">ByteToHex(_xlfn.BITAND(HexToByte(R14),127))</f>
        <v>55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0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0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0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2"/>
      <c r="C20" s="52"/>
      <c r="D20" s="52"/>
      <c r="E20" s="52"/>
      <c r="F20" s="52"/>
      <c r="G20" s="52"/>
      <c r="H20" s="52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2"/>
      <c r="C21" s="50"/>
      <c r="D21" s="50"/>
      <c r="E21" s="50"/>
      <c r="F21" s="50"/>
      <c r="G21" s="50"/>
      <c r="H21" s="52"/>
      <c r="J21" s="50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2"/>
      <c r="C22" s="50"/>
      <c r="D22" s="50"/>
      <c r="E22" s="50"/>
      <c r="F22" s="50"/>
      <c r="G22" s="50"/>
      <c r="H22" s="50"/>
      <c r="J22" s="50"/>
      <c r="K22" s="50"/>
      <c r="L22" s="50"/>
      <c r="M22" s="50"/>
      <c r="N22" s="50"/>
      <c r="O22" s="50"/>
      <c r="P22" s="50"/>
    </row>
    <row r="23" spans="1:16" x14ac:dyDescent="0.3">
      <c r="A23" s="48">
        <v>6</v>
      </c>
      <c r="B23" s="52"/>
      <c r="C23" s="52"/>
      <c r="D23" s="52"/>
      <c r="E23" s="52"/>
      <c r="F23" s="52"/>
      <c r="G23" s="52"/>
      <c r="H23" s="52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2"/>
      <c r="G24" s="52"/>
      <c r="H24" s="52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0"/>
      <c r="F25" s="52"/>
      <c r="G25" s="52"/>
      <c r="H25" s="52"/>
      <c r="J25" s="50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2"/>
      <c r="C26" s="50"/>
      <c r="D26" s="50"/>
      <c r="E26" s="50"/>
      <c r="F26" s="52"/>
      <c r="G26" s="52"/>
      <c r="H26" s="52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2"/>
      <c r="C27" s="52"/>
      <c r="D27" s="52"/>
      <c r="E27" s="52"/>
      <c r="F27" s="52"/>
      <c r="G27" s="52"/>
      <c r="H27" s="52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Button 37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16</v>
      </c>
      <c r="S4" s="79" t="s">
        <v>8</v>
      </c>
      <c r="T4" s="80" t="str">
        <f>hextobits(R4)</f>
        <v>1000000</v>
      </c>
      <c r="U4" s="80" t="str">
        <f t="shared" ref="U4:U14" si="0">hextobits(S4)</f>
        <v>0000000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1</v>
      </c>
      <c r="H5" s="35">
        <v>1</v>
      </c>
      <c r="I5" s="82">
        <v>1</v>
      </c>
      <c r="J5" s="86">
        <v>1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21</v>
      </c>
      <c r="S5" s="79" t="s">
        <v>11</v>
      </c>
      <c r="T5" s="80" t="str">
        <f t="shared" ref="T5:T14" si="1">hextobits(R5)</f>
        <v>1100000</v>
      </c>
      <c r="U5" s="80" t="str">
        <f t="shared" si="0"/>
        <v>0000001</v>
      </c>
      <c r="W5" s="79" t="str" cm="1">
        <f t="array" ref="W5">ByteToHex(_xlfn.BITAND(HexToByte(R5),127))</f>
        <v>60</v>
      </c>
      <c r="X5" s="79" t="str" cm="1">
        <f t="array" ref="X5">ByteToHex(_xlfn.BITAND(HexToByte(S5),127))</f>
        <v>01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5">
        <v>1</v>
      </c>
      <c r="I6" s="82">
        <v>1</v>
      </c>
      <c r="J6" s="86">
        <v>1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21</v>
      </c>
      <c r="S6" s="79" t="s">
        <v>11</v>
      </c>
      <c r="T6" s="80" t="str">
        <f t="shared" si="1"/>
        <v>1100000</v>
      </c>
      <c r="U6" s="80" t="str">
        <f t="shared" si="0"/>
        <v>0000001</v>
      </c>
      <c r="W6" s="79" t="str" cm="1">
        <f t="array" ref="W6">ByteToHex(_xlfn.BITAND(HexToByte(R6),127))</f>
        <v>60</v>
      </c>
      <c r="X6" s="79" t="str" cm="1">
        <f t="array" ref="X6">ByteToHex(_xlfn.BITAND(HexToByte(S6),127))</f>
        <v>01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1</v>
      </c>
      <c r="G7" s="35">
        <v>1</v>
      </c>
      <c r="H7" s="35">
        <v>1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20</v>
      </c>
      <c r="S7" s="79" t="s">
        <v>8</v>
      </c>
      <c r="T7" s="80" t="str">
        <f t="shared" si="1"/>
        <v>1110000</v>
      </c>
      <c r="U7" s="80" t="str">
        <f t="shared" si="0"/>
        <v>0000000</v>
      </c>
      <c r="W7" s="79" t="str" cm="1">
        <f t="array" ref="W7">ByteToHex(_xlfn.BITAND(HexToByte(R7),127))</f>
        <v>70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1</v>
      </c>
      <c r="E8" s="35">
        <v>1</v>
      </c>
      <c r="F8" s="35">
        <v>0</v>
      </c>
      <c r="G8" s="35">
        <v>1</v>
      </c>
      <c r="H8" s="35">
        <v>1</v>
      </c>
      <c r="I8" s="82">
        <v>1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22</v>
      </c>
      <c r="S8" s="79" t="s">
        <v>11</v>
      </c>
      <c r="T8" s="80" t="str">
        <f t="shared" si="1"/>
        <v>1101100</v>
      </c>
      <c r="U8" s="80" t="str">
        <f t="shared" si="0"/>
        <v>0000001</v>
      </c>
      <c r="W8" s="79" t="str" cm="1">
        <f t="array" ref="W8">ByteToHex(_xlfn.BITAND(HexToByte(R8),127))</f>
        <v>6C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1</v>
      </c>
      <c r="E9" s="35">
        <v>0</v>
      </c>
      <c r="F9" s="35">
        <v>1</v>
      </c>
      <c r="G9" s="35">
        <v>1</v>
      </c>
      <c r="H9" s="35">
        <v>0</v>
      </c>
      <c r="I9" s="82">
        <v>1</v>
      </c>
      <c r="J9" s="86">
        <v>0</v>
      </c>
      <c r="K9" s="35">
        <v>1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17</v>
      </c>
      <c r="S9" s="79" t="s">
        <v>19</v>
      </c>
      <c r="T9" s="80" t="str">
        <f t="shared" si="1"/>
        <v>0110110</v>
      </c>
      <c r="U9" s="80" t="str">
        <f t="shared" si="0"/>
        <v>0000110</v>
      </c>
      <c r="W9" s="79" t="str" cm="1">
        <f t="array" ref="W9">ByteToHex(_xlfn.BITAND(HexToByte(R9),127))</f>
        <v>36</v>
      </c>
      <c r="X9" s="79" t="str" cm="1">
        <f t="array" ref="X9">ByteToHex(_xlfn.BITAND(HexToByte(S9),127))</f>
        <v>06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1</v>
      </c>
      <c r="G10" s="35">
        <v>1</v>
      </c>
      <c r="H10" s="35">
        <v>0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18</v>
      </c>
      <c r="S10" s="79" t="s">
        <v>8</v>
      </c>
      <c r="T10" s="80" t="str">
        <f t="shared" si="1"/>
        <v>0110000</v>
      </c>
      <c r="U10" s="80" t="str">
        <f t="shared" si="0"/>
        <v>0000000</v>
      </c>
      <c r="W10" s="79" t="str" cm="1">
        <f t="array" ref="W10">ByteToHex(_xlfn.BITAND(HexToByte(R10),127))</f>
        <v>30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20</v>
      </c>
      <c r="S11" s="79" t="s">
        <v>8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1</v>
      </c>
      <c r="D12" s="35">
        <v>1</v>
      </c>
      <c r="E12" s="35">
        <v>1</v>
      </c>
      <c r="F12" s="35">
        <v>1</v>
      </c>
      <c r="G12" s="35">
        <v>0</v>
      </c>
      <c r="H12" s="35">
        <v>1</v>
      </c>
      <c r="I12" s="82">
        <v>1</v>
      </c>
      <c r="J12" s="86">
        <v>1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23</v>
      </c>
      <c r="S12" s="79" t="s">
        <v>11</v>
      </c>
      <c r="T12" s="80" t="str">
        <f t="shared" si="1"/>
        <v>1011110</v>
      </c>
      <c r="U12" s="80" t="str">
        <f t="shared" si="0"/>
        <v>0000001</v>
      </c>
      <c r="W12" s="79" t="str" cm="1">
        <f t="array" ref="W12">ByteToHex(_xlfn.BITAND(HexToByte(R12),127))</f>
        <v>5E</v>
      </c>
      <c r="X12" s="79" t="str" cm="1">
        <f t="array" ref="X12">ByteToHex(_xlfn.BITAND(HexToByte(S12),127))</f>
        <v>01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1</v>
      </c>
      <c r="I13" s="82">
        <v>1</v>
      </c>
      <c r="J13" s="86">
        <v>1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16</v>
      </c>
      <c r="S13" s="79" t="s">
        <v>11</v>
      </c>
      <c r="T13" s="80" t="str">
        <f t="shared" si="1"/>
        <v>1000000</v>
      </c>
      <c r="U13" s="80" t="str">
        <f t="shared" si="0"/>
        <v>0000001</v>
      </c>
      <c r="W13" s="79" t="str" cm="1">
        <f t="array" ref="W13">ByteToHex(_xlfn.BITAND(HexToByte(R13),127))</f>
        <v>40</v>
      </c>
      <c r="X13" s="79" t="str" cm="1">
        <f t="array" ref="X13">ByteToHex(_xlfn.BITAND(HexToByte(S13),127))</f>
        <v>01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1</v>
      </c>
      <c r="I14" s="82">
        <v>1</v>
      </c>
      <c r="J14" s="86">
        <v>1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16</v>
      </c>
      <c r="S14" s="79" t="s">
        <v>11</v>
      </c>
      <c r="T14" s="80" t="str">
        <f t="shared" si="1"/>
        <v>1000000</v>
      </c>
      <c r="U14" s="80" t="str">
        <f t="shared" si="0"/>
        <v>0000001</v>
      </c>
      <c r="W14" s="79" t="str" cm="1">
        <f t="array" ref="W14">ByteToHex(_xlfn.BITAND(HexToByte(R14),127))</f>
        <v>40</v>
      </c>
      <c r="X14" s="79" t="str" cm="1">
        <f t="array" ref="X14">ByteToHex(_xlfn.BITAND(HexToByte(S14),127))</f>
        <v>01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1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3"/>
      <c r="H18" s="53"/>
      <c r="J18" s="53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3"/>
      <c r="H19" s="53"/>
      <c r="J19" s="53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3"/>
      <c r="G20" s="53"/>
      <c r="H20" s="53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3"/>
      <c r="E21" s="53"/>
      <c r="F21" s="54"/>
      <c r="G21" s="53"/>
      <c r="H21" s="53"/>
      <c r="J21" s="53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3"/>
      <c r="D22" s="53"/>
      <c r="E22" s="51"/>
      <c r="F22" s="53"/>
      <c r="G22" s="53"/>
      <c r="H22" s="50"/>
      <c r="J22" s="50"/>
      <c r="K22" s="53"/>
      <c r="L22" s="53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3"/>
      <c r="G23" s="53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3"/>
      <c r="D25" s="53"/>
      <c r="E25" s="53"/>
      <c r="F25" s="53"/>
      <c r="G25" s="51"/>
      <c r="H25" s="53"/>
      <c r="J25" s="53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3"/>
      <c r="J26" s="53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3"/>
      <c r="J27" s="53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797-7D96-4DA6-843C-138D6DE577B4}">
  <sheetPr codeName="Tabelle3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0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0</v>
      </c>
      <c r="R4" s="88" t="s">
        <v>26</v>
      </c>
      <c r="S4" s="79" t="s">
        <v>34</v>
      </c>
      <c r="T4" s="80" t="str">
        <f>hextobits(R4)</f>
        <v>1000000</v>
      </c>
      <c r="U4" s="80" t="str">
        <f t="shared" ref="U4:U14" si="0">hextobits(S4)</f>
        <v>0000000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1</v>
      </c>
      <c r="H5" s="35">
        <v>1</v>
      </c>
      <c r="I5" s="82">
        <v>0</v>
      </c>
      <c r="J5" s="86">
        <v>1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0</v>
      </c>
      <c r="R5" s="88" t="s">
        <v>29</v>
      </c>
      <c r="S5" s="79" t="s">
        <v>27</v>
      </c>
      <c r="T5" s="80" t="str">
        <f t="shared" ref="T5:T14" si="1">hextobits(R5)</f>
        <v>1100000</v>
      </c>
      <c r="U5" s="80" t="str">
        <f t="shared" si="0"/>
        <v>0000001</v>
      </c>
      <c r="W5" s="79" t="str" cm="1">
        <f t="array" ref="W5">ByteToHex(_xlfn.BITAND(HexToByte(R5),127))</f>
        <v>60</v>
      </c>
      <c r="X5" s="79" t="str" cm="1">
        <f t="array" ref="X5">ByteToHex(_xlfn.BITAND(HexToByte(S5),127))</f>
        <v>01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5">
        <v>1</v>
      </c>
      <c r="I6" s="82">
        <v>0</v>
      </c>
      <c r="J6" s="86">
        <v>1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0</v>
      </c>
      <c r="R6" s="88" t="s">
        <v>29</v>
      </c>
      <c r="S6" s="79" t="s">
        <v>27</v>
      </c>
      <c r="T6" s="80" t="str">
        <f t="shared" si="1"/>
        <v>1100000</v>
      </c>
      <c r="U6" s="80" t="str">
        <f t="shared" si="0"/>
        <v>0000001</v>
      </c>
      <c r="W6" s="79" t="str" cm="1">
        <f t="array" ref="W6">ByteToHex(_xlfn.BITAND(HexToByte(R6),127))</f>
        <v>60</v>
      </c>
      <c r="X6" s="79" t="str" cm="1">
        <f t="array" ref="X6">ByteToHex(_xlfn.BITAND(HexToByte(S6),127))</f>
        <v>01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1</v>
      </c>
      <c r="G7" s="35">
        <v>1</v>
      </c>
      <c r="H7" s="35">
        <v>1</v>
      </c>
      <c r="I7" s="82">
        <v>0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0</v>
      </c>
      <c r="R7" s="88" t="s">
        <v>28</v>
      </c>
      <c r="S7" s="79" t="s">
        <v>34</v>
      </c>
      <c r="T7" s="80" t="str">
        <f t="shared" si="1"/>
        <v>1110000</v>
      </c>
      <c r="U7" s="80" t="str">
        <f t="shared" si="0"/>
        <v>0000000</v>
      </c>
      <c r="W7" s="79" t="str" cm="1">
        <f t="array" ref="W7">ByteToHex(_xlfn.BITAND(HexToByte(R7),127))</f>
        <v>70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1</v>
      </c>
      <c r="E8" s="35">
        <v>1</v>
      </c>
      <c r="F8" s="35">
        <v>0</v>
      </c>
      <c r="G8" s="35">
        <v>1</v>
      </c>
      <c r="H8" s="35">
        <v>1</v>
      </c>
      <c r="I8" s="82">
        <v>0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0</v>
      </c>
      <c r="R8" s="88" t="s">
        <v>30</v>
      </c>
      <c r="S8" s="79" t="s">
        <v>27</v>
      </c>
      <c r="T8" s="80" t="str">
        <f t="shared" si="1"/>
        <v>1101100</v>
      </c>
      <c r="U8" s="80" t="str">
        <f t="shared" si="0"/>
        <v>0000001</v>
      </c>
      <c r="W8" s="79" t="str" cm="1">
        <f t="array" ref="W8">ByteToHex(_xlfn.BITAND(HexToByte(R8),127))</f>
        <v>6C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1</v>
      </c>
      <c r="E9" s="35">
        <v>0</v>
      </c>
      <c r="F9" s="35">
        <v>1</v>
      </c>
      <c r="G9" s="35">
        <v>1</v>
      </c>
      <c r="H9" s="35">
        <v>0</v>
      </c>
      <c r="I9" s="82">
        <v>0</v>
      </c>
      <c r="J9" s="86">
        <v>0</v>
      </c>
      <c r="K9" s="35">
        <v>1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0</v>
      </c>
      <c r="R9" s="88" t="s">
        <v>31</v>
      </c>
      <c r="S9" s="79" t="s">
        <v>35</v>
      </c>
      <c r="T9" s="80" t="str">
        <f t="shared" si="1"/>
        <v>0110110</v>
      </c>
      <c r="U9" s="80" t="str">
        <f t="shared" si="0"/>
        <v>0000110</v>
      </c>
      <c r="W9" s="79" t="str" cm="1">
        <f t="array" ref="W9">ByteToHex(_xlfn.BITAND(HexToByte(R9),127))</f>
        <v>36</v>
      </c>
      <c r="X9" s="79" t="str" cm="1">
        <f t="array" ref="X9">ByteToHex(_xlfn.BITAND(HexToByte(S9),127))</f>
        <v>06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1</v>
      </c>
      <c r="G10" s="35">
        <v>1</v>
      </c>
      <c r="H10" s="35">
        <v>0</v>
      </c>
      <c r="I10" s="82">
        <v>0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0</v>
      </c>
      <c r="R10" s="88" t="s">
        <v>32</v>
      </c>
      <c r="S10" s="79" t="s">
        <v>34</v>
      </c>
      <c r="T10" s="80" t="str">
        <f t="shared" si="1"/>
        <v>0110000</v>
      </c>
      <c r="U10" s="80" t="str">
        <f t="shared" si="0"/>
        <v>0000000</v>
      </c>
      <c r="W10" s="79" t="str" cm="1">
        <f t="array" ref="W10">ByteToHex(_xlfn.BITAND(HexToByte(R10),127))</f>
        <v>30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0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0</v>
      </c>
      <c r="R11" s="88" t="s">
        <v>28</v>
      </c>
      <c r="S11" s="79" t="s">
        <v>34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1</v>
      </c>
      <c r="D12" s="35">
        <v>1</v>
      </c>
      <c r="E12" s="35">
        <v>1</v>
      </c>
      <c r="F12" s="35">
        <v>1</v>
      </c>
      <c r="G12" s="35">
        <v>0</v>
      </c>
      <c r="H12" s="35">
        <v>1</v>
      </c>
      <c r="I12" s="82">
        <v>0</v>
      </c>
      <c r="J12" s="86">
        <v>1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0</v>
      </c>
      <c r="R12" s="88" t="s">
        <v>33</v>
      </c>
      <c r="S12" s="79" t="s">
        <v>27</v>
      </c>
      <c r="T12" s="80" t="str">
        <f t="shared" si="1"/>
        <v>1011110</v>
      </c>
      <c r="U12" s="80" t="str">
        <f t="shared" si="0"/>
        <v>0000001</v>
      </c>
      <c r="W12" s="79" t="str" cm="1">
        <f t="array" ref="W12">ByteToHex(_xlfn.BITAND(HexToByte(R12),127))</f>
        <v>5E</v>
      </c>
      <c r="X12" s="79" t="str" cm="1">
        <f t="array" ref="X12">ByteToHex(_xlfn.BITAND(HexToByte(S12),127))</f>
        <v>01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1</v>
      </c>
      <c r="I13" s="82">
        <v>0</v>
      </c>
      <c r="J13" s="86">
        <v>1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0</v>
      </c>
      <c r="R13" s="88" t="s">
        <v>26</v>
      </c>
      <c r="S13" s="79" t="s">
        <v>27</v>
      </c>
      <c r="T13" s="80" t="str">
        <f t="shared" si="1"/>
        <v>1000000</v>
      </c>
      <c r="U13" s="80" t="str">
        <f t="shared" si="0"/>
        <v>0000001</v>
      </c>
      <c r="W13" s="79" t="str" cm="1">
        <f t="array" ref="W13">ByteToHex(_xlfn.BITAND(HexToByte(R13),127))</f>
        <v>40</v>
      </c>
      <c r="X13" s="79" t="str" cm="1">
        <f t="array" ref="X13">ByteToHex(_xlfn.BITAND(HexToByte(S13),127))</f>
        <v>01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1</v>
      </c>
      <c r="I14" s="82">
        <v>0</v>
      </c>
      <c r="J14" s="86">
        <v>1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0</v>
      </c>
      <c r="R14" s="88" t="s">
        <v>26</v>
      </c>
      <c r="S14" s="79" t="s">
        <v>27</v>
      </c>
      <c r="T14" s="80" t="str">
        <f t="shared" si="1"/>
        <v>1000000</v>
      </c>
      <c r="U14" s="80" t="str">
        <f t="shared" si="0"/>
        <v>0000001</v>
      </c>
      <c r="W14" s="79" t="str" cm="1">
        <f t="array" ref="W14">ByteToHex(_xlfn.BITAND(HexToByte(R14),127))</f>
        <v>40</v>
      </c>
      <c r="X14" s="79" t="str" cm="1">
        <f t="array" ref="X14">ByteToHex(_xlfn.BITAND(HexToByte(S14),127))</f>
        <v>01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5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3"/>
      <c r="H18" s="53"/>
      <c r="J18" s="53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3"/>
      <c r="H19" s="53"/>
      <c r="J19" s="53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3"/>
      <c r="G20" s="53"/>
      <c r="H20" s="53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3"/>
      <c r="E21" s="53"/>
      <c r="F21" s="56"/>
      <c r="G21" s="53"/>
      <c r="H21" s="53"/>
      <c r="J21" s="53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3"/>
      <c r="D22" s="53"/>
      <c r="E22" s="55"/>
      <c r="F22" s="53"/>
      <c r="G22" s="53"/>
      <c r="H22" s="50"/>
      <c r="J22" s="50"/>
      <c r="K22" s="53"/>
      <c r="L22" s="53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3"/>
      <c r="G23" s="53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3"/>
      <c r="D25" s="53"/>
      <c r="E25" s="53"/>
      <c r="F25" s="53"/>
      <c r="G25" s="55"/>
      <c r="H25" s="53"/>
      <c r="J25" s="53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3"/>
      <c r="J26" s="53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3"/>
      <c r="J27" s="53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4666-54AF-4C31-9098-0AE06CA51D3B}">
  <sheetPr codeName="Tabelle4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1</v>
      </c>
      <c r="J4" s="86">
        <v>0</v>
      </c>
      <c r="K4" s="35">
        <v>1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0</v>
      </c>
      <c r="R4" s="88" t="s">
        <v>16</v>
      </c>
      <c r="S4" s="79" t="s">
        <v>36</v>
      </c>
      <c r="T4" s="80" t="str">
        <f>hextobits(R4)</f>
        <v>1000000</v>
      </c>
      <c r="U4" s="80" t="str">
        <f t="shared" ref="U4:U14" si="0">hextobits(S4)</f>
        <v>0000010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02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82">
        <v>0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0</v>
      </c>
      <c r="R5" s="88" t="s">
        <v>34</v>
      </c>
      <c r="S5" s="79" t="s">
        <v>34</v>
      </c>
      <c r="T5" s="80" t="str">
        <f t="shared" ref="T5:T14" si="1">hextobits(R5)</f>
        <v>0000000</v>
      </c>
      <c r="U5" s="80" t="str">
        <f t="shared" si="0"/>
        <v>0000000</v>
      </c>
      <c r="W5" s="79" t="str" cm="1">
        <f t="array" ref="W5">ByteToHex(_xlfn.BITAND(HexToByte(R5),127))</f>
        <v>00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82">
        <v>0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0</v>
      </c>
      <c r="R6" s="88" t="s">
        <v>34</v>
      </c>
      <c r="S6" s="79" t="s">
        <v>34</v>
      </c>
      <c r="T6" s="80" t="str">
        <f t="shared" si="1"/>
        <v>0000000</v>
      </c>
      <c r="U6" s="80" t="str">
        <f t="shared" si="0"/>
        <v>0000000</v>
      </c>
      <c r="W6" s="79" t="str" cm="1">
        <f t="array" ref="W6">ByteToHex(_xlfn.BITAND(HexToByte(R6),127))</f>
        <v>00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82">
        <v>0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0</v>
      </c>
      <c r="R7" s="88" t="s">
        <v>34</v>
      </c>
      <c r="S7" s="79" t="s">
        <v>34</v>
      </c>
      <c r="T7" s="80" t="str">
        <f t="shared" si="1"/>
        <v>0000000</v>
      </c>
      <c r="U7" s="80" t="str">
        <f t="shared" si="0"/>
        <v>0000000</v>
      </c>
      <c r="W7" s="79" t="str" cm="1">
        <f t="array" ref="W7">ByteToHex(_xlfn.BITAND(HexToByte(R7),127))</f>
        <v>00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82">
        <v>0</v>
      </c>
      <c r="J8" s="86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0</v>
      </c>
      <c r="R8" s="88" t="s">
        <v>34</v>
      </c>
      <c r="S8" s="79" t="s">
        <v>34</v>
      </c>
      <c r="T8" s="80" t="str">
        <f t="shared" si="1"/>
        <v>0000000</v>
      </c>
      <c r="U8" s="80" t="str">
        <f t="shared" si="0"/>
        <v>0000000</v>
      </c>
      <c r="W8" s="79" t="str" cm="1">
        <f t="array" ref="W8">ByteToHex(_xlfn.BITAND(HexToByte(R8),127))</f>
        <v>00</v>
      </c>
      <c r="X8" s="79" t="str" cm="1">
        <f t="array" ref="X8">ByteToHex(_xlfn.BITAND(HexToByte(S8),127))</f>
        <v>00</v>
      </c>
    </row>
    <row r="9" spans="1:24" x14ac:dyDescent="0.3">
      <c r="A9" s="48">
        <v>5</v>
      </c>
      <c r="B9" s="34">
        <v>0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82">
        <v>0</v>
      </c>
      <c r="J9" s="86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82">
        <v>0</v>
      </c>
      <c r="R9" s="88" t="s">
        <v>34</v>
      </c>
      <c r="S9" s="79" t="s">
        <v>34</v>
      </c>
      <c r="T9" s="80" t="str">
        <f t="shared" si="1"/>
        <v>0000000</v>
      </c>
      <c r="U9" s="80" t="str">
        <f t="shared" si="0"/>
        <v>0000000</v>
      </c>
      <c r="W9" s="79" t="str" cm="1">
        <f t="array" ref="W9">ByteToHex(_xlfn.BITAND(HexToByte(R9),127))</f>
        <v>00</v>
      </c>
      <c r="X9" s="79" t="str" cm="1">
        <f t="array" ref="X9">ByteToHex(_xlfn.BITAND(HexToByte(S9),127))</f>
        <v>00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82">
        <v>0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0</v>
      </c>
      <c r="R10" s="88" t="s">
        <v>34</v>
      </c>
      <c r="S10" s="79" t="s">
        <v>34</v>
      </c>
      <c r="T10" s="80" t="str">
        <f t="shared" si="1"/>
        <v>0000000</v>
      </c>
      <c r="U10" s="80" t="str">
        <f t="shared" si="0"/>
        <v>0000000</v>
      </c>
      <c r="W10" s="79" t="str" cm="1">
        <f t="array" ref="W10">ByteToHex(_xlfn.BITAND(HexToByte(R10),127))</f>
        <v>00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82">
        <v>0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0</v>
      </c>
      <c r="R11" s="88" t="s">
        <v>34</v>
      </c>
      <c r="S11" s="79" t="s">
        <v>34</v>
      </c>
      <c r="T11" s="80" t="str">
        <f t="shared" si="1"/>
        <v>0000000</v>
      </c>
      <c r="U11" s="80" t="str">
        <f t="shared" si="0"/>
        <v>0000000</v>
      </c>
      <c r="W11" s="79" t="str" cm="1">
        <f t="array" ref="W11">ByteToHex(_xlfn.BITAND(HexToByte(R11),127))</f>
        <v>00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82">
        <v>0</v>
      </c>
      <c r="J12" s="86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0</v>
      </c>
      <c r="R12" s="88" t="s">
        <v>34</v>
      </c>
      <c r="S12" s="79" t="s">
        <v>34</v>
      </c>
      <c r="T12" s="80" t="str">
        <f t="shared" si="1"/>
        <v>0000000</v>
      </c>
      <c r="U12" s="80" t="str">
        <f t="shared" si="0"/>
        <v>0000000</v>
      </c>
      <c r="W12" s="79" t="str" cm="1">
        <f t="array" ref="W12">ByteToHex(_xlfn.BITAND(HexToByte(R12),127))</f>
        <v>00</v>
      </c>
      <c r="X12" s="79" t="str" cm="1">
        <f t="array" ref="X12">ByteToHex(_xlfn.BITAND(HexToByte(S12),127))</f>
        <v>00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82">
        <v>0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0</v>
      </c>
      <c r="R13" s="88" t="s">
        <v>34</v>
      </c>
      <c r="S13" s="79" t="s">
        <v>34</v>
      </c>
      <c r="T13" s="80" t="str">
        <f t="shared" si="1"/>
        <v>0000000</v>
      </c>
      <c r="U13" s="80" t="str">
        <f t="shared" si="0"/>
        <v>0000000</v>
      </c>
      <c r="W13" s="79" t="str" cm="1">
        <f t="array" ref="W13">ByteToHex(_xlfn.BITAND(HexToByte(R13),127))</f>
        <v>00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82">
        <v>0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0</v>
      </c>
      <c r="R14" s="88" t="s">
        <v>34</v>
      </c>
      <c r="S14" s="79" t="s">
        <v>34</v>
      </c>
      <c r="T14" s="80" t="str">
        <f t="shared" si="1"/>
        <v>0000000</v>
      </c>
      <c r="U14" s="80" t="str">
        <f t="shared" si="0"/>
        <v>0000000</v>
      </c>
      <c r="W14" s="79" t="str" cm="1">
        <f t="array" ref="W14">ByteToHex(_xlfn.BITAND(HexToByte(R14),127))</f>
        <v>00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1"/>
      <c r="J17" s="55"/>
      <c r="K17" s="55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0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0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0"/>
      <c r="G20" s="50"/>
      <c r="H20" s="50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0"/>
      <c r="E21" s="50"/>
      <c r="F21" s="50"/>
      <c r="G21" s="50"/>
      <c r="H21" s="50"/>
      <c r="J21" s="50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0"/>
      <c r="D22" s="50"/>
      <c r="E22" s="50"/>
      <c r="F22" s="50"/>
      <c r="G22" s="50"/>
      <c r="H22" s="50"/>
      <c r="J22" s="50"/>
      <c r="K22" s="50"/>
      <c r="L22" s="50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0"/>
      <c r="G23" s="50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0"/>
      <c r="G24" s="50"/>
      <c r="H24" s="50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0"/>
      <c r="F25" s="50"/>
      <c r="G25" s="50"/>
      <c r="H25" s="50"/>
      <c r="J25" s="50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0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0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CF1A-2721-4DF2-8BBB-66E74F09FAED}">
  <sheetPr codeName="Tabelle7"/>
  <dimension ref="A1:S145"/>
  <sheetViews>
    <sheetView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5.58203125" customWidth="1"/>
    <col min="2" max="18" width="2.83203125" customWidth="1"/>
    <col min="19" max="19" width="4.75" customWidth="1"/>
  </cols>
  <sheetData>
    <row r="1" spans="1:19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9" x14ac:dyDescent="0.3">
      <c r="A2" s="2"/>
      <c r="B2" s="29" t="str">
        <f>DEC2HEX(B1)</f>
        <v>0</v>
      </c>
      <c r="C2" s="29" t="str">
        <f t="shared" ref="C2:Q2" si="1">DEC2HEX(C1)</f>
        <v>1</v>
      </c>
      <c r="D2" s="29" t="str">
        <f t="shared" si="1"/>
        <v>2</v>
      </c>
      <c r="E2" s="29" t="str">
        <f t="shared" si="1"/>
        <v>3</v>
      </c>
      <c r="F2" s="29" t="str">
        <f t="shared" si="1"/>
        <v>4</v>
      </c>
      <c r="G2" s="29" t="str">
        <f t="shared" si="1"/>
        <v>5</v>
      </c>
      <c r="H2" s="29" t="str">
        <f t="shared" si="1"/>
        <v>6</v>
      </c>
      <c r="I2" s="29" t="str">
        <f t="shared" si="1"/>
        <v>7</v>
      </c>
      <c r="J2" s="29" t="str">
        <f t="shared" si="1"/>
        <v>8</v>
      </c>
      <c r="K2" s="29" t="str">
        <f t="shared" si="1"/>
        <v>9</v>
      </c>
      <c r="L2" s="29" t="str">
        <f t="shared" si="1"/>
        <v>A</v>
      </c>
      <c r="M2" s="29" t="str">
        <f t="shared" si="1"/>
        <v>B</v>
      </c>
      <c r="N2" s="29" t="str">
        <f t="shared" si="1"/>
        <v>C</v>
      </c>
      <c r="O2" s="29" t="str">
        <f t="shared" si="1"/>
        <v>D</v>
      </c>
      <c r="P2" s="29" t="str">
        <f t="shared" si="1"/>
        <v>E</v>
      </c>
      <c r="Q2" s="29" t="str">
        <f t="shared" si="1"/>
        <v>F</v>
      </c>
      <c r="S2" s="29">
        <f>COUNTA($B$3:$Q$145)</f>
        <v>2288</v>
      </c>
    </row>
    <row r="3" spans="1:19" x14ac:dyDescent="0.3">
      <c r="A3" s="21" t="str">
        <f>SpriteBaseAddress</f>
        <v>AD00</v>
      </c>
      <c r="B3" t="str" cm="1">
        <f t="array" ref="B3">_xlfn.LET(
  _xlpm.idx, (ROW()-3)*16 + B$1,
  _xlpm.r, MOD(_xlpm.idx, SpriteCount),
  INDEX(
    sprite_data.asm!$C$3:$R$156,
    INT(_xlpm.idx / SpriteCount) * 7 + INT(_xlpm.r / 16) + 1,
    MOD(_xlpm.r, 16) + 1
  )
)</f>
        <v>00</v>
      </c>
      <c r="C3" t="str" cm="1">
        <f t="array" ref="C3">_xlfn.LET(
  _xlpm.idx, (ROW()-3)*16 + C$1,
  _xlpm.r, MOD(_xlpm.idx, SpriteCount),
  INDEX(
    sprite_data.asm!$C$3:$R$156,
    INT(_xlpm.idx / SpriteCount) * 7 + INT(_xlpm.r / 16) + 1,
    MOD(_xlpm.r, 16) + 1
  )
)</f>
        <v>15</v>
      </c>
      <c r="D3" t="str" cm="1">
        <f t="array" ref="D3">_xlfn.LET(
  _xlpm.idx, (ROW()-3)*16 + D$1,
  _xlpm.r, MOD(_xlpm.idx, SpriteCount),
  INDEX(
    sprite_data.asm!$C$3:$R$156,
    INT(_xlpm.idx / SpriteCount) * 7 + INT(_xlpm.r / 16) + 1,
    MOD(_xlpm.r, 16) + 1
  )
)</f>
        <v>55</v>
      </c>
      <c r="E3" t="str" cm="1">
        <f t="array" ref="E3">_xlfn.LET(
  _xlpm.idx, (ROW()-3)*16 + E$1,
  _xlpm.r, MOD(_xlpm.idx, SpriteCount),
  INDEX(
    sprite_data.asm!$C$3:$R$156,
    INT(_xlpm.idx / SpriteCount) * 7 + INT(_xlpm.r / 16) + 1,
    MOD(_xlpm.r, 16) + 1
  )
)</f>
        <v>06</v>
      </c>
      <c r="F3" t="str" cm="1">
        <f t="array" ref="F3">_xlfn.LET(
  _xlpm.idx, (ROW()-3)*16 + F$1,
  _xlpm.r, MOD(_xlpm.idx, SpriteCount),
  INDEX(
    sprite_data.asm!$C$3:$R$156,
    INT(_xlpm.idx / SpriteCount) * 7 + INT(_xlpm.r / 16) + 1,
    MOD(_xlpm.r, 16) + 1
  )
)</f>
        <v>00</v>
      </c>
      <c r="G3" t="str" cm="1">
        <f t="array" ref="G3">_xlfn.LET(
  _xlpm.idx, (ROW()-3)*16 + G$1,
  _xlpm.r, MOD(_xlpm.idx, SpriteCount),
  INDEX(
    sprite_data.asm!$C$3:$R$156,
    INT(_xlpm.idx / SpriteCount) * 7 + INT(_xlpm.r / 16) + 1,
    MOD(_xlpm.r, 16) + 1
  )
)</f>
        <v>55</v>
      </c>
      <c r="H3" t="str" cm="1">
        <f t="array" ref="H3">_xlfn.LET(
  _xlpm.idx, (ROW()-3)*16 + H$1,
  _xlpm.r, MOD(_xlpm.idx, SpriteCount),
  INDEX(
    sprite_data.asm!$C$3:$R$156,
    INT(_xlpm.idx / SpriteCount) * 7 + INT(_xlpm.r / 16) + 1,
    MOD(_xlpm.r, 16) + 1
  )
)</f>
        <v>06</v>
      </c>
      <c r="I3" t="str" cm="1">
        <f t="array" ref="I3">_xlfn.LET(
  _xlpm.idx, (ROW()-3)*16 + I$1,
  _xlpm.r, MOD(_xlpm.idx, SpriteCount),
  INDEX(
    sprite_data.asm!$C$3:$R$156,
    INT(_xlpm.idx / SpriteCount) * 7 + INT(_xlpm.r / 16) + 1,
    MOD(_xlpm.r, 16) + 1
  )
)</f>
        <v>00</v>
      </c>
      <c r="J3" t="str" cm="1">
        <f t="array" ref="J3">_xlfn.LET(
  _xlpm.idx, (ROW()-3)*16 + J$1,
  _xlpm.r, MOD(_xlpm.idx, SpriteCount),
  INDEX(
    sprite_data.asm!$C$3:$R$156,
    INT(_xlpm.idx / SpriteCount) * 7 + INT(_xlpm.r / 16) + 1,
    MOD(_xlpm.r, 16) + 1
  )
)</f>
        <v>10</v>
      </c>
      <c r="K3" t="str" cm="1">
        <f t="array" ref="K3">_xlfn.LET(
  _xlpm.idx, (ROW()-3)*16 + K$1,
  _xlpm.r, MOD(_xlpm.idx, SpriteCount),
  INDEX(
    sprite_data.asm!$C$3:$R$156,
    INT(_xlpm.idx / SpriteCount) * 7 + INT(_xlpm.r / 16) + 1,
    MOD(_xlpm.r, 16) + 1
  )
)</f>
        <v>40</v>
      </c>
      <c r="L3" t="str" cm="1">
        <f t="array" ref="L3">_xlfn.LET(
  _xlpm.idx, (ROW()-3)*16 + L$1,
  _xlpm.r, MOD(_xlpm.idx, SpriteCount),
  INDEX(
    sprite_data.asm!$C$3:$R$156,
    INT(_xlpm.idx / SpriteCount) * 7 + INT(_xlpm.r / 16) + 1,
    MOD(_xlpm.r, 16) + 1
  )
)</f>
        <v>7F</v>
      </c>
      <c r="M3" t="str" cm="1">
        <f t="array" ref="M3">_xlfn.LET(
  _xlpm.idx, (ROW()-3)*16 + M$1,
  _xlpm.r, MOD(_xlpm.idx, SpriteCount),
  INDEX(
    sprite_data.asm!$C$3:$R$156,
    INT(_xlpm.idx / SpriteCount) * 7 + INT(_xlpm.r / 16) + 1,
    MOD(_xlpm.r, 16) + 1
  )
)</f>
        <v>08</v>
      </c>
      <c r="N3" t="str" cm="1">
        <f t="array" ref="N3">_xlfn.LET(
  _xlpm.idx, (ROW()-3)*16 + N$1,
  _xlpm.r, MOD(_xlpm.idx, SpriteCount),
  INDEX(
    sprite_data.asm!$C$3:$R$156,
    INT(_xlpm.idx / SpriteCount) * 7 + INT(_xlpm.r / 16) + 1,
    MOD(_xlpm.r, 16) + 1
  )
)</f>
        <v>08</v>
      </c>
      <c r="O3" t="str" cm="1">
        <f t="array" ref="O3">_xlfn.LET(
  _xlpm.idx, (ROW()-3)*16 + O$1,
  _xlpm.r, MOD(_xlpm.idx, SpriteCount),
  INDEX(
    sprite_data.asm!$C$3:$R$156,
    INT(_xlpm.idx / SpriteCount) * 7 + INT(_xlpm.r / 16) + 1,
    MOD(_xlpm.r, 16) + 1
  )
)</f>
        <v>08</v>
      </c>
      <c r="P3" t="str" cm="1">
        <f t="array" ref="P3">_xlfn.LET(
  _xlpm.idx, (ROW()-3)*16 + P$1,
  _xlpm.r, MOD(_xlpm.idx, SpriteCount),
  INDEX(
    sprite_data.asm!$C$3:$R$156,
    INT(_xlpm.idx / SpriteCount) * 7 + INT(_xlpm.r / 16) + 1,
    MOD(_xlpm.r, 16) + 1
  )
)</f>
        <v>30</v>
      </c>
      <c r="Q3" t="str" cm="1">
        <f t="array" ref="Q3">_xlfn.LET(
  _xlpm.idx, (ROW()-3)*16 + Q$1,
  _xlpm.r, MOD(_xlpm.idx, SpriteCount),
  INDEX(
    sprite_data.asm!$C$3:$R$156,
    INT(_xlpm.idx / SpriteCount) * 7 + INT(_xlpm.r / 16) + 1,
    MOD(_xlpm.r, 16) + 1
  )
)</f>
        <v>40</v>
      </c>
    </row>
    <row r="4" spans="1:19" x14ac:dyDescent="0.3">
      <c r="A4" s="2" t="str">
        <f>DEC2HEX(HEX2DEC(A3)+16)</f>
        <v>AD10</v>
      </c>
      <c r="B4" t="str" cm="1">
        <f t="array" ref="B4">_xlfn.LET(
  _xlpm.idx, (ROW()-3)*16 + B$1,
  _xlpm.r, MOD(_xlpm.idx, SpriteCount),
  INDEX(
    sprite_data.asm!$C$3:$R$156,
    INT(_xlpm.idx / SpriteCount) * 7 + INT(_xlpm.r / 16) + 1,
    MOD(_xlpm.r, 16) + 1
  )
)</f>
        <v>40</v>
      </c>
      <c r="C4" t="str" cm="1">
        <f t="array" ref="C4">_xlfn.LET(
  _xlpm.idx, (ROW()-3)*16 + C$1,
  _xlpm.r, MOD(_xlpm.idx, SpriteCount),
  INDEX(
    sprite_data.asm!$C$3:$R$156,
    INT(_xlpm.idx / SpriteCount) * 7 + INT(_xlpm.r / 16) + 1,
    MOD(_xlpm.r, 16) + 1
  )
)</f>
        <v>40</v>
      </c>
      <c r="D4" t="str" cm="1">
        <f t="array" ref="D4">_xlfn.LET(
  _xlpm.idx, (ROW()-3)*16 + D$1,
  _xlpm.r, MOD(_xlpm.idx, SpriteCount),
  INDEX(
    sprite_data.asm!$C$3:$R$156,
    INT(_xlpm.idx / SpriteCount) * 7 + INT(_xlpm.r / 16) + 1,
    MOD(_xlpm.r, 16) + 1
  )
)</f>
        <v>30</v>
      </c>
      <c r="E4" t="str" cm="1">
        <f t="array" ref="E4">_xlfn.LET(
  _xlpm.idx, (ROW()-3)*16 + E$1,
  _xlpm.r, MOD(_xlpm.idx, SpriteCount),
  INDEX(
    sprite_data.asm!$C$3:$R$156,
    INT(_xlpm.idx / SpriteCount) * 7 + INT(_xlpm.r / 16) + 1,
    MOD(_xlpm.r, 16) + 1
  )
)</f>
        <v>26</v>
      </c>
      <c r="F4" t="str" cm="1">
        <f t="array" ref="F4">_xlfn.LET(
  _xlpm.idx, (ROW()-3)*16 + F$1,
  _xlpm.r, MOD(_xlpm.idx, SpriteCount),
  INDEX(
    sprite_data.asm!$C$3:$R$156,
    INT(_xlpm.idx / SpriteCount) * 7 + INT(_xlpm.r / 16) + 1,
    MOD(_xlpm.r, 16) + 1
  )
)</f>
        <v>13</v>
      </c>
      <c r="G4" t="str" cm="1">
        <f t="array" ref="G4">_xlfn.LET(
  _xlpm.idx, (ROW()-3)*16 + G$1,
  _xlpm.r, MOD(_xlpm.idx, SpriteCount),
  INDEX(
    sprite_data.asm!$C$3:$R$156,
    INT(_xlpm.idx / SpriteCount) * 7 + INT(_xlpm.r / 16) + 1,
    MOD(_xlpm.r, 16) + 1
  )
)</f>
        <v>06</v>
      </c>
      <c r="H4" t="str" cm="1">
        <f t="array" ref="H4">_xlfn.LET(
  _xlpm.idx, (ROW()-3)*16 + H$1,
  _xlpm.r, MOD(_xlpm.idx, SpriteCount),
  INDEX(
    sprite_data.asm!$C$3:$R$156,
    INT(_xlpm.idx / SpriteCount) * 7 + INT(_xlpm.r / 16) + 1,
    MOD(_xlpm.r, 16) + 1
  )
)</f>
        <v>60</v>
      </c>
      <c r="I4" t="str" cm="1">
        <f t="array" ref="I4">_xlfn.LET(
  _xlpm.idx, (ROW()-3)*16 + I$1,
  _xlpm.r, MOD(_xlpm.idx, SpriteCount),
  INDEX(
    sprite_data.asm!$C$3:$R$156,
    INT(_xlpm.idx / SpriteCount) * 7 + INT(_xlpm.r / 16) + 1,
    MOD(_xlpm.r, 16) + 1
  )
)</f>
        <v>18</v>
      </c>
      <c r="J4" t="str" cm="1">
        <f t="array" ref="J4">_xlfn.LET(
  _xlpm.idx, (ROW()-3)*16 + J$1,
  _xlpm.r, MOD(_xlpm.idx, SpriteCount),
  INDEX(
    sprite_data.asm!$C$3:$R$156,
    INT(_xlpm.idx / SpriteCount) * 7 + INT(_xlpm.r / 16) + 1,
    MOD(_xlpm.r, 16) + 1
  )
)</f>
        <v>06</v>
      </c>
      <c r="K4" t="str" cm="1">
        <f t="array" ref="K4">_xlfn.LET(
  _xlpm.idx, (ROW()-3)*16 + K$1,
  _xlpm.r, MOD(_xlpm.idx, SpriteCount),
  INDEX(
    sprite_data.asm!$C$3:$R$156,
    INT(_xlpm.idx / SpriteCount) * 7 + INT(_xlpm.r / 16) + 1,
    MOD(_xlpm.r, 16) + 1
  )
)</f>
        <v>18</v>
      </c>
      <c r="L4" t="str" cm="1">
        <f t="array" ref="L4">_xlfn.LET(
  _xlpm.idx, (ROW()-3)*16 + L$1,
  _xlpm.r, MOD(_xlpm.idx, SpriteCount),
  INDEX(
    sprite_data.asm!$C$3:$R$156,
    INT(_xlpm.idx / SpriteCount) * 7 + INT(_xlpm.r / 16) + 1,
    MOD(_xlpm.r, 16) + 1
  )
)</f>
        <v>60</v>
      </c>
      <c r="M4" t="str" cm="1">
        <f t="array" ref="M4">_xlfn.LET(
  _xlpm.idx, (ROW()-3)*16 + M$1,
  _xlpm.r, MOD(_xlpm.idx, SpriteCount),
  INDEX(
    sprite_data.asm!$C$3:$R$156,
    INT(_xlpm.idx / SpriteCount) * 7 + INT(_xlpm.r / 16) + 1,
    MOD(_xlpm.r, 16) + 1
  )
)</f>
        <v>00</v>
      </c>
      <c r="N4" t="str" cm="1">
        <f t="array" ref="N4">_xlfn.LET(
  _xlpm.idx, (ROW()-3)*16 + N$1,
  _xlpm.r, MOD(_xlpm.idx, SpriteCount),
  INDEX(
    sprite_data.asm!$C$3:$R$156,
    INT(_xlpm.idx / SpriteCount) * 7 + INT(_xlpm.r / 16) + 1,
    MOD(_xlpm.r, 16) + 1
  )
)</f>
        <v>00</v>
      </c>
      <c r="O4" t="str" cm="1">
        <f t="array" ref="O4">_xlfn.LET(
  _xlpm.idx, (ROW()-3)*16 + O$1,
  _xlpm.r, MOD(_xlpm.idx, SpriteCount),
  INDEX(
    sprite_data.asm!$C$3:$R$156,
    INT(_xlpm.idx / SpriteCount) * 7 + INT(_xlpm.r / 16) + 1,
    MOD(_xlpm.r, 16) + 1
  )
)</f>
        <v>10</v>
      </c>
      <c r="P4" t="str" cm="1">
        <f t="array" ref="P4">_xlfn.LET(
  _xlpm.idx, (ROW()-3)*16 + P$1,
  _xlpm.r, MOD(_xlpm.idx, SpriteCount),
  INDEX(
    sprite_data.asm!$C$3:$R$156,
    INT(_xlpm.idx / SpriteCount) * 7 + INT(_xlpm.r / 16) + 1,
    MOD(_xlpm.r, 16) + 1
  )
)</f>
        <v>00</v>
      </c>
      <c r="Q4" t="str" cm="1">
        <f t="array" ref="Q4">_xlfn.LET(
  _xlpm.idx, (ROW()-3)*16 + Q$1,
  _xlpm.r, MOD(_xlpm.idx, SpriteCount),
  INDEX(
    sprite_data.asm!$C$3:$R$156,
    INT(_xlpm.idx / SpriteCount) * 7 + INT(_xlpm.r / 16) + 1,
    MOD(_xlpm.r, 16) + 1
  )
)</f>
        <v>25</v>
      </c>
    </row>
    <row r="5" spans="1:19" x14ac:dyDescent="0.3">
      <c r="A5" s="2" t="str">
        <f t="shared" ref="A5:A11" si="2">DEC2HEX(HEX2DEC(A4)+16)</f>
        <v>AD20</v>
      </c>
      <c r="B5" t="str" cm="1">
        <f t="array" ref="B5">_xlfn.LET(
  _xlpm.idx, (ROW()-3)*16 + B$1,
  _xlpm.r, MOD(_xlpm.idx, SpriteCount),
  INDEX(
    sprite_data.asm!$C$3:$R$156,
    INT(_xlpm.idx / SpriteCount) * 7 + INT(_xlpm.r / 16) + 1,
    MOD(_xlpm.r, 16) + 1
  )
)</f>
        <v>20</v>
      </c>
      <c r="C5" t="str" cm="1">
        <f t="array" ref="C5">_xlfn.LET(
  _xlpm.idx, (ROW()-3)*16 + C$1,
  _xlpm.r, MOD(_xlpm.idx, SpriteCount),
  INDEX(
    sprite_data.asm!$C$3:$R$156,
    INT(_xlpm.idx / SpriteCount) * 7 + INT(_xlpm.r / 16) + 1,
    MOD(_xlpm.r, 16) + 1
  )
)</f>
        <v>00</v>
      </c>
      <c r="D5" t="str" cm="1">
        <f t="array" ref="D5">_xlfn.LET(
  _xlpm.idx, (ROW()-3)*16 + D$1,
  _xlpm.r, MOD(_xlpm.idx, SpriteCount),
  INDEX(
    sprite_data.asm!$C$3:$R$156,
    INT(_xlpm.idx / SpriteCount) * 7 + INT(_xlpm.r / 16) + 1,
    MOD(_xlpm.r, 16) + 1
  )
)</f>
        <v>00</v>
      </c>
      <c r="E5" t="str" cm="1">
        <f t="array" ref="E5">_xlfn.LET(
  _xlpm.idx, (ROW()-3)*16 + E$1,
  _xlpm.r, MOD(_xlpm.idx, SpriteCount),
  INDEX(
    sprite_data.asm!$C$3:$R$156,
    INT(_xlpm.idx / SpriteCount) * 7 + INT(_xlpm.r / 16) + 1,
    MOD(_xlpm.r, 16) + 1
  )
)</f>
        <v>00</v>
      </c>
      <c r="F5" t="str" cm="1">
        <f t="array" ref="F5">_xlfn.LET(
  _xlpm.idx, (ROW()-3)*16 + F$1,
  _xlpm.r, MOD(_xlpm.idx, SpriteCount),
  INDEX(
    sprite_data.asm!$C$3:$R$156,
    INT(_xlpm.idx / SpriteCount) * 7 + INT(_xlpm.r / 16) + 1,
    MOD(_xlpm.r, 16) + 1
  )
)</f>
        <v>00</v>
      </c>
      <c r="G5" t="str" cm="1">
        <f t="array" ref="G5">_xlfn.LET(
  _xlpm.idx, (ROW()-3)*16 + G$1,
  _xlpm.r, MOD(_xlpm.idx, SpriteCount),
  INDEX(
    sprite_data.asm!$C$3:$R$156,
    INT(_xlpm.idx / SpriteCount) * 7 + INT(_xlpm.r / 16) + 1,
    MOD(_xlpm.r, 16) + 1
  )
)</f>
        <v>10</v>
      </c>
      <c r="H5" t="str" cm="1">
        <f t="array" ref="H5">_xlfn.LET(
  _xlpm.idx, (ROW()-3)*16 + H$1,
  _xlpm.r, MOD(_xlpm.idx, SpriteCount),
  INDEX(
    sprite_data.asm!$C$3:$R$156,
    INT(_xlpm.idx / SpriteCount) * 7 + INT(_xlpm.r / 16) + 1,
    MOD(_xlpm.r, 16) + 1
  )
)</f>
        <v>00</v>
      </c>
      <c r="I5" t="str" cm="1">
        <f t="array" ref="I5">_xlfn.LET(
  _xlpm.idx, (ROW()-3)*16 + I$1,
  _xlpm.r, MOD(_xlpm.idx, SpriteCount),
  INDEX(
    sprite_data.asm!$C$3:$R$156,
    INT(_xlpm.idx / SpriteCount) * 7 + INT(_xlpm.r / 16) + 1,
    MOD(_xlpm.r, 16) + 1
  )
)</f>
        <v>00</v>
      </c>
      <c r="J5" t="str" cm="1">
        <f t="array" ref="J5">_xlfn.LET(
  _xlpm.idx, (ROW()-3)*16 + J$1,
  _xlpm.r, MOD(_xlpm.idx, SpriteCount),
  INDEX(
    sprite_data.asm!$C$3:$R$156,
    INT(_xlpm.idx / SpriteCount) * 7 + INT(_xlpm.r / 16) + 1,
    MOD(_xlpm.r, 16) + 1
  )
)</f>
        <v>40</v>
      </c>
      <c r="K5" t="str" cm="1">
        <f t="array" ref="K5">_xlfn.LET(
  _xlpm.idx, (ROW()-3)*16 + K$1,
  _xlpm.r, MOD(_xlpm.idx, SpriteCount),
  INDEX(
    sprite_data.asm!$C$3:$R$156,
    INT(_xlpm.idx / SpriteCount) * 7 + INT(_xlpm.r / 16) + 1,
    MOD(_xlpm.r, 16) + 1
  )
)</f>
        <v>40</v>
      </c>
      <c r="L5" t="str" cm="1">
        <f t="array" ref="L5">_xlfn.LET(
  _xlpm.idx, (ROW()-3)*16 + L$1,
  _xlpm.r, MOD(_xlpm.idx, SpriteCount),
  INDEX(
    sprite_data.asm!$C$3:$R$156,
    INT(_xlpm.idx / SpriteCount) * 7 + INT(_xlpm.r / 16) + 1,
    MOD(_xlpm.r, 16) + 1
  )
)</f>
        <v>40</v>
      </c>
      <c r="M5" t="str" cm="1">
        <f t="array" ref="M5">_xlfn.LET(
  _xlpm.idx, (ROW()-3)*16 + M$1,
  _xlpm.r, MOD(_xlpm.idx, SpriteCount),
  INDEX(
    sprite_data.asm!$C$3:$R$156,
    INT(_xlpm.idx / SpriteCount) * 7 + INT(_xlpm.r / 16) + 1,
    MOD(_xlpm.r, 16) + 1
  )
)</f>
        <v>10</v>
      </c>
      <c r="N5" t="str" cm="1">
        <f t="array" ref="N5">_xlfn.LET(
  _xlpm.idx, (ROW()-3)*16 + N$1,
  _xlpm.r, MOD(_xlpm.idx, SpriteCount),
  INDEX(
    sprite_data.asm!$C$3:$R$156,
    INT(_xlpm.idx / SpriteCount) * 7 + INT(_xlpm.r / 16) + 1,
    MOD(_xlpm.r, 16) + 1
  )
)</f>
        <v>10</v>
      </c>
      <c r="O5" t="str" cm="1">
        <f t="array" ref="O5">_xlfn.LET(
  _xlpm.idx, (ROW()-3)*16 + O$1,
  _xlpm.r, MOD(_xlpm.idx, SpriteCount),
  INDEX(
    sprite_data.asm!$C$3:$R$156,
    INT(_xlpm.idx / SpriteCount) * 7 + INT(_xlpm.r / 16) + 1,
    MOD(_xlpm.r, 16) + 1
  )
)</f>
        <v>02</v>
      </c>
      <c r="P5" t="str" cm="1">
        <f t="array" ref="P5">_xlfn.LET(
  _xlpm.idx, (ROW()-3)*16 + P$1,
  _xlpm.r, MOD(_xlpm.idx, SpriteCount),
  INDEX(
    sprite_data.asm!$C$3:$R$156,
    INT(_xlpm.idx / SpriteCount) * 7 + INT(_xlpm.r / 16) + 1,
    MOD(_xlpm.r, 16) + 1
  )
)</f>
        <v>20</v>
      </c>
      <c r="Q5" t="str" cm="1">
        <f t="array" ref="Q5">_xlfn.LET(
  _xlpm.idx, (ROW()-3)*16 + Q$1,
  _xlpm.r, MOD(_xlpm.idx, SpriteCount),
  INDEX(
    sprite_data.asm!$C$3:$R$156,
    INT(_xlpm.idx / SpriteCount) * 7 + INT(_xlpm.r / 16) + 1,
    MOD(_xlpm.r, 16) + 1
  )
)</f>
        <v>08</v>
      </c>
    </row>
    <row r="6" spans="1:19" x14ac:dyDescent="0.3">
      <c r="A6" s="2" t="str">
        <f t="shared" si="2"/>
        <v>AD30</v>
      </c>
      <c r="B6" t="str" cm="1">
        <f t="array" ref="B6">_xlfn.LET(
  _xlpm.idx, (ROW()-3)*16 + B$1,
  _xlpm.r, MOD(_xlpm.idx, SpriteCount),
  INDEX(
    sprite_data.asm!$C$3:$R$156,
    INT(_xlpm.idx / SpriteCount) * 7 + INT(_xlpm.r / 16) + 1,
    MOD(_xlpm.r, 16) + 1
  )
)</f>
        <v>02</v>
      </c>
      <c r="C6" t="str" cm="1">
        <f t="array" ref="C6">_xlfn.LET(
  _xlpm.idx, (ROW()-3)*16 + C$1,
  _xlpm.r, MOD(_xlpm.idx, SpriteCount),
  INDEX(
    sprite_data.asm!$C$3:$R$156,
    INT(_xlpm.idx / SpriteCount) * 7 + INT(_xlpm.r / 16) + 1,
    MOD(_xlpm.r, 16) + 1
  )
)</f>
        <v>08</v>
      </c>
      <c r="D6" t="str" cm="1">
        <f t="array" ref="D6">_xlfn.LET(
  _xlpm.idx, (ROW()-3)*16 + D$1,
  _xlpm.r, MOD(_xlpm.idx, SpriteCount),
  INDEX(
    sprite_data.asm!$C$3:$R$156,
    INT(_xlpm.idx / SpriteCount) * 7 + INT(_xlpm.r / 16) + 1,
    MOD(_xlpm.r, 16) + 1
  )
)</f>
        <v>20</v>
      </c>
      <c r="E6" t="str" cm="1">
        <f t="array" ref="E6">_xlfn.LET(
  _xlpm.idx, (ROW()-3)*16 + E$1,
  _xlpm.r, MOD(_xlpm.idx, SpriteCount),
  INDEX(
    sprite_data.asm!$C$3:$R$156,
    INT(_xlpm.idx / SpriteCount) * 7 + INT(_xlpm.r / 16) + 1,
    MOD(_xlpm.r, 16) + 1
  )
)</f>
        <v>20</v>
      </c>
      <c r="F6" t="str" cm="1">
        <f t="array" ref="F6">_xlfn.LET(
  _xlpm.idx, (ROW()-3)*16 + F$1,
  _xlpm.r, MOD(_xlpm.idx, SpriteCount),
  INDEX(
    sprite_data.asm!$C$3:$R$156,
    INT(_xlpm.idx / SpriteCount) * 7 + INT(_xlpm.r / 16) + 1,
    MOD(_xlpm.r, 16) + 1
  )
)</f>
        <v>20</v>
      </c>
      <c r="G6" t="str" cm="1">
        <f t="array" ref="G6">_xlfn.LET(
  _xlpm.idx, (ROW()-3)*16 + G$1,
  _xlpm.r, MOD(_xlpm.idx, SpriteCount),
  INDEX(
    sprite_data.asm!$C$3:$R$156,
    INT(_xlpm.idx / SpriteCount) * 7 + INT(_xlpm.r / 16) + 1,
    MOD(_xlpm.r, 16) + 1
  )
)</f>
        <v>22</v>
      </c>
      <c r="H6" t="str" cm="1">
        <f t="array" ref="H6">_xlfn.LET(
  _xlpm.idx, (ROW()-3)*16 + H$1,
  _xlpm.r, MOD(_xlpm.idx, SpriteCount),
  INDEX(
    sprite_data.asm!$C$3:$R$156,
    INT(_xlpm.idx / SpriteCount) * 7 + INT(_xlpm.r / 16) + 1,
    MOD(_xlpm.r, 16) + 1
  )
)</f>
        <v>22</v>
      </c>
      <c r="I6" t="str" cm="1">
        <f t="array" ref="I6">_xlfn.LET(
  _xlpm.idx, (ROW()-3)*16 + I$1,
  _xlpm.r, MOD(_xlpm.idx, SpriteCount),
  INDEX(
    sprite_data.asm!$C$3:$R$156,
    INT(_xlpm.idx / SpriteCount) * 7 + INT(_xlpm.r / 16) + 1,
    MOD(_xlpm.r, 16) + 1
  )
)</f>
        <v>00</v>
      </c>
      <c r="J6" t="str" cm="1">
        <f t="array" ref="J6">_xlfn.LET(
  _xlpm.idx, (ROW()-3)*16 + J$1,
  _xlpm.r, MOD(_xlpm.idx, SpriteCount),
  INDEX(
    sprite_data.asm!$C$3:$R$156,
    INT(_xlpm.idx / SpriteCount) * 7 + INT(_xlpm.r / 16) + 1,
    MOD(_xlpm.r, 16) + 1
  )
)</f>
        <v>00</v>
      </c>
      <c r="K6" t="str" cm="1">
        <f t="array" ref="K6">_xlfn.LET(
  _xlpm.idx, (ROW()-3)*16 + K$1,
  _xlpm.r, MOD(_xlpm.idx, SpriteCount),
  INDEX(
    sprite_data.asm!$C$3:$R$156,
    INT(_xlpm.idx / SpriteCount) * 7 + INT(_xlpm.r / 16) + 1,
    MOD(_xlpm.r, 16) + 1
  )
)</f>
        <v>00</v>
      </c>
      <c r="L6" t="str" cm="1">
        <f t="array" ref="L6">_xlfn.LET(
  _xlpm.idx, (ROW()-3)*16 + L$1,
  _xlpm.r, MOD(_xlpm.idx, SpriteCount),
  INDEX(
    sprite_data.asm!$C$3:$R$156,
    INT(_xlpm.idx / SpriteCount) * 7 + INT(_xlpm.r / 16) + 1,
    MOD(_xlpm.r, 16) + 1
  )
)</f>
        <v>00</v>
      </c>
      <c r="M6" t="str" cm="1">
        <f t="array" ref="M6">_xlfn.LET(
  _xlpm.idx, (ROW()-3)*16 + M$1,
  _xlpm.r, MOD(_xlpm.idx, SpriteCount),
  INDEX(
    sprite_data.asm!$C$3:$R$156,
    INT(_xlpm.idx / SpriteCount) * 7 + INT(_xlpm.r / 16) + 1,
    MOD(_xlpm.r, 16) + 1
  )
)</f>
        <v>00</v>
      </c>
      <c r="N6" t="str" cm="1">
        <f t="array" ref="N6">_xlfn.LET(
  _xlpm.idx, (ROW()-3)*16 + N$1,
  _xlpm.r, MOD(_xlpm.idx, SpriteCount),
  INDEX(
    sprite_data.asm!$C$3:$R$156,
    INT(_xlpm.idx / SpriteCount) * 7 + INT(_xlpm.r / 16) + 1,
    MOD(_xlpm.r, 16) + 1
  )
)</f>
        <v>00</v>
      </c>
      <c r="O6" t="str" cm="1">
        <f t="array" ref="O6">_xlfn.LET(
  _xlpm.idx, (ROW()-3)*16 + O$1,
  _xlpm.r, MOD(_xlpm.idx, SpriteCount),
  INDEX(
    sprite_data.asm!$C$3:$R$156,
    INT(_xlpm.idx / SpriteCount) * 7 + INT(_xlpm.r / 16) + 1,
    MOD(_xlpm.r, 16) + 1
  )
)</f>
        <v>00</v>
      </c>
      <c r="P6" t="str" cm="1">
        <f t="array" ref="P6">_xlfn.LET(
  _xlpm.idx, (ROW()-3)*16 + P$1,
  _xlpm.r, MOD(_xlpm.idx, SpriteCount),
  INDEX(
    sprite_data.asm!$C$3:$R$156,
    INT(_xlpm.idx / SpriteCount) * 7 + INT(_xlpm.r / 16) + 1,
    MOD(_xlpm.r, 16) + 1
  )
)</f>
        <v>00</v>
      </c>
      <c r="Q6" t="str" cm="1">
        <f t="array" ref="Q6">_xlfn.LET(
  _xlpm.idx, (ROW()-3)*16 + Q$1,
  _xlpm.r, MOD(_xlpm.idx, SpriteCount),
  INDEX(
    sprite_data.asm!$C$3:$R$156,
    INT(_xlpm.idx / SpriteCount) * 7 + INT(_xlpm.r / 16) + 1,
    MOD(_xlpm.r, 16) + 1
  )
)</f>
        <v>00</v>
      </c>
    </row>
    <row r="7" spans="1:19" x14ac:dyDescent="0.3">
      <c r="A7" s="2" t="str">
        <f t="shared" si="2"/>
        <v>AD40</v>
      </c>
      <c r="B7" t="str" cm="1">
        <f t="array" ref="B7">_xlfn.LET(
  _xlpm.idx, (ROW()-3)*16 + B$1,
  _xlpm.r, MOD(_xlpm.idx, SpriteCount),
  INDEX(
    sprite_data.asm!$C$3:$R$156,
    INT(_xlpm.idx / SpriteCount) * 7 + INT(_xlpm.r / 16) + 1,
    MOD(_xlpm.r, 16) + 1
  )
)</f>
        <v>00</v>
      </c>
      <c r="C7" t="str" cm="1">
        <f t="array" ref="C7">_xlfn.LET(
  _xlpm.idx, (ROW()-3)*16 + C$1,
  _xlpm.r, MOD(_xlpm.idx, SpriteCount),
  INDEX(
    sprite_data.asm!$C$3:$R$156,
    INT(_xlpm.idx / SpriteCount) * 7 + INT(_xlpm.r / 16) + 1,
    MOD(_xlpm.r, 16) + 1
  )
)</f>
        <v>00</v>
      </c>
      <c r="D7" t="str" cm="1">
        <f t="array" ref="D7">_xlfn.LET(
  _xlpm.idx, (ROW()-3)*16 + D$1,
  _xlpm.r, MOD(_xlpm.idx, SpriteCount),
  INDEX(
    sprite_data.asm!$C$3:$R$156,
    INT(_xlpm.idx / SpriteCount) * 7 + INT(_xlpm.r / 16) + 1,
    MOD(_xlpm.r, 16) + 1
  )
)</f>
        <v>00</v>
      </c>
      <c r="E7" t="str" cm="1">
        <f t="array" ref="E7">_xlfn.LET(
  _xlpm.idx, (ROW()-3)*16 + E$1,
  _xlpm.r, MOD(_xlpm.idx, SpriteCount),
  INDEX(
    sprite_data.asm!$C$3:$R$156,
    INT(_xlpm.idx / SpriteCount) * 7 + INT(_xlpm.r / 16) + 1,
    MOD(_xlpm.r, 16) + 1
  )
)</f>
        <v>00</v>
      </c>
      <c r="F7" t="str" cm="1">
        <f t="array" ref="F7">_xlfn.LET(
  _xlpm.idx, (ROW()-3)*16 + F$1,
  _xlpm.r, MOD(_xlpm.idx, SpriteCount),
  INDEX(
    sprite_data.asm!$C$3:$R$156,
    INT(_xlpm.idx / SpriteCount) * 7 + INT(_xlpm.r / 16) + 1,
    MOD(_xlpm.r, 16) + 1
  )
)</f>
        <v>00</v>
      </c>
      <c r="G7" t="str" cm="1">
        <f t="array" ref="G7">_xlfn.LET(
  _xlpm.idx, (ROW()-3)*16 + G$1,
  _xlpm.r, MOD(_xlpm.idx, SpriteCount),
  INDEX(
    sprite_data.asm!$C$3:$R$156,
    INT(_xlpm.idx / SpriteCount) * 7 + INT(_xlpm.r / 16) + 1,
    MOD(_xlpm.r, 16) + 1
  )
)</f>
        <v>00</v>
      </c>
      <c r="H7" t="str" cm="1">
        <f t="array" ref="H7">_xlfn.LET(
  _xlpm.idx, (ROW()-3)*16 + H$1,
  _xlpm.r, MOD(_xlpm.idx, SpriteCount),
  INDEX(
    sprite_data.asm!$C$3:$R$156,
    INT(_xlpm.idx / SpriteCount) * 7 + INT(_xlpm.r / 16) + 1,
    MOD(_xlpm.r, 16) + 1
  )
)</f>
        <v>00</v>
      </c>
      <c r="I7" t="str" cm="1">
        <f t="array" ref="I7">_xlfn.LET(
  _xlpm.idx, (ROW()-3)*16 + I$1,
  _xlpm.r, MOD(_xlpm.idx, SpriteCount),
  INDEX(
    sprite_data.asm!$C$3:$R$156,
    INT(_xlpm.idx / SpriteCount) * 7 + INT(_xlpm.r / 16) + 1,
    MOD(_xlpm.r, 16) + 1
  )
)</f>
        <v>00</v>
      </c>
      <c r="J7" t="str" cm="1">
        <f t="array" ref="J7">_xlfn.LET(
  _xlpm.idx, (ROW()-3)*16 + J$1,
  _xlpm.r, MOD(_xlpm.idx, SpriteCount),
  INDEX(
    sprite_data.asm!$C$3:$R$156,
    INT(_xlpm.idx / SpriteCount) * 7 + INT(_xlpm.r / 16) + 1,
    MOD(_xlpm.r, 16) + 1
  )
)</f>
        <v>00</v>
      </c>
      <c r="K7" t="str" cm="1">
        <f t="array" ref="K7">_xlfn.LET(
  _xlpm.idx, (ROW()-3)*16 + K$1,
  _xlpm.r, MOD(_xlpm.idx, SpriteCount),
  INDEX(
    sprite_data.asm!$C$3:$R$156,
    INT(_xlpm.idx / SpriteCount) * 7 + INT(_xlpm.r / 16) + 1,
    MOD(_xlpm.r, 16) + 1
  )
)</f>
        <v>00</v>
      </c>
      <c r="L7" t="str" cm="1">
        <f t="array" ref="L7">_xlfn.LET(
  _xlpm.idx, (ROW()-3)*16 + L$1,
  _xlpm.r, MOD(_xlpm.idx, SpriteCount),
  INDEX(
    sprite_data.asm!$C$3:$R$156,
    INT(_xlpm.idx / SpriteCount) * 7 + INT(_xlpm.r / 16) + 1,
    MOD(_xlpm.r, 16) + 1
  )
)</f>
        <v>00</v>
      </c>
      <c r="M7" t="str" cm="1">
        <f t="array" ref="M7">_xlfn.LET(
  _xlpm.idx, (ROW()-3)*16 + M$1,
  _xlpm.r, MOD(_xlpm.idx, SpriteCount),
  INDEX(
    sprite_data.asm!$C$3:$R$156,
    INT(_xlpm.idx / SpriteCount) * 7 + INT(_xlpm.r / 16) + 1,
    MOD(_xlpm.r, 16) + 1
  )
)</f>
        <v>00</v>
      </c>
      <c r="N7" t="str" cm="1">
        <f t="array" ref="N7">_xlfn.LET(
  _xlpm.idx, (ROW()-3)*16 + N$1,
  _xlpm.r, MOD(_xlpm.idx, SpriteCount),
  INDEX(
    sprite_data.asm!$C$3:$R$156,
    INT(_xlpm.idx / SpriteCount) * 7 + INT(_xlpm.r / 16) + 1,
    MOD(_xlpm.r, 16) + 1
  )
)</f>
        <v>00</v>
      </c>
      <c r="O7" t="str" cm="1">
        <f t="array" ref="O7">_xlfn.LET(
  _xlpm.idx, (ROW()-3)*16 + O$1,
  _xlpm.r, MOD(_xlpm.idx, SpriteCount),
  INDEX(
    sprite_data.asm!$C$3:$R$156,
    INT(_xlpm.idx / SpriteCount) * 7 + INT(_xlpm.r / 16) + 1,
    MOD(_xlpm.r, 16) + 1
  )
)</f>
        <v>00</v>
      </c>
      <c r="P7" t="str" cm="1">
        <f t="array" ref="P7">_xlfn.LET(
  _xlpm.idx, (ROW()-3)*16 + P$1,
  _xlpm.r, MOD(_xlpm.idx, SpriteCount),
  INDEX(
    sprite_data.asm!$C$3:$R$156,
    INT(_xlpm.idx / SpriteCount) * 7 + INT(_xlpm.r / 16) + 1,
    MOD(_xlpm.r, 16) + 1
  )
)</f>
        <v>00</v>
      </c>
      <c r="Q7" t="str" cm="1">
        <f t="array" ref="Q7">_xlfn.LET(
  _xlpm.idx, (ROW()-3)*16 + Q$1,
  _xlpm.r, MOD(_xlpm.idx, SpriteCount),
  INDEX(
    sprite_data.asm!$C$3:$R$156,
    INT(_xlpm.idx / SpriteCount) * 7 + INT(_xlpm.r / 16) + 1,
    MOD(_xlpm.r, 16) + 1
  )
)</f>
        <v>00</v>
      </c>
    </row>
    <row r="8" spans="1:19" x14ac:dyDescent="0.3">
      <c r="A8" s="2" t="str">
        <f t="shared" si="2"/>
        <v>AD50</v>
      </c>
      <c r="B8" t="str" cm="1">
        <f t="array" ref="B8">_xlfn.LET(
  _xlpm.idx, (ROW()-3)*16 + B$1,
  _xlpm.r, MOD(_xlpm.idx, SpriteCount),
  INDEX(
    sprite_data.asm!$C$3:$R$156,
    INT(_xlpm.idx / SpriteCount) * 7 + INT(_xlpm.r / 16) + 1,
    MOD(_xlpm.r, 16) + 1
  )
)</f>
        <v>00</v>
      </c>
      <c r="C8" t="str" cm="1">
        <f t="array" ref="C8">_xlfn.LET(
  _xlpm.idx, (ROW()-3)*16 + C$1,
  _xlpm.r, MOD(_xlpm.idx, SpriteCount),
  INDEX(
    sprite_data.asm!$C$3:$R$156,
    INT(_xlpm.idx / SpriteCount) * 7 + INT(_xlpm.r / 16) + 1,
    MOD(_xlpm.r, 16) + 1
  )
)</f>
        <v>00</v>
      </c>
      <c r="D8" t="str" cm="1">
        <f t="array" ref="D8">_xlfn.LET(
  _xlpm.idx, (ROW()-3)*16 + D$1,
  _xlpm.r, MOD(_xlpm.idx, SpriteCount),
  INDEX(
    sprite_data.asm!$C$3:$R$156,
    INT(_xlpm.idx / SpriteCount) * 7 + INT(_xlpm.r / 16) + 1,
    MOD(_xlpm.r, 16) + 1
  )
)</f>
        <v>00</v>
      </c>
      <c r="E8" t="str" cm="1">
        <f t="array" ref="E8">_xlfn.LET(
  _xlpm.idx, (ROW()-3)*16 + E$1,
  _xlpm.r, MOD(_xlpm.idx, SpriteCount),
  INDEX(
    sprite_data.asm!$C$3:$R$156,
    INT(_xlpm.idx / SpriteCount) * 7 + INT(_xlpm.r / 16) + 1,
    MOD(_xlpm.r, 16) + 1
  )
)</f>
        <v>00</v>
      </c>
      <c r="F8" t="str" cm="1">
        <f t="array" ref="F8">_xlfn.LET(
  _xlpm.idx, (ROW()-3)*16 + F$1,
  _xlpm.r, MOD(_xlpm.idx, SpriteCount),
  INDEX(
    sprite_data.asm!$C$3:$R$156,
    INT(_xlpm.idx / SpriteCount) * 7 + INT(_xlpm.r / 16) + 1,
    MOD(_xlpm.r, 16) + 1
  )
)</f>
        <v>00</v>
      </c>
      <c r="G8" t="str" cm="1">
        <f t="array" ref="G8">_xlfn.LET(
  _xlpm.idx, (ROW()-3)*16 + G$1,
  _xlpm.r, MOD(_xlpm.idx, SpriteCount),
  INDEX(
    sprite_data.asm!$C$3:$R$156,
    INT(_xlpm.idx / SpriteCount) * 7 + INT(_xlpm.r / 16) + 1,
    MOD(_xlpm.r, 16) + 1
  )
)</f>
        <v>00</v>
      </c>
      <c r="H8" t="str" cm="1">
        <f t="array" ref="H8">_xlfn.LET(
  _xlpm.idx, (ROW()-3)*16 + H$1,
  _xlpm.r, MOD(_xlpm.idx, SpriteCount),
  INDEX(
    sprite_data.asm!$C$3:$R$156,
    INT(_xlpm.idx / SpriteCount) * 7 + INT(_xlpm.r / 16) + 1,
    MOD(_xlpm.r, 16) + 1
  )
)</f>
        <v>00</v>
      </c>
      <c r="I8" t="str" cm="1">
        <f t="array" ref="I8">_xlfn.LET(
  _xlpm.idx, (ROW()-3)*16 + I$1,
  _xlpm.r, MOD(_xlpm.idx, SpriteCount),
  INDEX(
    sprite_data.asm!$C$3:$R$156,
    INT(_xlpm.idx / SpriteCount) * 7 + INT(_xlpm.r / 16) + 1,
    MOD(_xlpm.r, 16) + 1
  )
)</f>
        <v>00</v>
      </c>
      <c r="J8" t="str" cm="1">
        <f t="array" ref="J8">_xlfn.LET(
  _xlpm.idx, (ROW()-3)*16 + J$1,
  _xlpm.r, MOD(_xlpm.idx, SpriteCount),
  INDEX(
    sprite_data.asm!$C$3:$R$156,
    INT(_xlpm.idx / SpriteCount) * 7 + INT(_xlpm.r / 16) + 1,
    MOD(_xlpm.r, 16) + 1
  )
)</f>
        <v>00</v>
      </c>
      <c r="K8" t="str" cm="1">
        <f t="array" ref="K8">_xlfn.LET(
  _xlpm.idx, (ROW()-3)*16 + K$1,
  _xlpm.r, MOD(_xlpm.idx, SpriteCount),
  INDEX(
    sprite_data.asm!$C$3:$R$156,
    INT(_xlpm.idx / SpriteCount) * 7 + INT(_xlpm.r / 16) + 1,
    MOD(_xlpm.r, 16) + 1
  )
)</f>
        <v>00</v>
      </c>
      <c r="L8" t="str" cm="1">
        <f t="array" ref="L8">_xlfn.LET(
  _xlpm.idx, (ROW()-3)*16 + L$1,
  _xlpm.r, MOD(_xlpm.idx, SpriteCount),
  INDEX(
    sprite_data.asm!$C$3:$R$156,
    INT(_xlpm.idx / SpriteCount) * 7 + INT(_xlpm.r / 16) + 1,
    MOD(_xlpm.r, 16) + 1
  )
)</f>
        <v>00</v>
      </c>
      <c r="M8" t="str" cm="1">
        <f t="array" ref="M8">_xlfn.LET(
  _xlpm.idx, (ROW()-3)*16 + M$1,
  _xlpm.r, MOD(_xlpm.idx, SpriteCount),
  INDEX(
    sprite_data.asm!$C$3:$R$156,
    INT(_xlpm.idx / SpriteCount) * 7 + INT(_xlpm.r / 16) + 1,
    MOD(_xlpm.r, 16) + 1
  )
)</f>
        <v>00</v>
      </c>
      <c r="N8" t="str" cm="1">
        <f t="array" ref="N8">_xlfn.LET(
  _xlpm.idx, (ROW()-3)*16 + N$1,
  _xlpm.r, MOD(_xlpm.idx, SpriteCount),
  INDEX(
    sprite_data.asm!$C$3:$R$156,
    INT(_xlpm.idx / SpriteCount) * 7 + INT(_xlpm.r / 16) + 1,
    MOD(_xlpm.r, 16) + 1
  )
)</f>
        <v>00</v>
      </c>
      <c r="O8" t="str" cm="1">
        <f t="array" ref="O8">_xlfn.LET(
  _xlpm.idx, (ROW()-3)*16 + O$1,
  _xlpm.r, MOD(_xlpm.idx, SpriteCount),
  INDEX(
    sprite_data.asm!$C$3:$R$156,
    INT(_xlpm.idx / SpriteCount) * 7 + INT(_xlpm.r / 16) + 1,
    MOD(_xlpm.r, 16) + 1
  )
)</f>
        <v>00</v>
      </c>
      <c r="P8" t="str" cm="1">
        <f t="array" ref="P8">_xlfn.LET(
  _xlpm.idx, (ROW()-3)*16 + P$1,
  _xlpm.r, MOD(_xlpm.idx, SpriteCount),
  INDEX(
    sprite_data.asm!$C$3:$R$156,
    INT(_xlpm.idx / SpriteCount) * 7 + INT(_xlpm.r / 16) + 1,
    MOD(_xlpm.r, 16) + 1
  )
)</f>
        <v>00</v>
      </c>
      <c r="Q8" t="str" cm="1">
        <f t="array" ref="Q8">_xlfn.LET(
  _xlpm.idx, (ROW()-3)*16 + Q$1,
  _xlpm.r, MOD(_xlpm.idx, SpriteCount),
  INDEX(
    sprite_data.asm!$C$3:$R$156,
    INT(_xlpm.idx / SpriteCount) * 7 + INT(_xlpm.r / 16) + 1,
    MOD(_xlpm.r, 16) + 1
  )
)</f>
        <v>00</v>
      </c>
    </row>
    <row r="9" spans="1:19" x14ac:dyDescent="0.3">
      <c r="A9" s="2" t="str">
        <f t="shared" si="2"/>
        <v>AD60</v>
      </c>
      <c r="B9" t="str" cm="1">
        <f t="array" ref="B9">_xlfn.LET(
  _xlpm.idx, (ROW()-3)*16 + B$1,
  _xlpm.r, MOD(_xlpm.idx, SpriteCount),
  INDEX(
    sprite_data.asm!$C$3:$R$156,
    INT(_xlpm.idx / SpriteCount) * 7 + INT(_xlpm.r / 16) + 1,
    MOD(_xlpm.r, 16) + 1
  )
)</f>
        <v>00</v>
      </c>
      <c r="C9" t="str" cm="1">
        <f t="array" ref="C9">_xlfn.LET(
  _xlpm.idx, (ROW()-3)*16 + C$1,
  _xlpm.r, MOD(_xlpm.idx, SpriteCount),
  INDEX(
    sprite_data.asm!$C$3:$R$156,
    INT(_xlpm.idx / SpriteCount) * 7 + INT(_xlpm.r / 16) + 1,
    MOD(_xlpm.r, 16) + 1
  )
)</f>
        <v>00</v>
      </c>
      <c r="D9" t="str" cm="1">
        <f t="array" ref="D9">_xlfn.LET(
  _xlpm.idx, (ROW()-3)*16 + D$1,
  _xlpm.r, MOD(_xlpm.idx, SpriteCount),
  INDEX(
    sprite_data.asm!$C$3:$R$156,
    INT(_xlpm.idx / SpriteCount) * 7 + INT(_xlpm.r / 16) + 1,
    MOD(_xlpm.r, 16) + 1
  )
)</f>
        <v>00</v>
      </c>
      <c r="E9" t="str" cm="1">
        <f t="array" ref="E9">_xlfn.LET(
  _xlpm.idx, (ROW()-3)*16 + E$1,
  _xlpm.r, MOD(_xlpm.idx, SpriteCount),
  INDEX(
    sprite_data.asm!$C$3:$R$156,
    INT(_xlpm.idx / SpriteCount) * 7 + INT(_xlpm.r / 16) + 1,
    MOD(_xlpm.r, 16) + 1
  )
)</f>
        <v>00</v>
      </c>
      <c r="F9" t="str" cm="1">
        <f t="array" ref="F9">_xlfn.LET(
  _xlpm.idx, (ROW()-3)*16 + F$1,
  _xlpm.r, MOD(_xlpm.idx, SpriteCount),
  INDEX(
    sprite_data.asm!$C$3:$R$156,
    INT(_xlpm.idx / SpriteCount) * 7 + INT(_xlpm.r / 16) + 1,
    MOD(_xlpm.r, 16) + 1
  )
)</f>
        <v>00</v>
      </c>
      <c r="G9" t="str" cm="1">
        <f t="array" ref="G9">_xlfn.LET(
  _xlpm.idx, (ROW()-3)*16 + G$1,
  _xlpm.r, MOD(_xlpm.idx, SpriteCount),
  INDEX(
    sprite_data.asm!$C$3:$R$156,
    INT(_xlpm.idx / SpriteCount) * 7 + INT(_xlpm.r / 16) + 1,
    MOD(_xlpm.r, 16) + 1
  )
)</f>
        <v>00</v>
      </c>
      <c r="H9" t="str" cm="1">
        <f t="array" ref="H9">_xlfn.LET(
  _xlpm.idx, (ROW()-3)*16 + H$1,
  _xlpm.r, MOD(_xlpm.idx, SpriteCount),
  INDEX(
    sprite_data.asm!$C$3:$R$156,
    INT(_xlpm.idx / SpriteCount) * 7 + INT(_xlpm.r / 16) + 1,
    MOD(_xlpm.r, 16) + 1
  )
)</f>
        <v>02</v>
      </c>
      <c r="I9" t="str" cm="1">
        <f t="array" ref="I9">_xlfn.LET(
  _xlpm.idx, (ROW()-3)*16 + I$1,
  _xlpm.r, MOD(_xlpm.idx, SpriteCount),
  INDEX(
    sprite_data.asm!$C$3:$R$156,
    INT(_xlpm.idx / SpriteCount) * 7 + INT(_xlpm.r / 16) + 1,
    MOD(_xlpm.r, 16) + 1
  )
)</f>
        <v>03</v>
      </c>
      <c r="J9" t="str" cm="1">
        <f t="array" ref="J9">_xlfn.LET(
  _xlpm.idx, (ROW()-3)*16 + J$1,
  _xlpm.r, MOD(_xlpm.idx, SpriteCount),
  INDEX(
    sprite_data.asm!$C$3:$R$156,
    INT(_xlpm.idx / SpriteCount) * 7 + INT(_xlpm.r / 16) + 1,
    MOD(_xlpm.r, 16) + 1
  )
)</f>
        <v>00</v>
      </c>
      <c r="K9" t="str" cm="1">
        <f t="array" ref="K9">_xlfn.LET(
  _xlpm.idx, (ROW()-3)*16 + K$1,
  _xlpm.r, MOD(_xlpm.idx, SpriteCount),
  INDEX(
    sprite_data.asm!$C$3:$R$156,
    INT(_xlpm.idx / SpriteCount) * 7 + INT(_xlpm.r / 16) + 1,
    MOD(_xlpm.r, 16) + 1
  )
)</f>
        <v>02</v>
      </c>
      <c r="L9" t="str" cm="1">
        <f t="array" ref="L9">_xlfn.LET(
  _xlpm.idx, (ROW()-3)*16 + L$1,
  _xlpm.r, MOD(_xlpm.idx, SpriteCount),
  INDEX(
    sprite_data.asm!$C$3:$R$156,
    INT(_xlpm.idx / SpriteCount) * 7 + INT(_xlpm.r / 16) + 1,
    MOD(_xlpm.r, 16) + 1
  )
)</f>
        <v>02</v>
      </c>
      <c r="M9" t="str" cm="1">
        <f t="array" ref="M9">_xlfn.LET(
  _xlpm.idx, (ROW()-3)*16 + M$1,
  _xlpm.r, MOD(_xlpm.idx, SpriteCount),
  INDEX(
    sprite_data.asm!$C$3:$R$156,
    INT(_xlpm.idx / SpriteCount) * 7 + INT(_xlpm.r / 16) + 1,
    MOD(_xlpm.r, 16) + 1
  )
)</f>
        <v>03</v>
      </c>
      <c r="N9" t="str" cm="1">
        <f t="array" ref="N9">_xlfn.LET(
  _xlpm.idx, (ROW()-3)*16 + N$1,
  _xlpm.r, MOD(_xlpm.idx, SpriteCount),
  INDEX(
    sprite_data.asm!$C$3:$R$156,
    INT(_xlpm.idx / SpriteCount) * 7 + INT(_xlpm.r / 16) + 1,
    MOD(_xlpm.r, 16) + 1
  )
)</f>
        <v>00</v>
      </c>
      <c r="O9" t="str" cm="1">
        <f t="array" ref="O9">_xlfn.LET(
  _xlpm.idx, (ROW()-3)*16 + O$1,
  _xlpm.r, MOD(_xlpm.idx, SpriteCount),
  INDEX(
    sprite_data.asm!$C$3:$R$156,
    INT(_xlpm.idx / SpriteCount) * 7 + INT(_xlpm.r / 16) + 1,
    MOD(_xlpm.r, 16) + 1
  )
)</f>
        <v>02</v>
      </c>
      <c r="P9" t="str" cm="1">
        <f t="array" ref="P9">_xlfn.LET(
  _xlpm.idx, (ROW()-3)*16 + P$1,
  _xlpm.r, MOD(_xlpm.idx, SpriteCount),
  INDEX(
    sprite_data.asm!$C$3:$R$156,
    INT(_xlpm.idx / SpriteCount) * 7 + INT(_xlpm.r / 16) + 1,
    MOD(_xlpm.r, 16) + 1
  )
)</f>
        <v>00</v>
      </c>
      <c r="Q9" t="str" cm="1">
        <f t="array" ref="Q9">_xlfn.LET(
  _xlpm.idx, (ROW()-3)*16 + Q$1,
  _xlpm.r, MOD(_xlpm.idx, SpriteCount),
  INDEX(
    sprite_data.asm!$C$3:$R$156,
    INT(_xlpm.idx / SpriteCount) * 7 + INT(_xlpm.r / 16) + 1,
    MOD(_xlpm.r, 16) + 1
  )
)</f>
        <v>00</v>
      </c>
    </row>
    <row r="10" spans="1:19" x14ac:dyDescent="0.3">
      <c r="A10" s="2" t="str">
        <f t="shared" si="2"/>
        <v>AD70</v>
      </c>
      <c r="B10" t="str" cm="1">
        <f t="array" ref="B10">_xlfn.LET(
  _xlpm.idx, (ROW()-3)*16 + B$1,
  _xlpm.r, MOD(_xlpm.idx, SpriteCount),
  INDEX(
    sprite_data.asm!$C$3:$R$156,
    INT(_xlpm.idx / SpriteCount) * 7 + INT(_xlpm.r / 16) + 1,
    MOD(_xlpm.r, 16) + 1
  )
)</f>
        <v>00</v>
      </c>
      <c r="C10" t="str" cm="1">
        <f t="array" ref="C10">_xlfn.LET(
  _xlpm.idx, (ROW()-3)*16 + C$1,
  _xlpm.r, MOD(_xlpm.idx, SpriteCount),
  INDEX(
    sprite_data.asm!$C$3:$R$156,
    INT(_xlpm.idx / SpriteCount) * 7 + INT(_xlpm.r / 16) + 1,
    MOD(_xlpm.r, 16) + 1
  )
)</f>
        <v>00</v>
      </c>
      <c r="D10" t="str" cm="1">
        <f t="array" ref="D10">_xlfn.LET(
  _xlpm.idx, (ROW()-3)*16 + D$1,
  _xlpm.r, MOD(_xlpm.idx, SpriteCount),
  INDEX(
    sprite_data.asm!$C$3:$R$156,
    INT(_xlpm.idx / SpriteCount) * 7 + INT(_xlpm.r / 16) + 1,
    MOD(_xlpm.r, 16) + 1
  )
)</f>
        <v>07</v>
      </c>
      <c r="E10" t="str" cm="1">
        <f t="array" ref="E10">_xlfn.LET(
  _xlpm.idx, (ROW()-3)*16 + E$1,
  _xlpm.r, MOD(_xlpm.idx, SpriteCount),
  INDEX(
    sprite_data.asm!$C$3:$R$156,
    INT(_xlpm.idx / SpriteCount) * 7 + INT(_xlpm.r / 16) + 1,
    MOD(_xlpm.r, 16) + 1
  )
)</f>
        <v>00</v>
      </c>
      <c r="F10" t="str" cm="1">
        <f t="array" ref="F10">_xlfn.LET(
  _xlpm.idx, (ROW()-3)*16 + F$1,
  _xlpm.r, MOD(_xlpm.idx, SpriteCount),
  INDEX(
    sprite_data.asm!$C$3:$R$156,
    INT(_xlpm.idx / SpriteCount) * 7 + INT(_xlpm.r / 16) + 1,
    MOD(_xlpm.r, 16) + 1
  )
)</f>
        <v>00</v>
      </c>
      <c r="G10" t="str" cm="1">
        <f t="array" ref="G10">_xlfn.LET(
  _xlpm.idx, (ROW()-3)*16 + G$1,
  _xlpm.r, MOD(_xlpm.idx, SpriteCount),
  INDEX(
    sprite_data.asm!$C$3:$R$156,
    INT(_xlpm.idx / SpriteCount) * 7 + INT(_xlpm.r / 16) + 1,
    MOD(_xlpm.r, 16) + 1
  )
)</f>
        <v>00</v>
      </c>
      <c r="H10" t="str" cm="1">
        <f t="array" ref="H10">_xlfn.LET(
  _xlpm.idx, (ROW()-3)*16 + H$1,
  _xlpm.r, MOD(_xlpm.idx, SpriteCount),
  INDEX(
    sprite_data.asm!$C$3:$R$156,
    INT(_xlpm.idx / SpriteCount) * 7 + INT(_xlpm.r / 16) + 1,
    MOD(_xlpm.r, 16) + 1
  )
)</f>
        <v>00</v>
      </c>
      <c r="I10" t="str" cm="1">
        <f t="array" ref="I10">_xlfn.LET(
  _xlpm.idx, (ROW()-3)*16 + I$1,
  _xlpm.r, MOD(_xlpm.idx, SpriteCount),
  INDEX(
    sprite_data.asm!$C$3:$R$156,
    INT(_xlpm.idx / SpriteCount) * 7 + INT(_xlpm.r / 16) + 1,
    MOD(_xlpm.r, 16) + 1
  )
)</f>
        <v>00</v>
      </c>
      <c r="J10" t="str" cm="1">
        <f t="array" ref="J10">_xlfn.LET(
  _xlpm.idx, (ROW()-3)*16 + J$1,
  _xlpm.r, MOD(_xlpm.idx, SpriteCount),
  INDEX(
    sprite_data.asm!$C$3:$R$156,
    INT(_xlpm.idx / SpriteCount) * 7 + INT(_xlpm.r / 16) + 1,
    MOD(_xlpm.r, 16) + 1
  )
)</f>
        <v>00</v>
      </c>
      <c r="K10" t="str" cm="1">
        <f t="array" ref="K10">_xlfn.LET(
  _xlpm.idx, (ROW()-3)*16 + K$1,
  _xlpm.r, MOD(_xlpm.idx, SpriteCount),
  INDEX(
    sprite_data.asm!$C$3:$R$156,
    INT(_xlpm.idx / SpriteCount) * 7 + INT(_xlpm.r / 16) + 1,
    MOD(_xlpm.r, 16) + 1
  )
)</f>
        <v>00</v>
      </c>
      <c r="L10" t="str" cm="1">
        <f t="array" ref="L10">_xlfn.LET(
  _xlpm.idx, (ROW()-3)*16 + L$1,
  _xlpm.r, MOD(_xlpm.idx, SpriteCount),
  INDEX(
    sprite_data.asm!$C$3:$R$156,
    INT(_xlpm.idx / SpriteCount) * 7 + INT(_xlpm.r / 16) + 1,
    MOD(_xlpm.r, 16) + 1
  )
)</f>
        <v>00</v>
      </c>
      <c r="M10" t="str" cm="1">
        <f t="array" ref="M10">_xlfn.LET(
  _xlpm.idx, (ROW()-3)*16 + M$1,
  _xlpm.r, MOD(_xlpm.idx, SpriteCount),
  INDEX(
    sprite_data.asm!$C$3:$R$156,
    INT(_xlpm.idx / SpriteCount) * 7 + INT(_xlpm.r / 16) + 1,
    MOD(_xlpm.r, 16) + 1
  )
)</f>
        <v>06</v>
      </c>
      <c r="N10" t="str" cm="1">
        <f t="array" ref="N10">_xlfn.LET(
  _xlpm.idx, (ROW()-3)*16 + N$1,
  _xlpm.r, MOD(_xlpm.idx, SpriteCount),
  INDEX(
    sprite_data.asm!$C$3:$R$156,
    INT(_xlpm.idx / SpriteCount) * 7 + INT(_xlpm.r / 16) + 1,
    MOD(_xlpm.r, 16) + 1
  )
)</f>
        <v>03</v>
      </c>
      <c r="O10" t="str" cm="1">
        <f t="array" ref="O10">_xlfn.LET(
  _xlpm.idx, (ROW()-3)*16 + O$1,
  _xlpm.r, MOD(_xlpm.idx, SpriteCount),
  INDEX(
    sprite_data.asm!$C$3:$R$156,
    INT(_xlpm.idx / SpriteCount) * 7 + INT(_xlpm.r / 16) + 1,
    MOD(_xlpm.r, 16) + 1
  )
)</f>
        <v>03</v>
      </c>
      <c r="P10" t="str" cm="1">
        <f t="array" ref="P10">_xlfn.LET(
  _xlpm.idx, (ROW()-3)*16 + P$1,
  _xlpm.r, MOD(_xlpm.idx, SpriteCount),
  INDEX(
    sprite_data.asm!$C$3:$R$156,
    INT(_xlpm.idx / SpriteCount) * 7 + INT(_xlpm.r / 16) + 1,
    MOD(_xlpm.r, 16) + 1
  )
)</f>
        <v>00</v>
      </c>
      <c r="Q10" t="str" cm="1">
        <f t="array" ref="Q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" spans="1:19" x14ac:dyDescent="0.3">
      <c r="A11" s="2" t="str">
        <f t="shared" si="2"/>
        <v>AD80</v>
      </c>
      <c r="B11" t="str" cm="1">
        <f t="array" ref="B11">_xlfn.LET(
  _xlpm.idx, (ROW()-3)*16 + B$1,
  _xlpm.r, MOD(_xlpm.idx, SpriteCount),
  INDEX(
    sprite_data.asm!$C$3:$R$156,
    INT(_xlpm.idx / SpriteCount) * 7 + INT(_xlpm.r / 16) + 1,
    MOD(_xlpm.r, 16) + 1
  )
)</f>
        <v>03</v>
      </c>
      <c r="C11" t="str" cm="1">
        <f t="array" ref="C11">_xlfn.LET(
  _xlpm.idx, (ROW()-3)*16 + C$1,
  _xlpm.r, MOD(_xlpm.idx, SpriteCount),
  INDEX(
    sprite_data.asm!$C$3:$R$156,
    INT(_xlpm.idx / SpriteCount) * 7 + INT(_xlpm.r / 16) + 1,
    MOD(_xlpm.r, 16) + 1
  )
)</f>
        <v>00</v>
      </c>
      <c r="D11" t="str" cm="1">
        <f t="array" ref="D11">_xlfn.LET(
  _xlpm.idx, (ROW()-3)*16 + D$1,
  _xlpm.r, MOD(_xlpm.idx, SpriteCount),
  INDEX(
    sprite_data.asm!$C$3:$R$156,
    INT(_xlpm.idx / SpriteCount) * 7 + INT(_xlpm.r / 16) + 1,
    MOD(_xlpm.r, 16) + 1
  )
)</f>
        <v>00</v>
      </c>
      <c r="E11" t="str" cm="1">
        <f t="array" ref="E11">_xlfn.LET(
  _xlpm.idx, (ROW()-3)*16 + E$1,
  _xlpm.r, MOD(_xlpm.idx, SpriteCount),
  INDEX(
    sprite_data.asm!$C$3:$R$156,
    INT(_xlpm.idx / SpriteCount) * 7 + INT(_xlpm.r / 16) + 1,
    MOD(_xlpm.r, 16) + 1
  )
)</f>
        <v>00</v>
      </c>
      <c r="F11" t="str" cm="1">
        <f t="array" ref="F11">_xlfn.LET(
  _xlpm.idx, (ROW()-3)*16 + F$1,
  _xlpm.r, MOD(_xlpm.idx, SpriteCount),
  INDEX(
    sprite_data.asm!$C$3:$R$156,
    INT(_xlpm.idx / SpriteCount) * 7 + INT(_xlpm.r / 16) + 1,
    MOD(_xlpm.r, 16) + 1
  )
)</f>
        <v>00</v>
      </c>
      <c r="G11" t="str" cm="1">
        <f t="array" ref="G11">_xlfn.LET(
  _xlpm.idx, (ROW()-3)*16 + G$1,
  _xlpm.r, MOD(_xlpm.idx, SpriteCount),
  INDEX(
    sprite_data.asm!$C$3:$R$156,
    INT(_xlpm.idx / SpriteCount) * 7 + INT(_xlpm.r / 16) + 1,
    MOD(_xlpm.r, 16) + 1
  )
)</f>
        <v>00</v>
      </c>
      <c r="H11" t="str" cm="1">
        <f t="array" ref="H11">_xlfn.LET(
  _xlpm.idx, (ROW()-3)*16 + H$1,
  _xlpm.r, MOD(_xlpm.idx, SpriteCount),
  INDEX(
    sprite_data.asm!$C$3:$R$156,
    INT(_xlpm.idx / SpriteCount) * 7 + INT(_xlpm.r / 16) + 1,
    MOD(_xlpm.r, 16) + 1
  )
)</f>
        <v>00</v>
      </c>
      <c r="I11" t="str" cm="1">
        <f t="array" ref="I11">_xlfn.LET(
  _xlpm.idx, (ROW()-3)*16 + I$1,
  _xlpm.r, MOD(_xlpm.idx, SpriteCount),
  INDEX(
    sprite_data.asm!$C$3:$R$156,
    INT(_xlpm.idx / SpriteCount) * 7 + INT(_xlpm.r / 16) + 1,
    MOD(_xlpm.r, 16) + 1
  )
)</f>
        <v>02</v>
      </c>
      <c r="J11" t="str" cm="1">
        <f t="array" ref="J11">_xlfn.LET(
  _xlpm.idx, (ROW()-3)*16 + J$1,
  _xlpm.r, MOD(_xlpm.idx, SpriteCount),
  INDEX(
    sprite_data.asm!$C$3:$R$156,
    INT(_xlpm.idx / SpriteCount) * 7 + INT(_xlpm.r / 16) + 1,
    MOD(_xlpm.r, 16) + 1
  )
)</f>
        <v>00</v>
      </c>
      <c r="K11" t="str" cm="1">
        <f t="array" ref="K11">_xlfn.LET(
  _xlpm.idx, (ROW()-3)*16 + K$1,
  _xlpm.r, MOD(_xlpm.idx, SpriteCount),
  INDEX(
    sprite_data.asm!$C$3:$R$156,
    INT(_xlpm.idx / SpriteCount) * 7 + INT(_xlpm.r / 16) + 1,
    MOD(_xlpm.r, 16) + 1
  )
)</f>
        <v>00</v>
      </c>
      <c r="L11" t="str" cm="1">
        <f t="array" ref="L11">_xlfn.LET(
  _xlpm.idx, (ROW()-3)*16 + L$1,
  _xlpm.r, MOD(_xlpm.idx, SpriteCount),
  INDEX(
    sprite_data.asm!$C$3:$R$156,
    INT(_xlpm.idx / SpriteCount) * 7 + INT(_xlpm.r / 16) + 1,
    MOD(_xlpm.r, 16) + 1
  )
)</f>
        <v>00</v>
      </c>
      <c r="M11" t="str" cm="1">
        <f t="array" ref="M11">_xlfn.LET(
  _xlpm.idx, (ROW()-3)*16 + M$1,
  _xlpm.r, MOD(_xlpm.idx, SpriteCount),
  INDEX(
    sprite_data.asm!$C$3:$R$156,
    INT(_xlpm.idx / SpriteCount) * 7 + INT(_xlpm.r / 16) + 1,
    MOD(_xlpm.r, 16) + 1
  )
)</f>
        <v>00</v>
      </c>
      <c r="N11" t="str" cm="1">
        <f t="array" ref="N11">_xlfn.LET(
  _xlpm.idx, (ROW()-3)*16 + N$1,
  _xlpm.r, MOD(_xlpm.idx, SpriteCount),
  INDEX(
    sprite_data.asm!$C$3:$R$156,
    INT(_xlpm.idx / SpriteCount) * 7 + INT(_xlpm.r / 16) + 1,
    MOD(_xlpm.r, 16) + 1
  )
)</f>
        <v>00</v>
      </c>
      <c r="O11" t="str" cm="1">
        <f t="array" ref="O11">_xlfn.LET(
  _xlpm.idx, (ROW()-3)*16 + O$1,
  _xlpm.r, MOD(_xlpm.idx, SpriteCount),
  INDEX(
    sprite_data.asm!$C$3:$R$156,
    INT(_xlpm.idx / SpriteCount) * 7 + INT(_xlpm.r / 16) + 1,
    MOD(_xlpm.r, 16) + 1
  )
)</f>
        <v>00</v>
      </c>
      <c r="P11" t="str" cm="1">
        <f t="array" ref="P11">_xlfn.LET(
  _xlpm.idx, (ROW()-3)*16 + P$1,
  _xlpm.r, MOD(_xlpm.idx, SpriteCount),
  INDEX(
    sprite_data.asm!$C$3:$R$156,
    INT(_xlpm.idx / SpriteCount) * 7 + INT(_xlpm.r / 16) + 1,
    MOD(_xlpm.r, 16) + 1
  )
)</f>
        <v>00</v>
      </c>
      <c r="Q11" t="str" cm="1">
        <f t="array" ref="Q11">_xlfn.LET(
  _xlpm.idx, (ROW()-3)*16 + Q$1,
  _xlpm.r, MOD(_xlpm.idx, SpriteCount),
  INDEX(
    sprite_data.asm!$C$3:$R$156,
    INT(_xlpm.idx / SpriteCount) * 7 + INT(_xlpm.r / 16) + 1,
    MOD(_xlpm.r, 16) + 1
  )
)</f>
        <v>00</v>
      </c>
    </row>
    <row r="12" spans="1:19" x14ac:dyDescent="0.3">
      <c r="A12" s="2" t="str">
        <f t="shared" ref="A12:A30" si="3">DEC2HEX(HEX2DEC(A11)+16)</f>
        <v>AD90</v>
      </c>
      <c r="B12" t="str" cm="1">
        <f t="array" ref="B12">_xlfn.LET(
  _xlpm.idx, (ROW()-3)*16 + B$1,
  _xlpm.r, MOD(_xlpm.idx, SpriteCount),
  INDEX(
    sprite_data.asm!$C$3:$R$156,
    INT(_xlpm.idx / SpriteCount) * 7 + INT(_xlpm.r / 16) + 1,
    MOD(_xlpm.r, 16) + 1
  )
)</f>
        <v>00</v>
      </c>
      <c r="C12" t="str" cm="1">
        <f t="array" ref="C12">_xlfn.LET(
  _xlpm.idx, (ROW()-3)*16 + C$1,
  _xlpm.r, MOD(_xlpm.idx, SpriteCount),
  INDEX(
    sprite_data.asm!$C$3:$R$156,
    INT(_xlpm.idx / SpriteCount) * 7 + INT(_xlpm.r / 16) + 1,
    MOD(_xlpm.r, 16) + 1
  )
)</f>
        <v>00</v>
      </c>
      <c r="D12" t="str" cm="1">
        <f t="array" ref="D12">_xlfn.LET(
  _xlpm.idx, (ROW()-3)*16 + D$1,
  _xlpm.r, MOD(_xlpm.idx, SpriteCount),
  INDEX(
    sprite_data.asm!$C$3:$R$156,
    INT(_xlpm.idx / SpriteCount) * 7 + INT(_xlpm.r / 16) + 1,
    MOD(_xlpm.r, 16) + 1
  )
)</f>
        <v>00</v>
      </c>
      <c r="E12" t="str" cm="1">
        <f t="array" ref="E12">_xlfn.LET(
  _xlpm.idx, (ROW()-3)*16 + E$1,
  _xlpm.r, MOD(_xlpm.idx, SpriteCount),
  INDEX(
    sprite_data.asm!$C$3:$R$156,
    INT(_xlpm.idx / SpriteCount) * 7 + INT(_xlpm.r / 16) + 1,
    MOD(_xlpm.r, 16) + 1
  )
)</f>
        <v>00</v>
      </c>
      <c r="F12" t="str" cm="1">
        <f t="array" ref="F12">_xlfn.LET(
  _xlpm.idx, (ROW()-3)*16 + F$1,
  _xlpm.r, MOD(_xlpm.idx, SpriteCount),
  INDEX(
    sprite_data.asm!$C$3:$R$156,
    INT(_xlpm.idx / SpriteCount) * 7 + INT(_xlpm.r / 16) + 1,
    MOD(_xlpm.r, 16) + 1
  )
)</f>
        <v>00</v>
      </c>
      <c r="G12" t="str" cm="1">
        <f t="array" ref="G12">_xlfn.LET(
  _xlpm.idx, (ROW()-3)*16 + G$1,
  _xlpm.r, MOD(_xlpm.idx, SpriteCount),
  INDEX(
    sprite_data.asm!$C$3:$R$156,
    INT(_xlpm.idx / SpriteCount) * 7 + INT(_xlpm.r / 16) + 1,
    MOD(_xlpm.r, 16) + 1
  )
)</f>
        <v>01</v>
      </c>
      <c r="H12" t="str" cm="1">
        <f t="array" ref="H12">_xlfn.LET(
  _xlpm.idx, (ROW()-3)*16 + H$1,
  _xlpm.r, MOD(_xlpm.idx, SpriteCount),
  INDEX(
    sprite_data.asm!$C$3:$R$156,
    INT(_xlpm.idx / SpriteCount) * 7 + INT(_xlpm.r / 16) + 1,
    MOD(_xlpm.r, 16) + 1
  )
)</f>
        <v>00</v>
      </c>
      <c r="I12" t="str" cm="1">
        <f t="array" ref="I12">_xlfn.LET(
  _xlpm.idx, (ROW()-3)*16 + I$1,
  _xlpm.r, MOD(_xlpm.idx, SpriteCount),
  INDEX(
    sprite_data.asm!$C$3:$R$156,
    INT(_xlpm.idx / SpriteCount) * 7 + INT(_xlpm.r / 16) + 1,
    MOD(_xlpm.r, 16) + 1
  )
)</f>
        <v>00</v>
      </c>
      <c r="J12" t="str" cm="1">
        <f t="array" ref="J12">_xlfn.LET(
  _xlpm.idx, (ROW()-3)*16 + J$1,
  _xlpm.r, MOD(_xlpm.idx, SpriteCount),
  INDEX(
    sprite_data.asm!$C$3:$R$156,
    INT(_xlpm.idx / SpriteCount) * 7 + INT(_xlpm.r / 16) + 1,
    MOD(_xlpm.r, 16) + 1
  )
)</f>
        <v>01</v>
      </c>
      <c r="K12" t="str" cm="1">
        <f t="array" ref="K12">_xlfn.LET(
  _xlpm.idx, (ROW()-3)*16 + K$1,
  _xlpm.r, MOD(_xlpm.idx, SpriteCount),
  INDEX(
    sprite_data.asm!$C$3:$R$156,
    INT(_xlpm.idx / SpriteCount) * 7 + INT(_xlpm.r / 16) + 1,
    MOD(_xlpm.r, 16) + 1
  )
)</f>
        <v>00</v>
      </c>
      <c r="L12" t="str" cm="1">
        <f t="array" ref="L12">_xlfn.LET(
  _xlpm.idx, (ROW()-3)*16 + L$1,
  _xlpm.r, MOD(_xlpm.idx, SpriteCount),
  INDEX(
    sprite_data.asm!$C$3:$R$156,
    INT(_xlpm.idx / SpriteCount) * 7 + INT(_xlpm.r / 16) + 1,
    MOD(_xlpm.r, 16) + 1
  )
)</f>
        <v>00</v>
      </c>
      <c r="M12" t="str" cm="1">
        <f t="array" ref="M12">_xlfn.LET(
  _xlpm.idx, (ROW()-3)*16 + M$1,
  _xlpm.r, MOD(_xlpm.idx, SpriteCount),
  INDEX(
    sprite_data.asm!$C$3:$R$156,
    INT(_xlpm.idx / SpriteCount) * 7 + INT(_xlpm.r / 16) + 1,
    MOD(_xlpm.r, 16) + 1
  )
)</f>
        <v>00</v>
      </c>
      <c r="N12" t="str" cm="1">
        <f t="array" ref="N12">_xlfn.LET(
  _xlpm.idx, (ROW()-3)*16 + N$1,
  _xlpm.r, MOD(_xlpm.idx, SpriteCount),
  INDEX(
    sprite_data.asm!$C$3:$R$156,
    INT(_xlpm.idx / SpriteCount) * 7 + INT(_xlpm.r / 16) + 1,
    MOD(_xlpm.r, 16) + 1
  )
)</f>
        <v>00</v>
      </c>
      <c r="O12" t="str" cm="1">
        <f t="array" ref="O12">_xlfn.LET(
  _xlpm.idx, (ROW()-3)*16 + O$1,
  _xlpm.r, MOD(_xlpm.idx, SpriteCount),
  INDEX(
    sprite_data.asm!$C$3:$R$156,
    INT(_xlpm.idx / SpriteCount) * 7 + INT(_xlpm.r / 16) + 1,
    MOD(_xlpm.r, 16) + 1
  )
)</f>
        <v>04</v>
      </c>
      <c r="P12" t="str" cm="1">
        <f t="array" ref="P12">_xlfn.LET(
  _xlpm.idx, (ROW()-3)*16 + P$1,
  _xlpm.r, MOD(_xlpm.idx, SpriteCount),
  INDEX(
    sprite_data.asm!$C$3:$R$156,
    INT(_xlpm.idx / SpriteCount) * 7 + INT(_xlpm.r / 16) + 1,
    MOD(_xlpm.r, 16) + 1
  )
)</f>
        <v>04</v>
      </c>
      <c r="Q12" t="str" cm="1">
        <f t="array" ref="Q12">_xlfn.LET(
  _xlpm.idx, (ROW()-3)*16 + Q$1,
  _xlpm.r, MOD(_xlpm.idx, SpriteCount),
  INDEX(
    sprite_data.asm!$C$3:$R$156,
    INT(_xlpm.idx / SpriteCount) * 7 + INT(_xlpm.r / 16) + 1,
    MOD(_xlpm.r, 16) + 1
  )
)</f>
        <v>00</v>
      </c>
    </row>
    <row r="13" spans="1:19" x14ac:dyDescent="0.3">
      <c r="A13" s="2" t="str">
        <f t="shared" si="3"/>
        <v>ADA0</v>
      </c>
      <c r="B13" t="str" cm="1">
        <f t="array" ref="B13">_xlfn.LET(
  _xlpm.idx, (ROW()-3)*16 + B$1,
  _xlpm.r, MOD(_xlpm.idx, SpriteCount),
  INDEX(
    sprite_data.asm!$C$3:$R$156,
    INT(_xlpm.idx / SpriteCount) * 7 + INT(_xlpm.r / 16) + 1,
    MOD(_xlpm.r, 16) + 1
  )
)</f>
        <v>00</v>
      </c>
      <c r="C13" t="str" cm="1">
        <f t="array" ref="C13">_xlfn.LET(
  _xlpm.idx, (ROW()-3)*16 + C$1,
  _xlpm.r, MOD(_xlpm.idx, SpriteCount),
  INDEX(
    sprite_data.asm!$C$3:$R$156,
    INT(_xlpm.idx / SpriteCount) * 7 + INT(_xlpm.r / 16) + 1,
    MOD(_xlpm.r, 16) + 1
  )
)</f>
        <v>00</v>
      </c>
      <c r="D13" t="str" cm="1">
        <f t="array" ref="D13">_xlfn.LET(
  _xlpm.idx, (ROW()-3)*16 + D$1,
  _xlpm.r, MOD(_xlpm.idx, SpriteCount),
  INDEX(
    sprite_data.asm!$C$3:$R$156,
    INT(_xlpm.idx / SpriteCount) * 7 + INT(_xlpm.r / 16) + 1,
    MOD(_xlpm.r, 16) + 1
  )
)</f>
        <v>00</v>
      </c>
      <c r="E13" t="str" cm="1">
        <f t="array" ref="E13">_xlfn.LET(
  _xlpm.idx, (ROW()-3)*16 + E$1,
  _xlpm.r, MOD(_xlpm.idx, SpriteCount),
  INDEX(
    sprite_data.asm!$C$3:$R$156,
    INT(_xlpm.idx / SpriteCount) * 7 + INT(_xlpm.r / 16) + 1,
    MOD(_xlpm.r, 16) + 1
  )
)</f>
        <v>00</v>
      </c>
      <c r="F13" t="str" cm="1">
        <f t="array" ref="F13">_xlfn.LET(
  _xlpm.idx, (ROW()-3)*16 + F$1,
  _xlpm.r, MOD(_xlpm.idx, SpriteCount),
  INDEX(
    sprite_data.asm!$C$3:$R$156,
    INT(_xlpm.idx / SpriteCount) * 7 + INT(_xlpm.r / 16) + 1,
    MOD(_xlpm.r, 16) + 1
  )
)</f>
        <v>00</v>
      </c>
      <c r="G13" t="str" cm="1">
        <f t="array" ref="G13">_xlfn.LET(
  _xlpm.idx, (ROW()-3)*16 + G$1,
  _xlpm.r, MOD(_xlpm.idx, SpriteCount),
  INDEX(
    sprite_data.asm!$C$3:$R$156,
    INT(_xlpm.idx / SpriteCount) * 7 + INT(_xlpm.r / 16) + 1,
    MOD(_xlpm.r, 16) + 1
  )
)</f>
        <v>00</v>
      </c>
      <c r="H13" t="str" cm="1">
        <f t="array" ref="H13">_xlfn.LET(
  _xlpm.idx, (ROW()-3)*16 + H$1,
  _xlpm.r, MOD(_xlpm.idx, SpriteCount),
  INDEX(
    sprite_data.asm!$C$3:$R$156,
    INT(_xlpm.idx / SpriteCount) * 7 + INT(_xlpm.r / 16) + 1,
    MOD(_xlpm.r, 16) + 1
  )
)</f>
        <v>00</v>
      </c>
      <c r="I13" t="str" cm="1">
        <f t="array" ref="I13">_xlfn.LET(
  _xlpm.idx, (ROW()-3)*16 + I$1,
  _xlpm.r, MOD(_xlpm.idx, SpriteCount),
  INDEX(
    sprite_data.asm!$C$3:$R$156,
    INT(_xlpm.idx / SpriteCount) * 7 + INT(_xlpm.r / 16) + 1,
    MOD(_xlpm.r, 16) + 1
  )
)</f>
        <v>00</v>
      </c>
      <c r="J13" t="str" cm="1">
        <f t="array" ref="J13">_xlfn.LET(
  _xlpm.idx, (ROW()-3)*16 + J$1,
  _xlpm.r, MOD(_xlpm.idx, SpriteCount),
  INDEX(
    sprite_data.asm!$C$3:$R$156,
    INT(_xlpm.idx / SpriteCount) * 7 + INT(_xlpm.r / 16) + 1,
    MOD(_xlpm.r, 16) + 1
  )
)</f>
        <v>00</v>
      </c>
      <c r="K13" t="str" cm="1">
        <f t="array" ref="K13">_xlfn.LET(
  _xlpm.idx, (ROW()-3)*16 + K$1,
  _xlpm.r, MOD(_xlpm.idx, SpriteCount),
  INDEX(
    sprite_data.asm!$C$3:$R$156,
    INT(_xlpm.idx / SpriteCount) * 7 + INT(_xlpm.r / 16) + 1,
    MOD(_xlpm.r, 16) + 1
  )
)</f>
        <v>00</v>
      </c>
      <c r="L13" t="str" cm="1">
        <f t="array" ref="L13">_xlfn.LET(
  _xlpm.idx, (ROW()-3)*16 + L$1,
  _xlpm.r, MOD(_xlpm.idx, SpriteCount),
  INDEX(
    sprite_data.asm!$C$3:$R$156,
    INT(_xlpm.idx / SpriteCount) * 7 + INT(_xlpm.r / 16) + 1,
    MOD(_xlpm.r, 16) + 1
  )
)</f>
        <v>00</v>
      </c>
      <c r="M13" t="str" cm="1">
        <f t="array" ref="M13">_xlfn.LET(
  _xlpm.idx, (ROW()-3)*16 + M$1,
  _xlpm.r, MOD(_xlpm.idx, SpriteCount),
  INDEX(
    sprite_data.asm!$C$3:$R$156,
    INT(_xlpm.idx / SpriteCount) * 7 + INT(_xlpm.r / 16) + 1,
    MOD(_xlpm.r, 16) + 1
  )
)</f>
        <v>00</v>
      </c>
      <c r="N13" t="str" cm="1">
        <f t="array" ref="N13">_xlfn.LET(
  _xlpm.idx, (ROW()-3)*16 + N$1,
  _xlpm.r, MOD(_xlpm.idx, SpriteCount),
  INDEX(
    sprite_data.asm!$C$3:$R$156,
    INT(_xlpm.idx / SpriteCount) * 7 + INT(_xlpm.r / 16) + 1,
    MOD(_xlpm.r, 16) + 1
  )
)</f>
        <v>00</v>
      </c>
      <c r="O13" t="str" cm="1">
        <f t="array" ref="O13">_xlfn.LET(
  _xlpm.idx, (ROW()-3)*16 + O$1,
  _xlpm.r, MOD(_xlpm.idx, SpriteCount),
  INDEX(
    sprite_data.asm!$C$3:$R$156,
    INT(_xlpm.idx / SpriteCount) * 7 + INT(_xlpm.r / 16) + 1,
    MOD(_xlpm.r, 16) + 1
  )
)</f>
        <v>00</v>
      </c>
      <c r="P13" t="str" cm="1">
        <f t="array" ref="P13">_xlfn.LET(
  _xlpm.idx, (ROW()-3)*16 + P$1,
  _xlpm.r, MOD(_xlpm.idx, SpriteCount),
  INDEX(
    sprite_data.asm!$C$3:$R$156,
    INT(_xlpm.idx / SpriteCount) * 7 + INT(_xlpm.r / 16) + 1,
    MOD(_xlpm.r, 16) + 1
  )
)</f>
        <v>00</v>
      </c>
      <c r="Q13" t="str" cm="1">
        <f t="array" ref="Q1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" spans="1:19" x14ac:dyDescent="0.3">
      <c r="A14" s="2" t="str">
        <f t="shared" si="3"/>
        <v>ADB0</v>
      </c>
      <c r="B14" t="str" cm="1">
        <f t="array" ref="B14">_xlfn.LET(
  _xlpm.idx, (ROW()-3)*16 + B$1,
  _xlpm.r, MOD(_xlpm.idx, SpriteCount),
  INDEX(
    sprite_data.asm!$C$3:$R$156,
    INT(_xlpm.idx / SpriteCount) * 7 + INT(_xlpm.r / 16) + 1,
    MOD(_xlpm.r, 16) + 1
  )
)</f>
        <v>00</v>
      </c>
      <c r="C14" t="str" cm="1">
        <f t="array" ref="C14">_xlfn.LET(
  _xlpm.idx, (ROW()-3)*16 + C$1,
  _xlpm.r, MOD(_xlpm.idx, SpriteCount),
  INDEX(
    sprite_data.asm!$C$3:$R$156,
    INT(_xlpm.idx / SpriteCount) * 7 + INT(_xlpm.r / 16) + 1,
    MOD(_xlpm.r, 16) + 1
  )
)</f>
        <v>00</v>
      </c>
      <c r="D14" t="str" cm="1">
        <f t="array" ref="D14">_xlfn.LET(
  _xlpm.idx, (ROW()-3)*16 + D$1,
  _xlpm.r, MOD(_xlpm.idx, SpriteCount),
  INDEX(
    sprite_data.asm!$C$3:$R$156,
    INT(_xlpm.idx / SpriteCount) * 7 + INT(_xlpm.r / 16) + 1,
    MOD(_xlpm.r, 16) + 1
  )
)</f>
        <v>00</v>
      </c>
      <c r="E14" t="str" cm="1">
        <f t="array" ref="E14">_xlfn.LET(
  _xlpm.idx, (ROW()-3)*16 + E$1,
  _xlpm.r, MOD(_xlpm.idx, SpriteCount),
  INDEX(
    sprite_data.asm!$C$3:$R$156,
    INT(_xlpm.idx / SpriteCount) * 7 + INT(_xlpm.r / 16) + 1,
    MOD(_xlpm.r, 16) + 1
  )
)</f>
        <v>00</v>
      </c>
      <c r="F14" t="str" cm="1">
        <f t="array" ref="F14">_xlfn.LET(
  _xlpm.idx, (ROW()-3)*16 + F$1,
  _xlpm.r, MOD(_xlpm.idx, SpriteCount),
  INDEX(
    sprite_data.asm!$C$3:$R$156,
    INT(_xlpm.idx / SpriteCount) * 7 + INT(_xlpm.r / 16) + 1,
    MOD(_xlpm.r, 16) + 1
  )
)</f>
        <v>00</v>
      </c>
      <c r="G14" t="str" cm="1">
        <f t="array" ref="G14">_xlfn.LET(
  _xlpm.idx, (ROW()-3)*16 + G$1,
  _xlpm.r, MOD(_xlpm.idx, SpriteCount),
  INDEX(
    sprite_data.asm!$C$3:$R$156,
    INT(_xlpm.idx / SpriteCount) * 7 + INT(_xlpm.r / 16) + 1,
    MOD(_xlpm.r, 16) + 1
  )
)</f>
        <v>00</v>
      </c>
      <c r="H14" t="str" cm="1">
        <f t="array" ref="H14">_xlfn.LET(
  _xlpm.idx, (ROW()-3)*16 + H$1,
  _xlpm.r, MOD(_xlpm.idx, SpriteCount),
  INDEX(
    sprite_data.asm!$C$3:$R$156,
    INT(_xlpm.idx / SpriteCount) * 7 + INT(_xlpm.r / 16) + 1,
    MOD(_xlpm.r, 16) + 1
  )
)</f>
        <v>00</v>
      </c>
      <c r="I14" t="str" cm="1">
        <f t="array" ref="I14">_xlfn.LET(
  _xlpm.idx, (ROW()-3)*16 + I$1,
  _xlpm.r, MOD(_xlpm.idx, SpriteCount),
  INDEX(
    sprite_data.asm!$C$3:$R$156,
    INT(_xlpm.idx / SpriteCount) * 7 + INT(_xlpm.r / 16) + 1,
    MOD(_xlpm.r, 16) + 1
  )
)</f>
        <v>00</v>
      </c>
      <c r="J14" t="str" cm="1">
        <f t="array" ref="J14">_xlfn.LET(
  _xlpm.idx, (ROW()-3)*16 + J$1,
  _xlpm.r, MOD(_xlpm.idx, SpriteCount),
  INDEX(
    sprite_data.asm!$C$3:$R$156,
    INT(_xlpm.idx / SpriteCount) * 7 + INT(_xlpm.r / 16) + 1,
    MOD(_xlpm.r, 16) + 1
  )
)</f>
        <v>00</v>
      </c>
      <c r="K14" t="str" cm="1">
        <f t="array" ref="K14">_xlfn.LET(
  _xlpm.idx, (ROW()-3)*16 + K$1,
  _xlpm.r, MOD(_xlpm.idx, SpriteCount),
  INDEX(
    sprite_data.asm!$C$3:$R$156,
    INT(_xlpm.idx / SpriteCount) * 7 + INT(_xlpm.r / 16) + 1,
    MOD(_xlpm.r, 16) + 1
  )
)</f>
        <v>00</v>
      </c>
      <c r="L14" t="str" cm="1">
        <f t="array" ref="L14">_xlfn.LET(
  _xlpm.idx, (ROW()-3)*16 + L$1,
  _xlpm.r, MOD(_xlpm.idx, SpriteCount),
  INDEX(
    sprite_data.asm!$C$3:$R$156,
    INT(_xlpm.idx / SpriteCount) * 7 + INT(_xlpm.r / 16) + 1,
    MOD(_xlpm.r, 16) + 1
  )
)</f>
        <v>00</v>
      </c>
      <c r="M14" t="str" cm="1">
        <f t="array" ref="M14">_xlfn.LET(
  _xlpm.idx, (ROW()-3)*16 + M$1,
  _xlpm.r, MOD(_xlpm.idx, SpriteCount),
  INDEX(
    sprite_data.asm!$C$3:$R$156,
    INT(_xlpm.idx / SpriteCount) * 7 + INT(_xlpm.r / 16) + 1,
    MOD(_xlpm.r, 16) + 1
  )
)</f>
        <v>00</v>
      </c>
      <c r="N14" t="str" cm="1">
        <f t="array" ref="N14">_xlfn.LET(
  _xlpm.idx, (ROW()-3)*16 + N$1,
  _xlpm.r, MOD(_xlpm.idx, SpriteCount),
  INDEX(
    sprite_data.asm!$C$3:$R$156,
    INT(_xlpm.idx / SpriteCount) * 7 + INT(_xlpm.r / 16) + 1,
    MOD(_xlpm.r, 16) + 1
  )
)</f>
        <v>00</v>
      </c>
      <c r="O14" t="str" cm="1">
        <f t="array" ref="O14">_xlfn.LET(
  _xlpm.idx, (ROW()-3)*16 + O$1,
  _xlpm.r, MOD(_xlpm.idx, SpriteCount),
  INDEX(
    sprite_data.asm!$C$3:$R$156,
    INT(_xlpm.idx / SpriteCount) * 7 + INT(_xlpm.r / 16) + 1,
    MOD(_xlpm.r, 16) + 1
  )
)</f>
        <v>00</v>
      </c>
      <c r="P14" t="str" cm="1">
        <f t="array" ref="P14">_xlfn.LET(
  _xlpm.idx, (ROW()-3)*16 + P$1,
  _xlpm.r, MOD(_xlpm.idx, SpriteCount),
  INDEX(
    sprite_data.asm!$C$3:$R$156,
    INT(_xlpm.idx / SpriteCount) * 7 + INT(_xlpm.r / 16) + 1,
    MOD(_xlpm.r, 16) + 1
  )
)</f>
        <v>00</v>
      </c>
      <c r="Q14" t="str" cm="1">
        <f t="array" ref="Q14">_xlfn.LET(
  _xlpm.idx, (ROW()-3)*16 + Q$1,
  _xlpm.r, MOD(_xlpm.idx, SpriteCount),
  INDEX(
    sprite_data.asm!$C$3:$R$156,
    INT(_xlpm.idx / SpriteCount) * 7 + INT(_xlpm.r / 16) + 1,
    MOD(_xlpm.r, 16) + 1
  )
)</f>
        <v>00</v>
      </c>
    </row>
    <row r="15" spans="1:19" x14ac:dyDescent="0.3">
      <c r="A15" s="2" t="str">
        <f t="shared" si="3"/>
        <v>ADC0</v>
      </c>
      <c r="B15" t="str" cm="1">
        <f t="array" ref="B15">_xlfn.LET(
  _xlpm.idx, (ROW()-3)*16 + B$1,
  _xlpm.r, MOD(_xlpm.idx, SpriteCount),
  INDEX(
    sprite_data.asm!$C$3:$R$156,
    INT(_xlpm.idx / SpriteCount) * 7 + INT(_xlpm.r / 16) + 1,
    MOD(_xlpm.r, 16) + 1
  )
)</f>
        <v>00</v>
      </c>
      <c r="C15" t="str" cm="1">
        <f t="array" ref="C15">_xlfn.LET(
  _xlpm.idx, (ROW()-3)*16 + C$1,
  _xlpm.r, MOD(_xlpm.idx, SpriteCount),
  INDEX(
    sprite_data.asm!$C$3:$R$156,
    INT(_xlpm.idx / SpriteCount) * 7 + INT(_xlpm.r / 16) + 1,
    MOD(_xlpm.r, 16) + 1
  )
)</f>
        <v>00</v>
      </c>
      <c r="D15" t="str" cm="1">
        <f t="array" ref="D15">_xlfn.LET(
  _xlpm.idx, (ROW()-3)*16 + D$1,
  _xlpm.r, MOD(_xlpm.idx, SpriteCount),
  INDEX(
    sprite_data.asm!$C$3:$R$156,
    INT(_xlpm.idx / SpriteCount) * 7 + INT(_xlpm.r / 16) + 1,
    MOD(_xlpm.r, 16) + 1
  )
)</f>
        <v>00</v>
      </c>
      <c r="E15" t="str" cm="1">
        <f t="array" ref="E15">_xlfn.LET(
  _xlpm.idx, (ROW()-3)*16 + E$1,
  _xlpm.r, MOD(_xlpm.idx, SpriteCount),
  INDEX(
    sprite_data.asm!$C$3:$R$156,
    INT(_xlpm.idx / SpriteCount) * 7 + INT(_xlpm.r / 16) + 1,
    MOD(_xlpm.r, 16) + 1
  )
)</f>
        <v>00</v>
      </c>
      <c r="F15" t="str" cm="1">
        <f t="array" ref="F15">_xlfn.LET(
  _xlpm.idx, (ROW()-3)*16 + F$1,
  _xlpm.r, MOD(_xlpm.idx, SpriteCount),
  INDEX(
    sprite_data.asm!$C$3:$R$156,
    INT(_xlpm.idx / SpriteCount) * 7 + INT(_xlpm.r / 16) + 1,
    MOD(_xlpm.r, 16) + 1
  )
)</f>
        <v>00</v>
      </c>
      <c r="G15" t="str" cm="1">
        <f t="array" ref="G15">_xlfn.LET(
  _xlpm.idx, (ROW()-3)*16 + G$1,
  _xlpm.r, MOD(_xlpm.idx, SpriteCount),
  INDEX(
    sprite_data.asm!$C$3:$R$156,
    INT(_xlpm.idx / SpriteCount) * 7 + INT(_xlpm.r / 16) + 1,
    MOD(_xlpm.r, 16) + 1
  )
)</f>
        <v>00</v>
      </c>
      <c r="H15" t="str" cm="1">
        <f t="array" ref="H15">_xlfn.LET(
  _xlpm.idx, (ROW()-3)*16 + H$1,
  _xlpm.r, MOD(_xlpm.idx, SpriteCount),
  INDEX(
    sprite_data.asm!$C$3:$R$156,
    INT(_xlpm.idx / SpriteCount) * 7 + INT(_xlpm.r / 16) + 1,
    MOD(_xlpm.r, 16) + 1
  )
)</f>
        <v>00</v>
      </c>
      <c r="I15" t="str" cm="1">
        <f t="array" ref="I15">_xlfn.LET(
  _xlpm.idx, (ROW()-3)*16 + I$1,
  _xlpm.r, MOD(_xlpm.idx, SpriteCount),
  INDEX(
    sprite_data.asm!$C$3:$R$156,
    INT(_xlpm.idx / SpriteCount) * 7 + INT(_xlpm.r / 16) + 1,
    MOD(_xlpm.r, 16) + 1
  )
)</f>
        <v>00</v>
      </c>
      <c r="J15" t="str" cm="1">
        <f t="array" ref="J15">_xlfn.LET(
  _xlpm.idx, (ROW()-3)*16 + J$1,
  _xlpm.r, MOD(_xlpm.idx, SpriteCount),
  INDEX(
    sprite_data.asm!$C$3:$R$156,
    INT(_xlpm.idx / SpriteCount) * 7 + INT(_xlpm.r / 16) + 1,
    MOD(_xlpm.r, 16) + 1
  )
)</f>
        <v>00</v>
      </c>
      <c r="K15" t="str" cm="1">
        <f t="array" ref="K15">_xlfn.LET(
  _xlpm.idx, (ROW()-3)*16 + K$1,
  _xlpm.r, MOD(_xlpm.idx, SpriteCount),
  INDEX(
    sprite_data.asm!$C$3:$R$156,
    INT(_xlpm.idx / SpriteCount) * 7 + INT(_xlpm.r / 16) + 1,
    MOD(_xlpm.r, 16) + 1
  )
)</f>
        <v>00</v>
      </c>
      <c r="L15" t="str" cm="1">
        <f t="array" ref="L15">_xlfn.LET(
  _xlpm.idx, (ROW()-3)*16 + L$1,
  _xlpm.r, MOD(_xlpm.idx, SpriteCount),
  INDEX(
    sprite_data.asm!$C$3:$R$156,
    INT(_xlpm.idx / SpriteCount) * 7 + INT(_xlpm.r / 16) + 1,
    MOD(_xlpm.r, 16) + 1
  )
)</f>
        <v>00</v>
      </c>
      <c r="M15" t="str" cm="1">
        <f t="array" ref="M15">_xlfn.LET(
  _xlpm.idx, (ROW()-3)*16 + M$1,
  _xlpm.r, MOD(_xlpm.idx, SpriteCount),
  INDEX(
    sprite_data.asm!$C$3:$R$156,
    INT(_xlpm.idx / SpriteCount) * 7 + INT(_xlpm.r / 16) + 1,
    MOD(_xlpm.r, 16) + 1
  )
)</f>
        <v>00</v>
      </c>
      <c r="N15" t="str" cm="1">
        <f t="array" ref="N15">_xlfn.LET(
  _xlpm.idx, (ROW()-3)*16 + N$1,
  _xlpm.r, MOD(_xlpm.idx, SpriteCount),
  INDEX(
    sprite_data.asm!$C$3:$R$156,
    INT(_xlpm.idx / SpriteCount) * 7 + INT(_xlpm.r / 16) + 1,
    MOD(_xlpm.r, 16) + 1
  )
)</f>
        <v>00</v>
      </c>
      <c r="O15" t="str" cm="1">
        <f t="array" ref="O15">_xlfn.LET(
  _xlpm.idx, (ROW()-3)*16 + O$1,
  _xlpm.r, MOD(_xlpm.idx, SpriteCount),
  INDEX(
    sprite_data.asm!$C$3:$R$156,
    INT(_xlpm.idx / SpriteCount) * 7 + INT(_xlpm.r / 16) + 1,
    MOD(_xlpm.r, 16) + 1
  )
)</f>
        <v>00</v>
      </c>
      <c r="P15" t="str" cm="1">
        <f t="array" ref="P15">_xlfn.LET(
  _xlpm.idx, (ROW()-3)*16 + P$1,
  _xlpm.r, MOD(_xlpm.idx, SpriteCount),
  INDEX(
    sprite_data.asm!$C$3:$R$156,
    INT(_xlpm.idx / SpriteCount) * 7 + INT(_xlpm.r / 16) + 1,
    MOD(_xlpm.r, 16) + 1
  )
)</f>
        <v>06</v>
      </c>
      <c r="Q15" t="str" cm="1">
        <f t="array" ref="Q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6" spans="1:19" x14ac:dyDescent="0.3">
      <c r="A16" s="2" t="str">
        <f t="shared" si="3"/>
        <v>ADD0</v>
      </c>
      <c r="B16" t="str" cm="1">
        <f t="array" ref="B16">_xlfn.LET(
  _xlpm.idx, (ROW()-3)*16 + B$1,
  _xlpm.r, MOD(_xlpm.idx, SpriteCount),
  INDEX(
    sprite_data.asm!$C$3:$R$156,
    INT(_xlpm.idx / SpriteCount) * 7 + INT(_xlpm.r / 16) + 1,
    MOD(_xlpm.r, 16) + 1
  )
)</f>
        <v>00</v>
      </c>
      <c r="C16" t="str" cm="1">
        <f t="array" ref="C16">_xlfn.LET(
  _xlpm.idx, (ROW()-3)*16 + C$1,
  _xlpm.r, MOD(_xlpm.idx, SpriteCount),
  INDEX(
    sprite_data.asm!$C$3:$R$156,
    INT(_xlpm.idx / SpriteCount) * 7 + INT(_xlpm.r / 16) + 1,
    MOD(_xlpm.r, 16) + 1
  )
)</f>
        <v>15</v>
      </c>
      <c r="D16" t="str" cm="1">
        <f t="array" ref="D16">_xlfn.LET(
  _xlpm.idx, (ROW()-3)*16 + D$1,
  _xlpm.r, MOD(_xlpm.idx, SpriteCount),
  INDEX(
    sprite_data.asm!$C$3:$R$156,
    INT(_xlpm.idx / SpriteCount) * 7 + INT(_xlpm.r / 16) + 1,
    MOD(_xlpm.r, 16) + 1
  )
)</f>
        <v>55</v>
      </c>
      <c r="E16" t="str" cm="1">
        <f t="array" ref="E16">_xlfn.LET(
  _xlpm.idx, (ROW()-3)*16 + E$1,
  _xlpm.r, MOD(_xlpm.idx, SpriteCount),
  INDEX(
    sprite_data.asm!$C$3:$R$156,
    INT(_xlpm.idx / SpriteCount) * 7 + INT(_xlpm.r / 16) + 1,
    MOD(_xlpm.r, 16) + 1
  )
)</f>
        <v>06</v>
      </c>
      <c r="F16" t="str" cm="1">
        <f t="array" ref="F16">_xlfn.LET(
  _xlpm.idx, (ROW()-3)*16 + F$1,
  _xlpm.r, MOD(_xlpm.idx, SpriteCount),
  INDEX(
    sprite_data.asm!$C$3:$R$156,
    INT(_xlpm.idx / SpriteCount) * 7 + INT(_xlpm.r / 16) + 1,
    MOD(_xlpm.r, 16) + 1
  )
)</f>
        <v>7F</v>
      </c>
      <c r="G16" t="str" cm="1">
        <f t="array" ref="G16">_xlfn.LET(
  _xlpm.idx, (ROW()-3)*16 + G$1,
  _xlpm.r, MOD(_xlpm.idx, SpriteCount),
  INDEX(
    sprite_data.asm!$C$3:$R$156,
    INT(_xlpm.idx / SpriteCount) * 7 + INT(_xlpm.r / 16) + 1,
    MOD(_xlpm.r, 16) + 1
  )
)</f>
        <v>55</v>
      </c>
      <c r="H16" t="str" cm="1">
        <f t="array" ref="H16">_xlfn.LET(
  _xlpm.idx, (ROW()-3)*16 + H$1,
  _xlpm.r, MOD(_xlpm.idx, SpriteCount),
  INDEX(
    sprite_data.asm!$C$3:$R$156,
    INT(_xlpm.idx / SpriteCount) * 7 + INT(_xlpm.r / 16) + 1,
    MOD(_xlpm.r, 16) + 1
  )
)</f>
        <v>06</v>
      </c>
      <c r="I16" t="str" cm="1">
        <f t="array" ref="I16">_xlfn.LET(
  _xlpm.idx, (ROW()-3)*16 + I$1,
  _xlpm.r, MOD(_xlpm.idx, SpriteCount),
  INDEX(
    sprite_data.asm!$C$3:$R$156,
    INT(_xlpm.idx / SpriteCount) * 7 + INT(_xlpm.r / 16) + 1,
    MOD(_xlpm.r, 16) + 1
  )
)</f>
        <v>00</v>
      </c>
      <c r="J16" t="str" cm="1">
        <f t="array" ref="J16">_xlfn.LET(
  _xlpm.idx, (ROW()-3)*16 + J$1,
  _xlpm.r, MOD(_xlpm.idx, SpriteCount),
  INDEX(
    sprite_data.asm!$C$3:$R$156,
    INT(_xlpm.idx / SpriteCount) * 7 + INT(_xlpm.r / 16) + 1,
    MOD(_xlpm.r, 16) + 1
  )
)</f>
        <v>28</v>
      </c>
      <c r="K16" t="str" cm="1">
        <f t="array" ref="K16">_xlfn.LET(
  _xlpm.idx, (ROW()-3)*16 + K$1,
  _xlpm.r, MOD(_xlpm.idx, SpriteCount),
  INDEX(
    sprite_data.asm!$C$3:$R$156,
    INT(_xlpm.idx / SpriteCount) * 7 + INT(_xlpm.r / 16) + 1,
    MOD(_xlpm.r, 16) + 1
  )
)</f>
        <v>60</v>
      </c>
      <c r="L16" t="str" cm="1">
        <f t="array" ref="L16">_xlfn.LET(
  _xlpm.idx, (ROW()-3)*16 + L$1,
  _xlpm.r, MOD(_xlpm.idx, SpriteCount),
  INDEX(
    sprite_data.asm!$C$3:$R$156,
    INT(_xlpm.idx / SpriteCount) * 7 + INT(_xlpm.r / 16) + 1,
    MOD(_xlpm.r, 16) + 1
  )
)</f>
        <v>7F</v>
      </c>
      <c r="M16" t="str" cm="1">
        <f t="array" ref="M16">_xlfn.LET(
  _xlpm.idx, (ROW()-3)*16 + M$1,
  _xlpm.r, MOD(_xlpm.idx, SpriteCount),
  INDEX(
    sprite_data.asm!$C$3:$R$156,
    INT(_xlpm.idx / SpriteCount) * 7 + INT(_xlpm.r / 16) + 1,
    MOD(_xlpm.r, 16) + 1
  )
)</f>
        <v>1C</v>
      </c>
      <c r="N16" t="str" cm="1">
        <f t="array" ref="N16">_xlfn.LET(
  _xlpm.idx, (ROW()-3)*16 + N$1,
  _xlpm.r, MOD(_xlpm.idx, SpriteCount),
  INDEX(
    sprite_data.asm!$C$3:$R$156,
    INT(_xlpm.idx / SpriteCount) * 7 + INT(_xlpm.r / 16) + 1,
    MOD(_xlpm.r, 16) + 1
  )
)</f>
        <v>1C</v>
      </c>
      <c r="O16" t="str" cm="1">
        <f t="array" ref="O16">_xlfn.LET(
  _xlpm.idx, (ROW()-3)*16 + O$1,
  _xlpm.r, MOD(_xlpm.idx, SpriteCount),
  INDEX(
    sprite_data.asm!$C$3:$R$156,
    INT(_xlpm.idx / SpriteCount) * 7 + INT(_xlpm.r / 16) + 1,
    MOD(_xlpm.r, 16) + 1
  )
)</f>
        <v>1C</v>
      </c>
      <c r="P16" t="str" cm="1">
        <f t="array" ref="P16">_xlfn.LET(
  _xlpm.idx, (ROW()-3)*16 + P$1,
  _xlpm.r, MOD(_xlpm.idx, SpriteCount),
  INDEX(
    sprite_data.asm!$C$3:$R$156,
    INT(_xlpm.idx / SpriteCount) * 7 + INT(_xlpm.r / 16) + 1,
    MOD(_xlpm.r, 16) + 1
  )
)</f>
        <v>30</v>
      </c>
      <c r="Q16" t="str" cm="1">
        <f t="array" ref="Q16">_xlfn.LET(
  _xlpm.idx, (ROW()-3)*16 + Q$1,
  _xlpm.r, MOD(_xlpm.idx, SpriteCount),
  INDEX(
    sprite_data.asm!$C$3:$R$156,
    INT(_xlpm.idx / SpriteCount) * 7 + INT(_xlpm.r / 16) + 1,
    MOD(_xlpm.r, 16) + 1
  )
)</f>
        <v>60</v>
      </c>
    </row>
    <row r="17" spans="1:17" x14ac:dyDescent="0.3">
      <c r="A17" s="2" t="str">
        <f t="shared" si="3"/>
        <v>ADE0</v>
      </c>
      <c r="B17" t="str" cm="1">
        <f t="array" ref="B17">_xlfn.LET(
  _xlpm.idx, (ROW()-3)*16 + B$1,
  _xlpm.r, MOD(_xlpm.idx, SpriteCount),
  INDEX(
    sprite_data.asm!$C$3:$R$156,
    INT(_xlpm.idx / SpriteCount) * 7 + INT(_xlpm.r / 16) + 1,
    MOD(_xlpm.r, 16) + 1
  )
)</f>
        <v>60</v>
      </c>
      <c r="C17" t="str" cm="1">
        <f t="array" ref="C17">_xlfn.LET(
  _xlpm.idx, (ROW()-3)*16 + C$1,
  _xlpm.r, MOD(_xlpm.idx, SpriteCount),
  INDEX(
    sprite_data.asm!$C$3:$R$156,
    INT(_xlpm.idx / SpriteCount) * 7 + INT(_xlpm.r / 16) + 1,
    MOD(_xlpm.r, 16) + 1
  )
)</f>
        <v>60</v>
      </c>
      <c r="D17" t="str" cm="1">
        <f t="array" ref="D17">_xlfn.LET(
  _xlpm.idx, (ROW()-3)*16 + D$1,
  _xlpm.r, MOD(_xlpm.idx, SpriteCount),
  INDEX(
    sprite_data.asm!$C$3:$R$156,
    INT(_xlpm.idx / SpriteCount) * 7 + INT(_xlpm.r / 16) + 1,
    MOD(_xlpm.r, 16) + 1
  )
)</f>
        <v>31</v>
      </c>
      <c r="E17" t="str" cm="1">
        <f t="array" ref="E17">_xlfn.LET(
  _xlpm.idx, (ROW()-3)*16 + E$1,
  _xlpm.r, MOD(_xlpm.idx, SpriteCount),
  INDEX(
    sprite_data.asm!$C$3:$R$156,
    INT(_xlpm.idx / SpriteCount) * 7 + INT(_xlpm.r / 16) + 1,
    MOD(_xlpm.r, 16) + 1
  )
)</f>
        <v>76</v>
      </c>
      <c r="F17" t="str" cm="1">
        <f t="array" ref="F17">_xlfn.LET(
  _xlpm.idx, (ROW()-3)*16 + F$1,
  _xlpm.r, MOD(_xlpm.idx, SpriteCount),
  INDEX(
    sprite_data.asm!$C$3:$R$156,
    INT(_xlpm.idx / SpriteCount) * 7 + INT(_xlpm.r / 16) + 1,
    MOD(_xlpm.r, 16) + 1
  )
)</f>
        <v>3B</v>
      </c>
      <c r="G17" t="str" cm="1">
        <f t="array" ref="G17">_xlfn.LET(
  _xlpm.idx, (ROW()-3)*16 + G$1,
  _xlpm.r, MOD(_xlpm.idx, SpriteCount),
  INDEX(
    sprite_data.asm!$C$3:$R$156,
    INT(_xlpm.idx / SpriteCount) * 7 + INT(_xlpm.r / 16) + 1,
    MOD(_xlpm.r, 16) + 1
  )
)</f>
        <v>06</v>
      </c>
      <c r="H17" t="str" cm="1">
        <f t="array" ref="H17">_xlfn.LET(
  _xlpm.idx, (ROW()-3)*16 + H$1,
  _xlpm.r, MOD(_xlpm.idx, SpriteCount),
  INDEX(
    sprite_data.asm!$C$3:$R$156,
    INT(_xlpm.idx / SpriteCount) * 7 + INT(_xlpm.r / 16) + 1,
    MOD(_xlpm.r, 16) + 1
  )
)</f>
        <v>60</v>
      </c>
      <c r="I17" t="str" cm="1">
        <f t="array" ref="I17">_xlfn.LET(
  _xlpm.idx, (ROW()-3)*16 + I$1,
  _xlpm.r, MOD(_xlpm.idx, SpriteCount),
  INDEX(
    sprite_data.asm!$C$3:$R$156,
    INT(_xlpm.idx / SpriteCount) * 7 + INT(_xlpm.r / 16) + 1,
    MOD(_xlpm.r, 16) + 1
  )
)</f>
        <v>18</v>
      </c>
      <c r="J17" t="str" cm="1">
        <f t="array" ref="J17">_xlfn.LET(
  _xlpm.idx, (ROW()-3)*16 + J$1,
  _xlpm.r, MOD(_xlpm.idx, SpriteCount),
  INDEX(
    sprite_data.asm!$C$3:$R$156,
    INT(_xlpm.idx / SpriteCount) * 7 + INT(_xlpm.r / 16) + 1,
    MOD(_xlpm.r, 16) + 1
  )
)</f>
        <v>06</v>
      </c>
      <c r="K17" t="str" cm="1">
        <f t="array" ref="K17">_xlfn.LET(
  _xlpm.idx, (ROW()-3)*16 + K$1,
  _xlpm.r, MOD(_xlpm.idx, SpriteCount),
  INDEX(
    sprite_data.asm!$C$3:$R$156,
    INT(_xlpm.idx / SpriteCount) * 7 + INT(_xlpm.r / 16) + 1,
    MOD(_xlpm.r, 16) + 1
  )
)</f>
        <v>18</v>
      </c>
      <c r="L17" t="str" cm="1">
        <f t="array" ref="L17">_xlfn.LET(
  _xlpm.idx, (ROW()-3)*16 + L$1,
  _xlpm.r, MOD(_xlpm.idx, SpriteCount),
  INDEX(
    sprite_data.asm!$C$3:$R$156,
    INT(_xlpm.idx / SpriteCount) * 7 + INT(_xlpm.r / 16) + 1,
    MOD(_xlpm.r, 16) + 1
  )
)</f>
        <v>60</v>
      </c>
      <c r="M17" t="str" cm="1">
        <f t="array" ref="M17">_xlfn.LET(
  _xlpm.idx, (ROW()-3)*16 + M$1,
  _xlpm.r, MOD(_xlpm.idx, SpriteCount),
  INDEX(
    sprite_data.asm!$C$3:$R$156,
    INT(_xlpm.idx / SpriteCount) * 7 + INT(_xlpm.r / 16) + 1,
    MOD(_xlpm.r, 16) + 1
  )
)</f>
        <v>00</v>
      </c>
      <c r="N17" t="str" cm="1">
        <f t="array" ref="N17">_xlfn.LET(
  _xlpm.idx, (ROW()-3)*16 + N$1,
  _xlpm.r, MOD(_xlpm.idx, SpriteCount),
  INDEX(
    sprite_data.asm!$C$3:$R$156,
    INT(_xlpm.idx / SpriteCount) * 7 + INT(_xlpm.r / 16) + 1,
    MOD(_xlpm.r, 16) + 1
  )
)</f>
        <v>00</v>
      </c>
      <c r="O17" t="str" cm="1">
        <f t="array" ref="O17">_xlfn.LET(
  _xlpm.idx, (ROW()-3)*16 + O$1,
  _xlpm.r, MOD(_xlpm.idx, SpriteCount),
  INDEX(
    sprite_data.asm!$C$3:$R$156,
    INT(_xlpm.idx / SpriteCount) * 7 + INT(_xlpm.r / 16) + 1,
    MOD(_xlpm.r, 16) + 1
  )
)</f>
        <v>00</v>
      </c>
      <c r="P17" t="str" cm="1">
        <f t="array" ref="P17">_xlfn.LET(
  _xlpm.idx, (ROW()-3)*16 + P$1,
  _xlpm.r, MOD(_xlpm.idx, SpriteCount),
  INDEX(
    sprite_data.asm!$C$3:$R$156,
    INT(_xlpm.idx / SpriteCount) * 7 + INT(_xlpm.r / 16) + 1,
    MOD(_xlpm.r, 16) + 1
  )
)</f>
        <v>00</v>
      </c>
      <c r="Q17" t="str" cm="1">
        <f t="array" ref="Q17">_xlfn.LET(
  _xlpm.idx, (ROW()-3)*16 + Q$1,
  _xlpm.r, MOD(_xlpm.idx, SpriteCount),
  INDEX(
    sprite_data.asm!$C$3:$R$156,
    INT(_xlpm.idx / SpriteCount) * 7 + INT(_xlpm.r / 16) + 1,
    MOD(_xlpm.r, 16) + 1
  )
)</f>
        <v>15</v>
      </c>
    </row>
    <row r="18" spans="1:17" x14ac:dyDescent="0.3">
      <c r="A18" s="2" t="str">
        <f t="shared" si="3"/>
        <v>ADF0</v>
      </c>
      <c r="B18" t="str" cm="1">
        <f t="array" ref="B18">_xlfn.LET(
  _xlpm.idx, (ROW()-3)*16 + B$1,
  _xlpm.r, MOD(_xlpm.idx, SpriteCount),
  INDEX(
    sprite_data.asm!$C$3:$R$156,
    INT(_xlpm.idx / SpriteCount) * 7 + INT(_xlpm.r / 16) + 1,
    MOD(_xlpm.r, 16) + 1
  )
)</f>
        <v>28</v>
      </c>
      <c r="C18" t="str" cm="1">
        <f t="array" ref="C18">_xlfn.LET(
  _xlpm.idx, (ROW()-3)*16 + C$1,
  _xlpm.r, MOD(_xlpm.idx, SpriteCount),
  INDEX(
    sprite_data.asm!$C$3:$R$156,
    INT(_xlpm.idx / SpriteCount) * 7 + INT(_xlpm.r / 16) + 1,
    MOD(_xlpm.r, 16) + 1
  )
)</f>
        <v>20</v>
      </c>
      <c r="D18" t="str" cm="1">
        <f t="array" ref="D18">_xlfn.LET(
  _xlpm.idx, (ROW()-3)*16 + D$1,
  _xlpm.r, MOD(_xlpm.idx, SpriteCount),
  INDEX(
    sprite_data.asm!$C$3:$R$156,
    INT(_xlpm.idx / SpriteCount) * 7 + INT(_xlpm.r / 16) + 1,
    MOD(_xlpm.r, 16) + 1
  )
)</f>
        <v>00</v>
      </c>
      <c r="E18" t="str" cm="1">
        <f t="array" ref="E18">_xlfn.LET(
  _xlpm.idx, (ROW()-3)*16 + E$1,
  _xlpm.r, MOD(_xlpm.idx, SpriteCount),
  INDEX(
    sprite_data.asm!$C$3:$R$156,
    INT(_xlpm.idx / SpriteCount) * 7 + INT(_xlpm.r / 16) + 1,
    MOD(_xlpm.r, 16) + 1
  )
)</f>
        <v>00</v>
      </c>
      <c r="F18" t="str" cm="1">
        <f t="array" ref="F18">_xlfn.LET(
  _xlpm.idx, (ROW()-3)*16 + F$1,
  _xlpm.r, MOD(_xlpm.idx, SpriteCount),
  INDEX(
    sprite_data.asm!$C$3:$R$156,
    INT(_xlpm.idx / SpriteCount) * 7 + INT(_xlpm.r / 16) + 1,
    MOD(_xlpm.r, 16) + 1
  )
)</f>
        <v>00</v>
      </c>
      <c r="G18" t="str" cm="1">
        <f t="array" ref="G18">_xlfn.LET(
  _xlpm.idx, (ROW()-3)*16 + G$1,
  _xlpm.r, MOD(_xlpm.idx, SpriteCount),
  INDEX(
    sprite_data.asm!$C$3:$R$156,
    INT(_xlpm.idx / SpriteCount) * 7 + INT(_xlpm.r / 16) + 1,
    MOD(_xlpm.r, 16) + 1
  )
)</f>
        <v>38</v>
      </c>
      <c r="H18" t="str" cm="1">
        <f t="array" ref="H18">_xlfn.LET(
  _xlpm.idx, (ROW()-3)*16 + H$1,
  _xlpm.r, MOD(_xlpm.idx, SpriteCount),
  INDEX(
    sprite_data.asm!$C$3:$R$156,
    INT(_xlpm.idx / SpriteCount) * 7 + INT(_xlpm.r / 16) + 1,
    MOD(_xlpm.r, 16) + 1
  )
)</f>
        <v>00</v>
      </c>
      <c r="I18" t="str" cm="1">
        <f t="array" ref="I18">_xlfn.LET(
  _xlpm.idx, (ROW()-3)*16 + I$1,
  _xlpm.r, MOD(_xlpm.idx, SpriteCount),
  INDEX(
    sprite_data.asm!$C$3:$R$156,
    INT(_xlpm.idx / SpriteCount) * 7 + INT(_xlpm.r / 16) + 1,
    MOD(_xlpm.r, 16) + 1
  )
)</f>
        <v>00</v>
      </c>
      <c r="J18" t="str" cm="1">
        <f t="array" ref="J18">_xlfn.LET(
  _xlpm.idx, (ROW()-3)*16 + J$1,
  _xlpm.r, MOD(_xlpm.idx, SpriteCount),
  INDEX(
    sprite_data.asm!$C$3:$R$156,
    INT(_xlpm.idx / SpriteCount) * 7 + INT(_xlpm.r / 16) + 1,
    MOD(_xlpm.r, 16) + 1
  )
)</f>
        <v>20</v>
      </c>
      <c r="K18" t="str" cm="1">
        <f t="array" ref="K18">_xlfn.LET(
  _xlpm.idx, (ROW()-3)*16 + K$1,
  _xlpm.r, MOD(_xlpm.idx, SpriteCount),
  INDEX(
    sprite_data.asm!$C$3:$R$156,
    INT(_xlpm.idx / SpriteCount) * 7 + INT(_xlpm.r / 16) + 1,
    MOD(_xlpm.r, 16) + 1
  )
)</f>
        <v>20</v>
      </c>
      <c r="L18" t="str" cm="1">
        <f t="array" ref="L18">_xlfn.LET(
  _xlpm.idx, (ROW()-3)*16 + L$1,
  _xlpm.r, MOD(_xlpm.idx, SpriteCount),
  INDEX(
    sprite_data.asm!$C$3:$R$156,
    INT(_xlpm.idx / SpriteCount) * 7 + INT(_xlpm.r / 16) + 1,
    MOD(_xlpm.r, 16) + 1
  )
)</f>
        <v>20</v>
      </c>
      <c r="M18" t="str" cm="1">
        <f t="array" ref="M18">_xlfn.LET(
  _xlpm.idx, (ROW()-3)*16 + M$1,
  _xlpm.r, MOD(_xlpm.idx, SpriteCount),
  INDEX(
    sprite_data.asm!$C$3:$R$156,
    INT(_xlpm.idx / SpriteCount) * 7 + INT(_xlpm.r / 16) + 1,
    MOD(_xlpm.r, 16) + 1
  )
)</f>
        <v>28</v>
      </c>
      <c r="N18" t="str" cm="1">
        <f t="array" ref="N18">_xlfn.LET(
  _xlpm.idx, (ROW()-3)*16 + N$1,
  _xlpm.r, MOD(_xlpm.idx, SpriteCount),
  INDEX(
    sprite_data.asm!$C$3:$R$156,
    INT(_xlpm.idx / SpriteCount) * 7 + INT(_xlpm.r / 16) + 1,
    MOD(_xlpm.r, 16) + 1
  )
)</f>
        <v>28</v>
      </c>
      <c r="O18" t="str" cm="1">
        <f t="array" ref="O18">_xlfn.LET(
  _xlpm.idx, (ROW()-3)*16 + O$1,
  _xlpm.r, MOD(_xlpm.idx, SpriteCount),
  INDEX(
    sprite_data.asm!$C$3:$R$156,
    INT(_xlpm.idx / SpriteCount) * 7 + INT(_xlpm.r / 16) + 1,
    MOD(_xlpm.r, 16) + 1
  )
)</f>
        <v>02</v>
      </c>
      <c r="P18" t="str" cm="1">
        <f t="array" ref="P18">_xlfn.LET(
  _xlpm.idx, (ROW()-3)*16 + P$1,
  _xlpm.r, MOD(_xlpm.idx, SpriteCount),
  INDEX(
    sprite_data.asm!$C$3:$R$156,
    INT(_xlpm.idx / SpriteCount) * 7 + INT(_xlpm.r / 16) + 1,
    MOD(_xlpm.r, 16) + 1
  )
)</f>
        <v>20</v>
      </c>
      <c r="Q18" t="str" cm="1">
        <f t="array" ref="Q18">_xlfn.LET(
  _xlpm.idx, (ROW()-3)*16 + Q$1,
  _xlpm.r, MOD(_xlpm.idx, SpriteCount),
  INDEX(
    sprite_data.asm!$C$3:$R$156,
    INT(_xlpm.idx / SpriteCount) * 7 + INT(_xlpm.r / 16) + 1,
    MOD(_xlpm.r, 16) + 1
  )
)</f>
        <v>08</v>
      </c>
    </row>
    <row r="19" spans="1:17" x14ac:dyDescent="0.3">
      <c r="A19" s="2" t="str">
        <f t="shared" si="3"/>
        <v>AE00</v>
      </c>
      <c r="B19" t="str" cm="1">
        <f t="array" ref="B19">_xlfn.LET(
  _xlpm.idx, (ROW()-3)*16 + B$1,
  _xlpm.r, MOD(_xlpm.idx, SpriteCount),
  INDEX(
    sprite_data.asm!$C$3:$R$156,
    INT(_xlpm.idx / SpriteCount) * 7 + INT(_xlpm.r / 16) + 1,
    MOD(_xlpm.r, 16) + 1
  )
)</f>
        <v>02</v>
      </c>
      <c r="C19" t="str" cm="1">
        <f t="array" ref="C19">_xlfn.LET(
  _xlpm.idx, (ROW()-3)*16 + C$1,
  _xlpm.r, MOD(_xlpm.idx, SpriteCount),
  INDEX(
    sprite_data.asm!$C$3:$R$156,
    INT(_xlpm.idx / SpriteCount) * 7 + INT(_xlpm.r / 16) + 1,
    MOD(_xlpm.r, 16) + 1
  )
)</f>
        <v>08</v>
      </c>
      <c r="D19" t="str" cm="1">
        <f t="array" ref="D19">_xlfn.LET(
  _xlpm.idx, (ROW()-3)*16 + D$1,
  _xlpm.r, MOD(_xlpm.idx, SpriteCount),
  INDEX(
    sprite_data.asm!$C$3:$R$156,
    INT(_xlpm.idx / SpriteCount) * 7 + INT(_xlpm.r / 16) + 1,
    MOD(_xlpm.r, 16) + 1
  )
)</f>
        <v>20</v>
      </c>
      <c r="E19" t="str" cm="1">
        <f t="array" ref="E19">_xlfn.LET(
  _xlpm.idx, (ROW()-3)*16 + E$1,
  _xlpm.r, MOD(_xlpm.idx, SpriteCount),
  INDEX(
    sprite_data.asm!$C$3:$R$156,
    INT(_xlpm.idx / SpriteCount) * 7 + INT(_xlpm.r / 16) + 1,
    MOD(_xlpm.r, 16) + 1
  )
)</f>
        <v>20</v>
      </c>
      <c r="F19" t="str" cm="1">
        <f t="array" ref="F19">_xlfn.LET(
  _xlpm.idx, (ROW()-3)*16 + F$1,
  _xlpm.r, MOD(_xlpm.idx, SpriteCount),
  INDEX(
    sprite_data.asm!$C$3:$R$156,
    INT(_xlpm.idx / SpriteCount) * 7 + INT(_xlpm.r / 16) + 1,
    MOD(_xlpm.r, 16) + 1
  )
)</f>
        <v>21</v>
      </c>
      <c r="G19" t="str" cm="1">
        <f t="array" ref="G19">_xlfn.LET(
  _xlpm.idx, (ROW()-3)*16 + G$1,
  _xlpm.r, MOD(_xlpm.idx, SpriteCount),
  INDEX(
    sprite_data.asm!$C$3:$R$156,
    INT(_xlpm.idx / SpriteCount) * 7 + INT(_xlpm.r / 16) + 1,
    MOD(_xlpm.r, 16) + 1
  )
)</f>
        <v>22</v>
      </c>
      <c r="H19" t="str" cm="1">
        <f t="array" ref="H19">_xlfn.LET(
  _xlpm.idx, (ROW()-3)*16 + H$1,
  _xlpm.r, MOD(_xlpm.idx, SpriteCount),
  INDEX(
    sprite_data.asm!$C$3:$R$156,
    INT(_xlpm.idx / SpriteCount) * 7 + INT(_xlpm.r / 16) + 1,
    MOD(_xlpm.r, 16) + 1
  )
)</f>
        <v>22</v>
      </c>
      <c r="I19" t="str" cm="1">
        <f t="array" ref="I19">_xlfn.LET(
  _xlpm.idx, (ROW()-3)*16 + I$1,
  _xlpm.r, MOD(_xlpm.idx, SpriteCount),
  INDEX(
    sprite_data.asm!$C$3:$R$156,
    INT(_xlpm.idx / SpriteCount) * 7 + INT(_xlpm.r / 16) + 1,
    MOD(_xlpm.r, 16) + 1
  )
)</f>
        <v>00</v>
      </c>
      <c r="J19" t="str" cm="1">
        <f t="array" ref="J19">_xlfn.LET(
  _xlpm.idx, (ROW()-3)*16 + J$1,
  _xlpm.r, MOD(_xlpm.idx, SpriteCount),
  INDEX(
    sprite_data.asm!$C$3:$R$156,
    INT(_xlpm.idx / SpriteCount) * 7 + INT(_xlpm.r / 16) + 1,
    MOD(_xlpm.r, 16) + 1
  )
)</f>
        <v>00</v>
      </c>
      <c r="K19" t="str" cm="1">
        <f t="array" ref="K19">_xlfn.LET(
  _xlpm.idx, (ROW()-3)*16 + K$1,
  _xlpm.r, MOD(_xlpm.idx, SpriteCount),
  INDEX(
    sprite_data.asm!$C$3:$R$156,
    INT(_xlpm.idx / SpriteCount) * 7 + INT(_xlpm.r / 16) + 1,
    MOD(_xlpm.r, 16) + 1
  )
)</f>
        <v>00</v>
      </c>
      <c r="L19" t="str" cm="1">
        <f t="array" ref="L19">_xlfn.LET(
  _xlpm.idx, (ROW()-3)*16 + L$1,
  _xlpm.r, MOD(_xlpm.idx, SpriteCount),
  INDEX(
    sprite_data.asm!$C$3:$R$156,
    INT(_xlpm.idx / SpriteCount) * 7 + INT(_xlpm.r / 16) + 1,
    MOD(_xlpm.r, 16) + 1
  )
)</f>
        <v>00</v>
      </c>
      <c r="M19" t="str" cm="1">
        <f t="array" ref="M19">_xlfn.LET(
  _xlpm.idx, (ROW()-3)*16 + M$1,
  _xlpm.r, MOD(_xlpm.idx, SpriteCount),
  INDEX(
    sprite_data.asm!$C$3:$R$156,
    INT(_xlpm.idx / SpriteCount) * 7 + INT(_xlpm.r / 16) + 1,
    MOD(_xlpm.r, 16) + 1
  )
)</f>
        <v>00</v>
      </c>
      <c r="N19" t="str" cm="1">
        <f t="array" ref="N19">_xlfn.LET(
  _xlpm.idx, (ROW()-3)*16 + N$1,
  _xlpm.r, MOD(_xlpm.idx, SpriteCount),
  INDEX(
    sprite_data.asm!$C$3:$R$156,
    INT(_xlpm.idx / SpriteCount) * 7 + INT(_xlpm.r / 16) + 1,
    MOD(_xlpm.r, 16) + 1
  )
)</f>
        <v>00</v>
      </c>
      <c r="O19" t="str" cm="1">
        <f t="array" ref="O19">_xlfn.LET(
  _xlpm.idx, (ROW()-3)*16 + O$1,
  _xlpm.r, MOD(_xlpm.idx, SpriteCount),
  INDEX(
    sprite_data.asm!$C$3:$R$156,
    INT(_xlpm.idx / SpriteCount) * 7 + INT(_xlpm.r / 16) + 1,
    MOD(_xlpm.r, 16) + 1
  )
)</f>
        <v>00</v>
      </c>
      <c r="P19" t="str" cm="1">
        <f t="array" ref="P19">_xlfn.LET(
  _xlpm.idx, (ROW()-3)*16 + P$1,
  _xlpm.r, MOD(_xlpm.idx, SpriteCount),
  INDEX(
    sprite_data.asm!$C$3:$R$156,
    INT(_xlpm.idx / SpriteCount) * 7 + INT(_xlpm.r / 16) + 1,
    MOD(_xlpm.r, 16) + 1
  )
)</f>
        <v>00</v>
      </c>
      <c r="Q19" t="str" cm="1">
        <f t="array" ref="Q19">_xlfn.LET(
  _xlpm.idx, (ROW()-3)*16 + Q$1,
  _xlpm.r, MOD(_xlpm.idx, SpriteCount),
  INDEX(
    sprite_data.asm!$C$3:$R$156,
    INT(_xlpm.idx / SpriteCount) * 7 + INT(_xlpm.r / 16) + 1,
    MOD(_xlpm.r, 16) + 1
  )
)</f>
        <v>00</v>
      </c>
    </row>
    <row r="20" spans="1:17" x14ac:dyDescent="0.3">
      <c r="A20" s="2" t="str">
        <f t="shared" si="3"/>
        <v>AE10</v>
      </c>
      <c r="B20" t="str" cm="1">
        <f t="array" ref="B20">_xlfn.LET(
  _xlpm.idx, (ROW()-3)*16 + B$1,
  _xlpm.r, MOD(_xlpm.idx, SpriteCount),
  INDEX(
    sprite_data.asm!$C$3:$R$156,
    INT(_xlpm.idx / SpriteCount) * 7 + INT(_xlpm.r / 16) + 1,
    MOD(_xlpm.r, 16) + 1
  )
)</f>
        <v>00</v>
      </c>
      <c r="C20" t="str" cm="1">
        <f t="array" ref="C20">_xlfn.LET(
  _xlpm.idx, (ROW()-3)*16 + C$1,
  _xlpm.r, MOD(_xlpm.idx, SpriteCount),
  INDEX(
    sprite_data.asm!$C$3:$R$156,
    INT(_xlpm.idx / SpriteCount) * 7 + INT(_xlpm.r / 16) + 1,
    MOD(_xlpm.r, 16) + 1
  )
)</f>
        <v>00</v>
      </c>
      <c r="D20" t="str" cm="1">
        <f t="array" ref="D20">_xlfn.LET(
  _xlpm.idx, (ROW()-3)*16 + D$1,
  _xlpm.r, MOD(_xlpm.idx, SpriteCount),
  INDEX(
    sprite_data.asm!$C$3:$R$156,
    INT(_xlpm.idx / SpriteCount) * 7 + INT(_xlpm.r / 16) + 1,
    MOD(_xlpm.r, 16) + 1
  )
)</f>
        <v>00</v>
      </c>
      <c r="E20" t="str" cm="1">
        <f t="array" ref="E20">_xlfn.LET(
  _xlpm.idx, (ROW()-3)*16 + E$1,
  _xlpm.r, MOD(_xlpm.idx, SpriteCount),
  INDEX(
    sprite_data.asm!$C$3:$R$156,
    INT(_xlpm.idx / SpriteCount) * 7 + INT(_xlpm.r / 16) + 1,
    MOD(_xlpm.r, 16) + 1
  )
)</f>
        <v>00</v>
      </c>
      <c r="F20" t="str" cm="1">
        <f t="array" ref="F20">_xlfn.LET(
  _xlpm.idx, (ROW()-3)*16 + F$1,
  _xlpm.r, MOD(_xlpm.idx, SpriteCount),
  INDEX(
    sprite_data.asm!$C$3:$R$156,
    INT(_xlpm.idx / SpriteCount) * 7 + INT(_xlpm.r / 16) + 1,
    MOD(_xlpm.r, 16) + 1
  )
)</f>
        <v>00</v>
      </c>
      <c r="G20" t="str" cm="1">
        <f t="array" ref="G20">_xlfn.LET(
  _xlpm.idx, (ROW()-3)*16 + G$1,
  _xlpm.r, MOD(_xlpm.idx, SpriteCount),
  INDEX(
    sprite_data.asm!$C$3:$R$156,
    INT(_xlpm.idx / SpriteCount) * 7 + INT(_xlpm.r / 16) + 1,
    MOD(_xlpm.r, 16) + 1
  )
)</f>
        <v>00</v>
      </c>
      <c r="H20" t="str" cm="1">
        <f t="array" ref="H20">_xlfn.LET(
  _xlpm.idx, (ROW()-3)*16 + H$1,
  _xlpm.r, MOD(_xlpm.idx, SpriteCount),
  INDEX(
    sprite_data.asm!$C$3:$R$156,
    INT(_xlpm.idx / SpriteCount) * 7 + INT(_xlpm.r / 16) + 1,
    MOD(_xlpm.r, 16) + 1
  )
)</f>
        <v>00</v>
      </c>
      <c r="I20" t="str" cm="1">
        <f t="array" ref="I20">_xlfn.LET(
  _xlpm.idx, (ROW()-3)*16 + I$1,
  _xlpm.r, MOD(_xlpm.idx, SpriteCount),
  INDEX(
    sprite_data.asm!$C$3:$R$156,
    INT(_xlpm.idx / SpriteCount) * 7 + INT(_xlpm.r / 16) + 1,
    MOD(_xlpm.r, 16) + 1
  )
)</f>
        <v>00</v>
      </c>
      <c r="J20" t="str" cm="1">
        <f t="array" ref="J20">_xlfn.LET(
  _xlpm.idx, (ROW()-3)*16 + J$1,
  _xlpm.r, MOD(_xlpm.idx, SpriteCount),
  INDEX(
    sprite_data.asm!$C$3:$R$156,
    INT(_xlpm.idx / SpriteCount) * 7 + INT(_xlpm.r / 16) + 1,
    MOD(_xlpm.r, 16) + 1
  )
)</f>
        <v>00</v>
      </c>
      <c r="K20" t="str" cm="1">
        <f t="array" ref="K20">_xlfn.LET(
  _xlpm.idx, (ROW()-3)*16 + K$1,
  _xlpm.r, MOD(_xlpm.idx, SpriteCount),
  INDEX(
    sprite_data.asm!$C$3:$R$156,
    INT(_xlpm.idx / SpriteCount) * 7 + INT(_xlpm.r / 16) + 1,
    MOD(_xlpm.r, 16) + 1
  )
)</f>
        <v>00</v>
      </c>
      <c r="L20" t="str" cm="1">
        <f t="array" ref="L20">_xlfn.LET(
  _xlpm.idx, (ROW()-3)*16 + L$1,
  _xlpm.r, MOD(_xlpm.idx, SpriteCount),
  INDEX(
    sprite_data.asm!$C$3:$R$156,
    INT(_xlpm.idx / SpriteCount) * 7 + INT(_xlpm.r / 16) + 1,
    MOD(_xlpm.r, 16) + 1
  )
)</f>
        <v>00</v>
      </c>
      <c r="M20" t="str" cm="1">
        <f t="array" ref="M20">_xlfn.LET(
  _xlpm.idx, (ROW()-3)*16 + M$1,
  _xlpm.r, MOD(_xlpm.idx, SpriteCount),
  INDEX(
    sprite_data.asm!$C$3:$R$156,
    INT(_xlpm.idx / SpriteCount) * 7 + INT(_xlpm.r / 16) + 1,
    MOD(_xlpm.r, 16) + 1
  )
)</f>
        <v>00</v>
      </c>
      <c r="N20" t="str" cm="1">
        <f t="array" ref="N20">_xlfn.LET(
  _xlpm.idx, (ROW()-3)*16 + N$1,
  _xlpm.r, MOD(_xlpm.idx, SpriteCount),
  INDEX(
    sprite_data.asm!$C$3:$R$156,
    INT(_xlpm.idx / SpriteCount) * 7 + INT(_xlpm.r / 16) + 1,
    MOD(_xlpm.r, 16) + 1
  )
)</f>
        <v>00</v>
      </c>
      <c r="O20" t="str" cm="1">
        <f t="array" ref="O20">_xlfn.LET(
  _xlpm.idx, (ROW()-3)*16 + O$1,
  _xlpm.r, MOD(_xlpm.idx, SpriteCount),
  INDEX(
    sprite_data.asm!$C$3:$R$156,
    INT(_xlpm.idx / SpriteCount) * 7 + INT(_xlpm.r / 16) + 1,
    MOD(_xlpm.r, 16) + 1
  )
)</f>
        <v>00</v>
      </c>
      <c r="P20" t="str" cm="1">
        <f t="array" ref="P20">_xlfn.LET(
  _xlpm.idx, (ROW()-3)*16 + P$1,
  _xlpm.r, MOD(_xlpm.idx, SpriteCount),
  INDEX(
    sprite_data.asm!$C$3:$R$156,
    INT(_xlpm.idx / SpriteCount) * 7 + INT(_xlpm.r / 16) + 1,
    MOD(_xlpm.r, 16) + 1
  )
)</f>
        <v>00</v>
      </c>
      <c r="Q20" t="str" cm="1">
        <f t="array" ref="Q20">_xlfn.LET(
  _xlpm.idx, (ROW()-3)*16 + Q$1,
  _xlpm.r, MOD(_xlpm.idx, SpriteCount),
  INDEX(
    sprite_data.asm!$C$3:$R$156,
    INT(_xlpm.idx / SpriteCount) * 7 + INT(_xlpm.r / 16) + 1,
    MOD(_xlpm.r, 16) + 1
  )
)</f>
        <v>00</v>
      </c>
    </row>
    <row r="21" spans="1:17" x14ac:dyDescent="0.3">
      <c r="A21" s="2" t="str">
        <f t="shared" si="3"/>
        <v>AE20</v>
      </c>
      <c r="B21" t="str" cm="1">
        <f t="array" ref="B21">_xlfn.LET(
  _xlpm.idx, (ROW()-3)*16 + B$1,
  _xlpm.r, MOD(_xlpm.idx, SpriteCount),
  INDEX(
    sprite_data.asm!$C$3:$R$156,
    INT(_xlpm.idx / SpriteCount) * 7 + INT(_xlpm.r / 16) + 1,
    MOD(_xlpm.r, 16) + 1
  )
)</f>
        <v>00</v>
      </c>
      <c r="C21" t="str" cm="1">
        <f t="array" ref="C21">_xlfn.LET(
  _xlpm.idx, (ROW()-3)*16 + C$1,
  _xlpm.r, MOD(_xlpm.idx, SpriteCount),
  INDEX(
    sprite_data.asm!$C$3:$R$156,
    INT(_xlpm.idx / SpriteCount) * 7 + INT(_xlpm.r / 16) + 1,
    MOD(_xlpm.r, 16) + 1
  )
)</f>
        <v>00</v>
      </c>
      <c r="D21" t="str" cm="1">
        <f t="array" ref="D21">_xlfn.LET(
  _xlpm.idx, (ROW()-3)*16 + D$1,
  _xlpm.r, MOD(_xlpm.idx, SpriteCount),
  INDEX(
    sprite_data.asm!$C$3:$R$156,
    INT(_xlpm.idx / SpriteCount) * 7 + INT(_xlpm.r / 16) + 1,
    MOD(_xlpm.r, 16) + 1
  )
)</f>
        <v>00</v>
      </c>
      <c r="E21" t="str" cm="1">
        <f t="array" ref="E21">_xlfn.LET(
  _xlpm.idx, (ROW()-3)*16 + E$1,
  _xlpm.r, MOD(_xlpm.idx, SpriteCount),
  INDEX(
    sprite_data.asm!$C$3:$R$156,
    INT(_xlpm.idx / SpriteCount) * 7 + INT(_xlpm.r / 16) + 1,
    MOD(_xlpm.r, 16) + 1
  )
)</f>
        <v>00</v>
      </c>
      <c r="F21" t="str" cm="1">
        <f t="array" ref="F21">_xlfn.LET(
  _xlpm.idx, (ROW()-3)*16 + F$1,
  _xlpm.r, MOD(_xlpm.idx, SpriteCount),
  INDEX(
    sprite_data.asm!$C$3:$R$156,
    INT(_xlpm.idx / SpriteCount) * 7 + INT(_xlpm.r / 16) + 1,
    MOD(_xlpm.r, 16) + 1
  )
)</f>
        <v>00</v>
      </c>
      <c r="G21" t="str" cm="1">
        <f t="array" ref="G21">_xlfn.LET(
  _xlpm.idx, (ROW()-3)*16 + G$1,
  _xlpm.r, MOD(_xlpm.idx, SpriteCount),
  INDEX(
    sprite_data.asm!$C$3:$R$156,
    INT(_xlpm.idx / SpriteCount) * 7 + INT(_xlpm.r / 16) + 1,
    MOD(_xlpm.r, 16) + 1
  )
)</f>
        <v>00</v>
      </c>
      <c r="H21" t="str" cm="1">
        <f t="array" ref="H21">_xlfn.LET(
  _xlpm.idx, (ROW()-3)*16 + H$1,
  _xlpm.r, MOD(_xlpm.idx, SpriteCount),
  INDEX(
    sprite_data.asm!$C$3:$R$156,
    INT(_xlpm.idx / SpriteCount) * 7 + INT(_xlpm.r / 16) + 1,
    MOD(_xlpm.r, 16) + 1
  )
)</f>
        <v>00</v>
      </c>
      <c r="I21" t="str" cm="1">
        <f t="array" ref="I21">_xlfn.LET(
  _xlpm.idx, (ROW()-3)*16 + I$1,
  _xlpm.r, MOD(_xlpm.idx, SpriteCount),
  INDEX(
    sprite_data.asm!$C$3:$R$156,
    INT(_xlpm.idx / SpriteCount) * 7 + INT(_xlpm.r / 16) + 1,
    MOD(_xlpm.r, 16) + 1
  )
)</f>
        <v>00</v>
      </c>
      <c r="J21" t="str" cm="1">
        <f t="array" ref="J21">_xlfn.LET(
  _xlpm.idx, (ROW()-3)*16 + J$1,
  _xlpm.r, MOD(_xlpm.idx, SpriteCount),
  INDEX(
    sprite_data.asm!$C$3:$R$156,
    INT(_xlpm.idx / SpriteCount) * 7 + INT(_xlpm.r / 16) + 1,
    MOD(_xlpm.r, 16) + 1
  )
)</f>
        <v>00</v>
      </c>
      <c r="K21" t="str" cm="1">
        <f t="array" ref="K21">_xlfn.LET(
  _xlpm.idx, (ROW()-3)*16 + K$1,
  _xlpm.r, MOD(_xlpm.idx, SpriteCount),
  INDEX(
    sprite_data.asm!$C$3:$R$156,
    INT(_xlpm.idx / SpriteCount) * 7 + INT(_xlpm.r / 16) + 1,
    MOD(_xlpm.r, 16) + 1
  )
)</f>
        <v>00</v>
      </c>
      <c r="L21" t="str" cm="1">
        <f t="array" ref="L21">_xlfn.LET(
  _xlpm.idx, (ROW()-3)*16 + L$1,
  _xlpm.r, MOD(_xlpm.idx, SpriteCount),
  INDEX(
    sprite_data.asm!$C$3:$R$156,
    INT(_xlpm.idx / SpriteCount) * 7 + INT(_xlpm.r / 16) + 1,
    MOD(_xlpm.r, 16) + 1
  )
)</f>
        <v>00</v>
      </c>
      <c r="M21" t="str" cm="1">
        <f t="array" ref="M21">_xlfn.LET(
  _xlpm.idx, (ROW()-3)*16 + M$1,
  _xlpm.r, MOD(_xlpm.idx, SpriteCount),
  INDEX(
    sprite_data.asm!$C$3:$R$156,
    INT(_xlpm.idx / SpriteCount) * 7 + INT(_xlpm.r / 16) + 1,
    MOD(_xlpm.r, 16) + 1
  )
)</f>
        <v>00</v>
      </c>
      <c r="N21" t="str" cm="1">
        <f t="array" ref="N21">_xlfn.LET(
  _xlpm.idx, (ROW()-3)*16 + N$1,
  _xlpm.r, MOD(_xlpm.idx, SpriteCount),
  INDEX(
    sprite_data.asm!$C$3:$R$156,
    INT(_xlpm.idx / SpriteCount) * 7 + INT(_xlpm.r / 16) + 1,
    MOD(_xlpm.r, 16) + 1
  )
)</f>
        <v>00</v>
      </c>
      <c r="O21" t="str" cm="1">
        <f t="array" ref="O21">_xlfn.LET(
  _xlpm.idx, (ROW()-3)*16 + O$1,
  _xlpm.r, MOD(_xlpm.idx, SpriteCount),
  INDEX(
    sprite_data.asm!$C$3:$R$156,
    INT(_xlpm.idx / SpriteCount) * 7 + INT(_xlpm.r / 16) + 1,
    MOD(_xlpm.r, 16) + 1
  )
)</f>
        <v>00</v>
      </c>
      <c r="P21" t="str" cm="1">
        <f t="array" ref="P21">_xlfn.LET(
  _xlpm.idx, (ROW()-3)*16 + P$1,
  _xlpm.r, MOD(_xlpm.idx, SpriteCount),
  INDEX(
    sprite_data.asm!$C$3:$R$156,
    INT(_xlpm.idx / SpriteCount) * 7 + INT(_xlpm.r / 16) + 1,
    MOD(_xlpm.r, 16) + 1
  )
)</f>
        <v>00</v>
      </c>
      <c r="Q21" t="str" cm="1">
        <f t="array" ref="Q21">_xlfn.LET(
  _xlpm.idx, (ROW()-3)*16 + Q$1,
  _xlpm.r, MOD(_xlpm.idx, SpriteCount),
  INDEX(
    sprite_data.asm!$C$3:$R$156,
    INT(_xlpm.idx / SpriteCount) * 7 + INT(_xlpm.r / 16) + 1,
    MOD(_xlpm.r, 16) + 1
  )
)</f>
        <v>00</v>
      </c>
    </row>
    <row r="22" spans="1:17" x14ac:dyDescent="0.3">
      <c r="A22" s="2" t="str">
        <f t="shared" si="3"/>
        <v>AE30</v>
      </c>
      <c r="B22" t="str" cm="1">
        <f t="array" ref="B22">_xlfn.LET(
  _xlpm.idx, (ROW()-3)*16 + B$1,
  _xlpm.r, MOD(_xlpm.idx, SpriteCount),
  INDEX(
    sprite_data.asm!$C$3:$R$156,
    INT(_xlpm.idx / SpriteCount) * 7 + INT(_xlpm.r / 16) + 1,
    MOD(_xlpm.r, 16) + 1
  )
)</f>
        <v>00</v>
      </c>
      <c r="C22" t="str" cm="1">
        <f t="array" ref="C22">_xlfn.LET(
  _xlpm.idx, (ROW()-3)*16 + C$1,
  _xlpm.r, MOD(_xlpm.idx, SpriteCount),
  INDEX(
    sprite_data.asm!$C$3:$R$156,
    INT(_xlpm.idx / SpriteCount) * 7 + INT(_xlpm.r / 16) + 1,
    MOD(_xlpm.r, 16) + 1
  )
)</f>
        <v>00</v>
      </c>
      <c r="D22" t="str" cm="1">
        <f t="array" ref="D22">_xlfn.LET(
  _xlpm.idx, (ROW()-3)*16 + D$1,
  _xlpm.r, MOD(_xlpm.idx, SpriteCount),
  INDEX(
    sprite_data.asm!$C$3:$R$156,
    INT(_xlpm.idx / SpriteCount) * 7 + INT(_xlpm.r / 16) + 1,
    MOD(_xlpm.r, 16) + 1
  )
)</f>
        <v>00</v>
      </c>
      <c r="E22" t="str" cm="1">
        <f t="array" ref="E22">_xlfn.LET(
  _xlpm.idx, (ROW()-3)*16 + E$1,
  _xlpm.r, MOD(_xlpm.idx, SpriteCount),
  INDEX(
    sprite_data.asm!$C$3:$R$156,
    INT(_xlpm.idx / SpriteCount) * 7 + INT(_xlpm.r / 16) + 1,
    MOD(_xlpm.r, 16) + 1
  )
)</f>
        <v>00</v>
      </c>
      <c r="F22" t="str" cm="1">
        <f t="array" ref="F22">_xlfn.LET(
  _xlpm.idx, (ROW()-3)*16 + F$1,
  _xlpm.r, MOD(_xlpm.idx, SpriteCount),
  INDEX(
    sprite_data.asm!$C$3:$R$156,
    INT(_xlpm.idx / SpriteCount) * 7 + INT(_xlpm.r / 16) + 1,
    MOD(_xlpm.r, 16) + 1
  )
)</f>
        <v>00</v>
      </c>
      <c r="G22" t="str" cm="1">
        <f t="array" ref="G22">_xlfn.LET(
  _xlpm.idx, (ROW()-3)*16 + G$1,
  _xlpm.r, MOD(_xlpm.idx, SpriteCount),
  INDEX(
    sprite_data.asm!$C$3:$R$156,
    INT(_xlpm.idx / SpriteCount) * 7 + INT(_xlpm.r / 16) + 1,
    MOD(_xlpm.r, 16) + 1
  )
)</f>
        <v>00</v>
      </c>
      <c r="H22" t="str" cm="1">
        <f t="array" ref="H22">_xlfn.LET(
  _xlpm.idx, (ROW()-3)*16 + H$1,
  _xlpm.r, MOD(_xlpm.idx, SpriteCount),
  INDEX(
    sprite_data.asm!$C$3:$R$156,
    INT(_xlpm.idx / SpriteCount) * 7 + INT(_xlpm.r / 16) + 1,
    MOD(_xlpm.r, 16) + 1
  )
)</f>
        <v>07</v>
      </c>
      <c r="I22" t="str" cm="1">
        <f t="array" ref="I22">_xlfn.LET(
  _xlpm.idx, (ROW()-3)*16 + I$1,
  _xlpm.r, MOD(_xlpm.idx, SpriteCount),
  INDEX(
    sprite_data.asm!$C$3:$R$156,
    INT(_xlpm.idx / SpriteCount) * 7 + INT(_xlpm.r / 16) + 1,
    MOD(_xlpm.r, 16) + 1
  )
)</f>
        <v>00</v>
      </c>
      <c r="J22" t="str" cm="1">
        <f t="array" ref="J22">_xlfn.LET(
  _xlpm.idx, (ROW()-3)*16 + J$1,
  _xlpm.r, MOD(_xlpm.idx, SpriteCount),
  INDEX(
    sprite_data.asm!$C$3:$R$156,
    INT(_xlpm.idx / SpriteCount) * 7 + INT(_xlpm.r / 16) + 1,
    MOD(_xlpm.r, 16) + 1
  )
)</f>
        <v>00</v>
      </c>
      <c r="K22" t="str" cm="1">
        <f t="array" ref="K22">_xlfn.LET(
  _xlpm.idx, (ROW()-3)*16 + K$1,
  _xlpm.r, MOD(_xlpm.idx, SpriteCount),
  INDEX(
    sprite_data.asm!$C$3:$R$156,
    INT(_xlpm.idx / SpriteCount) * 7 + INT(_xlpm.r / 16) + 1,
    MOD(_xlpm.r, 16) + 1
  )
)</f>
        <v>02</v>
      </c>
      <c r="L22" t="str" cm="1">
        <f t="array" ref="L22">_xlfn.LET(
  _xlpm.idx, (ROW()-3)*16 + L$1,
  _xlpm.r, MOD(_xlpm.idx, SpriteCount),
  INDEX(
    sprite_data.asm!$C$3:$R$156,
    INT(_xlpm.idx / SpriteCount) * 7 + INT(_xlpm.r / 16) + 1,
    MOD(_xlpm.r, 16) + 1
  )
)</f>
        <v>02</v>
      </c>
      <c r="M22" t="str" cm="1">
        <f t="array" ref="M22">_xlfn.LET(
  _xlpm.idx, (ROW()-3)*16 + M$1,
  _xlpm.r, MOD(_xlpm.idx, SpriteCount),
  INDEX(
    sprite_data.asm!$C$3:$R$156,
    INT(_xlpm.idx / SpriteCount) * 7 + INT(_xlpm.r / 16) + 1,
    MOD(_xlpm.r, 16) + 1
  )
)</f>
        <v>03</v>
      </c>
      <c r="N22" t="str" cm="1">
        <f t="array" ref="N22">_xlfn.LET(
  _xlpm.idx, (ROW()-3)*16 + N$1,
  _xlpm.r, MOD(_xlpm.idx, SpriteCount),
  INDEX(
    sprite_data.asm!$C$3:$R$156,
    INT(_xlpm.idx / SpriteCount) * 7 + INT(_xlpm.r / 16) + 1,
    MOD(_xlpm.r, 16) + 1
  )
)</f>
        <v>07</v>
      </c>
      <c r="O22" t="str" cm="1">
        <f t="array" ref="O22">_xlfn.LET(
  _xlpm.idx, (ROW()-3)*16 + O$1,
  _xlpm.r, MOD(_xlpm.idx, SpriteCount),
  INDEX(
    sprite_data.asm!$C$3:$R$156,
    INT(_xlpm.idx / SpriteCount) * 7 + INT(_xlpm.r / 16) + 1,
    MOD(_xlpm.r, 16) + 1
  )
)</f>
        <v>02</v>
      </c>
      <c r="P22" t="str" cm="1">
        <f t="array" ref="P22">_xlfn.LET(
  _xlpm.idx, (ROW()-3)*16 + P$1,
  _xlpm.r, MOD(_xlpm.idx, SpriteCount),
  INDEX(
    sprite_data.asm!$C$3:$R$156,
    INT(_xlpm.idx / SpriteCount) * 7 + INT(_xlpm.r / 16) + 1,
    MOD(_xlpm.r, 16) + 1
  )
)</f>
        <v>00</v>
      </c>
      <c r="Q22" t="str" cm="1">
        <f t="array" ref="Q22">_xlfn.LET(
  _xlpm.idx, (ROW()-3)*16 + Q$1,
  _xlpm.r, MOD(_xlpm.idx, SpriteCount),
  INDEX(
    sprite_data.asm!$C$3:$R$156,
    INT(_xlpm.idx / SpriteCount) * 7 + INT(_xlpm.r / 16) + 1,
    MOD(_xlpm.r, 16) + 1
  )
)</f>
        <v>00</v>
      </c>
    </row>
    <row r="23" spans="1:17" x14ac:dyDescent="0.3">
      <c r="A23" s="2" t="str">
        <f t="shared" si="3"/>
        <v>AE40</v>
      </c>
      <c r="B23" t="str" cm="1">
        <f t="array" ref="B23">_xlfn.LET(
  _xlpm.idx, (ROW()-3)*16 + B$1,
  _xlpm.r, MOD(_xlpm.idx, SpriteCount),
  INDEX(
    sprite_data.asm!$C$3:$R$156,
    INT(_xlpm.idx / SpriteCount) * 7 + INT(_xlpm.r / 16) + 1,
    MOD(_xlpm.r, 16) + 1
  )
)</f>
        <v>00</v>
      </c>
      <c r="C23" t="str" cm="1">
        <f t="array" ref="C23">_xlfn.LET(
  _xlpm.idx, (ROW()-3)*16 + C$1,
  _xlpm.r, MOD(_xlpm.idx, SpriteCount),
  INDEX(
    sprite_data.asm!$C$3:$R$156,
    INT(_xlpm.idx / SpriteCount) * 7 + INT(_xlpm.r / 16) + 1,
    MOD(_xlpm.r, 16) + 1
  )
)</f>
        <v>01</v>
      </c>
      <c r="D23" t="str" cm="1">
        <f t="array" ref="D23">_xlfn.LET(
  _xlpm.idx, (ROW()-3)*16 + D$1,
  _xlpm.r, MOD(_xlpm.idx, SpriteCount),
  INDEX(
    sprite_data.asm!$C$3:$R$156,
    INT(_xlpm.idx / SpriteCount) * 7 + INT(_xlpm.r / 16) + 1,
    MOD(_xlpm.r, 16) + 1
  )
)</f>
        <v>07</v>
      </c>
      <c r="E23" t="str" cm="1">
        <f t="array" ref="E23">_xlfn.LET(
  _xlpm.idx, (ROW()-3)*16 + E$1,
  _xlpm.r, MOD(_xlpm.idx, SpriteCount),
  INDEX(
    sprite_data.asm!$C$3:$R$156,
    INT(_xlpm.idx / SpriteCount) * 7 + INT(_xlpm.r / 16) + 1,
    MOD(_xlpm.r, 16) + 1
  )
)</f>
        <v>00</v>
      </c>
      <c r="F23" t="str" cm="1">
        <f t="array" ref="F23">_xlfn.LET(
  _xlpm.idx, (ROW()-3)*16 + F$1,
  _xlpm.r, MOD(_xlpm.idx, SpriteCount),
  INDEX(
    sprite_data.asm!$C$3:$R$156,
    INT(_xlpm.idx / SpriteCount) * 7 + INT(_xlpm.r / 16) + 1,
    MOD(_xlpm.r, 16) + 1
  )
)</f>
        <v>00</v>
      </c>
      <c r="G23" t="str" cm="1">
        <f t="array" ref="G23">_xlfn.LET(
  _xlpm.idx, (ROW()-3)*16 + G$1,
  _xlpm.r, MOD(_xlpm.idx, SpriteCount),
  INDEX(
    sprite_data.asm!$C$3:$R$156,
    INT(_xlpm.idx / SpriteCount) * 7 + INT(_xlpm.r / 16) + 1,
    MOD(_xlpm.r, 16) + 1
  )
)</f>
        <v>00</v>
      </c>
      <c r="H23" t="str" cm="1">
        <f t="array" ref="H23">_xlfn.LET(
  _xlpm.idx, (ROW()-3)*16 + H$1,
  _xlpm.r, MOD(_xlpm.idx, SpriteCount),
  INDEX(
    sprite_data.asm!$C$3:$R$156,
    INT(_xlpm.idx / SpriteCount) * 7 + INT(_xlpm.r / 16) + 1,
    MOD(_xlpm.r, 16) + 1
  )
)</f>
        <v>04</v>
      </c>
      <c r="I23" t="str" cm="1">
        <f t="array" ref="I23">_xlfn.LET(
  _xlpm.idx, (ROW()-3)*16 + I$1,
  _xlpm.r, MOD(_xlpm.idx, SpriteCount),
  INDEX(
    sprite_data.asm!$C$3:$R$156,
    INT(_xlpm.idx / SpriteCount) * 7 + INT(_xlpm.r / 16) + 1,
    MOD(_xlpm.r, 16) + 1
  )
)</f>
        <v>01</v>
      </c>
      <c r="J23" t="str" cm="1">
        <f t="array" ref="J23">_xlfn.LET(
  _xlpm.idx, (ROW()-3)*16 + J$1,
  _xlpm.r, MOD(_xlpm.idx, SpriteCount),
  INDEX(
    sprite_data.asm!$C$3:$R$156,
    INT(_xlpm.idx / SpriteCount) * 7 + INT(_xlpm.r / 16) + 1,
    MOD(_xlpm.r, 16) + 1
  )
)</f>
        <v>01</v>
      </c>
      <c r="K23" t="str" cm="1">
        <f t="array" ref="K23">_xlfn.LET(
  _xlpm.idx, (ROW()-3)*16 + K$1,
  _xlpm.r, MOD(_xlpm.idx, SpriteCount),
  INDEX(
    sprite_data.asm!$C$3:$R$156,
    INT(_xlpm.idx / SpriteCount) * 7 + INT(_xlpm.r / 16) + 1,
    MOD(_xlpm.r, 16) + 1
  )
)</f>
        <v>01</v>
      </c>
      <c r="L23" t="str" cm="1">
        <f t="array" ref="L23">_xlfn.LET(
  _xlpm.idx, (ROW()-3)*16 + L$1,
  _xlpm.r, MOD(_xlpm.idx, SpriteCount),
  INDEX(
    sprite_data.asm!$C$3:$R$156,
    INT(_xlpm.idx / SpriteCount) * 7 + INT(_xlpm.r / 16) + 1,
    MOD(_xlpm.r, 16) + 1
  )
)</f>
        <v>00</v>
      </c>
      <c r="M23" t="str" cm="1">
        <f t="array" ref="M23">_xlfn.LET(
  _xlpm.idx, (ROW()-3)*16 + M$1,
  _xlpm.r, MOD(_xlpm.idx, SpriteCount),
  INDEX(
    sprite_data.asm!$C$3:$R$156,
    INT(_xlpm.idx / SpriteCount) * 7 + INT(_xlpm.r / 16) + 1,
    MOD(_xlpm.r, 16) + 1
  )
)</f>
        <v>06</v>
      </c>
      <c r="N23" t="str" cm="1">
        <f t="array" ref="N23">_xlfn.LET(
  _xlpm.idx, (ROW()-3)*16 + N$1,
  _xlpm.r, MOD(_xlpm.idx, SpriteCount),
  INDEX(
    sprite_data.asm!$C$3:$R$156,
    INT(_xlpm.idx / SpriteCount) * 7 + INT(_xlpm.r / 16) + 1,
    MOD(_xlpm.r, 16) + 1
  )
)</f>
        <v>03</v>
      </c>
      <c r="O23" t="str" cm="1">
        <f t="array" ref="O23">_xlfn.LET(
  _xlpm.idx, (ROW()-3)*16 + O$1,
  _xlpm.r, MOD(_xlpm.idx, SpriteCount),
  INDEX(
    sprite_data.asm!$C$3:$R$156,
    INT(_xlpm.idx / SpriteCount) * 7 + INT(_xlpm.r / 16) + 1,
    MOD(_xlpm.r, 16) + 1
  )
)</f>
        <v>03</v>
      </c>
      <c r="P23" t="str" cm="1">
        <f t="array" ref="P23">_xlfn.LET(
  _xlpm.idx, (ROW()-3)*16 + P$1,
  _xlpm.r, MOD(_xlpm.idx, SpriteCount),
  INDEX(
    sprite_data.asm!$C$3:$R$156,
    INT(_xlpm.idx / SpriteCount) * 7 + INT(_xlpm.r / 16) + 1,
    MOD(_xlpm.r, 16) + 1
  )
)</f>
        <v>00</v>
      </c>
      <c r="Q23" t="str" cm="1">
        <f t="array" ref="Q23">_xlfn.LET(
  _xlpm.idx, (ROW()-3)*16 + Q$1,
  _xlpm.r, MOD(_xlpm.idx, SpriteCount),
  INDEX(
    sprite_data.asm!$C$3:$R$156,
    INT(_xlpm.idx / SpriteCount) * 7 + INT(_xlpm.r / 16) + 1,
    MOD(_xlpm.r, 16) + 1
  )
)</f>
        <v>00</v>
      </c>
    </row>
    <row r="24" spans="1:17" x14ac:dyDescent="0.3">
      <c r="A24" s="2" t="str">
        <f t="shared" si="3"/>
        <v>AE50</v>
      </c>
      <c r="B24" t="str" cm="1">
        <f t="array" ref="B24">_xlfn.LET(
  _xlpm.idx, (ROW()-3)*16 + B$1,
  _xlpm.r, MOD(_xlpm.idx, SpriteCount),
  INDEX(
    sprite_data.asm!$C$3:$R$156,
    INT(_xlpm.idx / SpriteCount) * 7 + INT(_xlpm.r / 16) + 1,
    MOD(_xlpm.r, 16) + 1
  )
)</f>
        <v>03</v>
      </c>
      <c r="C24" t="str" cm="1">
        <f t="array" ref="C24">_xlfn.LET(
  _xlpm.idx, (ROW()-3)*16 + C$1,
  _xlpm.r, MOD(_xlpm.idx, SpriteCount),
  INDEX(
    sprite_data.asm!$C$3:$R$156,
    INT(_xlpm.idx / SpriteCount) * 7 + INT(_xlpm.r / 16) + 1,
    MOD(_xlpm.r, 16) + 1
  )
)</f>
        <v>00</v>
      </c>
      <c r="D24" t="str" cm="1">
        <f t="array" ref="D24">_xlfn.LET(
  _xlpm.idx, (ROW()-3)*16 + D$1,
  _xlpm.r, MOD(_xlpm.idx, SpriteCount),
  INDEX(
    sprite_data.asm!$C$3:$R$156,
    INT(_xlpm.idx / SpriteCount) * 7 + INT(_xlpm.r / 16) + 1,
    MOD(_xlpm.r, 16) + 1
  )
)</f>
        <v>00</v>
      </c>
      <c r="E24" t="str" cm="1">
        <f t="array" ref="E24">_xlfn.LET(
  _xlpm.idx, (ROW()-3)*16 + E$1,
  _xlpm.r, MOD(_xlpm.idx, SpriteCount),
  INDEX(
    sprite_data.asm!$C$3:$R$156,
    INT(_xlpm.idx / SpriteCount) * 7 + INT(_xlpm.r / 16) + 1,
    MOD(_xlpm.r, 16) + 1
  )
)</f>
        <v>00</v>
      </c>
      <c r="F24" t="str" cm="1">
        <f t="array" ref="F24">_xlfn.LET(
  _xlpm.idx, (ROW()-3)*16 + F$1,
  _xlpm.r, MOD(_xlpm.idx, SpriteCount),
  INDEX(
    sprite_data.asm!$C$3:$R$156,
    INT(_xlpm.idx / SpriteCount) * 7 + INT(_xlpm.r / 16) + 1,
    MOD(_xlpm.r, 16) + 1
  )
)</f>
        <v>00</v>
      </c>
      <c r="G24" t="str" cm="1">
        <f t="array" ref="G24">_xlfn.LET(
  _xlpm.idx, (ROW()-3)*16 + G$1,
  _xlpm.r, MOD(_xlpm.idx, SpriteCount),
  INDEX(
    sprite_data.asm!$C$3:$R$156,
    INT(_xlpm.idx / SpriteCount) * 7 + INT(_xlpm.r / 16) + 1,
    MOD(_xlpm.r, 16) + 1
  )
)</f>
        <v>00</v>
      </c>
      <c r="H24" t="str" cm="1">
        <f t="array" ref="H24">_xlfn.LET(
  _xlpm.idx, (ROW()-3)*16 + H$1,
  _xlpm.r, MOD(_xlpm.idx, SpriteCount),
  INDEX(
    sprite_data.asm!$C$3:$R$156,
    INT(_xlpm.idx / SpriteCount) * 7 + INT(_xlpm.r / 16) + 1,
    MOD(_xlpm.r, 16) + 1
  )
)</f>
        <v>00</v>
      </c>
      <c r="I24" t="str" cm="1">
        <f t="array" ref="I24">_xlfn.LET(
  _xlpm.idx, (ROW()-3)*16 + I$1,
  _xlpm.r, MOD(_xlpm.idx, SpriteCount),
  INDEX(
    sprite_data.asm!$C$3:$R$156,
    INT(_xlpm.idx / SpriteCount) * 7 + INT(_xlpm.r / 16) + 1,
    MOD(_xlpm.r, 16) + 1
  )
)</f>
        <v>02</v>
      </c>
      <c r="J24" t="str" cm="1">
        <f t="array" ref="J24">_xlfn.LET(
  _xlpm.idx, (ROW()-3)*16 + J$1,
  _xlpm.r, MOD(_xlpm.idx, SpriteCount),
  INDEX(
    sprite_data.asm!$C$3:$R$156,
    INT(_xlpm.idx / SpriteCount) * 7 + INT(_xlpm.r / 16) + 1,
    MOD(_xlpm.r, 16) + 1
  )
)</f>
        <v>00</v>
      </c>
      <c r="K24" t="str" cm="1">
        <f t="array" ref="K24">_xlfn.LET(
  _xlpm.idx, (ROW()-3)*16 + K$1,
  _xlpm.r, MOD(_xlpm.idx, SpriteCount),
  INDEX(
    sprite_data.asm!$C$3:$R$156,
    INT(_xlpm.idx / SpriteCount) * 7 + INT(_xlpm.r / 16) + 1,
    MOD(_xlpm.r, 16) + 1
  )
)</f>
        <v>00</v>
      </c>
      <c r="L24" t="str" cm="1">
        <f t="array" ref="L24">_xlfn.LET(
  _xlpm.idx, (ROW()-3)*16 + L$1,
  _xlpm.r, MOD(_xlpm.idx, SpriteCount),
  INDEX(
    sprite_data.asm!$C$3:$R$156,
    INT(_xlpm.idx / SpriteCount) * 7 + INT(_xlpm.r / 16) + 1,
    MOD(_xlpm.r, 16) + 1
  )
)</f>
        <v>00</v>
      </c>
      <c r="M24" t="str" cm="1">
        <f t="array" ref="M24">_xlfn.LET(
  _xlpm.idx, (ROW()-3)*16 + M$1,
  _xlpm.r, MOD(_xlpm.idx, SpriteCount),
  INDEX(
    sprite_data.asm!$C$3:$R$156,
    INT(_xlpm.idx / SpriteCount) * 7 + INT(_xlpm.r / 16) + 1,
    MOD(_xlpm.r, 16) + 1
  )
)</f>
        <v>00</v>
      </c>
      <c r="N24" t="str" cm="1">
        <f t="array" ref="N24">_xlfn.LET(
  _xlpm.idx, (ROW()-3)*16 + N$1,
  _xlpm.r, MOD(_xlpm.idx, SpriteCount),
  INDEX(
    sprite_data.asm!$C$3:$R$156,
    INT(_xlpm.idx / SpriteCount) * 7 + INT(_xlpm.r / 16) + 1,
    MOD(_xlpm.r, 16) + 1
  )
)</f>
        <v>00</v>
      </c>
      <c r="O24" t="str" cm="1">
        <f t="array" ref="O24">_xlfn.LET(
  _xlpm.idx, (ROW()-3)*16 + O$1,
  _xlpm.r, MOD(_xlpm.idx, SpriteCount),
  INDEX(
    sprite_data.asm!$C$3:$R$156,
    INT(_xlpm.idx / SpriteCount) * 7 + INT(_xlpm.r / 16) + 1,
    MOD(_xlpm.r, 16) + 1
  )
)</f>
        <v>00</v>
      </c>
      <c r="P24" t="str" cm="1">
        <f t="array" ref="P24">_xlfn.LET(
  _xlpm.idx, (ROW()-3)*16 + P$1,
  _xlpm.r, MOD(_xlpm.idx, SpriteCount),
  INDEX(
    sprite_data.asm!$C$3:$R$156,
    INT(_xlpm.idx / SpriteCount) * 7 + INT(_xlpm.r / 16) + 1,
    MOD(_xlpm.r, 16) + 1
  )
)</f>
        <v>00</v>
      </c>
      <c r="Q24" t="str" cm="1">
        <f t="array" ref="Q24">_xlfn.LET(
  _xlpm.idx, (ROW()-3)*16 + Q$1,
  _xlpm.r, MOD(_xlpm.idx, SpriteCount),
  INDEX(
    sprite_data.asm!$C$3:$R$156,
    INT(_xlpm.idx / SpriteCount) * 7 + INT(_xlpm.r / 16) + 1,
    MOD(_xlpm.r, 16) + 1
  )
)</f>
        <v>00</v>
      </c>
    </row>
    <row r="25" spans="1:17" x14ac:dyDescent="0.3">
      <c r="A25" s="2" t="str">
        <f t="shared" si="3"/>
        <v>AE60</v>
      </c>
      <c r="B25" t="str" cm="1">
        <f t="array" ref="B25">_xlfn.LET(
  _xlpm.idx, (ROW()-3)*16 + B$1,
  _xlpm.r, MOD(_xlpm.idx, SpriteCount),
  INDEX(
    sprite_data.asm!$C$3:$R$156,
    INT(_xlpm.idx / SpriteCount) * 7 + INT(_xlpm.r / 16) + 1,
    MOD(_xlpm.r, 16) + 1
  )
)</f>
        <v>01</v>
      </c>
      <c r="C25" t="str" cm="1">
        <f t="array" ref="C25">_xlfn.LET(
  _xlpm.idx, (ROW()-3)*16 + C$1,
  _xlpm.r, MOD(_xlpm.idx, SpriteCount),
  INDEX(
    sprite_data.asm!$C$3:$R$156,
    INT(_xlpm.idx / SpriteCount) * 7 + INT(_xlpm.r / 16) + 1,
    MOD(_xlpm.r, 16) + 1
  )
)</f>
        <v>01</v>
      </c>
      <c r="D25" t="str" cm="1">
        <f t="array" ref="D25">_xlfn.LET(
  _xlpm.idx, (ROW()-3)*16 + D$1,
  _xlpm.r, MOD(_xlpm.idx, SpriteCount),
  INDEX(
    sprite_data.asm!$C$3:$R$156,
    INT(_xlpm.idx / SpriteCount) * 7 + INT(_xlpm.r / 16) + 1,
    MOD(_xlpm.r, 16) + 1
  )
)</f>
        <v>01</v>
      </c>
      <c r="E25" t="str" cm="1">
        <f t="array" ref="E25">_xlfn.LET(
  _xlpm.idx, (ROW()-3)*16 + E$1,
  _xlpm.r, MOD(_xlpm.idx, SpriteCount),
  INDEX(
    sprite_data.asm!$C$3:$R$156,
    INT(_xlpm.idx / SpriteCount) * 7 + INT(_xlpm.r / 16) + 1,
    MOD(_xlpm.r, 16) + 1
  )
)</f>
        <v>00</v>
      </c>
      <c r="F25" t="str" cm="1">
        <f t="array" ref="F25">_xlfn.LET(
  _xlpm.idx, (ROW()-3)*16 + F$1,
  _xlpm.r, MOD(_xlpm.idx, SpriteCount),
  INDEX(
    sprite_data.asm!$C$3:$R$156,
    INT(_xlpm.idx / SpriteCount) * 7 + INT(_xlpm.r / 16) + 1,
    MOD(_xlpm.r, 16) + 1
  )
)</f>
        <v>00</v>
      </c>
      <c r="G25" t="str" cm="1">
        <f t="array" ref="G25">_xlfn.LET(
  _xlpm.idx, (ROW()-3)*16 + G$1,
  _xlpm.r, MOD(_xlpm.idx, SpriteCount),
  INDEX(
    sprite_data.asm!$C$3:$R$156,
    INT(_xlpm.idx / SpriteCount) * 7 + INT(_xlpm.r / 16) + 1,
    MOD(_xlpm.r, 16) + 1
  )
)</f>
        <v>01</v>
      </c>
      <c r="H25" t="str" cm="1">
        <f t="array" ref="H25">_xlfn.LET(
  _xlpm.idx, (ROW()-3)*16 + H$1,
  _xlpm.r, MOD(_xlpm.idx, SpriteCount),
  INDEX(
    sprite_data.asm!$C$3:$R$156,
    INT(_xlpm.idx / SpriteCount) * 7 + INT(_xlpm.r / 16) + 1,
    MOD(_xlpm.r, 16) + 1
  )
)</f>
        <v>00</v>
      </c>
      <c r="I25" t="str" cm="1">
        <f t="array" ref="I25">_xlfn.LET(
  _xlpm.idx, (ROW()-3)*16 + I$1,
  _xlpm.r, MOD(_xlpm.idx, SpriteCount),
  INDEX(
    sprite_data.asm!$C$3:$R$156,
    INT(_xlpm.idx / SpriteCount) * 7 + INT(_xlpm.r / 16) + 1,
    MOD(_xlpm.r, 16) + 1
  )
)</f>
        <v>00</v>
      </c>
      <c r="J25" t="str" cm="1">
        <f t="array" ref="J25">_xlfn.LET(
  _xlpm.idx, (ROW()-3)*16 + J$1,
  _xlpm.r, MOD(_xlpm.idx, SpriteCount),
  INDEX(
    sprite_data.asm!$C$3:$R$156,
    INT(_xlpm.idx / SpriteCount) * 7 + INT(_xlpm.r / 16) + 1,
    MOD(_xlpm.r, 16) + 1
  )
)</f>
        <v>01</v>
      </c>
      <c r="K25" t="str" cm="1">
        <f t="array" ref="K25">_xlfn.LET(
  _xlpm.idx, (ROW()-3)*16 + K$1,
  _xlpm.r, MOD(_xlpm.idx, SpriteCount),
  INDEX(
    sprite_data.asm!$C$3:$R$156,
    INT(_xlpm.idx / SpriteCount) * 7 + INT(_xlpm.r / 16) + 1,
    MOD(_xlpm.r, 16) + 1
  )
)</f>
        <v>00</v>
      </c>
      <c r="L25" t="str" cm="1">
        <f t="array" ref="L25">_xlfn.LET(
  _xlpm.idx, (ROW()-3)*16 + L$1,
  _xlpm.r, MOD(_xlpm.idx, SpriteCount),
  INDEX(
    sprite_data.asm!$C$3:$R$156,
    INT(_xlpm.idx / SpriteCount) * 7 + INT(_xlpm.r / 16) + 1,
    MOD(_xlpm.r, 16) + 1
  )
)</f>
        <v>00</v>
      </c>
      <c r="M25" t="str" cm="1">
        <f t="array" ref="M25">_xlfn.LET(
  _xlpm.idx, (ROW()-3)*16 + M$1,
  _xlpm.r, MOD(_xlpm.idx, SpriteCount),
  INDEX(
    sprite_data.asm!$C$3:$R$156,
    INT(_xlpm.idx / SpriteCount) * 7 + INT(_xlpm.r / 16) + 1,
    MOD(_xlpm.r, 16) + 1
  )
)</f>
        <v>04</v>
      </c>
      <c r="N25" t="str" cm="1">
        <f t="array" ref="N25">_xlfn.LET(
  _xlpm.idx, (ROW()-3)*16 + N$1,
  _xlpm.r, MOD(_xlpm.idx, SpriteCount),
  INDEX(
    sprite_data.asm!$C$3:$R$156,
    INT(_xlpm.idx / SpriteCount) * 7 + INT(_xlpm.r / 16) + 1,
    MOD(_xlpm.r, 16) + 1
  )
)</f>
        <v>00</v>
      </c>
      <c r="O25" t="str" cm="1">
        <f t="array" ref="O25">_xlfn.LET(
  _xlpm.idx, (ROW()-3)*16 + O$1,
  _xlpm.r, MOD(_xlpm.idx, SpriteCount),
  INDEX(
    sprite_data.asm!$C$3:$R$156,
    INT(_xlpm.idx / SpriteCount) * 7 + INT(_xlpm.r / 16) + 1,
    MOD(_xlpm.r, 16) + 1
  )
)</f>
        <v>04</v>
      </c>
      <c r="P25" t="str" cm="1">
        <f t="array" ref="P25">_xlfn.LET(
  _xlpm.idx, (ROW()-3)*16 + P$1,
  _xlpm.r, MOD(_xlpm.idx, SpriteCount),
  INDEX(
    sprite_data.asm!$C$3:$R$156,
    INT(_xlpm.idx / SpriteCount) * 7 + INT(_xlpm.r / 16) + 1,
    MOD(_xlpm.r, 16) + 1
  )
)</f>
        <v>04</v>
      </c>
      <c r="Q25" t="str" cm="1">
        <f t="array" ref="Q25">_xlfn.LET(
  _xlpm.idx, (ROW()-3)*16 + Q$1,
  _xlpm.r, MOD(_xlpm.idx, SpriteCount),
  INDEX(
    sprite_data.asm!$C$3:$R$156,
    INT(_xlpm.idx / SpriteCount) * 7 + INT(_xlpm.r / 16) + 1,
    MOD(_xlpm.r, 16) + 1
  )
)</f>
        <v>00</v>
      </c>
    </row>
    <row r="26" spans="1:17" x14ac:dyDescent="0.3">
      <c r="A26" s="2" t="str">
        <f t="shared" si="3"/>
        <v>AE70</v>
      </c>
      <c r="B26" t="str" cm="1">
        <f t="array" ref="B26">_xlfn.LET(
  _xlpm.idx, (ROW()-3)*16 + B$1,
  _xlpm.r, MOD(_xlpm.idx, SpriteCount),
  INDEX(
    sprite_data.asm!$C$3:$R$156,
    INT(_xlpm.idx / SpriteCount) * 7 + INT(_xlpm.r / 16) + 1,
    MOD(_xlpm.r, 16) + 1
  )
)</f>
        <v>00</v>
      </c>
      <c r="C26" t="str" cm="1">
        <f t="array" ref="C26">_xlfn.LET(
  _xlpm.idx, (ROW()-3)*16 + C$1,
  _xlpm.r, MOD(_xlpm.idx, SpriteCount),
  INDEX(
    sprite_data.asm!$C$3:$R$156,
    INT(_xlpm.idx / SpriteCount) * 7 + INT(_xlpm.r / 16) + 1,
    MOD(_xlpm.r, 16) + 1
  )
)</f>
        <v>00</v>
      </c>
      <c r="D26" t="str" cm="1">
        <f t="array" ref="D26">_xlfn.LET(
  _xlpm.idx, (ROW()-3)*16 + D$1,
  _xlpm.r, MOD(_xlpm.idx, SpriteCount),
  INDEX(
    sprite_data.asm!$C$3:$R$156,
    INT(_xlpm.idx / SpriteCount) * 7 + INT(_xlpm.r / 16) + 1,
    MOD(_xlpm.r, 16) + 1
  )
)</f>
        <v>00</v>
      </c>
      <c r="E26" t="str" cm="1">
        <f t="array" ref="E26">_xlfn.LET(
  _xlpm.idx, (ROW()-3)*16 + E$1,
  _xlpm.r, MOD(_xlpm.idx, SpriteCount),
  INDEX(
    sprite_data.asm!$C$3:$R$156,
    INT(_xlpm.idx / SpriteCount) * 7 + INT(_xlpm.r / 16) + 1,
    MOD(_xlpm.r, 16) + 1
  )
)</f>
        <v>00</v>
      </c>
      <c r="F26" t="str" cm="1">
        <f t="array" ref="F26">_xlfn.LET(
  _xlpm.idx, (ROW()-3)*16 + F$1,
  _xlpm.r, MOD(_xlpm.idx, SpriteCount),
  INDEX(
    sprite_data.asm!$C$3:$R$156,
    INT(_xlpm.idx / SpriteCount) * 7 + INT(_xlpm.r / 16) + 1,
    MOD(_xlpm.r, 16) + 1
  )
)</f>
        <v>00</v>
      </c>
      <c r="G26" t="str" cm="1">
        <f t="array" ref="G26">_xlfn.LET(
  _xlpm.idx, (ROW()-3)*16 + G$1,
  _xlpm.r, MOD(_xlpm.idx, SpriteCount),
  INDEX(
    sprite_data.asm!$C$3:$R$156,
    INT(_xlpm.idx / SpriteCount) * 7 + INT(_xlpm.r / 16) + 1,
    MOD(_xlpm.r, 16) + 1
  )
)</f>
        <v>00</v>
      </c>
      <c r="H26" t="str" cm="1">
        <f t="array" ref="H26">_xlfn.LET(
  _xlpm.idx, (ROW()-3)*16 + H$1,
  _xlpm.r, MOD(_xlpm.idx, SpriteCount),
  INDEX(
    sprite_data.asm!$C$3:$R$156,
    INT(_xlpm.idx / SpriteCount) * 7 + INT(_xlpm.r / 16) + 1,
    MOD(_xlpm.r, 16) + 1
  )
)</f>
        <v>00</v>
      </c>
      <c r="I26" t="str" cm="1">
        <f t="array" ref="I26">_xlfn.LET(
  _xlpm.idx, (ROW()-3)*16 + I$1,
  _xlpm.r, MOD(_xlpm.idx, SpriteCount),
  INDEX(
    sprite_data.asm!$C$3:$R$156,
    INT(_xlpm.idx / SpriteCount) * 7 + INT(_xlpm.r / 16) + 1,
    MOD(_xlpm.r, 16) + 1
  )
)</f>
        <v>00</v>
      </c>
      <c r="J26" t="str" cm="1">
        <f t="array" ref="J26">_xlfn.LET(
  _xlpm.idx, (ROW()-3)*16 + J$1,
  _xlpm.r, MOD(_xlpm.idx, SpriteCount),
  INDEX(
    sprite_data.asm!$C$3:$R$156,
    INT(_xlpm.idx / SpriteCount) * 7 + INT(_xlpm.r / 16) + 1,
    MOD(_xlpm.r, 16) + 1
  )
)</f>
        <v>00</v>
      </c>
      <c r="K26" t="str" cm="1">
        <f t="array" ref="K26">_xlfn.LET(
  _xlpm.idx, (ROW()-3)*16 + K$1,
  _xlpm.r, MOD(_xlpm.idx, SpriteCount),
  INDEX(
    sprite_data.asm!$C$3:$R$156,
    INT(_xlpm.idx / SpriteCount) * 7 + INT(_xlpm.r / 16) + 1,
    MOD(_xlpm.r, 16) + 1
  )
)</f>
        <v>00</v>
      </c>
      <c r="L26" t="str" cm="1">
        <f t="array" ref="L26">_xlfn.LET(
  _xlpm.idx, (ROW()-3)*16 + L$1,
  _xlpm.r, MOD(_xlpm.idx, SpriteCount),
  INDEX(
    sprite_data.asm!$C$3:$R$156,
    INT(_xlpm.idx / SpriteCount) * 7 + INT(_xlpm.r / 16) + 1,
    MOD(_xlpm.r, 16) + 1
  )
)</f>
        <v>00</v>
      </c>
      <c r="M26" t="str" cm="1">
        <f t="array" ref="M26">_xlfn.LET(
  _xlpm.idx, (ROW()-3)*16 + M$1,
  _xlpm.r, MOD(_xlpm.idx, SpriteCount),
  INDEX(
    sprite_data.asm!$C$3:$R$156,
    INT(_xlpm.idx / SpriteCount) * 7 + INT(_xlpm.r / 16) + 1,
    MOD(_xlpm.r, 16) + 1
  )
)</f>
        <v>00</v>
      </c>
      <c r="N26" t="str" cm="1">
        <f t="array" ref="N26">_xlfn.LET(
  _xlpm.idx, (ROW()-3)*16 + N$1,
  _xlpm.r, MOD(_xlpm.idx, SpriteCount),
  INDEX(
    sprite_data.asm!$C$3:$R$156,
    INT(_xlpm.idx / SpriteCount) * 7 + INT(_xlpm.r / 16) + 1,
    MOD(_xlpm.r, 16) + 1
  )
)</f>
        <v>00</v>
      </c>
      <c r="O26" t="str" cm="1">
        <f t="array" ref="O26">_xlfn.LET(
  _xlpm.idx, (ROW()-3)*16 + O$1,
  _xlpm.r, MOD(_xlpm.idx, SpriteCount),
  INDEX(
    sprite_data.asm!$C$3:$R$156,
    INT(_xlpm.idx / SpriteCount) * 7 + INT(_xlpm.r / 16) + 1,
    MOD(_xlpm.r, 16) + 1
  )
)</f>
        <v>00</v>
      </c>
      <c r="P26" t="str" cm="1">
        <f t="array" ref="P26">_xlfn.LET(
  _xlpm.idx, (ROW()-3)*16 + P$1,
  _xlpm.r, MOD(_xlpm.idx, SpriteCount),
  INDEX(
    sprite_data.asm!$C$3:$R$156,
    INT(_xlpm.idx / SpriteCount) * 7 + INT(_xlpm.r / 16) + 1,
    MOD(_xlpm.r, 16) + 1
  )
)</f>
        <v>00</v>
      </c>
      <c r="Q26" t="str" cm="1">
        <f t="array" ref="Q26">_xlfn.LET(
  _xlpm.idx, (ROW()-3)*16 + Q$1,
  _xlpm.r, MOD(_xlpm.idx, SpriteCount),
  INDEX(
    sprite_data.asm!$C$3:$R$156,
    INT(_xlpm.idx / SpriteCount) * 7 + INT(_xlpm.r / 16) + 1,
    MOD(_xlpm.r, 16) + 1
  )
)</f>
        <v>00</v>
      </c>
    </row>
    <row r="27" spans="1:17" x14ac:dyDescent="0.3">
      <c r="A27" s="2" t="str">
        <f t="shared" si="3"/>
        <v>AE80</v>
      </c>
      <c r="B27" t="str" cm="1">
        <f t="array" ref="B27">_xlfn.LET(
  _xlpm.idx, (ROW()-3)*16 + B$1,
  _xlpm.r, MOD(_xlpm.idx, SpriteCount),
  INDEX(
    sprite_data.asm!$C$3:$R$156,
    INT(_xlpm.idx / SpriteCount) * 7 + INT(_xlpm.r / 16) + 1,
    MOD(_xlpm.r, 16) + 1
  )
)</f>
        <v>00</v>
      </c>
      <c r="C27" t="str" cm="1">
        <f t="array" ref="C27">_xlfn.LET(
  _xlpm.idx, (ROW()-3)*16 + C$1,
  _xlpm.r, MOD(_xlpm.idx, SpriteCount),
  INDEX(
    sprite_data.asm!$C$3:$R$156,
    INT(_xlpm.idx / SpriteCount) * 7 + INT(_xlpm.r / 16) + 1,
    MOD(_xlpm.r, 16) + 1
  )
)</f>
        <v>00</v>
      </c>
      <c r="D27" t="str" cm="1">
        <f t="array" ref="D27">_xlfn.LET(
  _xlpm.idx, (ROW()-3)*16 + D$1,
  _xlpm.r, MOD(_xlpm.idx, SpriteCount),
  INDEX(
    sprite_data.asm!$C$3:$R$156,
    INT(_xlpm.idx / SpriteCount) * 7 + INT(_xlpm.r / 16) + 1,
    MOD(_xlpm.r, 16) + 1
  )
)</f>
        <v>00</v>
      </c>
      <c r="E27" t="str" cm="1">
        <f t="array" ref="E27">_xlfn.LET(
  _xlpm.idx, (ROW()-3)*16 + E$1,
  _xlpm.r, MOD(_xlpm.idx, SpriteCount),
  INDEX(
    sprite_data.asm!$C$3:$R$156,
    INT(_xlpm.idx / SpriteCount) * 7 + INT(_xlpm.r / 16) + 1,
    MOD(_xlpm.r, 16) + 1
  )
)</f>
        <v>00</v>
      </c>
      <c r="F27" t="str" cm="1">
        <f t="array" ref="F27">_xlfn.LET(
  _xlpm.idx, (ROW()-3)*16 + F$1,
  _xlpm.r, MOD(_xlpm.idx, SpriteCount),
  INDEX(
    sprite_data.asm!$C$3:$R$156,
    INT(_xlpm.idx / SpriteCount) * 7 + INT(_xlpm.r / 16) + 1,
    MOD(_xlpm.r, 16) + 1
  )
)</f>
        <v>00</v>
      </c>
      <c r="G27" t="str" cm="1">
        <f t="array" ref="G27">_xlfn.LET(
  _xlpm.idx, (ROW()-3)*16 + G$1,
  _xlpm.r, MOD(_xlpm.idx, SpriteCount),
  INDEX(
    sprite_data.asm!$C$3:$R$156,
    INT(_xlpm.idx / SpriteCount) * 7 + INT(_xlpm.r / 16) + 1,
    MOD(_xlpm.r, 16) + 1
  )
)</f>
        <v>00</v>
      </c>
      <c r="H27" t="str" cm="1">
        <f t="array" ref="H27">_xlfn.LET(
  _xlpm.idx, (ROW()-3)*16 + H$1,
  _xlpm.r, MOD(_xlpm.idx, SpriteCount),
  INDEX(
    sprite_data.asm!$C$3:$R$156,
    INT(_xlpm.idx / SpriteCount) * 7 + INT(_xlpm.r / 16) + 1,
    MOD(_xlpm.r, 16) + 1
  )
)</f>
        <v>00</v>
      </c>
      <c r="I27" t="str" cm="1">
        <f t="array" ref="I27">_xlfn.LET(
  _xlpm.idx, (ROW()-3)*16 + I$1,
  _xlpm.r, MOD(_xlpm.idx, SpriteCount),
  INDEX(
    sprite_data.asm!$C$3:$R$156,
    INT(_xlpm.idx / SpriteCount) * 7 + INT(_xlpm.r / 16) + 1,
    MOD(_xlpm.r, 16) + 1
  )
)</f>
        <v>00</v>
      </c>
      <c r="J27" t="str" cm="1">
        <f t="array" ref="J27">_xlfn.LET(
  _xlpm.idx, (ROW()-3)*16 + J$1,
  _xlpm.r, MOD(_xlpm.idx, SpriteCount),
  INDEX(
    sprite_data.asm!$C$3:$R$156,
    INT(_xlpm.idx / SpriteCount) * 7 + INT(_xlpm.r / 16) + 1,
    MOD(_xlpm.r, 16) + 1
  )
)</f>
        <v>00</v>
      </c>
      <c r="K27" t="str" cm="1">
        <f t="array" ref="K27">_xlfn.LET(
  _xlpm.idx, (ROW()-3)*16 + K$1,
  _xlpm.r, MOD(_xlpm.idx, SpriteCount),
  INDEX(
    sprite_data.asm!$C$3:$R$156,
    INT(_xlpm.idx / SpriteCount) * 7 + INT(_xlpm.r / 16) + 1,
    MOD(_xlpm.r, 16) + 1
  )
)</f>
        <v>00</v>
      </c>
      <c r="L27" t="str" cm="1">
        <f t="array" ref="L27">_xlfn.LET(
  _xlpm.idx, (ROW()-3)*16 + L$1,
  _xlpm.r, MOD(_xlpm.idx, SpriteCount),
  INDEX(
    sprite_data.asm!$C$3:$R$156,
    INT(_xlpm.idx / SpriteCount) * 7 + INT(_xlpm.r / 16) + 1,
    MOD(_xlpm.r, 16) + 1
  )
)</f>
        <v>00</v>
      </c>
      <c r="M27" t="str" cm="1">
        <f t="array" ref="M27">_xlfn.LET(
  _xlpm.idx, (ROW()-3)*16 + M$1,
  _xlpm.r, MOD(_xlpm.idx, SpriteCount),
  INDEX(
    sprite_data.asm!$C$3:$R$156,
    INT(_xlpm.idx / SpriteCount) * 7 + INT(_xlpm.r / 16) + 1,
    MOD(_xlpm.r, 16) + 1
  )
)</f>
        <v>00</v>
      </c>
      <c r="N27" t="str" cm="1">
        <f t="array" ref="N27">_xlfn.LET(
  _xlpm.idx, (ROW()-3)*16 + N$1,
  _xlpm.r, MOD(_xlpm.idx, SpriteCount),
  INDEX(
    sprite_data.asm!$C$3:$R$156,
    INT(_xlpm.idx / SpriteCount) * 7 + INT(_xlpm.r / 16) + 1,
    MOD(_xlpm.r, 16) + 1
  )
)</f>
        <v>00</v>
      </c>
      <c r="O27" t="str" cm="1">
        <f t="array" ref="O27">_xlfn.LET(
  _xlpm.idx, (ROW()-3)*16 + O$1,
  _xlpm.r, MOD(_xlpm.idx, SpriteCount),
  INDEX(
    sprite_data.asm!$C$3:$R$156,
    INT(_xlpm.idx / SpriteCount) * 7 + INT(_xlpm.r / 16) + 1,
    MOD(_xlpm.r, 16) + 1
  )
)</f>
        <v>00</v>
      </c>
      <c r="P27" t="str" cm="1">
        <f t="array" ref="P27">_xlfn.LET(
  _xlpm.idx, (ROW()-3)*16 + P$1,
  _xlpm.r, MOD(_xlpm.idx, SpriteCount),
  INDEX(
    sprite_data.asm!$C$3:$R$156,
    INT(_xlpm.idx / SpriteCount) * 7 + INT(_xlpm.r / 16) + 1,
    MOD(_xlpm.r, 16) + 1
  )
)</f>
        <v>00</v>
      </c>
      <c r="Q27" t="str" cm="1">
        <f t="array" ref="Q27">_xlfn.LET(
  _xlpm.idx, (ROW()-3)*16 + Q$1,
  _xlpm.r, MOD(_xlpm.idx, SpriteCount),
  INDEX(
    sprite_data.asm!$C$3:$R$156,
    INT(_xlpm.idx / SpriteCount) * 7 + INT(_xlpm.r / 16) + 1,
    MOD(_xlpm.r, 16) + 1
  )
)</f>
        <v>00</v>
      </c>
    </row>
    <row r="28" spans="1:17" x14ac:dyDescent="0.3">
      <c r="A28" s="2" t="str">
        <f t="shared" si="3"/>
        <v>AE90</v>
      </c>
      <c r="B28" t="str" cm="1">
        <f t="array" ref="B28">_xlfn.LET(
  _xlpm.idx, (ROW()-3)*16 + B$1,
  _xlpm.r, MOD(_xlpm.idx, SpriteCount),
  INDEX(
    sprite_data.asm!$C$3:$R$156,
    INT(_xlpm.idx / SpriteCount) * 7 + INT(_xlpm.r / 16) + 1,
    MOD(_xlpm.r, 16) + 1
  )
)</f>
        <v>00</v>
      </c>
      <c r="C28" t="str" cm="1">
        <f t="array" ref="C28">_xlfn.LET(
  _xlpm.idx, (ROW()-3)*16 + C$1,
  _xlpm.r, MOD(_xlpm.idx, SpriteCount),
  INDEX(
    sprite_data.asm!$C$3:$R$156,
    INT(_xlpm.idx / SpriteCount) * 7 + INT(_xlpm.r / 16) + 1,
    MOD(_xlpm.r, 16) + 1
  )
)</f>
        <v>00</v>
      </c>
      <c r="D28" t="str" cm="1">
        <f t="array" ref="D28">_xlfn.LET(
  _xlpm.idx, (ROW()-3)*16 + D$1,
  _xlpm.r, MOD(_xlpm.idx, SpriteCount),
  INDEX(
    sprite_data.asm!$C$3:$R$156,
    INT(_xlpm.idx / SpriteCount) * 7 + INT(_xlpm.r / 16) + 1,
    MOD(_xlpm.r, 16) + 1
  )
)</f>
        <v>00</v>
      </c>
      <c r="E28" t="str" cm="1">
        <f t="array" ref="E28">_xlfn.LET(
  _xlpm.idx, (ROW()-3)*16 + E$1,
  _xlpm.r, MOD(_xlpm.idx, SpriteCount),
  INDEX(
    sprite_data.asm!$C$3:$R$156,
    INT(_xlpm.idx / SpriteCount) * 7 + INT(_xlpm.r / 16) + 1,
    MOD(_xlpm.r, 16) + 1
  )
)</f>
        <v>00</v>
      </c>
      <c r="F28" t="str" cm="1">
        <f t="array" ref="F28">_xlfn.LET(
  _xlpm.idx, (ROW()-3)*16 + F$1,
  _xlpm.r, MOD(_xlpm.idx, SpriteCount),
  INDEX(
    sprite_data.asm!$C$3:$R$156,
    INT(_xlpm.idx / SpriteCount) * 7 + INT(_xlpm.r / 16) + 1,
    MOD(_xlpm.r, 16) + 1
  )
)</f>
        <v>00</v>
      </c>
      <c r="G28" t="str" cm="1">
        <f t="array" ref="G28">_xlfn.LET(
  _xlpm.idx, (ROW()-3)*16 + G$1,
  _xlpm.r, MOD(_xlpm.idx, SpriteCount),
  INDEX(
    sprite_data.asm!$C$3:$R$156,
    INT(_xlpm.idx / SpriteCount) * 7 + INT(_xlpm.r / 16) + 1,
    MOD(_xlpm.r, 16) + 1
  )
)</f>
        <v>00</v>
      </c>
      <c r="H28" t="str" cm="1">
        <f t="array" ref="H28">_xlfn.LET(
  _xlpm.idx, (ROW()-3)*16 + H$1,
  _xlpm.r, MOD(_xlpm.idx, SpriteCount),
  INDEX(
    sprite_data.asm!$C$3:$R$156,
    INT(_xlpm.idx / SpriteCount) * 7 + INT(_xlpm.r / 16) + 1,
    MOD(_xlpm.r, 16) + 1
  )
)</f>
        <v>00</v>
      </c>
      <c r="I28" t="str" cm="1">
        <f t="array" ref="I28">_xlfn.LET(
  _xlpm.idx, (ROW()-3)*16 + I$1,
  _xlpm.r, MOD(_xlpm.idx, SpriteCount),
  INDEX(
    sprite_data.asm!$C$3:$R$156,
    INT(_xlpm.idx / SpriteCount) * 7 + INT(_xlpm.r / 16) + 1,
    MOD(_xlpm.r, 16) + 1
  )
)</f>
        <v>00</v>
      </c>
      <c r="J28" t="str" cm="1">
        <f t="array" ref="J28">_xlfn.LET(
  _xlpm.idx, (ROW()-3)*16 + J$1,
  _xlpm.r, MOD(_xlpm.idx, SpriteCount),
  INDEX(
    sprite_data.asm!$C$3:$R$156,
    INT(_xlpm.idx / SpriteCount) * 7 + INT(_xlpm.r / 16) + 1,
    MOD(_xlpm.r, 16) + 1
  )
)</f>
        <v>00</v>
      </c>
      <c r="K28" t="str" cm="1">
        <f t="array" ref="K28">_xlfn.LET(
  _xlpm.idx, (ROW()-3)*16 + K$1,
  _xlpm.r, MOD(_xlpm.idx, SpriteCount),
  INDEX(
    sprite_data.asm!$C$3:$R$156,
    INT(_xlpm.idx / SpriteCount) * 7 + INT(_xlpm.r / 16) + 1,
    MOD(_xlpm.r, 16) + 1
  )
)</f>
        <v>00</v>
      </c>
      <c r="L28" t="str" cm="1">
        <f t="array" ref="L28">_xlfn.LET(
  _xlpm.idx, (ROW()-3)*16 + L$1,
  _xlpm.r, MOD(_xlpm.idx, SpriteCount),
  INDEX(
    sprite_data.asm!$C$3:$R$156,
    INT(_xlpm.idx / SpriteCount) * 7 + INT(_xlpm.r / 16) + 1,
    MOD(_xlpm.r, 16) + 1
  )
)</f>
        <v>00</v>
      </c>
      <c r="M28" t="str" cm="1">
        <f t="array" ref="M28">_xlfn.LET(
  _xlpm.idx, (ROW()-3)*16 + M$1,
  _xlpm.r, MOD(_xlpm.idx, SpriteCount),
  INDEX(
    sprite_data.asm!$C$3:$R$156,
    INT(_xlpm.idx / SpriteCount) * 7 + INT(_xlpm.r / 16) + 1,
    MOD(_xlpm.r, 16) + 1
  )
)</f>
        <v>00</v>
      </c>
      <c r="N28" t="str" cm="1">
        <f t="array" ref="N28">_xlfn.LET(
  _xlpm.idx, (ROW()-3)*16 + N$1,
  _xlpm.r, MOD(_xlpm.idx, SpriteCount),
  INDEX(
    sprite_data.asm!$C$3:$R$156,
    INT(_xlpm.idx / SpriteCount) * 7 + INT(_xlpm.r / 16) + 1,
    MOD(_xlpm.r, 16) + 1
  )
)</f>
        <v>00</v>
      </c>
      <c r="O28" t="str" cm="1">
        <f t="array" ref="O28">_xlfn.LET(
  _xlpm.idx, (ROW()-3)*16 + O$1,
  _xlpm.r, MOD(_xlpm.idx, SpriteCount),
  INDEX(
    sprite_data.asm!$C$3:$R$156,
    INT(_xlpm.idx / SpriteCount) * 7 + INT(_xlpm.r / 16) + 1,
    MOD(_xlpm.r, 16) + 1
  )
)</f>
        <v>00</v>
      </c>
      <c r="P28" t="str" cm="1">
        <f t="array" ref="P28">_xlfn.LET(
  _xlpm.idx, (ROW()-3)*16 + P$1,
  _xlpm.r, MOD(_xlpm.idx, SpriteCount),
  INDEX(
    sprite_data.asm!$C$3:$R$156,
    INT(_xlpm.idx / SpriteCount) * 7 + INT(_xlpm.r / 16) + 1,
    MOD(_xlpm.r, 16) + 1
  )
)</f>
        <v>70</v>
      </c>
      <c r="Q28" t="str" cm="1">
        <f t="array" ref="Q28">_xlfn.LET(
  _xlpm.idx, (ROW()-3)*16 + Q$1,
  _xlpm.r, MOD(_xlpm.idx, SpriteCount),
  INDEX(
    sprite_data.asm!$C$3:$R$156,
    INT(_xlpm.idx / SpriteCount) * 7 + INT(_xlpm.r / 16) + 1,
    MOD(_xlpm.r, 16) + 1
  )
)</f>
        <v>60</v>
      </c>
    </row>
    <row r="29" spans="1:17" x14ac:dyDescent="0.3">
      <c r="A29" s="2" t="str">
        <f t="shared" si="3"/>
        <v>AEA0</v>
      </c>
      <c r="B29" t="str" cm="1">
        <f t="array" ref="B29">_xlfn.LET(
  _xlpm.idx, (ROW()-3)*16 + B$1,
  _xlpm.r, MOD(_xlpm.idx, SpriteCount),
  INDEX(
    sprite_data.asm!$C$3:$R$156,
    INT(_xlpm.idx / SpriteCount) * 7 + INT(_xlpm.r / 16) + 1,
    MOD(_xlpm.r, 16) + 1
  )
)</f>
        <v>00</v>
      </c>
      <c r="C29" t="str" cm="1">
        <f t="array" ref="C29">_xlfn.LET(
  _xlpm.idx, (ROW()-3)*16 + C$1,
  _xlpm.r, MOD(_xlpm.idx, SpriteCount),
  INDEX(
    sprite_data.asm!$C$3:$R$156,
    INT(_xlpm.idx / SpriteCount) * 7 + INT(_xlpm.r / 16) + 1,
    MOD(_xlpm.r, 16) + 1
  )
)</f>
        <v>15</v>
      </c>
      <c r="D29" t="str" cm="1">
        <f t="array" ref="D29">_xlfn.LET(
  _xlpm.idx, (ROW()-3)*16 + D$1,
  _xlpm.r, MOD(_xlpm.idx, SpriteCount),
  INDEX(
    sprite_data.asm!$C$3:$R$156,
    INT(_xlpm.idx / SpriteCount) * 7 + INT(_xlpm.r / 16) + 1,
    MOD(_xlpm.r, 16) + 1
  )
)</f>
        <v>55</v>
      </c>
      <c r="E29" t="str" cm="1">
        <f t="array" ref="E29">_xlfn.LET(
  _xlpm.idx, (ROW()-3)*16 + E$1,
  _xlpm.r, MOD(_xlpm.idx, SpriteCount),
  INDEX(
    sprite_data.asm!$C$3:$R$156,
    INT(_xlpm.idx / SpriteCount) * 7 + INT(_xlpm.r / 16) + 1,
    MOD(_xlpm.r, 16) + 1
  )
)</f>
        <v>7E</v>
      </c>
      <c r="F29" t="str" cm="1">
        <f t="array" ref="F29">_xlfn.LET(
  _xlpm.idx, (ROW()-3)*16 + F$1,
  _xlpm.r, MOD(_xlpm.idx, SpriteCount),
  INDEX(
    sprite_data.asm!$C$3:$R$156,
    INT(_xlpm.idx / SpriteCount) * 7 + INT(_xlpm.r / 16) + 1,
    MOD(_xlpm.r, 16) + 1
  )
)</f>
        <v>00</v>
      </c>
      <c r="G29" t="str" cm="1">
        <f t="array" ref="G29">_xlfn.LET(
  _xlpm.idx, (ROW()-3)*16 + G$1,
  _xlpm.r, MOD(_xlpm.idx, SpriteCount),
  INDEX(
    sprite_data.asm!$C$3:$R$156,
    INT(_xlpm.idx / SpriteCount) * 7 + INT(_xlpm.r / 16) + 1,
    MOD(_xlpm.r, 16) + 1
  )
)</f>
        <v>00</v>
      </c>
      <c r="H29" t="str" cm="1">
        <f t="array" ref="H29">_xlfn.LET(
  _xlpm.idx, (ROW()-3)*16 + H$1,
  _xlpm.r, MOD(_xlpm.idx, SpriteCount),
  INDEX(
    sprite_data.asm!$C$3:$R$156,
    INT(_xlpm.idx / SpriteCount) * 7 + INT(_xlpm.r / 16) + 1,
    MOD(_xlpm.r, 16) + 1
  )
)</f>
        <v>7E</v>
      </c>
      <c r="I29" t="str" cm="1">
        <f t="array" ref="I29">_xlfn.LET(
  _xlpm.idx, (ROW()-3)*16 + I$1,
  _xlpm.r, MOD(_xlpm.idx, SpriteCount),
  INDEX(
    sprite_data.asm!$C$3:$R$156,
    INT(_xlpm.idx / SpriteCount) * 7 + INT(_xlpm.r / 16) + 1,
    MOD(_xlpm.r, 16) + 1
  )
)</f>
        <v>00</v>
      </c>
      <c r="J29" t="str" cm="1">
        <f t="array" ref="J29">_xlfn.LET(
  _xlpm.idx, (ROW()-3)*16 + J$1,
  _xlpm.r, MOD(_xlpm.idx, SpriteCount),
  INDEX(
    sprite_data.asm!$C$3:$R$156,
    INT(_xlpm.idx / SpriteCount) * 7 + INT(_xlpm.r / 16) + 1,
    MOD(_xlpm.r, 16) + 1
  )
)</f>
        <v>28</v>
      </c>
      <c r="K29" t="str" cm="1">
        <f t="array" ref="K29">_xlfn.LET(
  _xlpm.idx, (ROW()-3)*16 + K$1,
  _xlpm.r, MOD(_xlpm.idx, SpriteCount),
  INDEX(
    sprite_data.asm!$C$3:$R$156,
    INT(_xlpm.idx / SpriteCount) * 7 + INT(_xlpm.r / 16) + 1,
    MOD(_xlpm.r, 16) + 1
  )
)</f>
        <v>60</v>
      </c>
      <c r="L29" t="str" cm="1">
        <f t="array" ref="L29">_xlfn.LET(
  _xlpm.idx, (ROW()-3)*16 + L$1,
  _xlpm.r, MOD(_xlpm.idx, SpriteCount),
  INDEX(
    sprite_data.asm!$C$3:$R$156,
    INT(_xlpm.idx / SpriteCount) * 7 + INT(_xlpm.r / 16) + 1,
    MOD(_xlpm.r, 16) + 1
  )
)</f>
        <v>7F</v>
      </c>
      <c r="M29" t="str" cm="1">
        <f t="array" ref="M29">_xlfn.LET(
  _xlpm.idx, (ROW()-3)*16 + M$1,
  _xlpm.r, MOD(_xlpm.idx, SpriteCount),
  INDEX(
    sprite_data.asm!$C$3:$R$156,
    INT(_xlpm.idx / SpriteCount) * 7 + INT(_xlpm.r / 16) + 1,
    MOD(_xlpm.r, 16) + 1
  )
)</f>
        <v>1C</v>
      </c>
      <c r="N29" t="str" cm="1">
        <f t="array" ref="N29">_xlfn.LET(
  _xlpm.idx, (ROW()-3)*16 + N$1,
  _xlpm.r, MOD(_xlpm.idx, SpriteCount),
  INDEX(
    sprite_data.asm!$C$3:$R$156,
    INT(_xlpm.idx / SpriteCount) * 7 + INT(_xlpm.r / 16) + 1,
    MOD(_xlpm.r, 16) + 1
  )
)</f>
        <v>1C</v>
      </c>
      <c r="O29" t="str" cm="1">
        <f t="array" ref="O29">_xlfn.LET(
  _xlpm.idx, (ROW()-3)*16 + O$1,
  _xlpm.r, MOD(_xlpm.idx, SpriteCount),
  INDEX(
    sprite_data.asm!$C$3:$R$156,
    INT(_xlpm.idx / SpriteCount) * 7 + INT(_xlpm.r / 16) + 1,
    MOD(_xlpm.r, 16) + 1
  )
)</f>
        <v>1C</v>
      </c>
      <c r="P29" t="str" cm="1">
        <f t="array" ref="P29">_xlfn.LET(
  _xlpm.idx, (ROW()-3)*16 + P$1,
  _xlpm.r, MOD(_xlpm.idx, SpriteCount),
  INDEX(
    sprite_data.asm!$C$3:$R$156,
    INT(_xlpm.idx / SpriteCount) * 7 + INT(_xlpm.r / 16) + 1,
    MOD(_xlpm.r, 16) + 1
  )
)</f>
        <v>70</v>
      </c>
      <c r="Q29" t="str" cm="1">
        <f t="array" ref="Q29">_xlfn.LET(
  _xlpm.idx, (ROW()-3)*16 + Q$1,
  _xlpm.r, MOD(_xlpm.idx, SpriteCount),
  INDEX(
    sprite_data.asm!$C$3:$R$156,
    INT(_xlpm.idx / SpriteCount) * 7 + INT(_xlpm.r / 16) + 1,
    MOD(_xlpm.r, 16) + 1
  )
)</f>
        <v>60</v>
      </c>
    </row>
    <row r="30" spans="1:17" x14ac:dyDescent="0.3">
      <c r="A30" s="2" t="str">
        <f t="shared" si="3"/>
        <v>AEB0</v>
      </c>
      <c r="B30" t="str" cm="1">
        <f t="array" ref="B30">_xlfn.LET(
  _xlpm.idx, (ROW()-3)*16 + B$1,
  _xlpm.r, MOD(_xlpm.idx, SpriteCount),
  INDEX(
    sprite_data.asm!$C$3:$R$156,
    INT(_xlpm.idx / SpriteCount) * 7 + INT(_xlpm.r / 16) + 1,
    MOD(_xlpm.r, 16) + 1
  )
)</f>
        <v>60</v>
      </c>
      <c r="C30" t="str" cm="1">
        <f t="array" ref="C30">_xlfn.LET(
  _xlpm.idx, (ROW()-3)*16 + C$1,
  _xlpm.r, MOD(_xlpm.idx, SpriteCount),
  INDEX(
    sprite_data.asm!$C$3:$R$156,
    INT(_xlpm.idx / SpriteCount) * 7 + INT(_xlpm.r / 16) + 1,
    MOD(_xlpm.r, 16) + 1
  )
)</f>
        <v>60</v>
      </c>
      <c r="D30" t="str" cm="1">
        <f t="array" ref="D30">_xlfn.LET(
  _xlpm.idx, (ROW()-3)*16 + D$1,
  _xlpm.r, MOD(_xlpm.idx, SpriteCount),
  INDEX(
    sprite_data.asm!$C$3:$R$156,
    INT(_xlpm.idx / SpriteCount) * 7 + INT(_xlpm.r / 16) + 1,
    MOD(_xlpm.r, 16) + 1
  )
)</f>
        <v>3F</v>
      </c>
      <c r="E30" t="str" cm="1">
        <f t="array" ref="E30">_xlfn.LET(
  _xlpm.idx, (ROW()-3)*16 + E$1,
  _xlpm.r, MOD(_xlpm.idx, SpriteCount),
  INDEX(
    sprite_data.asm!$C$3:$R$156,
    INT(_xlpm.idx / SpriteCount) * 7 + INT(_xlpm.r / 16) + 1,
    MOD(_xlpm.r, 16) + 1
  )
)</f>
        <v>76</v>
      </c>
      <c r="F30" t="str" cm="1">
        <f t="array" ref="F30">_xlfn.LET(
  _xlpm.idx, (ROW()-3)*16 + F$1,
  _xlpm.r, MOD(_xlpm.idx, SpriteCount),
  INDEX(
    sprite_data.asm!$C$3:$R$156,
    INT(_xlpm.idx / SpriteCount) * 7 + INT(_xlpm.r / 16) + 1,
    MOD(_xlpm.r, 16) + 1
  )
)</f>
        <v>3B</v>
      </c>
      <c r="G30" t="str" cm="1">
        <f t="array" ref="G30">_xlfn.LET(
  _xlpm.idx, (ROW()-3)*16 + G$1,
  _xlpm.r, MOD(_xlpm.idx, SpriteCount),
  INDEX(
    sprite_data.asm!$C$3:$R$156,
    INT(_xlpm.idx / SpriteCount) * 7 + INT(_xlpm.r / 16) + 1,
    MOD(_xlpm.r, 16) + 1
  )
)</f>
        <v>36</v>
      </c>
      <c r="H30" t="str" cm="1">
        <f t="array" ref="H30">_xlfn.LET(
  _xlpm.idx, (ROW()-3)*16 + H$1,
  _xlpm.r, MOD(_xlpm.idx, SpriteCount),
  INDEX(
    sprite_data.asm!$C$3:$R$156,
    INT(_xlpm.idx / SpriteCount) * 7 + INT(_xlpm.r / 16) + 1,
    MOD(_xlpm.r, 16) + 1
  )
)</f>
        <v>78</v>
      </c>
      <c r="I30" t="str" cm="1">
        <f t="array" ref="I30">_xlfn.LET(
  _xlpm.idx, (ROW()-3)*16 + I$1,
  _xlpm.r, MOD(_xlpm.idx, SpriteCount),
  INDEX(
    sprite_data.asm!$C$3:$R$156,
    INT(_xlpm.idx / SpriteCount) * 7 + INT(_xlpm.r / 16) + 1,
    MOD(_xlpm.r, 16) + 1
  )
)</f>
        <v>78</v>
      </c>
      <c r="J30" t="str" cm="1">
        <f t="array" ref="J30">_xlfn.LET(
  _xlpm.idx, (ROW()-3)*16 + J$1,
  _xlpm.r, MOD(_xlpm.idx, SpriteCount),
  INDEX(
    sprite_data.asm!$C$3:$R$156,
    INT(_xlpm.idx / SpriteCount) * 7 + INT(_xlpm.r / 16) + 1,
    MOD(_xlpm.r, 16) + 1
  )
)</f>
        <v>36</v>
      </c>
      <c r="K30" t="str" cm="1">
        <f t="array" ref="K30">_xlfn.LET(
  _xlpm.idx, (ROW()-3)*16 + K$1,
  _xlpm.r, MOD(_xlpm.idx, SpriteCount),
  INDEX(
    sprite_data.asm!$C$3:$R$156,
    INT(_xlpm.idx / SpriteCount) * 7 + INT(_xlpm.r / 16) + 1,
    MOD(_xlpm.r, 16) + 1
  )
)</f>
        <v>78</v>
      </c>
      <c r="L30" t="str" cm="1">
        <f t="array" ref="L30">_xlfn.LET(
  _xlpm.idx, (ROW()-3)*16 + L$1,
  _xlpm.r, MOD(_xlpm.idx, SpriteCount),
  INDEX(
    sprite_data.asm!$C$3:$R$156,
    INT(_xlpm.idx / SpriteCount) * 7 + INT(_xlpm.r / 16) + 1,
    MOD(_xlpm.r, 16) + 1
  )
)</f>
        <v>78</v>
      </c>
      <c r="M30" t="str" cm="1">
        <f t="array" ref="M30">_xlfn.LET(
  _xlpm.idx, (ROW()-3)*16 + M$1,
  _xlpm.r, MOD(_xlpm.idx, SpriteCount),
  INDEX(
    sprite_data.asm!$C$3:$R$156,
    INT(_xlpm.idx / SpriteCount) * 7 + INT(_xlpm.r / 16) + 1,
    MOD(_xlpm.r, 16) + 1
  )
)</f>
        <v>00</v>
      </c>
      <c r="N30" t="str" cm="1">
        <f t="array" ref="N30">_xlfn.LET(
  _xlpm.idx, (ROW()-3)*16 + N$1,
  _xlpm.r, MOD(_xlpm.idx, SpriteCount),
  INDEX(
    sprite_data.asm!$C$3:$R$156,
    INT(_xlpm.idx / SpriteCount) * 7 + INT(_xlpm.r / 16) + 1,
    MOD(_xlpm.r, 16) + 1
  )
)</f>
        <v>00</v>
      </c>
      <c r="O30" t="str" cm="1">
        <f t="array" ref="O30">_xlfn.LET(
  _xlpm.idx, (ROW()-3)*16 + O$1,
  _xlpm.r, MOD(_xlpm.idx, SpriteCount),
  INDEX(
    sprite_data.asm!$C$3:$R$156,
    INT(_xlpm.idx / SpriteCount) * 7 + INT(_xlpm.r / 16) + 1,
    MOD(_xlpm.r, 16) + 1
  )
)</f>
        <v>00</v>
      </c>
      <c r="P30" t="str" cm="1">
        <f t="array" ref="P30">_xlfn.LET(
  _xlpm.idx, (ROW()-3)*16 + P$1,
  _xlpm.r, MOD(_xlpm.idx, SpriteCount),
  INDEX(
    sprite_data.asm!$C$3:$R$156,
    INT(_xlpm.idx / SpriteCount) * 7 + INT(_xlpm.r / 16) + 1,
    MOD(_xlpm.r, 16) + 1
  )
)</f>
        <v>00</v>
      </c>
      <c r="Q30" t="str" cm="1">
        <f t="array" ref="Q30">_xlfn.LET(
  _xlpm.idx, (ROW()-3)*16 + Q$1,
  _xlpm.r, MOD(_xlpm.idx, SpriteCount),
  INDEX(
    sprite_data.asm!$C$3:$R$156,
    INT(_xlpm.idx / SpriteCount) * 7 + INT(_xlpm.r / 16) + 1,
    MOD(_xlpm.r, 16) + 1
  )
)</f>
        <v>15</v>
      </c>
    </row>
    <row r="31" spans="1:17" x14ac:dyDescent="0.3">
      <c r="A31" s="2" t="str">
        <f t="shared" ref="A31:A65" si="4">DEC2HEX(HEX2DEC(A30)+16)</f>
        <v>AEC0</v>
      </c>
      <c r="B31" t="str" cm="1">
        <f t="array" ref="B31">_xlfn.LET(
  _xlpm.idx, (ROW()-3)*16 + B$1,
  _xlpm.r, MOD(_xlpm.idx, SpriteCount),
  INDEX(
    sprite_data.asm!$C$3:$R$156,
    INT(_xlpm.idx / SpriteCount) * 7 + INT(_xlpm.r / 16) + 1,
    MOD(_xlpm.r, 16) + 1
  )
)</f>
        <v>01</v>
      </c>
      <c r="C31" t="str" cm="1">
        <f t="array" ref="C31">_xlfn.LET(
  _xlpm.idx, (ROW()-3)*16 + C$1,
  _xlpm.r, MOD(_xlpm.idx, SpriteCount),
  INDEX(
    sprite_data.asm!$C$3:$R$156,
    INT(_xlpm.idx / SpriteCount) * 7 + INT(_xlpm.r / 16) + 1,
    MOD(_xlpm.r, 16) + 1
  )
)</f>
        <v>28</v>
      </c>
      <c r="D31" t="str" cm="1">
        <f t="array" ref="D31">_xlfn.LET(
  _xlpm.idx, (ROW()-3)*16 + D$1,
  _xlpm.r, MOD(_xlpm.idx, SpriteCount),
  INDEX(
    sprite_data.asm!$C$3:$R$156,
    INT(_xlpm.idx / SpriteCount) * 7 + INT(_xlpm.r / 16) + 1,
    MOD(_xlpm.r, 16) + 1
  )
)</f>
        <v>00</v>
      </c>
      <c r="E31" t="str" cm="1">
        <f t="array" ref="E31">_xlfn.LET(
  _xlpm.idx, (ROW()-3)*16 + E$1,
  _xlpm.r, MOD(_xlpm.idx, SpriteCount),
  INDEX(
    sprite_data.asm!$C$3:$R$156,
    INT(_xlpm.idx / SpriteCount) * 7 + INT(_xlpm.r / 16) + 1,
    MOD(_xlpm.r, 16) + 1
  )
)</f>
        <v>00</v>
      </c>
      <c r="F31" t="str" cm="1">
        <f t="array" ref="F31">_xlfn.LET(
  _xlpm.idx, (ROW()-3)*16 + F$1,
  _xlpm.r, MOD(_xlpm.idx, SpriteCount),
  INDEX(
    sprite_data.asm!$C$3:$R$156,
    INT(_xlpm.idx / SpriteCount) * 7 + INT(_xlpm.r / 16) + 1,
    MOD(_xlpm.r, 16) + 1
  )
)</f>
        <v>00</v>
      </c>
      <c r="G31" t="str" cm="1">
        <f t="array" ref="G31">_xlfn.LET(
  _xlpm.idx, (ROW()-3)*16 + G$1,
  _xlpm.r, MOD(_xlpm.idx, SpriteCount),
  INDEX(
    sprite_data.asm!$C$3:$R$156,
    INT(_xlpm.idx / SpriteCount) * 7 + INT(_xlpm.r / 16) + 1,
    MOD(_xlpm.r, 16) + 1
  )
)</f>
        <v>38</v>
      </c>
      <c r="H31" t="str" cm="1">
        <f t="array" ref="H31">_xlfn.LET(
  _xlpm.idx, (ROW()-3)*16 + H$1,
  _xlpm.r, MOD(_xlpm.idx, SpriteCount),
  INDEX(
    sprite_data.asm!$C$3:$R$156,
    INT(_xlpm.idx / SpriteCount) * 7 + INT(_xlpm.r / 16) + 1,
    MOD(_xlpm.r, 16) + 1
  )
)</f>
        <v>00</v>
      </c>
      <c r="I31" t="str" cm="1">
        <f t="array" ref="I31">_xlfn.LET(
  _xlpm.idx, (ROW()-3)*16 + I$1,
  _xlpm.r, MOD(_xlpm.idx, SpriteCount),
  INDEX(
    sprite_data.asm!$C$3:$R$156,
    INT(_xlpm.idx / SpriteCount) * 7 + INT(_xlpm.r / 16) + 1,
    MOD(_xlpm.r, 16) + 1
  )
)</f>
        <v>00</v>
      </c>
      <c r="J31" t="str" cm="1">
        <f t="array" ref="J31">_xlfn.LET(
  _xlpm.idx, (ROW()-3)*16 + J$1,
  _xlpm.r, MOD(_xlpm.idx, SpriteCount),
  INDEX(
    sprite_data.asm!$C$3:$R$156,
    INT(_xlpm.idx / SpriteCount) * 7 + INT(_xlpm.r / 16) + 1,
    MOD(_xlpm.r, 16) + 1
  )
)</f>
        <v>20</v>
      </c>
      <c r="K31" t="str" cm="1">
        <f t="array" ref="K31">_xlfn.LET(
  _xlpm.idx, (ROW()-3)*16 + K$1,
  _xlpm.r, MOD(_xlpm.idx, SpriteCount),
  INDEX(
    sprite_data.asm!$C$3:$R$156,
    INT(_xlpm.idx / SpriteCount) * 7 + INT(_xlpm.r / 16) + 1,
    MOD(_xlpm.r, 16) + 1
  )
)</f>
        <v>20</v>
      </c>
      <c r="L31" t="str" cm="1">
        <f t="array" ref="L31">_xlfn.LET(
  _xlpm.idx, (ROW()-3)*16 + L$1,
  _xlpm.r, MOD(_xlpm.idx, SpriteCount),
  INDEX(
    sprite_data.asm!$C$3:$R$156,
    INT(_xlpm.idx / SpriteCount) * 7 + INT(_xlpm.r / 16) + 1,
    MOD(_xlpm.r, 16) + 1
  )
)</f>
        <v>20</v>
      </c>
      <c r="M31" t="str" cm="1">
        <f t="array" ref="M31">_xlfn.LET(
  _xlpm.idx, (ROW()-3)*16 + M$1,
  _xlpm.r, MOD(_xlpm.idx, SpriteCount),
  INDEX(
    sprite_data.asm!$C$3:$R$156,
    INT(_xlpm.idx / SpriteCount) * 7 + INT(_xlpm.r / 16) + 1,
    MOD(_xlpm.r, 16) + 1
  )
)</f>
        <v>28</v>
      </c>
      <c r="N31" t="str" cm="1">
        <f t="array" ref="N31">_xlfn.LET(
  _xlpm.idx, (ROW()-3)*16 + N$1,
  _xlpm.r, MOD(_xlpm.idx, SpriteCount),
  INDEX(
    sprite_data.asm!$C$3:$R$156,
    INT(_xlpm.idx / SpriteCount) * 7 + INT(_xlpm.r / 16) + 1,
    MOD(_xlpm.r, 16) + 1
  )
)</f>
        <v>28</v>
      </c>
      <c r="O31" t="str" cm="1">
        <f t="array" ref="O31">_xlfn.LET(
  _xlpm.idx, (ROW()-3)*16 + O$1,
  _xlpm.r, MOD(_xlpm.idx, SpriteCount),
  INDEX(
    sprite_data.asm!$C$3:$R$156,
    INT(_xlpm.idx / SpriteCount) * 7 + INT(_xlpm.r / 16) + 1,
    MOD(_xlpm.r, 16) + 1
  )
)</f>
        <v>22</v>
      </c>
      <c r="P31" t="str" cm="1">
        <f t="array" ref="P31">_xlfn.LET(
  _xlpm.idx, (ROW()-3)*16 + P$1,
  _xlpm.r, MOD(_xlpm.idx, SpriteCount),
  INDEX(
    sprite_data.asm!$C$3:$R$156,
    INT(_xlpm.idx / SpriteCount) * 7 + INT(_xlpm.r / 16) + 1,
    MOD(_xlpm.r, 16) + 1
  )
)</f>
        <v>28</v>
      </c>
      <c r="Q31" t="str" cm="1">
        <f t="array" ref="Q31">_xlfn.LET(
  _xlpm.idx, (ROW()-3)*16 + Q$1,
  _xlpm.r, MOD(_xlpm.idx, SpriteCount),
  INDEX(
    sprite_data.asm!$C$3:$R$156,
    INT(_xlpm.idx / SpriteCount) * 7 + INT(_xlpm.r / 16) + 1,
    MOD(_xlpm.r, 16) + 1
  )
)</f>
        <v>28</v>
      </c>
    </row>
    <row r="32" spans="1:17" x14ac:dyDescent="0.3">
      <c r="A32" s="2" t="str">
        <f t="shared" si="4"/>
        <v>AED0</v>
      </c>
      <c r="B32" t="str" cm="1">
        <f t="array" ref="B32">_xlfn.LET(
  _xlpm.idx, (ROW()-3)*16 + B$1,
  _xlpm.r, MOD(_xlpm.idx, SpriteCount),
  INDEX(
    sprite_data.asm!$C$3:$R$156,
    INT(_xlpm.idx / SpriteCount) * 7 + INT(_xlpm.r / 16) + 1,
    MOD(_xlpm.r, 16) + 1
  )
)</f>
        <v>0A</v>
      </c>
      <c r="C32" t="str" cm="1">
        <f t="array" ref="C32">_xlfn.LET(
  _xlpm.idx, (ROW()-3)*16 + C$1,
  _xlpm.r, MOD(_xlpm.idx, SpriteCount),
  INDEX(
    sprite_data.asm!$C$3:$R$156,
    INT(_xlpm.idx / SpriteCount) * 7 + INT(_xlpm.r / 16) + 1,
    MOD(_xlpm.r, 16) + 1
  )
)</f>
        <v>28</v>
      </c>
      <c r="D32" t="str" cm="1">
        <f t="array" ref="D32">_xlfn.LET(
  _xlpm.idx, (ROW()-3)*16 + D$1,
  _xlpm.r, MOD(_xlpm.idx, SpriteCount),
  INDEX(
    sprite_data.asm!$C$3:$R$156,
    INT(_xlpm.idx / SpriteCount) * 7 + INT(_xlpm.r / 16) + 1,
    MOD(_xlpm.r, 16) + 1
  )
)</f>
        <v>28</v>
      </c>
      <c r="E32" t="str" cm="1">
        <f t="array" ref="E32">_xlfn.LET(
  _xlpm.idx, (ROW()-3)*16 + E$1,
  _xlpm.r, MOD(_xlpm.idx, SpriteCount),
  INDEX(
    sprite_data.asm!$C$3:$R$156,
    INT(_xlpm.idx / SpriteCount) * 7 + INT(_xlpm.r / 16) + 1,
    MOD(_xlpm.r, 16) + 1
  )
)</f>
        <v>20</v>
      </c>
      <c r="F32" t="str" cm="1">
        <f t="array" ref="F32">_xlfn.LET(
  _xlpm.idx, (ROW()-3)*16 + F$1,
  _xlpm.r, MOD(_xlpm.idx, SpriteCount),
  INDEX(
    sprite_data.asm!$C$3:$R$156,
    INT(_xlpm.idx / SpriteCount) * 7 + INT(_xlpm.r / 16) + 1,
    MOD(_xlpm.r, 16) + 1
  )
)</f>
        <v>2B</v>
      </c>
      <c r="G32" t="str" cm="1">
        <f t="array" ref="G32">_xlfn.LET(
  _xlpm.idx, (ROW()-3)*16 + G$1,
  _xlpm.r, MOD(_xlpm.idx, SpriteCount),
  INDEX(
    sprite_data.asm!$C$3:$R$156,
    INT(_xlpm.idx / SpriteCount) * 7 + INT(_xlpm.r / 16) + 1,
    MOD(_xlpm.r, 16) + 1
  )
)</f>
        <v>22</v>
      </c>
      <c r="H32" t="str" cm="1">
        <f t="array" ref="H32">_xlfn.LET(
  _xlpm.idx, (ROW()-3)*16 + H$1,
  _xlpm.r, MOD(_xlpm.idx, SpriteCount),
  INDEX(
    sprite_data.asm!$C$3:$R$156,
    INT(_xlpm.idx / SpriteCount) * 7 + INT(_xlpm.r / 16) + 1,
    MOD(_xlpm.r, 16) + 1
  )
)</f>
        <v>22</v>
      </c>
      <c r="I32" t="str" cm="1">
        <f t="array" ref="I32">_xlfn.LET(
  _xlpm.idx, (ROW()-3)*16 + I$1,
  _xlpm.r, MOD(_xlpm.idx, SpriteCount),
  INDEX(
    sprite_data.asm!$C$3:$R$156,
    INT(_xlpm.idx / SpriteCount) * 7 + INT(_xlpm.r / 16) + 1,
    MOD(_xlpm.r, 16) + 1
  )
)</f>
        <v>00</v>
      </c>
      <c r="J32" t="str" cm="1">
        <f t="array" ref="J32">_xlfn.LET(
  _xlpm.idx, (ROW()-3)*16 + J$1,
  _xlpm.r, MOD(_xlpm.idx, SpriteCount),
  INDEX(
    sprite_data.asm!$C$3:$R$156,
    INT(_xlpm.idx / SpriteCount) * 7 + INT(_xlpm.r / 16) + 1,
    MOD(_xlpm.r, 16) + 1
  )
)</f>
        <v>00</v>
      </c>
      <c r="K32" t="str" cm="1">
        <f t="array" ref="K32">_xlfn.LET(
  _xlpm.idx, (ROW()-3)*16 + K$1,
  _xlpm.r, MOD(_xlpm.idx, SpriteCount),
  INDEX(
    sprite_data.asm!$C$3:$R$156,
    INT(_xlpm.idx / SpriteCount) * 7 + INT(_xlpm.r / 16) + 1,
    MOD(_xlpm.r, 16) + 1
  )
)</f>
        <v>00</v>
      </c>
      <c r="L32" t="str" cm="1">
        <f t="array" ref="L32">_xlfn.LET(
  _xlpm.idx, (ROW()-3)*16 + L$1,
  _xlpm.r, MOD(_xlpm.idx, SpriteCount),
  INDEX(
    sprite_data.asm!$C$3:$R$156,
    INT(_xlpm.idx / SpriteCount) * 7 + INT(_xlpm.r / 16) + 1,
    MOD(_xlpm.r, 16) + 1
  )
)</f>
        <v>00</v>
      </c>
      <c r="M32" t="str" cm="1">
        <f t="array" ref="M32">_xlfn.LET(
  _xlpm.idx, (ROW()-3)*16 + M$1,
  _xlpm.r, MOD(_xlpm.idx, SpriteCount),
  INDEX(
    sprite_data.asm!$C$3:$R$156,
    INT(_xlpm.idx / SpriteCount) * 7 + INT(_xlpm.r / 16) + 1,
    MOD(_xlpm.r, 16) + 1
  )
)</f>
        <v>00</v>
      </c>
      <c r="N32" t="str" cm="1">
        <f t="array" ref="N32">_xlfn.LET(
  _xlpm.idx, (ROW()-3)*16 + N$1,
  _xlpm.r, MOD(_xlpm.idx, SpriteCount),
  INDEX(
    sprite_data.asm!$C$3:$R$156,
    INT(_xlpm.idx / SpriteCount) * 7 + INT(_xlpm.r / 16) + 1,
    MOD(_xlpm.r, 16) + 1
  )
)</f>
        <v>00</v>
      </c>
      <c r="O32" t="str" cm="1">
        <f t="array" ref="O32">_xlfn.LET(
  _xlpm.idx, (ROW()-3)*16 + O$1,
  _xlpm.r, MOD(_xlpm.idx, SpriteCount),
  INDEX(
    sprite_data.asm!$C$3:$R$156,
    INT(_xlpm.idx / SpriteCount) * 7 + INT(_xlpm.r / 16) + 1,
    MOD(_xlpm.r, 16) + 1
  )
)</f>
        <v>00</v>
      </c>
      <c r="P32" t="str" cm="1">
        <f t="array" ref="P32">_xlfn.LET(
  _xlpm.idx, (ROW()-3)*16 + P$1,
  _xlpm.r, MOD(_xlpm.idx, SpriteCount),
  INDEX(
    sprite_data.asm!$C$3:$R$156,
    INT(_xlpm.idx / SpriteCount) * 7 + INT(_xlpm.r / 16) + 1,
    MOD(_xlpm.r, 16) + 1
  )
)</f>
        <v>00</v>
      </c>
      <c r="Q32" t="str" cm="1">
        <f t="array" ref="Q32">_xlfn.LET(
  _xlpm.idx, (ROW()-3)*16 + Q$1,
  _xlpm.r, MOD(_xlpm.idx, SpriteCount),
  INDEX(
    sprite_data.asm!$C$3:$R$156,
    INT(_xlpm.idx / SpriteCount) * 7 + INT(_xlpm.r / 16) + 1,
    MOD(_xlpm.r, 16) + 1
  )
)</f>
        <v>00</v>
      </c>
    </row>
    <row r="33" spans="1:17" x14ac:dyDescent="0.3">
      <c r="A33" s="2" t="str">
        <f t="shared" si="4"/>
        <v>AEE0</v>
      </c>
      <c r="B33" t="str" cm="1">
        <f t="array" ref="B33">_xlfn.LET(
  _xlpm.idx, (ROW()-3)*16 + B$1,
  _xlpm.r, MOD(_xlpm.idx, SpriteCount),
  INDEX(
    sprite_data.asm!$C$3:$R$156,
    INT(_xlpm.idx / SpriteCount) * 7 + INT(_xlpm.r / 16) + 1,
    MOD(_xlpm.r, 16) + 1
  )
)</f>
        <v>00</v>
      </c>
      <c r="C33" t="str" cm="1">
        <f t="array" ref="C33">_xlfn.LET(
  _xlpm.idx, (ROW()-3)*16 + C$1,
  _xlpm.r, MOD(_xlpm.idx, SpriteCount),
  INDEX(
    sprite_data.asm!$C$3:$R$156,
    INT(_xlpm.idx / SpriteCount) * 7 + INT(_xlpm.r / 16) + 1,
    MOD(_xlpm.r, 16) + 1
  )
)</f>
        <v>00</v>
      </c>
      <c r="D33" t="str" cm="1">
        <f t="array" ref="D33">_xlfn.LET(
  _xlpm.idx, (ROW()-3)*16 + D$1,
  _xlpm.r, MOD(_xlpm.idx, SpriteCount),
  INDEX(
    sprite_data.asm!$C$3:$R$156,
    INT(_xlpm.idx / SpriteCount) * 7 + INT(_xlpm.r / 16) + 1,
    MOD(_xlpm.r, 16) + 1
  )
)</f>
        <v>00</v>
      </c>
      <c r="E33" t="str" cm="1">
        <f t="array" ref="E33">_xlfn.LET(
  _xlpm.idx, (ROW()-3)*16 + E$1,
  _xlpm.r, MOD(_xlpm.idx, SpriteCount),
  INDEX(
    sprite_data.asm!$C$3:$R$156,
    INT(_xlpm.idx / SpriteCount) * 7 + INT(_xlpm.r / 16) + 1,
    MOD(_xlpm.r, 16) + 1
  )
)</f>
        <v>00</v>
      </c>
      <c r="F33" t="str" cm="1">
        <f t="array" ref="F33">_xlfn.LET(
  _xlpm.idx, (ROW()-3)*16 + F$1,
  _xlpm.r, MOD(_xlpm.idx, SpriteCount),
  INDEX(
    sprite_data.asm!$C$3:$R$156,
    INT(_xlpm.idx / SpriteCount) * 7 + INT(_xlpm.r / 16) + 1,
    MOD(_xlpm.r, 16) + 1
  )
)</f>
        <v>00</v>
      </c>
      <c r="G33" t="str" cm="1">
        <f t="array" ref="G33">_xlfn.LET(
  _xlpm.idx, (ROW()-3)*16 + G$1,
  _xlpm.r, MOD(_xlpm.idx, SpriteCount),
  INDEX(
    sprite_data.asm!$C$3:$R$156,
    INT(_xlpm.idx / SpriteCount) * 7 + INT(_xlpm.r / 16) + 1,
    MOD(_xlpm.r, 16) + 1
  )
)</f>
        <v>00</v>
      </c>
      <c r="H33" t="str" cm="1">
        <f t="array" ref="H33">_xlfn.LET(
  _xlpm.idx, (ROW()-3)*16 + H$1,
  _xlpm.r, MOD(_xlpm.idx, SpriteCount),
  INDEX(
    sprite_data.asm!$C$3:$R$156,
    INT(_xlpm.idx / SpriteCount) * 7 + INT(_xlpm.r / 16) + 1,
    MOD(_xlpm.r, 16) + 1
  )
)</f>
        <v>00</v>
      </c>
      <c r="I33" t="str" cm="1">
        <f t="array" ref="I33">_xlfn.LET(
  _xlpm.idx, (ROW()-3)*16 + I$1,
  _xlpm.r, MOD(_xlpm.idx, SpriteCount),
  INDEX(
    sprite_data.asm!$C$3:$R$156,
    INT(_xlpm.idx / SpriteCount) * 7 + INT(_xlpm.r / 16) + 1,
    MOD(_xlpm.r, 16) + 1
  )
)</f>
        <v>00</v>
      </c>
      <c r="J33" t="str" cm="1">
        <f t="array" ref="J33">_xlfn.LET(
  _xlpm.idx, (ROW()-3)*16 + J$1,
  _xlpm.r, MOD(_xlpm.idx, SpriteCount),
  INDEX(
    sprite_data.asm!$C$3:$R$156,
    INT(_xlpm.idx / SpriteCount) * 7 + INT(_xlpm.r / 16) + 1,
    MOD(_xlpm.r, 16) + 1
  )
)</f>
        <v>00</v>
      </c>
      <c r="K33" t="str" cm="1">
        <f t="array" ref="K33">_xlfn.LET(
  _xlpm.idx, (ROW()-3)*16 + K$1,
  _xlpm.r, MOD(_xlpm.idx, SpriteCount),
  INDEX(
    sprite_data.asm!$C$3:$R$156,
    INT(_xlpm.idx / SpriteCount) * 7 + INT(_xlpm.r / 16) + 1,
    MOD(_xlpm.r, 16) + 1
  )
)</f>
        <v>00</v>
      </c>
      <c r="L33" t="str" cm="1">
        <f t="array" ref="L33">_xlfn.LET(
  _xlpm.idx, (ROW()-3)*16 + L$1,
  _xlpm.r, MOD(_xlpm.idx, SpriteCount),
  INDEX(
    sprite_data.asm!$C$3:$R$156,
    INT(_xlpm.idx / SpriteCount) * 7 + INT(_xlpm.r / 16) + 1,
    MOD(_xlpm.r, 16) + 1
  )
)</f>
        <v>00</v>
      </c>
      <c r="M33" t="str" cm="1">
        <f t="array" ref="M33">_xlfn.LET(
  _xlpm.idx, (ROW()-3)*16 + M$1,
  _xlpm.r, MOD(_xlpm.idx, SpriteCount),
  INDEX(
    sprite_data.asm!$C$3:$R$156,
    INT(_xlpm.idx / SpriteCount) * 7 + INT(_xlpm.r / 16) + 1,
    MOD(_xlpm.r, 16) + 1
  )
)</f>
        <v>00</v>
      </c>
      <c r="N33" t="str" cm="1">
        <f t="array" ref="N33">_xlfn.LET(
  _xlpm.idx, (ROW()-3)*16 + N$1,
  _xlpm.r, MOD(_xlpm.idx, SpriteCount),
  INDEX(
    sprite_data.asm!$C$3:$R$156,
    INT(_xlpm.idx / SpriteCount) * 7 + INT(_xlpm.r / 16) + 1,
    MOD(_xlpm.r, 16) + 1
  )
)</f>
        <v>00</v>
      </c>
      <c r="O33" t="str" cm="1">
        <f t="array" ref="O33">_xlfn.LET(
  _xlpm.idx, (ROW()-3)*16 + O$1,
  _xlpm.r, MOD(_xlpm.idx, SpriteCount),
  INDEX(
    sprite_data.asm!$C$3:$R$156,
    INT(_xlpm.idx / SpriteCount) * 7 + INT(_xlpm.r / 16) + 1,
    MOD(_xlpm.r, 16) + 1
  )
)</f>
        <v>00</v>
      </c>
      <c r="P33" t="str" cm="1">
        <f t="array" ref="P33">_xlfn.LET(
  _xlpm.idx, (ROW()-3)*16 + P$1,
  _xlpm.r, MOD(_xlpm.idx, SpriteCount),
  INDEX(
    sprite_data.asm!$C$3:$R$156,
    INT(_xlpm.idx / SpriteCount) * 7 + INT(_xlpm.r / 16) + 1,
    MOD(_xlpm.r, 16) + 1
  )
)</f>
        <v>00</v>
      </c>
      <c r="Q33" t="str" cm="1">
        <f t="array" ref="Q33">_xlfn.LET(
  _xlpm.idx, (ROW()-3)*16 + Q$1,
  _xlpm.r, MOD(_xlpm.idx, SpriteCount),
  INDEX(
    sprite_data.asm!$C$3:$R$156,
    INT(_xlpm.idx / SpriteCount) * 7 + INT(_xlpm.r / 16) + 1,
    MOD(_xlpm.r, 16) + 1
  )
)</f>
        <v>00</v>
      </c>
    </row>
    <row r="34" spans="1:17" x14ac:dyDescent="0.3">
      <c r="A34" s="2" t="str">
        <f t="shared" si="4"/>
        <v>AEF0</v>
      </c>
      <c r="B34" t="str" cm="1">
        <f t="array" ref="B34">_xlfn.LET(
  _xlpm.idx, (ROW()-3)*16 + B$1,
  _xlpm.r, MOD(_xlpm.idx, SpriteCount),
  INDEX(
    sprite_data.asm!$C$3:$R$156,
    INT(_xlpm.idx / SpriteCount) * 7 + INT(_xlpm.r / 16) + 1,
    MOD(_xlpm.r, 16) + 1
  )
)</f>
        <v>00</v>
      </c>
      <c r="C34" t="str" cm="1">
        <f t="array" ref="C34">_xlfn.LET(
  _xlpm.idx, (ROW()-3)*16 + C$1,
  _xlpm.r, MOD(_xlpm.idx, SpriteCount),
  INDEX(
    sprite_data.asm!$C$3:$R$156,
    INT(_xlpm.idx / SpriteCount) * 7 + INT(_xlpm.r / 16) + 1,
    MOD(_xlpm.r, 16) + 1
  )
)</f>
        <v>00</v>
      </c>
      <c r="D34" t="str" cm="1">
        <f t="array" ref="D34">_xlfn.LET(
  _xlpm.idx, (ROW()-3)*16 + D$1,
  _xlpm.r, MOD(_xlpm.idx, SpriteCount),
  INDEX(
    sprite_data.asm!$C$3:$R$156,
    INT(_xlpm.idx / SpriteCount) * 7 + INT(_xlpm.r / 16) + 1,
    MOD(_xlpm.r, 16) + 1
  )
)</f>
        <v>00</v>
      </c>
      <c r="E34" t="str" cm="1">
        <f t="array" ref="E34">_xlfn.LET(
  _xlpm.idx, (ROW()-3)*16 + E$1,
  _xlpm.r, MOD(_xlpm.idx, SpriteCount),
  INDEX(
    sprite_data.asm!$C$3:$R$156,
    INT(_xlpm.idx / SpriteCount) * 7 + INT(_xlpm.r / 16) + 1,
    MOD(_xlpm.r, 16) + 1
  )
)</f>
        <v>00</v>
      </c>
      <c r="F34" t="str" cm="1">
        <f t="array" ref="F34">_xlfn.LET(
  _xlpm.idx, (ROW()-3)*16 + F$1,
  _xlpm.r, MOD(_xlpm.idx, SpriteCount),
  INDEX(
    sprite_data.asm!$C$3:$R$156,
    INT(_xlpm.idx / SpriteCount) * 7 + INT(_xlpm.r / 16) + 1,
    MOD(_xlpm.r, 16) + 1
  )
)</f>
        <v>00</v>
      </c>
      <c r="G34" t="str" cm="1">
        <f t="array" ref="G34">_xlfn.LET(
  _xlpm.idx, (ROW()-3)*16 + G$1,
  _xlpm.r, MOD(_xlpm.idx, SpriteCount),
  INDEX(
    sprite_data.asm!$C$3:$R$156,
    INT(_xlpm.idx / SpriteCount) * 7 + INT(_xlpm.r / 16) + 1,
    MOD(_xlpm.r, 16) + 1
  )
)</f>
        <v>00</v>
      </c>
      <c r="H34" t="str" cm="1">
        <f t="array" ref="H34">_xlfn.LET(
  _xlpm.idx, (ROW()-3)*16 + H$1,
  _xlpm.r, MOD(_xlpm.idx, SpriteCount),
  INDEX(
    sprite_data.asm!$C$3:$R$156,
    INT(_xlpm.idx / SpriteCount) * 7 + INT(_xlpm.r / 16) + 1,
    MOD(_xlpm.r, 16) + 1
  )
)</f>
        <v>00</v>
      </c>
      <c r="I34" t="str" cm="1">
        <f t="array" ref="I34">_xlfn.LET(
  _xlpm.idx, (ROW()-3)*16 + I$1,
  _xlpm.r, MOD(_xlpm.idx, SpriteCount),
  INDEX(
    sprite_data.asm!$C$3:$R$156,
    INT(_xlpm.idx / SpriteCount) * 7 + INT(_xlpm.r / 16) + 1,
    MOD(_xlpm.r, 16) + 1
  )
)</f>
        <v>00</v>
      </c>
      <c r="J34" t="str" cm="1">
        <f t="array" ref="J34">_xlfn.LET(
  _xlpm.idx, (ROW()-3)*16 + J$1,
  _xlpm.r, MOD(_xlpm.idx, SpriteCount),
  INDEX(
    sprite_data.asm!$C$3:$R$156,
    INT(_xlpm.idx / SpriteCount) * 7 + INT(_xlpm.r / 16) + 1,
    MOD(_xlpm.r, 16) + 1
  )
)</f>
        <v>00</v>
      </c>
      <c r="K34" t="str" cm="1">
        <f t="array" ref="K34">_xlfn.LET(
  _xlpm.idx, (ROW()-3)*16 + K$1,
  _xlpm.r, MOD(_xlpm.idx, SpriteCount),
  INDEX(
    sprite_data.asm!$C$3:$R$156,
    INT(_xlpm.idx / SpriteCount) * 7 + INT(_xlpm.r / 16) + 1,
    MOD(_xlpm.r, 16) + 1
  )
)</f>
        <v>00</v>
      </c>
      <c r="L34" t="str" cm="1">
        <f t="array" ref="L34">_xlfn.LET(
  _xlpm.idx, (ROW()-3)*16 + L$1,
  _xlpm.r, MOD(_xlpm.idx, SpriteCount),
  INDEX(
    sprite_data.asm!$C$3:$R$156,
    INT(_xlpm.idx / SpriteCount) * 7 + INT(_xlpm.r / 16) + 1,
    MOD(_xlpm.r, 16) + 1
  )
)</f>
        <v>00</v>
      </c>
      <c r="M34" t="str" cm="1">
        <f t="array" ref="M34">_xlfn.LET(
  _xlpm.idx, (ROW()-3)*16 + M$1,
  _xlpm.r, MOD(_xlpm.idx, SpriteCount),
  INDEX(
    sprite_data.asm!$C$3:$R$156,
    INT(_xlpm.idx / SpriteCount) * 7 + INT(_xlpm.r / 16) + 1,
    MOD(_xlpm.r, 16) + 1
  )
)</f>
        <v>00</v>
      </c>
      <c r="N34" t="str" cm="1">
        <f t="array" ref="N34">_xlfn.LET(
  _xlpm.idx, (ROW()-3)*16 + N$1,
  _xlpm.r, MOD(_xlpm.idx, SpriteCount),
  INDEX(
    sprite_data.asm!$C$3:$R$156,
    INT(_xlpm.idx / SpriteCount) * 7 + INT(_xlpm.r / 16) + 1,
    MOD(_xlpm.r, 16) + 1
  )
)</f>
        <v>00</v>
      </c>
      <c r="O34" t="str" cm="1">
        <f t="array" ref="O34">_xlfn.LET(
  _xlpm.idx, (ROW()-3)*16 + O$1,
  _xlpm.r, MOD(_xlpm.idx, SpriteCount),
  INDEX(
    sprite_data.asm!$C$3:$R$156,
    INT(_xlpm.idx / SpriteCount) * 7 + INT(_xlpm.r / 16) + 1,
    MOD(_xlpm.r, 16) + 1
  )
)</f>
        <v>00</v>
      </c>
      <c r="P34" t="str" cm="1">
        <f t="array" ref="P34">_xlfn.LET(
  _xlpm.idx, (ROW()-3)*16 + P$1,
  _xlpm.r, MOD(_xlpm.idx, SpriteCount),
  INDEX(
    sprite_data.asm!$C$3:$R$156,
    INT(_xlpm.idx / SpriteCount) * 7 + INT(_xlpm.r / 16) + 1,
    MOD(_xlpm.r, 16) + 1
  )
)</f>
        <v>00</v>
      </c>
      <c r="Q34" t="str" cm="1">
        <f t="array" ref="Q34">_xlfn.LET(
  _xlpm.idx, (ROW()-3)*16 + Q$1,
  _xlpm.r, MOD(_xlpm.idx, SpriteCount),
  INDEX(
    sprite_data.asm!$C$3:$R$156,
    INT(_xlpm.idx / SpriteCount) * 7 + INT(_xlpm.r / 16) + 1,
    MOD(_xlpm.r, 16) + 1
  )
)</f>
        <v>00</v>
      </c>
    </row>
    <row r="35" spans="1:17" x14ac:dyDescent="0.3">
      <c r="A35" s="2" t="str">
        <f t="shared" si="4"/>
        <v>AF00</v>
      </c>
      <c r="B35" t="str" cm="1">
        <f t="array" ref="B35">_xlfn.LET(
  _xlpm.idx, (ROW()-3)*16 + B$1,
  _xlpm.r, MOD(_xlpm.idx, SpriteCount),
  INDEX(
    sprite_data.asm!$C$3:$R$156,
    INT(_xlpm.idx / SpriteCount) * 7 + INT(_xlpm.r / 16) + 1,
    MOD(_xlpm.r, 16) + 1
  )
)</f>
        <v>00</v>
      </c>
      <c r="C35" t="str" cm="1">
        <f t="array" ref="C35">_xlfn.LET(
  _xlpm.idx, (ROW()-3)*16 + C$1,
  _xlpm.r, MOD(_xlpm.idx, SpriteCount),
  INDEX(
    sprite_data.asm!$C$3:$R$156,
    INT(_xlpm.idx / SpriteCount) * 7 + INT(_xlpm.r / 16) + 1,
    MOD(_xlpm.r, 16) + 1
  )
)</f>
        <v>00</v>
      </c>
      <c r="D35" t="str" cm="1">
        <f t="array" ref="D35">_xlfn.LET(
  _xlpm.idx, (ROW()-3)*16 + D$1,
  _xlpm.r, MOD(_xlpm.idx, SpriteCount),
  INDEX(
    sprite_data.asm!$C$3:$R$156,
    INT(_xlpm.idx / SpriteCount) * 7 + INT(_xlpm.r / 16) + 1,
    MOD(_xlpm.r, 16) + 1
  )
)</f>
        <v>00</v>
      </c>
      <c r="E35" t="str" cm="1">
        <f t="array" ref="E35">_xlfn.LET(
  _xlpm.idx, (ROW()-3)*16 + E$1,
  _xlpm.r, MOD(_xlpm.idx, SpriteCount),
  INDEX(
    sprite_data.asm!$C$3:$R$156,
    INT(_xlpm.idx / SpriteCount) * 7 + INT(_xlpm.r / 16) + 1,
    MOD(_xlpm.r, 16) + 1
  )
)</f>
        <v>00</v>
      </c>
      <c r="F35" t="str" cm="1">
        <f t="array" ref="F35">_xlfn.LET(
  _xlpm.idx, (ROW()-3)*16 + F$1,
  _xlpm.r, MOD(_xlpm.idx, SpriteCount),
  INDEX(
    sprite_data.asm!$C$3:$R$156,
    INT(_xlpm.idx / SpriteCount) * 7 + INT(_xlpm.r / 16) + 1,
    MOD(_xlpm.r, 16) + 1
  )
)</f>
        <v>00</v>
      </c>
      <c r="G35" t="str" cm="1">
        <f t="array" ref="G35">_xlfn.LET(
  _xlpm.idx, (ROW()-3)*16 + G$1,
  _xlpm.r, MOD(_xlpm.idx, SpriteCount),
  INDEX(
    sprite_data.asm!$C$3:$R$156,
    INT(_xlpm.idx / SpriteCount) * 7 + INT(_xlpm.r / 16) + 1,
    MOD(_xlpm.r, 16) + 1
  )
)</f>
        <v>00</v>
      </c>
      <c r="H35" t="str" cm="1">
        <f t="array" ref="H35">_xlfn.LET(
  _xlpm.idx, (ROW()-3)*16 + H$1,
  _xlpm.r, MOD(_xlpm.idx, SpriteCount),
  INDEX(
    sprite_data.asm!$C$3:$R$156,
    INT(_xlpm.idx / SpriteCount) * 7 + INT(_xlpm.r / 16) + 1,
    MOD(_xlpm.r, 16) + 1
  )
)</f>
        <v>00</v>
      </c>
      <c r="I35" t="str" cm="1">
        <f t="array" ref="I35">_xlfn.LET(
  _xlpm.idx, (ROW()-3)*16 + I$1,
  _xlpm.r, MOD(_xlpm.idx, SpriteCount),
  INDEX(
    sprite_data.asm!$C$3:$R$156,
    INT(_xlpm.idx / SpriteCount) * 7 + INT(_xlpm.r / 16) + 1,
    MOD(_xlpm.r, 16) + 1
  )
)</f>
        <v>06</v>
      </c>
      <c r="J35" t="str" cm="1">
        <f t="array" ref="J35">_xlfn.LET(
  _xlpm.idx, (ROW()-3)*16 + J$1,
  _xlpm.r, MOD(_xlpm.idx, SpriteCount),
  INDEX(
    sprite_data.asm!$C$3:$R$156,
    INT(_xlpm.idx / SpriteCount) * 7 + INT(_xlpm.r / 16) + 1,
    MOD(_xlpm.r, 16) + 1
  )
)</f>
        <v>00</v>
      </c>
      <c r="K35" t="str" cm="1">
        <f t="array" ref="K35">_xlfn.LET(
  _xlpm.idx, (ROW()-3)*16 + K$1,
  _xlpm.r, MOD(_xlpm.idx, SpriteCount),
  INDEX(
    sprite_data.asm!$C$3:$R$156,
    INT(_xlpm.idx / SpriteCount) * 7 + INT(_xlpm.r / 16) + 1,
    MOD(_xlpm.r, 16) + 1
  )
)</f>
        <v>02</v>
      </c>
      <c r="L35" t="str" cm="1">
        <f t="array" ref="L35">_xlfn.LET(
  _xlpm.idx, (ROW()-3)*16 + L$1,
  _xlpm.r, MOD(_xlpm.idx, SpriteCount),
  INDEX(
    sprite_data.asm!$C$3:$R$156,
    INT(_xlpm.idx / SpriteCount) * 7 + INT(_xlpm.r / 16) + 1,
    MOD(_xlpm.r, 16) + 1
  )
)</f>
        <v>02</v>
      </c>
      <c r="M35" t="str" cm="1">
        <f t="array" ref="M35">_xlfn.LET(
  _xlpm.idx, (ROW()-3)*16 + M$1,
  _xlpm.r, MOD(_xlpm.idx, SpriteCount),
  INDEX(
    sprite_data.asm!$C$3:$R$156,
    INT(_xlpm.idx / SpriteCount) * 7 + INT(_xlpm.r / 16) + 1,
    MOD(_xlpm.r, 16) + 1
  )
)</f>
        <v>03</v>
      </c>
      <c r="N35" t="str" cm="1">
        <f t="array" ref="N35">_xlfn.LET(
  _xlpm.idx, (ROW()-3)*16 + N$1,
  _xlpm.r, MOD(_xlpm.idx, SpriteCount),
  INDEX(
    sprite_data.asm!$C$3:$R$156,
    INT(_xlpm.idx / SpriteCount) * 7 + INT(_xlpm.r / 16) + 1,
    MOD(_xlpm.r, 16) + 1
  )
)</f>
        <v>00</v>
      </c>
      <c r="O35" t="str" cm="1">
        <f t="array" ref="O35">_xlfn.LET(
  _xlpm.idx, (ROW()-3)*16 + O$1,
  _xlpm.r, MOD(_xlpm.idx, SpriteCount),
  INDEX(
    sprite_data.asm!$C$3:$R$156,
    INT(_xlpm.idx / SpriteCount) * 7 + INT(_xlpm.r / 16) + 1,
    MOD(_xlpm.r, 16) + 1
  )
)</f>
        <v>00</v>
      </c>
      <c r="P35" t="str" cm="1">
        <f t="array" ref="P35">_xlfn.LET(
  _xlpm.idx, (ROW()-3)*16 + P$1,
  _xlpm.r, MOD(_xlpm.idx, SpriteCount),
  INDEX(
    sprite_data.asm!$C$3:$R$156,
    INT(_xlpm.idx / SpriteCount) * 7 + INT(_xlpm.r / 16) + 1,
    MOD(_xlpm.r, 16) + 1
  )
)</f>
        <v>03</v>
      </c>
      <c r="Q35" t="str" cm="1">
        <f t="array" ref="Q35">_xlfn.LET(
  _xlpm.idx, (ROW()-3)*16 + Q$1,
  _xlpm.r, MOD(_xlpm.idx, SpriteCount),
  INDEX(
    sprite_data.asm!$C$3:$R$156,
    INT(_xlpm.idx / SpriteCount) * 7 + INT(_xlpm.r / 16) + 1,
    MOD(_xlpm.r, 16) + 1
  )
)</f>
        <v>00</v>
      </c>
    </row>
    <row r="36" spans="1:17" x14ac:dyDescent="0.3">
      <c r="A36" s="2" t="str">
        <f t="shared" si="4"/>
        <v>AF10</v>
      </c>
      <c r="B36" t="str" cm="1">
        <f t="array" ref="B36">_xlfn.LET(
  _xlpm.idx, (ROW()-3)*16 + B$1,
  _xlpm.r, MOD(_xlpm.idx, SpriteCount),
  INDEX(
    sprite_data.asm!$C$3:$R$156,
    INT(_xlpm.idx / SpriteCount) * 7 + INT(_xlpm.r / 16) + 1,
    MOD(_xlpm.r, 16) + 1
  )
)</f>
        <v>00</v>
      </c>
      <c r="C36" t="str" cm="1">
        <f t="array" ref="C36">_xlfn.LET(
  _xlpm.idx, (ROW()-3)*16 + C$1,
  _xlpm.r, MOD(_xlpm.idx, SpriteCount),
  INDEX(
    sprite_data.asm!$C$3:$R$156,
    INT(_xlpm.idx / SpriteCount) * 7 + INT(_xlpm.r / 16) + 1,
    MOD(_xlpm.r, 16) + 1
  )
)</f>
        <v>01</v>
      </c>
      <c r="D36" t="str" cm="1">
        <f t="array" ref="D36">_xlfn.LET(
  _xlpm.idx, (ROW()-3)*16 + D$1,
  _xlpm.r, MOD(_xlpm.idx, SpriteCount),
  INDEX(
    sprite_data.asm!$C$3:$R$156,
    INT(_xlpm.idx / SpriteCount) * 7 + INT(_xlpm.r / 16) + 1,
    MOD(_xlpm.r, 16) + 1
  )
)</f>
        <v>07</v>
      </c>
      <c r="E36" t="str" cm="1">
        <f t="array" ref="E36">_xlfn.LET(
  _xlpm.idx, (ROW()-3)*16 + E$1,
  _xlpm.r, MOD(_xlpm.idx, SpriteCount),
  INDEX(
    sprite_data.asm!$C$3:$R$156,
    INT(_xlpm.idx / SpriteCount) * 7 + INT(_xlpm.r / 16) + 1,
    MOD(_xlpm.r, 16) + 1
  )
)</f>
        <v>00</v>
      </c>
      <c r="F36" t="str" cm="1">
        <f t="array" ref="F36">_xlfn.LET(
  _xlpm.idx, (ROW()-3)*16 + F$1,
  _xlpm.r, MOD(_xlpm.idx, SpriteCount),
  INDEX(
    sprite_data.asm!$C$3:$R$156,
    INT(_xlpm.idx / SpriteCount) * 7 + INT(_xlpm.r / 16) + 1,
    MOD(_xlpm.r, 16) + 1
  )
)</f>
        <v>00</v>
      </c>
      <c r="G36" t="str" cm="1">
        <f t="array" ref="G36">_xlfn.LET(
  _xlpm.idx, (ROW()-3)*16 + G$1,
  _xlpm.r, MOD(_xlpm.idx, SpriteCount),
  INDEX(
    sprite_data.asm!$C$3:$R$156,
    INT(_xlpm.idx / SpriteCount) * 7 + INT(_xlpm.r / 16) + 1,
    MOD(_xlpm.r, 16) + 1
  )
)</f>
        <v>00</v>
      </c>
      <c r="H36" t="str" cm="1">
        <f t="array" ref="H36">_xlfn.LET(
  _xlpm.idx, (ROW()-3)*16 + H$1,
  _xlpm.r, MOD(_xlpm.idx, SpriteCount),
  INDEX(
    sprite_data.asm!$C$3:$R$156,
    INT(_xlpm.idx / SpriteCount) * 7 + INT(_xlpm.r / 16) + 1,
    MOD(_xlpm.r, 16) + 1
  )
)</f>
        <v>07</v>
      </c>
      <c r="I36" t="str" cm="1">
        <f t="array" ref="I36">_xlfn.LET(
  _xlpm.idx, (ROW()-3)*16 + I$1,
  _xlpm.r, MOD(_xlpm.idx, SpriteCount),
  INDEX(
    sprite_data.asm!$C$3:$R$156,
    INT(_xlpm.idx / SpriteCount) * 7 + INT(_xlpm.r / 16) + 1,
    MOD(_xlpm.r, 16) + 1
  )
)</f>
        <v>01</v>
      </c>
      <c r="J36" t="str" cm="1">
        <f t="array" ref="J36">_xlfn.LET(
  _xlpm.idx, (ROW()-3)*16 + J$1,
  _xlpm.r, MOD(_xlpm.idx, SpriteCount),
  INDEX(
    sprite_data.asm!$C$3:$R$156,
    INT(_xlpm.idx / SpriteCount) * 7 + INT(_xlpm.r / 16) + 1,
    MOD(_xlpm.r, 16) + 1
  )
)</f>
        <v>01</v>
      </c>
      <c r="K36" t="str" cm="1">
        <f t="array" ref="K36">_xlfn.LET(
  _xlpm.idx, (ROW()-3)*16 + K$1,
  _xlpm.r, MOD(_xlpm.idx, SpriteCount),
  INDEX(
    sprite_data.asm!$C$3:$R$156,
    INT(_xlpm.idx / SpriteCount) * 7 + INT(_xlpm.r / 16) + 1,
    MOD(_xlpm.r, 16) + 1
  )
)</f>
        <v>01</v>
      </c>
      <c r="L36" t="str" cm="1">
        <f t="array" ref="L36">_xlfn.LET(
  _xlpm.idx, (ROW()-3)*16 + L$1,
  _xlpm.r, MOD(_xlpm.idx, SpriteCount),
  INDEX(
    sprite_data.asm!$C$3:$R$156,
    INT(_xlpm.idx / SpriteCount) * 7 + INT(_xlpm.r / 16) + 1,
    MOD(_xlpm.r, 16) + 1
  )
)</f>
        <v>00</v>
      </c>
      <c r="M36" t="str" cm="1">
        <f t="array" ref="M36">_xlfn.LET(
  _xlpm.idx, (ROW()-3)*16 + M$1,
  _xlpm.r, MOD(_xlpm.idx, SpriteCount),
  INDEX(
    sprite_data.asm!$C$3:$R$156,
    INT(_xlpm.idx / SpriteCount) * 7 + INT(_xlpm.r / 16) + 1,
    MOD(_xlpm.r, 16) + 1
  )
)</f>
        <v>06</v>
      </c>
      <c r="N36" t="str" cm="1">
        <f t="array" ref="N36">_xlfn.LET(
  _xlpm.idx, (ROW()-3)*16 + N$1,
  _xlpm.r, MOD(_xlpm.idx, SpriteCount),
  INDEX(
    sprite_data.asm!$C$3:$R$156,
    INT(_xlpm.idx / SpriteCount) * 7 + INT(_xlpm.r / 16) + 1,
    MOD(_xlpm.r, 16) + 1
  )
)</f>
        <v>03</v>
      </c>
      <c r="O36" t="str" cm="1">
        <f t="array" ref="O36">_xlfn.LET(
  _xlpm.idx, (ROW()-3)*16 + O$1,
  _xlpm.r, MOD(_xlpm.idx, SpriteCount),
  INDEX(
    sprite_data.asm!$C$3:$R$156,
    INT(_xlpm.idx / SpriteCount) * 7 + INT(_xlpm.r / 16) + 1,
    MOD(_xlpm.r, 16) + 1
  )
)</f>
        <v>03</v>
      </c>
      <c r="P36" t="str" cm="1">
        <f t="array" ref="P36">_xlfn.LET(
  _xlpm.idx, (ROW()-3)*16 + P$1,
  _xlpm.r, MOD(_xlpm.idx, SpriteCount),
  INDEX(
    sprite_data.asm!$C$3:$R$156,
    INT(_xlpm.idx / SpriteCount) * 7 + INT(_xlpm.r / 16) + 1,
    MOD(_xlpm.r, 16) + 1
  )
)</f>
        <v>00</v>
      </c>
      <c r="Q36" t="str" cm="1">
        <f t="array" ref="Q36">_xlfn.LET(
  _xlpm.idx, (ROW()-3)*16 + Q$1,
  _xlpm.r, MOD(_xlpm.idx, SpriteCount),
  INDEX(
    sprite_data.asm!$C$3:$R$156,
    INT(_xlpm.idx / SpriteCount) * 7 + INT(_xlpm.r / 16) + 1,
    MOD(_xlpm.r, 16) + 1
  )
)</f>
        <v>00</v>
      </c>
    </row>
    <row r="37" spans="1:17" x14ac:dyDescent="0.3">
      <c r="A37" s="2" t="str">
        <f t="shared" si="4"/>
        <v>AF20</v>
      </c>
      <c r="B37" t="str" cm="1">
        <f t="array" ref="B37">_xlfn.LET(
  _xlpm.idx, (ROW()-3)*16 + B$1,
  _xlpm.r, MOD(_xlpm.idx, SpriteCount),
  INDEX(
    sprite_data.asm!$C$3:$R$156,
    INT(_xlpm.idx / SpriteCount) * 7 + INT(_xlpm.r / 16) + 1,
    MOD(_xlpm.r, 16) + 1
  )
)</f>
        <v>03</v>
      </c>
      <c r="C37" t="str" cm="1">
        <f t="array" ref="C37">_xlfn.LET(
  _xlpm.idx, (ROW()-3)*16 + C$1,
  _xlpm.r, MOD(_xlpm.idx, SpriteCount),
  INDEX(
    sprite_data.asm!$C$3:$R$156,
    INT(_xlpm.idx / SpriteCount) * 7 + INT(_xlpm.r / 16) + 1,
    MOD(_xlpm.r, 16) + 1
  )
)</f>
        <v>00</v>
      </c>
      <c r="D37" t="str" cm="1">
        <f t="array" ref="D37">_xlfn.LET(
  _xlpm.idx, (ROW()-3)*16 + D$1,
  _xlpm.r, MOD(_xlpm.idx, SpriteCount),
  INDEX(
    sprite_data.asm!$C$3:$R$156,
    INT(_xlpm.idx / SpriteCount) * 7 + INT(_xlpm.r / 16) + 1,
    MOD(_xlpm.r, 16) + 1
  )
)</f>
        <v>00</v>
      </c>
      <c r="E37" t="str" cm="1">
        <f t="array" ref="E37">_xlfn.LET(
  _xlpm.idx, (ROW()-3)*16 + E$1,
  _xlpm.r, MOD(_xlpm.idx, SpriteCount),
  INDEX(
    sprite_data.asm!$C$3:$R$156,
    INT(_xlpm.idx / SpriteCount) * 7 + INT(_xlpm.r / 16) + 1,
    MOD(_xlpm.r, 16) + 1
  )
)</f>
        <v>00</v>
      </c>
      <c r="F37" t="str" cm="1">
        <f t="array" ref="F37">_xlfn.LET(
  _xlpm.idx, (ROW()-3)*16 + F$1,
  _xlpm.r, MOD(_xlpm.idx, SpriteCount),
  INDEX(
    sprite_data.asm!$C$3:$R$156,
    INT(_xlpm.idx / SpriteCount) * 7 + INT(_xlpm.r / 16) + 1,
    MOD(_xlpm.r, 16) + 1
  )
)</f>
        <v>00</v>
      </c>
      <c r="G37" t="str" cm="1">
        <f t="array" ref="G37">_xlfn.LET(
  _xlpm.idx, (ROW()-3)*16 + G$1,
  _xlpm.r, MOD(_xlpm.idx, SpriteCount),
  INDEX(
    sprite_data.asm!$C$3:$R$156,
    INT(_xlpm.idx / SpriteCount) * 7 + INT(_xlpm.r / 16) + 1,
    MOD(_xlpm.r, 16) + 1
  )
)</f>
        <v>00</v>
      </c>
      <c r="H37" t="str" cm="1">
        <f t="array" ref="H37">_xlfn.LET(
  _xlpm.idx, (ROW()-3)*16 + H$1,
  _xlpm.r, MOD(_xlpm.idx, SpriteCount),
  INDEX(
    sprite_data.asm!$C$3:$R$156,
    INT(_xlpm.idx / SpriteCount) * 7 + INT(_xlpm.r / 16) + 1,
    MOD(_xlpm.r, 16) + 1
  )
)</f>
        <v>00</v>
      </c>
      <c r="I37" t="str" cm="1">
        <f t="array" ref="I37">_xlfn.LET(
  _xlpm.idx, (ROW()-3)*16 + I$1,
  _xlpm.r, MOD(_xlpm.idx, SpriteCount),
  INDEX(
    sprite_data.asm!$C$3:$R$156,
    INT(_xlpm.idx / SpriteCount) * 7 + INT(_xlpm.r / 16) + 1,
    MOD(_xlpm.r, 16) + 1
  )
)</f>
        <v>02</v>
      </c>
      <c r="J37" t="str" cm="1">
        <f t="array" ref="J37">_xlfn.LET(
  _xlpm.idx, (ROW()-3)*16 + J$1,
  _xlpm.r, MOD(_xlpm.idx, SpriteCount),
  INDEX(
    sprite_data.asm!$C$3:$R$156,
    INT(_xlpm.idx / SpriteCount) * 7 + INT(_xlpm.r / 16) + 1,
    MOD(_xlpm.r, 16) + 1
  )
)</f>
        <v>02</v>
      </c>
      <c r="K37" t="str" cm="1">
        <f t="array" ref="K37">_xlfn.LET(
  _xlpm.idx, (ROW()-3)*16 + K$1,
  _xlpm.r, MOD(_xlpm.idx, SpriteCount),
  INDEX(
    sprite_data.asm!$C$3:$R$156,
    INT(_xlpm.idx / SpriteCount) * 7 + INT(_xlpm.r / 16) + 1,
    MOD(_xlpm.r, 16) + 1
  )
)</f>
        <v>00</v>
      </c>
      <c r="L37" t="str" cm="1">
        <f t="array" ref="L37">_xlfn.LET(
  _xlpm.idx, (ROW()-3)*16 + L$1,
  _xlpm.r, MOD(_xlpm.idx, SpriteCount),
  INDEX(
    sprite_data.asm!$C$3:$R$156,
    INT(_xlpm.idx / SpriteCount) * 7 + INT(_xlpm.r / 16) + 1,
    MOD(_xlpm.r, 16) + 1
  )
)</f>
        <v>00</v>
      </c>
      <c r="M37" t="str" cm="1">
        <f t="array" ref="M37">_xlfn.LET(
  _xlpm.idx, (ROW()-3)*16 + M$1,
  _xlpm.r, MOD(_xlpm.idx, SpriteCount),
  INDEX(
    sprite_data.asm!$C$3:$R$156,
    INT(_xlpm.idx / SpriteCount) * 7 + INT(_xlpm.r / 16) + 1,
    MOD(_xlpm.r, 16) + 1
  )
)</f>
        <v>00</v>
      </c>
      <c r="N37" t="str" cm="1">
        <f t="array" ref="N37">_xlfn.LET(
  _xlpm.idx, (ROW()-3)*16 + N$1,
  _xlpm.r, MOD(_xlpm.idx, SpriteCount),
  INDEX(
    sprite_data.asm!$C$3:$R$156,
    INT(_xlpm.idx / SpriteCount) * 7 + INT(_xlpm.r / 16) + 1,
    MOD(_xlpm.r, 16) + 1
  )
)</f>
        <v>00</v>
      </c>
      <c r="O37" t="str" cm="1">
        <f t="array" ref="O37">_xlfn.LET(
  _xlpm.idx, (ROW()-3)*16 + O$1,
  _xlpm.r, MOD(_xlpm.idx, SpriteCount),
  INDEX(
    sprite_data.asm!$C$3:$R$156,
    INT(_xlpm.idx / SpriteCount) * 7 + INT(_xlpm.r / 16) + 1,
    MOD(_xlpm.r, 16) + 1
  )
)</f>
        <v>00</v>
      </c>
      <c r="P37" t="str" cm="1">
        <f t="array" ref="P37">_xlfn.LET(
  _xlpm.idx, (ROW()-3)*16 + P$1,
  _xlpm.r, MOD(_xlpm.idx, SpriteCount),
  INDEX(
    sprite_data.asm!$C$3:$R$156,
    INT(_xlpm.idx / SpriteCount) * 7 + INT(_xlpm.r / 16) + 1,
    MOD(_xlpm.r, 16) + 1
  )
)</f>
        <v>00</v>
      </c>
      <c r="Q37" t="str" cm="1">
        <f t="array" ref="Q37">_xlfn.LET(
  _xlpm.idx, (ROW()-3)*16 + Q$1,
  _xlpm.r, MOD(_xlpm.idx, SpriteCount),
  INDEX(
    sprite_data.asm!$C$3:$R$156,
    INT(_xlpm.idx / SpriteCount) * 7 + INT(_xlpm.r / 16) + 1,
    MOD(_xlpm.r, 16) + 1
  )
)</f>
        <v>00</v>
      </c>
    </row>
    <row r="38" spans="1:17" x14ac:dyDescent="0.3">
      <c r="A38" s="2" t="str">
        <f t="shared" si="4"/>
        <v>AF30</v>
      </c>
      <c r="B38" t="str" cm="1">
        <f t="array" ref="B38">_xlfn.LET(
  _xlpm.idx, (ROW()-3)*16 + B$1,
  _xlpm.r, MOD(_xlpm.idx, SpriteCount),
  INDEX(
    sprite_data.asm!$C$3:$R$156,
    INT(_xlpm.idx / SpriteCount) * 7 + INT(_xlpm.r / 16) + 1,
    MOD(_xlpm.r, 16) + 1
  )
)</f>
        <v>01</v>
      </c>
      <c r="C38" t="str" cm="1">
        <f t="array" ref="C38">_xlfn.LET(
  _xlpm.idx, (ROW()-3)*16 + C$1,
  _xlpm.r, MOD(_xlpm.idx, SpriteCount),
  INDEX(
    sprite_data.asm!$C$3:$R$156,
    INT(_xlpm.idx / SpriteCount) * 7 + INT(_xlpm.r / 16) + 1,
    MOD(_xlpm.r, 16) + 1
  )
)</f>
        <v>01</v>
      </c>
      <c r="D38" t="str" cm="1">
        <f t="array" ref="D38">_xlfn.LET(
  _xlpm.idx, (ROW()-3)*16 + D$1,
  _xlpm.r, MOD(_xlpm.idx, SpriteCount),
  INDEX(
    sprite_data.asm!$C$3:$R$156,
    INT(_xlpm.idx / SpriteCount) * 7 + INT(_xlpm.r / 16) + 1,
    MOD(_xlpm.r, 16) + 1
  )
)</f>
        <v>01</v>
      </c>
      <c r="E38" t="str" cm="1">
        <f t="array" ref="E38">_xlfn.LET(
  _xlpm.idx, (ROW()-3)*16 + E$1,
  _xlpm.r, MOD(_xlpm.idx, SpriteCount),
  INDEX(
    sprite_data.asm!$C$3:$R$156,
    INT(_xlpm.idx / SpriteCount) * 7 + INT(_xlpm.r / 16) + 1,
    MOD(_xlpm.r, 16) + 1
  )
)</f>
        <v>00</v>
      </c>
      <c r="F38" t="str" cm="1">
        <f t="array" ref="F38">_xlfn.LET(
  _xlpm.idx, (ROW()-3)*16 + F$1,
  _xlpm.r, MOD(_xlpm.idx, SpriteCount),
  INDEX(
    sprite_data.asm!$C$3:$R$156,
    INT(_xlpm.idx / SpriteCount) * 7 + INT(_xlpm.r / 16) + 1,
    MOD(_xlpm.r, 16) + 1
  )
)</f>
        <v>00</v>
      </c>
      <c r="G38" t="str" cm="1">
        <f t="array" ref="G38">_xlfn.LET(
  _xlpm.idx, (ROW()-3)*16 + G$1,
  _xlpm.r, MOD(_xlpm.idx, SpriteCount),
  INDEX(
    sprite_data.asm!$C$3:$R$156,
    INT(_xlpm.idx / SpriteCount) * 7 + INT(_xlpm.r / 16) + 1,
    MOD(_xlpm.r, 16) + 1
  )
)</f>
        <v>01</v>
      </c>
      <c r="H38" t="str" cm="1">
        <f t="array" ref="H38">_xlfn.LET(
  _xlpm.idx, (ROW()-3)*16 + H$1,
  _xlpm.r, MOD(_xlpm.idx, SpriteCount),
  INDEX(
    sprite_data.asm!$C$3:$R$156,
    INT(_xlpm.idx / SpriteCount) * 7 + INT(_xlpm.r / 16) + 1,
    MOD(_xlpm.r, 16) + 1
  )
)</f>
        <v>00</v>
      </c>
      <c r="I38" t="str" cm="1">
        <f t="array" ref="I38">_xlfn.LET(
  _xlpm.idx, (ROW()-3)*16 + I$1,
  _xlpm.r, MOD(_xlpm.idx, SpriteCount),
  INDEX(
    sprite_data.asm!$C$3:$R$156,
    INT(_xlpm.idx / SpriteCount) * 7 + INT(_xlpm.r / 16) + 1,
    MOD(_xlpm.r, 16) + 1
  )
)</f>
        <v>00</v>
      </c>
      <c r="J38" t="str" cm="1">
        <f t="array" ref="J38">_xlfn.LET(
  _xlpm.idx, (ROW()-3)*16 + J$1,
  _xlpm.r, MOD(_xlpm.idx, SpriteCount),
  INDEX(
    sprite_data.asm!$C$3:$R$156,
    INT(_xlpm.idx / SpriteCount) * 7 + INT(_xlpm.r / 16) + 1,
    MOD(_xlpm.r, 16) + 1
  )
)</f>
        <v>01</v>
      </c>
      <c r="K38" t="str" cm="1">
        <f t="array" ref="K38">_xlfn.LET(
  _xlpm.idx, (ROW()-3)*16 + K$1,
  _xlpm.r, MOD(_xlpm.idx, SpriteCount),
  INDEX(
    sprite_data.asm!$C$3:$R$156,
    INT(_xlpm.idx / SpriteCount) * 7 + INT(_xlpm.r / 16) + 1,
    MOD(_xlpm.r, 16) + 1
  )
)</f>
        <v>00</v>
      </c>
      <c r="L38" t="str" cm="1">
        <f t="array" ref="L38">_xlfn.LET(
  _xlpm.idx, (ROW()-3)*16 + L$1,
  _xlpm.r, MOD(_xlpm.idx, SpriteCount),
  INDEX(
    sprite_data.asm!$C$3:$R$156,
    INT(_xlpm.idx / SpriteCount) * 7 + INT(_xlpm.r / 16) + 1,
    MOD(_xlpm.r, 16) + 1
  )
)</f>
        <v>00</v>
      </c>
      <c r="M38" t="str" cm="1">
        <f t="array" ref="M38">_xlfn.LET(
  _xlpm.idx, (ROW()-3)*16 + M$1,
  _xlpm.r, MOD(_xlpm.idx, SpriteCount),
  INDEX(
    sprite_data.asm!$C$3:$R$156,
    INT(_xlpm.idx / SpriteCount) * 7 + INT(_xlpm.r / 16) + 1,
    MOD(_xlpm.r, 16) + 1
  )
)</f>
        <v>05</v>
      </c>
      <c r="N38" t="str" cm="1">
        <f t="array" ref="N38">_xlfn.LET(
  _xlpm.idx, (ROW()-3)*16 + N$1,
  _xlpm.r, MOD(_xlpm.idx, SpriteCount),
  INDEX(
    sprite_data.asm!$C$3:$R$156,
    INT(_xlpm.idx / SpriteCount) * 7 + INT(_xlpm.r / 16) + 1,
    MOD(_xlpm.r, 16) + 1
  )
)</f>
        <v>00</v>
      </c>
      <c r="O38" t="str" cm="1">
        <f t="array" ref="O38">_xlfn.LET(
  _xlpm.idx, (ROW()-3)*16 + O$1,
  _xlpm.r, MOD(_xlpm.idx, SpriteCount),
  INDEX(
    sprite_data.asm!$C$3:$R$156,
    INT(_xlpm.idx / SpriteCount) * 7 + INT(_xlpm.r / 16) + 1,
    MOD(_xlpm.r, 16) + 1
  )
)</f>
        <v>04</v>
      </c>
      <c r="P38" t="str" cm="1">
        <f t="array" ref="P38">_xlfn.LET(
  _xlpm.idx, (ROW()-3)*16 + P$1,
  _xlpm.r, MOD(_xlpm.idx, SpriteCount),
  INDEX(
    sprite_data.asm!$C$3:$R$156,
    INT(_xlpm.idx / SpriteCount) * 7 + INT(_xlpm.r / 16) + 1,
    MOD(_xlpm.r, 16) + 1
  )
)</f>
        <v>04</v>
      </c>
      <c r="Q38" t="str" cm="1">
        <f t="array" ref="Q38">_xlfn.LET(
  _xlpm.idx, (ROW()-3)*16 + Q$1,
  _xlpm.r, MOD(_xlpm.idx, SpriteCount),
  INDEX(
    sprite_data.asm!$C$3:$R$156,
    INT(_xlpm.idx / SpriteCount) * 7 + INT(_xlpm.r / 16) + 1,
    MOD(_xlpm.r, 16) + 1
  )
)</f>
        <v>00</v>
      </c>
    </row>
    <row r="39" spans="1:17" x14ac:dyDescent="0.3">
      <c r="A39" s="2" t="str">
        <f t="shared" si="4"/>
        <v>AF40</v>
      </c>
      <c r="B39" t="str" cm="1">
        <f t="array" ref="B39">_xlfn.LET(
  _xlpm.idx, (ROW()-3)*16 + B$1,
  _xlpm.r, MOD(_xlpm.idx, SpriteCount),
  INDEX(
    sprite_data.asm!$C$3:$R$156,
    INT(_xlpm.idx / SpriteCount) * 7 + INT(_xlpm.r / 16) + 1,
    MOD(_xlpm.r, 16) + 1
  )
)</f>
        <v>00</v>
      </c>
      <c r="C39" t="str" cm="1">
        <f t="array" ref="C39">_xlfn.LET(
  _xlpm.idx, (ROW()-3)*16 + C$1,
  _xlpm.r, MOD(_xlpm.idx, SpriteCount),
  INDEX(
    sprite_data.asm!$C$3:$R$156,
    INT(_xlpm.idx / SpriteCount) * 7 + INT(_xlpm.r / 16) + 1,
    MOD(_xlpm.r, 16) + 1
  )
)</f>
        <v>00</v>
      </c>
      <c r="D39" t="str" cm="1">
        <f t="array" ref="D39">_xlfn.LET(
  _xlpm.idx, (ROW()-3)*16 + D$1,
  _xlpm.r, MOD(_xlpm.idx, SpriteCount),
  INDEX(
    sprite_data.asm!$C$3:$R$156,
    INT(_xlpm.idx / SpriteCount) * 7 + INT(_xlpm.r / 16) + 1,
    MOD(_xlpm.r, 16) + 1
  )
)</f>
        <v>00</v>
      </c>
      <c r="E39" t="str" cm="1">
        <f t="array" ref="E39">_xlfn.LET(
  _xlpm.idx, (ROW()-3)*16 + E$1,
  _xlpm.r, MOD(_xlpm.idx, SpriteCount),
  INDEX(
    sprite_data.asm!$C$3:$R$156,
    INT(_xlpm.idx / SpriteCount) * 7 + INT(_xlpm.r / 16) + 1,
    MOD(_xlpm.r, 16) + 1
  )
)</f>
        <v>00</v>
      </c>
      <c r="F39" t="str" cm="1">
        <f t="array" ref="F39">_xlfn.LET(
  _xlpm.idx, (ROW()-3)*16 + F$1,
  _xlpm.r, MOD(_xlpm.idx, SpriteCount),
  INDEX(
    sprite_data.asm!$C$3:$R$156,
    INT(_xlpm.idx / SpriteCount) * 7 + INT(_xlpm.r / 16) + 1,
    MOD(_xlpm.r, 16) + 1
  )
)</f>
        <v>00</v>
      </c>
      <c r="G39" t="str" cm="1">
        <f t="array" ref="G39">_xlfn.LET(
  _xlpm.idx, (ROW()-3)*16 + G$1,
  _xlpm.r, MOD(_xlpm.idx, SpriteCount),
  INDEX(
    sprite_data.asm!$C$3:$R$156,
    INT(_xlpm.idx / SpriteCount) * 7 + INT(_xlpm.r / 16) + 1,
    MOD(_xlpm.r, 16) + 1
  )
)</f>
        <v>00</v>
      </c>
      <c r="H39" t="str" cm="1">
        <f t="array" ref="H39">_xlfn.LET(
  _xlpm.idx, (ROW()-3)*16 + H$1,
  _xlpm.r, MOD(_xlpm.idx, SpriteCount),
  INDEX(
    sprite_data.asm!$C$3:$R$156,
    INT(_xlpm.idx / SpriteCount) * 7 + INT(_xlpm.r / 16) + 1,
    MOD(_xlpm.r, 16) + 1
  )
)</f>
        <v>00</v>
      </c>
      <c r="I39" t="str" cm="1">
        <f t="array" ref="I39">_xlfn.LET(
  _xlpm.idx, (ROW()-3)*16 + I$1,
  _xlpm.r, MOD(_xlpm.idx, SpriteCount),
  INDEX(
    sprite_data.asm!$C$3:$R$156,
    INT(_xlpm.idx / SpriteCount) * 7 + INT(_xlpm.r / 16) + 1,
    MOD(_xlpm.r, 16) + 1
  )
)</f>
        <v>00</v>
      </c>
      <c r="J39" t="str" cm="1">
        <f t="array" ref="J39">_xlfn.LET(
  _xlpm.idx, (ROW()-3)*16 + J$1,
  _xlpm.r, MOD(_xlpm.idx, SpriteCount),
  INDEX(
    sprite_data.asm!$C$3:$R$156,
    INT(_xlpm.idx / SpriteCount) * 7 + INT(_xlpm.r / 16) + 1,
    MOD(_xlpm.r, 16) + 1
  )
)</f>
        <v>00</v>
      </c>
      <c r="K39" t="str" cm="1">
        <f t="array" ref="K39">_xlfn.LET(
  _xlpm.idx, (ROW()-3)*16 + K$1,
  _xlpm.r, MOD(_xlpm.idx, SpriteCount),
  INDEX(
    sprite_data.asm!$C$3:$R$156,
    INT(_xlpm.idx / SpriteCount) * 7 + INT(_xlpm.r / 16) + 1,
    MOD(_xlpm.r, 16) + 1
  )
)</f>
        <v>00</v>
      </c>
      <c r="L39" t="str" cm="1">
        <f t="array" ref="L39">_xlfn.LET(
  _xlpm.idx, (ROW()-3)*16 + L$1,
  _xlpm.r, MOD(_xlpm.idx, SpriteCount),
  INDEX(
    sprite_data.asm!$C$3:$R$156,
    INT(_xlpm.idx / SpriteCount) * 7 + INT(_xlpm.r / 16) + 1,
    MOD(_xlpm.r, 16) + 1
  )
)</f>
        <v>00</v>
      </c>
      <c r="M39" t="str" cm="1">
        <f t="array" ref="M39">_xlfn.LET(
  _xlpm.idx, (ROW()-3)*16 + M$1,
  _xlpm.r, MOD(_xlpm.idx, SpriteCount),
  INDEX(
    sprite_data.asm!$C$3:$R$156,
    INT(_xlpm.idx / SpriteCount) * 7 + INT(_xlpm.r / 16) + 1,
    MOD(_xlpm.r, 16) + 1
  )
)</f>
        <v>00</v>
      </c>
      <c r="N39" t="str" cm="1">
        <f t="array" ref="N39">_xlfn.LET(
  _xlpm.idx, (ROW()-3)*16 + N$1,
  _xlpm.r, MOD(_xlpm.idx, SpriteCount),
  INDEX(
    sprite_data.asm!$C$3:$R$156,
    INT(_xlpm.idx / SpriteCount) * 7 + INT(_xlpm.r / 16) + 1,
    MOD(_xlpm.r, 16) + 1
  )
)</f>
        <v>00</v>
      </c>
      <c r="O39" t="str" cm="1">
        <f t="array" ref="O39">_xlfn.LET(
  _xlpm.idx, (ROW()-3)*16 + O$1,
  _xlpm.r, MOD(_xlpm.idx, SpriteCount),
  INDEX(
    sprite_data.asm!$C$3:$R$156,
    INT(_xlpm.idx / SpriteCount) * 7 + INT(_xlpm.r / 16) + 1,
    MOD(_xlpm.r, 16) + 1
  )
)</f>
        <v>00</v>
      </c>
      <c r="P39" t="str" cm="1">
        <f t="array" ref="P39">_xlfn.LET(
  _xlpm.idx, (ROW()-3)*16 + P$1,
  _xlpm.r, MOD(_xlpm.idx, SpriteCount),
  INDEX(
    sprite_data.asm!$C$3:$R$156,
    INT(_xlpm.idx / SpriteCount) * 7 + INT(_xlpm.r / 16) + 1,
    MOD(_xlpm.r, 16) + 1
  )
)</f>
        <v>00</v>
      </c>
      <c r="Q39" t="str" cm="1">
        <f t="array" ref="Q39">_xlfn.LET(
  _xlpm.idx, (ROW()-3)*16 + Q$1,
  _xlpm.r, MOD(_xlpm.idx, SpriteCount),
  INDEX(
    sprite_data.asm!$C$3:$R$156,
    INT(_xlpm.idx / SpriteCount) * 7 + INT(_xlpm.r / 16) + 1,
    MOD(_xlpm.r, 16) + 1
  )
)</f>
        <v>00</v>
      </c>
    </row>
    <row r="40" spans="1:17" x14ac:dyDescent="0.3">
      <c r="A40" s="2" t="str">
        <f t="shared" si="4"/>
        <v>AF50</v>
      </c>
      <c r="B40" t="str" cm="1">
        <f t="array" ref="B40">_xlfn.LET(
  _xlpm.idx, (ROW()-3)*16 + B$1,
  _xlpm.r, MOD(_xlpm.idx, SpriteCount),
  INDEX(
    sprite_data.asm!$C$3:$R$156,
    INT(_xlpm.idx / SpriteCount) * 7 + INT(_xlpm.r / 16) + 1,
    MOD(_xlpm.r, 16) + 1
  )
)</f>
        <v>00</v>
      </c>
      <c r="C40" t="str" cm="1">
        <f t="array" ref="C40">_xlfn.LET(
  _xlpm.idx, (ROW()-3)*16 + C$1,
  _xlpm.r, MOD(_xlpm.idx, SpriteCount),
  INDEX(
    sprite_data.asm!$C$3:$R$156,
    INT(_xlpm.idx / SpriteCount) * 7 + INT(_xlpm.r / 16) + 1,
    MOD(_xlpm.r, 16) + 1
  )
)</f>
        <v>00</v>
      </c>
      <c r="D40" t="str" cm="1">
        <f t="array" ref="D40">_xlfn.LET(
  _xlpm.idx, (ROW()-3)*16 + D$1,
  _xlpm.r, MOD(_xlpm.idx, SpriteCount),
  INDEX(
    sprite_data.asm!$C$3:$R$156,
    INT(_xlpm.idx / SpriteCount) * 7 + INT(_xlpm.r / 16) + 1,
    MOD(_xlpm.r, 16) + 1
  )
)</f>
        <v>00</v>
      </c>
      <c r="E40" t="str" cm="1">
        <f t="array" ref="E40">_xlfn.LET(
  _xlpm.idx, (ROW()-3)*16 + E$1,
  _xlpm.r, MOD(_xlpm.idx, SpriteCount),
  INDEX(
    sprite_data.asm!$C$3:$R$156,
    INT(_xlpm.idx / SpriteCount) * 7 + INT(_xlpm.r / 16) + 1,
    MOD(_xlpm.r, 16) + 1
  )
)</f>
        <v>00</v>
      </c>
      <c r="F40" t="str" cm="1">
        <f t="array" ref="F40">_xlfn.LET(
  _xlpm.idx, (ROW()-3)*16 + F$1,
  _xlpm.r, MOD(_xlpm.idx, SpriteCount),
  INDEX(
    sprite_data.asm!$C$3:$R$156,
    INT(_xlpm.idx / SpriteCount) * 7 + INT(_xlpm.r / 16) + 1,
    MOD(_xlpm.r, 16) + 1
  )
)</f>
        <v>00</v>
      </c>
      <c r="G40" t="str" cm="1">
        <f t="array" ref="G40">_xlfn.LET(
  _xlpm.idx, (ROW()-3)*16 + G$1,
  _xlpm.r, MOD(_xlpm.idx, SpriteCount),
  INDEX(
    sprite_data.asm!$C$3:$R$156,
    INT(_xlpm.idx / SpriteCount) * 7 + INT(_xlpm.r / 16) + 1,
    MOD(_xlpm.r, 16) + 1
  )
)</f>
        <v>00</v>
      </c>
      <c r="H40" t="str" cm="1">
        <f t="array" ref="H40">_xlfn.LET(
  _xlpm.idx, (ROW()-3)*16 + H$1,
  _xlpm.r, MOD(_xlpm.idx, SpriteCount),
  INDEX(
    sprite_data.asm!$C$3:$R$156,
    INT(_xlpm.idx / SpriteCount) * 7 + INT(_xlpm.r / 16) + 1,
    MOD(_xlpm.r, 16) + 1
  )
)</f>
        <v>00</v>
      </c>
      <c r="I40" t="str" cm="1">
        <f t="array" ref="I40">_xlfn.LET(
  _xlpm.idx, (ROW()-3)*16 + I$1,
  _xlpm.r, MOD(_xlpm.idx, SpriteCount),
  INDEX(
    sprite_data.asm!$C$3:$R$156,
    INT(_xlpm.idx / SpriteCount) * 7 + INT(_xlpm.r / 16) + 1,
    MOD(_xlpm.r, 16) + 1
  )
)</f>
        <v>00</v>
      </c>
      <c r="J40" t="str" cm="1">
        <f t="array" ref="J40">_xlfn.LET(
  _xlpm.idx, (ROW()-3)*16 + J$1,
  _xlpm.r, MOD(_xlpm.idx, SpriteCount),
  INDEX(
    sprite_data.asm!$C$3:$R$156,
    INT(_xlpm.idx / SpriteCount) * 7 + INT(_xlpm.r / 16) + 1,
    MOD(_xlpm.r, 16) + 1
  )
)</f>
        <v>00</v>
      </c>
      <c r="K40" t="str" cm="1">
        <f t="array" ref="K40">_xlfn.LET(
  _xlpm.idx, (ROW()-3)*16 + K$1,
  _xlpm.r, MOD(_xlpm.idx, SpriteCount),
  INDEX(
    sprite_data.asm!$C$3:$R$156,
    INT(_xlpm.idx / SpriteCount) * 7 + INT(_xlpm.r / 16) + 1,
    MOD(_xlpm.r, 16) + 1
  )
)</f>
        <v>00</v>
      </c>
      <c r="L40" t="str" cm="1">
        <f t="array" ref="L40">_xlfn.LET(
  _xlpm.idx, (ROW()-3)*16 + L$1,
  _xlpm.r, MOD(_xlpm.idx, SpriteCount),
  INDEX(
    sprite_data.asm!$C$3:$R$156,
    INT(_xlpm.idx / SpriteCount) * 7 + INT(_xlpm.r / 16) + 1,
    MOD(_xlpm.r, 16) + 1
  )
)</f>
        <v>00</v>
      </c>
      <c r="M40" t="str" cm="1">
        <f t="array" ref="M40">_xlfn.LET(
  _xlpm.idx, (ROW()-3)*16 + M$1,
  _xlpm.r, MOD(_xlpm.idx, SpriteCount),
  INDEX(
    sprite_data.asm!$C$3:$R$156,
    INT(_xlpm.idx / SpriteCount) * 7 + INT(_xlpm.r / 16) + 1,
    MOD(_xlpm.r, 16) + 1
  )
)</f>
        <v>00</v>
      </c>
      <c r="N40" t="str" cm="1">
        <f t="array" ref="N40">_xlfn.LET(
  _xlpm.idx, (ROW()-3)*16 + N$1,
  _xlpm.r, MOD(_xlpm.idx, SpriteCount),
  INDEX(
    sprite_data.asm!$C$3:$R$156,
    INT(_xlpm.idx / SpriteCount) * 7 + INT(_xlpm.r / 16) + 1,
    MOD(_xlpm.r, 16) + 1
  )
)</f>
        <v>00</v>
      </c>
      <c r="O40" t="str" cm="1">
        <f t="array" ref="O40">_xlfn.LET(
  _xlpm.idx, (ROW()-3)*16 + O$1,
  _xlpm.r, MOD(_xlpm.idx, SpriteCount),
  INDEX(
    sprite_data.asm!$C$3:$R$156,
    INT(_xlpm.idx / SpriteCount) * 7 + INT(_xlpm.r / 16) + 1,
    MOD(_xlpm.r, 16) + 1
  )
)</f>
        <v>00</v>
      </c>
      <c r="P40" t="str" cm="1">
        <f t="array" ref="P40">_xlfn.LET(
  _xlpm.idx, (ROW()-3)*16 + P$1,
  _xlpm.r, MOD(_xlpm.idx, SpriteCount),
  INDEX(
    sprite_data.asm!$C$3:$R$156,
    INT(_xlpm.idx / SpriteCount) * 7 + INT(_xlpm.r / 16) + 1,
    MOD(_xlpm.r, 16) + 1
  )
)</f>
        <v>00</v>
      </c>
      <c r="Q40" t="str" cm="1">
        <f t="array" ref="Q40">_xlfn.LET(
  _xlpm.idx, (ROW()-3)*16 + Q$1,
  _xlpm.r, MOD(_xlpm.idx, SpriteCount),
  INDEX(
    sprite_data.asm!$C$3:$R$156,
    INT(_xlpm.idx / SpriteCount) * 7 + INT(_xlpm.r / 16) + 1,
    MOD(_xlpm.r, 16) + 1
  )
)</f>
        <v>00</v>
      </c>
    </row>
    <row r="41" spans="1:17" x14ac:dyDescent="0.3">
      <c r="A41" s="2" t="str">
        <f t="shared" si="4"/>
        <v>AF60</v>
      </c>
      <c r="B41" t="str" cm="1">
        <f t="array" ref="B41">_xlfn.LET(
  _xlpm.idx, (ROW()-3)*16 + B$1,
  _xlpm.r, MOD(_xlpm.idx, SpriteCount),
  INDEX(
    sprite_data.asm!$C$3:$R$156,
    INT(_xlpm.idx / SpriteCount) * 7 + INT(_xlpm.r / 16) + 1,
    MOD(_xlpm.r, 16) + 1
  )
)</f>
        <v>00</v>
      </c>
      <c r="C41" t="str" cm="1">
        <f t="array" ref="C41">_xlfn.LET(
  _xlpm.idx, (ROW()-3)*16 + C$1,
  _xlpm.r, MOD(_xlpm.idx, SpriteCount),
  INDEX(
    sprite_data.asm!$C$3:$R$156,
    INT(_xlpm.idx / SpriteCount) * 7 + INT(_xlpm.r / 16) + 1,
    MOD(_xlpm.r, 16) + 1
  )
)</f>
        <v>00</v>
      </c>
      <c r="D41" t="str" cm="1">
        <f t="array" ref="D41">_xlfn.LET(
  _xlpm.idx, (ROW()-3)*16 + D$1,
  _xlpm.r, MOD(_xlpm.idx, SpriteCount),
  INDEX(
    sprite_data.asm!$C$3:$R$156,
    INT(_xlpm.idx / SpriteCount) * 7 + INT(_xlpm.r / 16) + 1,
    MOD(_xlpm.r, 16) + 1
  )
)</f>
        <v>00</v>
      </c>
      <c r="E41" t="str" cm="1">
        <f t="array" ref="E41">_xlfn.LET(
  _xlpm.idx, (ROW()-3)*16 + E$1,
  _xlpm.r, MOD(_xlpm.idx, SpriteCount),
  INDEX(
    sprite_data.asm!$C$3:$R$156,
    INT(_xlpm.idx / SpriteCount) * 7 + INT(_xlpm.r / 16) + 1,
    MOD(_xlpm.r, 16) + 1
  )
)</f>
        <v>00</v>
      </c>
      <c r="F41" t="str" cm="1">
        <f t="array" ref="F41">_xlfn.LET(
  _xlpm.idx, (ROW()-3)*16 + F$1,
  _xlpm.r, MOD(_xlpm.idx, SpriteCount),
  INDEX(
    sprite_data.asm!$C$3:$R$156,
    INT(_xlpm.idx / SpriteCount) * 7 + INT(_xlpm.r / 16) + 1,
    MOD(_xlpm.r, 16) + 1
  )
)</f>
        <v>00</v>
      </c>
      <c r="G41" t="str" cm="1">
        <f t="array" ref="G41">_xlfn.LET(
  _xlpm.idx, (ROW()-3)*16 + G$1,
  _xlpm.r, MOD(_xlpm.idx, SpriteCount),
  INDEX(
    sprite_data.asm!$C$3:$R$156,
    INT(_xlpm.idx / SpriteCount) * 7 + INT(_xlpm.r / 16) + 1,
    MOD(_xlpm.r, 16) + 1
  )
)</f>
        <v>00</v>
      </c>
      <c r="H41" t="str" cm="1">
        <f t="array" ref="H41">_xlfn.LET(
  _xlpm.idx, (ROW()-3)*16 + H$1,
  _xlpm.r, MOD(_xlpm.idx, SpriteCount),
  INDEX(
    sprite_data.asm!$C$3:$R$156,
    INT(_xlpm.idx / SpriteCount) * 7 + INT(_xlpm.r / 16) + 1,
    MOD(_xlpm.r, 16) + 1
  )
)</f>
        <v>00</v>
      </c>
      <c r="I41" t="str" cm="1">
        <f t="array" ref="I41">_xlfn.LET(
  _xlpm.idx, (ROW()-3)*16 + I$1,
  _xlpm.r, MOD(_xlpm.idx, SpriteCount),
  INDEX(
    sprite_data.asm!$C$3:$R$156,
    INT(_xlpm.idx / SpriteCount) * 7 + INT(_xlpm.r / 16) + 1,
    MOD(_xlpm.r, 16) + 1
  )
)</f>
        <v>00</v>
      </c>
      <c r="J41" t="str" cm="1">
        <f t="array" ref="J41">_xlfn.LET(
  _xlpm.idx, (ROW()-3)*16 + J$1,
  _xlpm.r, MOD(_xlpm.idx, SpriteCount),
  INDEX(
    sprite_data.asm!$C$3:$R$156,
    INT(_xlpm.idx / SpriteCount) * 7 + INT(_xlpm.r / 16) + 1,
    MOD(_xlpm.r, 16) + 1
  )
)</f>
        <v>00</v>
      </c>
      <c r="K41" t="str" cm="1">
        <f t="array" ref="K41">_xlfn.LET(
  _xlpm.idx, (ROW()-3)*16 + K$1,
  _xlpm.r, MOD(_xlpm.idx, SpriteCount),
  INDEX(
    sprite_data.asm!$C$3:$R$156,
    INT(_xlpm.idx / SpriteCount) * 7 + INT(_xlpm.r / 16) + 1,
    MOD(_xlpm.r, 16) + 1
  )
)</f>
        <v>00</v>
      </c>
      <c r="L41" t="str" cm="1">
        <f t="array" ref="L41">_xlfn.LET(
  _xlpm.idx, (ROW()-3)*16 + L$1,
  _xlpm.r, MOD(_xlpm.idx, SpriteCount),
  INDEX(
    sprite_data.asm!$C$3:$R$156,
    INT(_xlpm.idx / SpriteCount) * 7 + INT(_xlpm.r / 16) + 1,
    MOD(_xlpm.r, 16) + 1
  )
)</f>
        <v>00</v>
      </c>
      <c r="M41" t="str" cm="1">
        <f t="array" ref="M41">_xlfn.LET(
  _xlpm.idx, (ROW()-3)*16 + M$1,
  _xlpm.r, MOD(_xlpm.idx, SpriteCount),
  INDEX(
    sprite_data.asm!$C$3:$R$156,
    INT(_xlpm.idx / SpriteCount) * 7 + INT(_xlpm.r / 16) + 1,
    MOD(_xlpm.r, 16) + 1
  )
)</f>
        <v>00</v>
      </c>
      <c r="N41" t="str" cm="1">
        <f t="array" ref="N41">_xlfn.LET(
  _xlpm.idx, (ROW()-3)*16 + N$1,
  _xlpm.r, MOD(_xlpm.idx, SpriteCount),
  INDEX(
    sprite_data.asm!$C$3:$R$156,
    INT(_xlpm.idx / SpriteCount) * 7 + INT(_xlpm.r / 16) + 1,
    MOD(_xlpm.r, 16) + 1
  )
)</f>
        <v>00</v>
      </c>
      <c r="O41" t="str" cm="1">
        <f t="array" ref="O41">_xlfn.LET(
  _xlpm.idx, (ROW()-3)*16 + O$1,
  _xlpm.r, MOD(_xlpm.idx, SpriteCount),
  INDEX(
    sprite_data.asm!$C$3:$R$156,
    INT(_xlpm.idx / SpriteCount) * 7 + INT(_xlpm.r / 16) + 1,
    MOD(_xlpm.r, 16) + 1
  )
)</f>
        <v>00</v>
      </c>
      <c r="P41" t="str" cm="1">
        <f t="array" ref="P41">_xlfn.LET(
  _xlpm.idx, (ROW()-3)*16 + P$1,
  _xlpm.r, MOD(_xlpm.idx, SpriteCount),
  INDEX(
    sprite_data.asm!$C$3:$R$156,
    INT(_xlpm.idx / SpriteCount) * 7 + INT(_xlpm.r / 16) + 1,
    MOD(_xlpm.r, 16) + 1
  )
)</f>
        <v>38</v>
      </c>
      <c r="Q41" t="str" cm="1">
        <f t="array" ref="Q41">_xlfn.LET(
  _xlpm.idx, (ROW()-3)*16 + Q$1,
  _xlpm.r, MOD(_xlpm.idx, SpriteCount),
  INDEX(
    sprite_data.asm!$C$3:$R$156,
    INT(_xlpm.idx / SpriteCount) * 7 + INT(_xlpm.r / 16) + 1,
    MOD(_xlpm.r, 16) + 1
  )
)</f>
        <v>70</v>
      </c>
    </row>
    <row r="42" spans="1:17" x14ac:dyDescent="0.3">
      <c r="A42" s="2" t="str">
        <f t="shared" si="4"/>
        <v>AF70</v>
      </c>
      <c r="B42" t="str" cm="1">
        <f t="array" ref="B42">_xlfn.LET(
  _xlpm.idx, (ROW()-3)*16 + B$1,
  _xlpm.r, MOD(_xlpm.idx, SpriteCount),
  INDEX(
    sprite_data.asm!$C$3:$R$156,
    INT(_xlpm.idx / SpriteCount) * 7 + INT(_xlpm.r / 16) + 1,
    MOD(_xlpm.r, 16) + 1
  )
)</f>
        <v>00</v>
      </c>
      <c r="C42" t="str" cm="1">
        <f t="array" ref="C42">_xlfn.LET(
  _xlpm.idx, (ROW()-3)*16 + C$1,
  _xlpm.r, MOD(_xlpm.idx, SpriteCount),
  INDEX(
    sprite_data.asm!$C$3:$R$156,
    INT(_xlpm.idx / SpriteCount) * 7 + INT(_xlpm.r / 16) + 1,
    MOD(_xlpm.r, 16) + 1
  )
)</f>
        <v>15</v>
      </c>
      <c r="D42" t="str" cm="1">
        <f t="array" ref="D42">_xlfn.LET(
  _xlpm.idx, (ROW()-3)*16 + D$1,
  _xlpm.r, MOD(_xlpm.idx, SpriteCount),
  INDEX(
    sprite_data.asm!$C$3:$R$156,
    INT(_xlpm.idx / SpriteCount) * 7 + INT(_xlpm.r / 16) + 1,
    MOD(_xlpm.r, 16) + 1
  )
)</f>
        <v>55</v>
      </c>
      <c r="E42" t="str" cm="1">
        <f t="array" ref="E42">_xlfn.LET(
  _xlpm.idx, (ROW()-3)*16 + E$1,
  _xlpm.r, MOD(_xlpm.idx, SpriteCount),
  INDEX(
    sprite_data.asm!$C$3:$R$156,
    INT(_xlpm.idx / SpriteCount) * 7 + INT(_xlpm.r / 16) + 1,
    MOD(_xlpm.r, 16) + 1
  )
)</f>
        <v>06</v>
      </c>
      <c r="F42" t="str" cm="1">
        <f t="array" ref="F42">_xlfn.LET(
  _xlpm.idx, (ROW()-3)*16 + F$1,
  _xlpm.r, MOD(_xlpm.idx, SpriteCount),
  INDEX(
    sprite_data.asm!$C$3:$R$156,
    INT(_xlpm.idx / SpriteCount) * 7 + INT(_xlpm.r / 16) + 1,
    MOD(_xlpm.r, 16) + 1
  )
)</f>
        <v>00</v>
      </c>
      <c r="G42" t="str" cm="1">
        <f t="array" ref="G42">_xlfn.LET(
  _xlpm.idx, (ROW()-3)*16 + G$1,
  _xlpm.r, MOD(_xlpm.idx, SpriteCount),
  INDEX(
    sprite_data.asm!$C$3:$R$156,
    INT(_xlpm.idx / SpriteCount) * 7 + INT(_xlpm.r / 16) + 1,
    MOD(_xlpm.r, 16) + 1
  )
)</f>
        <v>7C</v>
      </c>
      <c r="H42" t="str" cm="1">
        <f t="array" ref="H42">_xlfn.LET(
  _xlpm.idx, (ROW()-3)*16 + H$1,
  _xlpm.r, MOD(_xlpm.idx, SpriteCount),
  INDEX(
    sprite_data.asm!$C$3:$R$156,
    INT(_xlpm.idx / SpriteCount) * 7 + INT(_xlpm.r / 16) + 1,
    MOD(_xlpm.r, 16) + 1
  )
)</f>
        <v>06</v>
      </c>
      <c r="I42" t="str" cm="1">
        <f t="array" ref="I42">_xlfn.LET(
  _xlpm.idx, (ROW()-3)*16 + I$1,
  _xlpm.r, MOD(_xlpm.idx, SpriteCount),
  INDEX(
    sprite_data.asm!$C$3:$R$156,
    INT(_xlpm.idx / SpriteCount) * 7 + INT(_xlpm.r / 16) + 1,
    MOD(_xlpm.r, 16) + 1
  )
)</f>
        <v>00</v>
      </c>
      <c r="J42" t="str" cm="1">
        <f t="array" ref="J42">_xlfn.LET(
  _xlpm.idx, (ROW()-3)*16 + J$1,
  _xlpm.r, MOD(_xlpm.idx, SpriteCount),
  INDEX(
    sprite_data.asm!$C$3:$R$156,
    INT(_xlpm.idx / SpriteCount) * 7 + INT(_xlpm.r / 16) + 1,
    MOD(_xlpm.r, 16) + 1
  )
)</f>
        <v>20</v>
      </c>
      <c r="K42" t="str" cm="1">
        <f t="array" ref="K42">_xlfn.LET(
  _xlpm.idx, (ROW()-3)*16 + K$1,
  _xlpm.r, MOD(_xlpm.idx, SpriteCount),
  INDEX(
    sprite_data.asm!$C$3:$R$156,
    INT(_xlpm.idx / SpriteCount) * 7 + INT(_xlpm.r / 16) + 1,
    MOD(_xlpm.r, 16) + 1
  )
)</f>
        <v>70</v>
      </c>
      <c r="L42" t="str" cm="1">
        <f t="array" ref="L42">_xlfn.LET(
  _xlpm.idx, (ROW()-3)*16 + L$1,
  _xlpm.r, MOD(_xlpm.idx, SpriteCount),
  INDEX(
    sprite_data.asm!$C$3:$R$156,
    INT(_xlpm.idx / SpriteCount) * 7 + INT(_xlpm.r / 16) + 1,
    MOD(_xlpm.r, 16) + 1
  )
)</f>
        <v>7F</v>
      </c>
      <c r="M42" t="str" cm="1">
        <f t="array" ref="M42">_xlfn.LET(
  _xlpm.idx, (ROW()-3)*16 + M$1,
  _xlpm.r, MOD(_xlpm.idx, SpriteCount),
  INDEX(
    sprite_data.asm!$C$3:$R$156,
    INT(_xlpm.idx / SpriteCount) * 7 + INT(_xlpm.r / 16) + 1,
    MOD(_xlpm.r, 16) + 1
  )
)</f>
        <v>38</v>
      </c>
      <c r="N42" t="str" cm="1">
        <f t="array" ref="N42">_xlfn.LET(
  _xlpm.idx, (ROW()-3)*16 + N$1,
  _xlpm.r, MOD(_xlpm.idx, SpriteCount),
  INDEX(
    sprite_data.asm!$C$3:$R$156,
    INT(_xlpm.idx / SpriteCount) * 7 + INT(_xlpm.r / 16) + 1,
    MOD(_xlpm.r, 16) + 1
  )
)</f>
        <v>18</v>
      </c>
      <c r="O42" t="str" cm="1">
        <f t="array" ref="O42">_xlfn.LET(
  _xlpm.idx, (ROW()-3)*16 + O$1,
  _xlpm.r, MOD(_xlpm.idx, SpriteCount),
  INDEX(
    sprite_data.asm!$C$3:$R$156,
    INT(_xlpm.idx / SpriteCount) * 7 + INT(_xlpm.r / 16) + 1,
    MOD(_xlpm.r, 16) + 1
  )
)</f>
        <v>18</v>
      </c>
      <c r="P42" t="str" cm="1">
        <f t="array" ref="P42">_xlfn.LET(
  _xlpm.idx, (ROW()-3)*16 + P$1,
  _xlpm.r, MOD(_xlpm.idx, SpriteCount),
  INDEX(
    sprite_data.asm!$C$3:$R$156,
    INT(_xlpm.idx / SpriteCount) * 7 + INT(_xlpm.r / 16) + 1,
    MOD(_xlpm.r, 16) + 1
  )
)</f>
        <v>72</v>
      </c>
      <c r="Q42" t="str" cm="1">
        <f t="array" ref="Q42">_xlfn.LET(
  _xlpm.idx, (ROW()-3)*16 + Q$1,
  _xlpm.r, MOD(_xlpm.idx, SpriteCount),
  INDEX(
    sprite_data.asm!$C$3:$R$156,
    INT(_xlpm.idx / SpriteCount) * 7 + INT(_xlpm.r / 16) + 1,
    MOD(_xlpm.r, 16) + 1
  )
)</f>
        <v>40</v>
      </c>
    </row>
    <row r="43" spans="1:17" x14ac:dyDescent="0.3">
      <c r="A43" s="2" t="str">
        <f t="shared" si="4"/>
        <v>AF80</v>
      </c>
      <c r="B43" t="str" cm="1">
        <f t="array" ref="B43">_xlfn.LET(
  _xlpm.idx, (ROW()-3)*16 + B$1,
  _xlpm.r, MOD(_xlpm.idx, SpriteCount),
  INDEX(
    sprite_data.asm!$C$3:$R$156,
    INT(_xlpm.idx / SpriteCount) * 7 + INT(_xlpm.r / 16) + 1,
    MOD(_xlpm.r, 16) + 1
  )
)</f>
        <v>60</v>
      </c>
      <c r="C43" t="str" cm="1">
        <f t="array" ref="C43">_xlfn.LET(
  _xlpm.idx, (ROW()-3)*16 + C$1,
  _xlpm.r, MOD(_xlpm.idx, SpriteCount),
  INDEX(
    sprite_data.asm!$C$3:$R$156,
    INT(_xlpm.idx / SpriteCount) * 7 + INT(_xlpm.r / 16) + 1,
    MOD(_xlpm.r, 16) + 1
  )
)</f>
        <v>60</v>
      </c>
      <c r="D43" t="str" cm="1">
        <f t="array" ref="D43">_xlfn.LET(
  _xlpm.idx, (ROW()-3)*16 + D$1,
  _xlpm.r, MOD(_xlpm.idx, SpriteCount),
  INDEX(
    sprite_data.asm!$C$3:$R$156,
    INT(_xlpm.idx / SpriteCount) * 7 + INT(_xlpm.r / 16) + 1,
    MOD(_xlpm.r, 16) + 1
  )
)</f>
        <v>38</v>
      </c>
      <c r="E43" t="str" cm="1">
        <f t="array" ref="E43">_xlfn.LET(
  _xlpm.idx, (ROW()-3)*16 + E$1,
  _xlpm.r, MOD(_xlpm.idx, SpriteCount),
  INDEX(
    sprite_data.asm!$C$3:$R$156,
    INT(_xlpm.idx / SpriteCount) * 7 + INT(_xlpm.r / 16) + 1,
    MOD(_xlpm.r, 16) + 1
  )
)</f>
        <v>7C</v>
      </c>
      <c r="F43" t="str" cm="1">
        <f t="array" ref="F43">_xlfn.LET(
  _xlpm.idx, (ROW()-3)*16 + F$1,
  _xlpm.r, MOD(_xlpm.idx, SpriteCount),
  INDEX(
    sprite_data.asm!$C$3:$R$156,
    INT(_xlpm.idx / SpriteCount) * 7 + INT(_xlpm.r / 16) + 1,
    MOD(_xlpm.r, 16) + 1
  )
)</f>
        <v>7E</v>
      </c>
      <c r="G43" t="str" cm="1">
        <f t="array" ref="G43">_xlfn.LET(
  _xlpm.idx, (ROW()-3)*16 + G$1,
  _xlpm.r, MOD(_xlpm.idx, SpriteCount),
  INDEX(
    sprite_data.asm!$C$3:$R$156,
    INT(_xlpm.idx / SpriteCount) * 7 + INT(_xlpm.r / 16) + 1,
    MOD(_xlpm.r, 16) + 1
  )
)</f>
        <v>76</v>
      </c>
      <c r="H43" t="str" cm="1">
        <f t="array" ref="H43">_xlfn.LET(
  _xlpm.idx, (ROW()-3)*16 + H$1,
  _xlpm.r, MOD(_xlpm.idx, SpriteCount),
  INDEX(
    sprite_data.asm!$C$3:$R$156,
    INT(_xlpm.idx / SpriteCount) * 7 + INT(_xlpm.r / 16) + 1,
    MOD(_xlpm.r, 16) + 1
  )
)</f>
        <v>38</v>
      </c>
      <c r="I43" t="str" cm="1">
        <f t="array" ref="I43">_xlfn.LET(
  _xlpm.idx, (ROW()-3)*16 + I$1,
  _xlpm.r, MOD(_xlpm.idx, SpriteCount),
  INDEX(
    sprite_data.asm!$C$3:$R$156,
    INT(_xlpm.idx / SpriteCount) * 7 + INT(_xlpm.r / 16) + 1,
    MOD(_xlpm.r, 16) + 1
  )
)</f>
        <v>70</v>
      </c>
      <c r="J43" t="str" cm="1">
        <f t="array" ref="J43">_xlfn.LET(
  _xlpm.idx, (ROW()-3)*16 + J$1,
  _xlpm.r, MOD(_xlpm.idx, SpriteCount),
  INDEX(
    sprite_data.asm!$C$3:$R$156,
    INT(_xlpm.idx / SpriteCount) * 7 + INT(_xlpm.r / 16) + 1,
    MOD(_xlpm.r, 16) + 1
  )
)</f>
        <v>3C</v>
      </c>
      <c r="K43" t="str" cm="1">
        <f t="array" ref="K43">_xlfn.LET(
  _xlpm.idx, (ROW()-3)*16 + K$1,
  _xlpm.r, MOD(_xlpm.idx, SpriteCount),
  INDEX(
    sprite_data.asm!$C$3:$R$156,
    INT(_xlpm.idx / SpriteCount) * 7 + INT(_xlpm.r / 16) + 1,
    MOD(_xlpm.r, 16) + 1
  )
)</f>
        <v>70</v>
      </c>
      <c r="L43" t="str" cm="1">
        <f t="array" ref="L43">_xlfn.LET(
  _xlpm.idx, (ROW()-3)*16 + L$1,
  _xlpm.r, MOD(_xlpm.idx, SpriteCount),
  INDEX(
    sprite_data.asm!$C$3:$R$156,
    INT(_xlpm.idx / SpriteCount) * 7 + INT(_xlpm.r / 16) + 1,
    MOD(_xlpm.r, 16) + 1
  )
)</f>
        <v>3B</v>
      </c>
      <c r="M43" t="str" cm="1">
        <f t="array" ref="M43">_xlfn.LET(
  _xlpm.idx, (ROW()-3)*16 + M$1,
  _xlpm.r, MOD(_xlpm.idx, SpriteCount),
  INDEX(
    sprite_data.asm!$C$3:$R$156,
    INT(_xlpm.idx / SpriteCount) * 7 + INT(_xlpm.r / 16) + 1,
    MOD(_xlpm.r, 16) + 1
  )
)</f>
        <v>00</v>
      </c>
      <c r="N43" t="str" cm="1">
        <f t="array" ref="N43">_xlfn.LET(
  _xlpm.idx, (ROW()-3)*16 + N$1,
  _xlpm.r, MOD(_xlpm.idx, SpriteCount),
  INDEX(
    sprite_data.asm!$C$3:$R$156,
    INT(_xlpm.idx / SpriteCount) * 7 + INT(_xlpm.r / 16) + 1,
    MOD(_xlpm.r, 16) + 1
  )
)</f>
        <v>10</v>
      </c>
      <c r="O43" t="str" cm="1">
        <f t="array" ref="O43">_xlfn.LET(
  _xlpm.idx, (ROW()-3)*16 + O$1,
  _xlpm.r, MOD(_xlpm.idx, SpriteCount),
  INDEX(
    sprite_data.asm!$C$3:$R$156,
    INT(_xlpm.idx / SpriteCount) * 7 + INT(_xlpm.r / 16) + 1,
    MOD(_xlpm.r, 16) + 1
  )
)</f>
        <v>00</v>
      </c>
      <c r="P43" t="str" cm="1">
        <f t="array" ref="P43">_xlfn.LET(
  _xlpm.idx, (ROW()-3)*16 + P$1,
  _xlpm.r, MOD(_xlpm.idx, SpriteCount),
  INDEX(
    sprite_data.asm!$C$3:$R$156,
    INT(_xlpm.idx / SpriteCount) * 7 + INT(_xlpm.r / 16) + 1,
    MOD(_xlpm.r, 16) + 1
  )
)</f>
        <v>10</v>
      </c>
      <c r="Q43" t="str" cm="1">
        <f t="array" ref="Q43">_xlfn.LET(
  _xlpm.idx, (ROW()-3)*16 + Q$1,
  _xlpm.r, MOD(_xlpm.idx, SpriteCount),
  INDEX(
    sprite_data.asm!$C$3:$R$156,
    INT(_xlpm.idx / SpriteCount) * 7 + INT(_xlpm.r / 16) + 1,
    MOD(_xlpm.r, 16) + 1
  )
)</f>
        <v>15</v>
      </c>
    </row>
    <row r="44" spans="1:17" x14ac:dyDescent="0.3">
      <c r="A44" s="2" t="str">
        <f t="shared" si="4"/>
        <v>AF90</v>
      </c>
      <c r="B44" t="str" cm="1">
        <f t="array" ref="B44">_xlfn.LET(
  _xlpm.idx, (ROW()-3)*16 + B$1,
  _xlpm.r, MOD(_xlpm.idx, SpriteCount),
  INDEX(
    sprite_data.asm!$C$3:$R$156,
    INT(_xlpm.idx / SpriteCount) * 7 + INT(_xlpm.r / 16) + 1,
    MOD(_xlpm.r, 16) + 1
  )
)</f>
        <v>15</v>
      </c>
      <c r="C44" t="str" cm="1">
        <f t="array" ref="C44">_xlfn.LET(
  _xlpm.idx, (ROW()-3)*16 + C$1,
  _xlpm.r, MOD(_xlpm.idx, SpriteCount),
  INDEX(
    sprite_data.asm!$C$3:$R$156,
    INT(_xlpm.idx / SpriteCount) * 7 + INT(_xlpm.r / 16) + 1,
    MOD(_xlpm.r, 16) + 1
  )
)</f>
        <v>29</v>
      </c>
      <c r="D44" t="str" cm="1">
        <f t="array" ref="D44">_xlfn.LET(
  _xlpm.idx, (ROW()-3)*16 + D$1,
  _xlpm.r, MOD(_xlpm.idx, SpriteCount),
  INDEX(
    sprite_data.asm!$C$3:$R$156,
    INT(_xlpm.idx / SpriteCount) * 7 + INT(_xlpm.r / 16) + 1,
    MOD(_xlpm.r, 16) + 1
  )
)</f>
        <v>20</v>
      </c>
      <c r="E44" t="str" cm="1">
        <f t="array" ref="E44">_xlfn.LET(
  _xlpm.idx, (ROW()-3)*16 + E$1,
  _xlpm.r, MOD(_xlpm.idx, SpriteCount),
  INDEX(
    sprite_data.asm!$C$3:$R$156,
    INT(_xlpm.idx / SpriteCount) * 7 + INT(_xlpm.r / 16) + 1,
    MOD(_xlpm.r, 16) + 1
  )
)</f>
        <v>00</v>
      </c>
      <c r="F44" t="str" cm="1">
        <f t="array" ref="F44">_xlfn.LET(
  _xlpm.idx, (ROW()-3)*16 + F$1,
  _xlpm.r, MOD(_xlpm.idx, SpriteCount),
  INDEX(
    sprite_data.asm!$C$3:$R$156,
    INT(_xlpm.idx / SpriteCount) * 7 + INT(_xlpm.r / 16) + 1,
    MOD(_xlpm.r, 16) + 1
  )
)</f>
        <v>00</v>
      </c>
      <c r="G44" t="str" cm="1">
        <f t="array" ref="G44">_xlfn.LET(
  _xlpm.idx, (ROW()-3)*16 + G$1,
  _xlpm.r, MOD(_xlpm.idx, SpriteCount),
  INDEX(
    sprite_data.asm!$C$3:$R$156,
    INT(_xlpm.idx / SpriteCount) * 7 + INT(_xlpm.r / 16) + 1,
    MOD(_xlpm.r, 16) + 1
  )
)</f>
        <v>18</v>
      </c>
      <c r="H44" t="str" cm="1">
        <f t="array" ref="H44">_xlfn.LET(
  _xlpm.idx, (ROW()-3)*16 + H$1,
  _xlpm.r, MOD(_xlpm.idx, SpriteCount),
  INDEX(
    sprite_data.asm!$C$3:$R$156,
    INT(_xlpm.idx / SpriteCount) * 7 + INT(_xlpm.r / 16) + 1,
    MOD(_xlpm.r, 16) + 1
  )
)</f>
        <v>00</v>
      </c>
      <c r="I44" t="str" cm="1">
        <f t="array" ref="I44">_xlfn.LET(
  _xlpm.idx, (ROW()-3)*16 + I$1,
  _xlpm.r, MOD(_xlpm.idx, SpriteCount),
  INDEX(
    sprite_data.asm!$C$3:$R$156,
    INT(_xlpm.idx / SpriteCount) * 7 + INT(_xlpm.r / 16) + 1,
    MOD(_xlpm.r, 16) + 1
  )
)</f>
        <v>10</v>
      </c>
      <c r="J44" t="str" cm="1">
        <f t="array" ref="J44">_xlfn.LET(
  _xlpm.idx, (ROW()-3)*16 + J$1,
  _xlpm.r, MOD(_xlpm.idx, SpriteCount),
  INDEX(
    sprite_data.asm!$C$3:$R$156,
    INT(_xlpm.idx / SpriteCount) * 7 + INT(_xlpm.r / 16) + 1,
    MOD(_xlpm.r, 16) + 1
  )
)</f>
        <v>20</v>
      </c>
      <c r="K44" t="str" cm="1">
        <f t="array" ref="K44">_xlfn.LET(
  _xlpm.idx, (ROW()-3)*16 + K$1,
  _xlpm.r, MOD(_xlpm.idx, SpriteCount),
  INDEX(
    sprite_data.asm!$C$3:$R$156,
    INT(_xlpm.idx / SpriteCount) * 7 + INT(_xlpm.r / 16) + 1,
    MOD(_xlpm.r, 16) + 1
  )
)</f>
        <v>20</v>
      </c>
      <c r="L44" t="str" cm="1">
        <f t="array" ref="L44">_xlfn.LET(
  _xlpm.idx, (ROW()-3)*16 + L$1,
  _xlpm.r, MOD(_xlpm.idx, SpriteCount),
  INDEX(
    sprite_data.asm!$C$3:$R$156,
    INT(_xlpm.idx / SpriteCount) * 7 + INT(_xlpm.r / 16) + 1,
    MOD(_xlpm.r, 16) + 1
  )
)</f>
        <v>20</v>
      </c>
      <c r="M44" t="str" cm="1">
        <f t="array" ref="M44">_xlfn.LET(
  _xlpm.idx, (ROW()-3)*16 + M$1,
  _xlpm.r, MOD(_xlpm.idx, SpriteCount),
  INDEX(
    sprite_data.asm!$C$3:$R$156,
    INT(_xlpm.idx / SpriteCount) * 7 + INT(_xlpm.r / 16) + 1,
    MOD(_xlpm.r, 16) + 1
  )
)</f>
        <v>20</v>
      </c>
      <c r="N44" t="str" cm="1">
        <f t="array" ref="N44">_xlfn.LET(
  _xlpm.idx, (ROW()-3)*16 + N$1,
  _xlpm.r, MOD(_xlpm.idx, SpriteCount),
  INDEX(
    sprite_data.asm!$C$3:$R$156,
    INT(_xlpm.idx / SpriteCount) * 7 + INT(_xlpm.r / 16) + 1,
    MOD(_xlpm.r, 16) + 1
  )
)</f>
        <v>20</v>
      </c>
      <c r="O44" t="str" cm="1">
        <f t="array" ref="O44">_xlfn.LET(
  _xlpm.idx, (ROW()-3)*16 + O$1,
  _xlpm.r, MOD(_xlpm.idx, SpriteCount),
  INDEX(
    sprite_data.asm!$C$3:$R$156,
    INT(_xlpm.idx / SpriteCount) * 7 + INT(_xlpm.r / 16) + 1,
    MOD(_xlpm.r, 16) + 1
  )
)</f>
        <v>22</v>
      </c>
      <c r="P44" t="str" cm="1">
        <f t="array" ref="P44">_xlfn.LET(
  _xlpm.idx, (ROW()-3)*16 + P$1,
  _xlpm.r, MOD(_xlpm.idx, SpriteCount),
  INDEX(
    sprite_data.asm!$C$3:$R$156,
    INT(_xlpm.idx / SpriteCount) * 7 + INT(_xlpm.r / 16) + 1,
    MOD(_xlpm.r, 16) + 1
  )
)</f>
        <v>28</v>
      </c>
      <c r="Q44" t="str" cm="1">
        <f t="array" ref="Q44">_xlfn.LET(
  _xlpm.idx, (ROW()-3)*16 + Q$1,
  _xlpm.r, MOD(_xlpm.idx, SpriteCount),
  INDEX(
    sprite_data.asm!$C$3:$R$156,
    INT(_xlpm.idx / SpriteCount) * 7 + INT(_xlpm.r / 16) + 1,
    MOD(_xlpm.r, 16) + 1
  )
)</f>
        <v>20</v>
      </c>
    </row>
    <row r="45" spans="1:17" x14ac:dyDescent="0.3">
      <c r="A45" s="2" t="str">
        <f t="shared" si="4"/>
        <v>AFA0</v>
      </c>
      <c r="B45" t="str" cm="1">
        <f t="array" ref="B45">_xlfn.LET(
  _xlpm.idx, (ROW()-3)*16 + B$1,
  _xlpm.r, MOD(_xlpm.idx, SpriteCount),
  INDEX(
    sprite_data.asm!$C$3:$R$156,
    INT(_xlpm.idx / SpriteCount) * 7 + INT(_xlpm.r / 16) + 1,
    MOD(_xlpm.r, 16) + 1
  )
)</f>
        <v>0A</v>
      </c>
      <c r="C45" t="str" cm="1">
        <f t="array" ref="C45">_xlfn.LET(
  _xlpm.idx, (ROW()-3)*16 + C$1,
  _xlpm.r, MOD(_xlpm.idx, SpriteCount),
  INDEX(
    sprite_data.asm!$C$3:$R$156,
    INT(_xlpm.idx / SpriteCount) * 7 + INT(_xlpm.r / 16) + 1,
    MOD(_xlpm.r, 16) + 1
  )
)</f>
        <v>28</v>
      </c>
      <c r="D45" t="str" cm="1">
        <f t="array" ref="D45">_xlfn.LET(
  _xlpm.idx, (ROW()-3)*16 + D$1,
  _xlpm.r, MOD(_xlpm.idx, SpriteCount),
  INDEX(
    sprite_data.asm!$C$3:$R$156,
    INT(_xlpm.idx / SpriteCount) * 7 + INT(_xlpm.r / 16) + 1,
    MOD(_xlpm.r, 16) + 1
  )
)</f>
        <v>08</v>
      </c>
      <c r="E45" t="str" cm="1">
        <f t="array" ref="E45">_xlfn.LET(
  _xlpm.idx, (ROW()-3)*16 + E$1,
  _xlpm.r, MOD(_xlpm.idx, SpriteCount),
  INDEX(
    sprite_data.asm!$C$3:$R$156,
    INT(_xlpm.idx / SpriteCount) * 7 + INT(_xlpm.r / 16) + 1,
    MOD(_xlpm.r, 16) + 1
  )
)</f>
        <v>22</v>
      </c>
      <c r="F45" t="str" cm="1">
        <f t="array" ref="F45">_xlfn.LET(
  _xlpm.idx, (ROW()-3)*16 + F$1,
  _xlpm.r, MOD(_xlpm.idx, SpriteCount),
  INDEX(
    sprite_data.asm!$C$3:$R$156,
    INT(_xlpm.idx / SpriteCount) * 7 + INT(_xlpm.r / 16) + 1,
    MOD(_xlpm.r, 16) + 1
  )
)</f>
        <v>28</v>
      </c>
      <c r="G45" t="str" cm="1">
        <f t="array" ref="G45">_xlfn.LET(
  _xlpm.idx, (ROW()-3)*16 + G$1,
  _xlpm.r, MOD(_xlpm.idx, SpriteCount),
  INDEX(
    sprite_data.asm!$C$3:$R$156,
    INT(_xlpm.idx / SpriteCount) * 7 + INT(_xlpm.r / 16) + 1,
    MOD(_xlpm.r, 16) + 1
  )
)</f>
        <v>28</v>
      </c>
      <c r="H45" t="str" cm="1">
        <f t="array" ref="H45">_xlfn.LET(
  _xlpm.idx, (ROW()-3)*16 + H$1,
  _xlpm.r, MOD(_xlpm.idx, SpriteCount),
  INDEX(
    sprite_data.asm!$C$3:$R$156,
    INT(_xlpm.idx / SpriteCount) * 7 + INT(_xlpm.r / 16) + 1,
    MOD(_xlpm.r, 16) + 1
  )
)</f>
        <v>28</v>
      </c>
      <c r="I45" t="str" cm="1">
        <f t="array" ref="I45">_xlfn.LET(
  _xlpm.idx, (ROW()-3)*16 + I$1,
  _xlpm.r, MOD(_xlpm.idx, SpriteCount),
  INDEX(
    sprite_data.asm!$C$3:$R$156,
    INT(_xlpm.idx / SpriteCount) * 7 + INT(_xlpm.r / 16) + 1,
    MOD(_xlpm.r, 16) + 1
  )
)</f>
        <v>00</v>
      </c>
      <c r="J45" t="str" cm="1">
        <f t="array" ref="J45">_xlfn.LET(
  _xlpm.idx, (ROW()-3)*16 + J$1,
  _xlpm.r, MOD(_xlpm.idx, SpriteCount),
  INDEX(
    sprite_data.asm!$C$3:$R$156,
    INT(_xlpm.idx / SpriteCount) * 7 + INT(_xlpm.r / 16) + 1,
    MOD(_xlpm.r, 16) + 1
  )
)</f>
        <v>00</v>
      </c>
      <c r="K45" t="str" cm="1">
        <f t="array" ref="K45">_xlfn.LET(
  _xlpm.idx, (ROW()-3)*16 + K$1,
  _xlpm.r, MOD(_xlpm.idx, SpriteCount),
  INDEX(
    sprite_data.asm!$C$3:$R$156,
    INT(_xlpm.idx / SpriteCount) * 7 + INT(_xlpm.r / 16) + 1,
    MOD(_xlpm.r, 16) + 1
  )
)</f>
        <v>00</v>
      </c>
      <c r="L45" t="str" cm="1">
        <f t="array" ref="L45">_xlfn.LET(
  _xlpm.idx, (ROW()-3)*16 + L$1,
  _xlpm.r, MOD(_xlpm.idx, SpriteCount),
  INDEX(
    sprite_data.asm!$C$3:$R$156,
    INT(_xlpm.idx / SpriteCount) * 7 + INT(_xlpm.r / 16) + 1,
    MOD(_xlpm.r, 16) + 1
  )
)</f>
        <v>00</v>
      </c>
      <c r="M45" t="str" cm="1">
        <f t="array" ref="M45">_xlfn.LET(
  _xlpm.idx, (ROW()-3)*16 + M$1,
  _xlpm.r, MOD(_xlpm.idx, SpriteCount),
  INDEX(
    sprite_data.asm!$C$3:$R$156,
    INT(_xlpm.idx / SpriteCount) * 7 + INT(_xlpm.r / 16) + 1,
    MOD(_xlpm.r, 16) + 1
  )
)</f>
        <v>2A</v>
      </c>
      <c r="N45" t="str" cm="1">
        <f t="array" ref="N45">_xlfn.LET(
  _xlpm.idx, (ROW()-3)*16 + N$1,
  _xlpm.r, MOD(_xlpm.idx, SpriteCount),
  INDEX(
    sprite_data.asm!$C$3:$R$156,
    INT(_xlpm.idx / SpriteCount) * 7 + INT(_xlpm.r / 16) + 1,
    MOD(_xlpm.r, 16) + 1
  )
)</f>
        <v>28</v>
      </c>
      <c r="O45" t="str" cm="1">
        <f t="array" ref="O45">_xlfn.LET(
  _xlpm.idx, (ROW()-3)*16 + O$1,
  _xlpm.r, MOD(_xlpm.idx, SpriteCount),
  INDEX(
    sprite_data.asm!$C$3:$R$156,
    INT(_xlpm.idx / SpriteCount) * 7 + INT(_xlpm.r / 16) + 1,
    MOD(_xlpm.r, 16) + 1
  )
)</f>
        <v>2A</v>
      </c>
      <c r="P45" t="str" cm="1">
        <f t="array" ref="P45">_xlfn.LET(
  _xlpm.idx, (ROW()-3)*16 + P$1,
  _xlpm.r, MOD(_xlpm.idx, SpriteCount),
  INDEX(
    sprite_data.asm!$C$3:$R$156,
    INT(_xlpm.idx / SpriteCount) * 7 + INT(_xlpm.r / 16) + 1,
    MOD(_xlpm.r, 16) + 1
  )
)</f>
        <v>2A</v>
      </c>
      <c r="Q45" t="str" cm="1">
        <f t="array" ref="Q45">_xlfn.LET(
  _xlpm.idx, (ROW()-3)*16 + Q$1,
  _xlpm.r, MOD(_xlpm.idx, SpriteCount),
  INDEX(
    sprite_data.asm!$C$3:$R$156,
    INT(_xlpm.idx / SpriteCount) * 7 + INT(_xlpm.r / 16) + 1,
    MOD(_xlpm.r, 16) + 1
  )
)</f>
        <v>0A</v>
      </c>
    </row>
    <row r="46" spans="1:17" x14ac:dyDescent="0.3">
      <c r="A46" s="2" t="str">
        <f t="shared" si="4"/>
        <v>AFB0</v>
      </c>
      <c r="B46" t="str" cm="1">
        <f t="array" ref="B46">_xlfn.LET(
  _xlpm.idx, (ROW()-3)*16 + B$1,
  _xlpm.r, MOD(_xlpm.idx, SpriteCount),
  INDEX(
    sprite_data.asm!$C$3:$R$156,
    INT(_xlpm.idx / SpriteCount) * 7 + INT(_xlpm.r / 16) + 1,
    MOD(_xlpm.r, 16) + 1
  )
)</f>
        <v>2A</v>
      </c>
      <c r="C46" t="str" cm="1">
        <f t="array" ref="C46">_xlfn.LET(
  _xlpm.idx, (ROW()-3)*16 + C$1,
  _xlpm.r, MOD(_xlpm.idx, SpriteCount),
  INDEX(
    sprite_data.asm!$C$3:$R$156,
    INT(_xlpm.idx / SpriteCount) * 7 + INT(_xlpm.r / 16) + 1,
    MOD(_xlpm.r, 16) + 1
  )
)</f>
        <v>2A</v>
      </c>
      <c r="D46" t="str" cm="1">
        <f t="array" ref="D46">_xlfn.LET(
  _xlpm.idx, (ROW()-3)*16 + D$1,
  _xlpm.r, MOD(_xlpm.idx, SpriteCount),
  INDEX(
    sprite_data.asm!$C$3:$R$156,
    INT(_xlpm.idx / SpriteCount) * 7 + INT(_xlpm.r / 16) + 1,
    MOD(_xlpm.r, 16) + 1
  )
)</f>
        <v>2A</v>
      </c>
      <c r="E46" t="str" cm="1">
        <f t="array" ref="E46">_xlfn.LET(
  _xlpm.idx, (ROW()-3)*16 + E$1,
  _xlpm.r, MOD(_xlpm.idx, SpriteCount),
  INDEX(
    sprite_data.asm!$C$3:$R$156,
    INT(_xlpm.idx / SpriteCount) * 7 + INT(_xlpm.r / 16) + 1,
    MOD(_xlpm.r, 16) + 1
  )
)</f>
        <v>28</v>
      </c>
      <c r="F46" t="str" cm="1">
        <f t="array" ref="F46">_xlfn.LET(
  _xlpm.idx, (ROW()-3)*16 + F$1,
  _xlpm.r, MOD(_xlpm.idx, SpriteCount),
  INDEX(
    sprite_data.asm!$C$3:$R$156,
    INT(_xlpm.idx / SpriteCount) * 7 + INT(_xlpm.r / 16) + 1,
    MOD(_xlpm.r, 16) + 1
  )
)</f>
        <v>2A</v>
      </c>
      <c r="G46" t="str" cm="1">
        <f t="array" ref="G46">_xlfn.LET(
  _xlpm.idx, (ROW()-3)*16 + G$1,
  _xlpm.r, MOD(_xlpm.idx, SpriteCount),
  INDEX(
    sprite_data.asm!$C$3:$R$156,
    INT(_xlpm.idx / SpriteCount) * 7 + INT(_xlpm.r / 16) + 1,
    MOD(_xlpm.r, 16) + 1
  )
)</f>
        <v>54</v>
      </c>
      <c r="H46" t="str" cm="1">
        <f t="array" ref="H46">_xlfn.LET(
  _xlpm.idx, (ROW()-3)*16 + H$1,
  _xlpm.r, MOD(_xlpm.idx, SpriteCount),
  INDEX(
    sprite_data.asm!$C$3:$R$156,
    INT(_xlpm.idx / SpriteCount) * 7 + INT(_xlpm.r / 16) + 1,
    MOD(_xlpm.r, 16) + 1
  )
)</f>
        <v>15</v>
      </c>
      <c r="I46" t="str" cm="1">
        <f t="array" ref="I46">_xlfn.LET(
  _xlpm.idx, (ROW()-3)*16 + I$1,
  _xlpm.r, MOD(_xlpm.idx, SpriteCount),
  INDEX(
    sprite_data.asm!$C$3:$R$156,
    INT(_xlpm.idx / SpriteCount) * 7 + INT(_xlpm.r / 16) + 1,
    MOD(_xlpm.r, 16) + 1
  )
)</f>
        <v>55</v>
      </c>
      <c r="J46" t="str" cm="1">
        <f t="array" ref="J46">_xlfn.LET(
  _xlpm.idx, (ROW()-3)*16 + J$1,
  _xlpm.r, MOD(_xlpm.idx, SpriteCount),
  INDEX(
    sprite_data.asm!$C$3:$R$156,
    INT(_xlpm.idx / SpriteCount) * 7 + INT(_xlpm.r / 16) + 1,
    MOD(_xlpm.r, 16) + 1
  )
)</f>
        <v>15</v>
      </c>
      <c r="K46" t="str" cm="1">
        <f t="array" ref="K46">_xlfn.LET(
  _xlpm.idx, (ROW()-3)*16 + K$1,
  _xlpm.r, MOD(_xlpm.idx, SpriteCount),
  INDEX(
    sprite_data.asm!$C$3:$R$156,
    INT(_xlpm.idx / SpriteCount) * 7 + INT(_xlpm.r / 16) + 1,
    MOD(_xlpm.r, 16) + 1
  )
)</f>
        <v>55</v>
      </c>
      <c r="L46" t="str" cm="1">
        <f t="array" ref="L46">_xlfn.LET(
  _xlpm.idx, (ROW()-3)*16 + L$1,
  _xlpm.r, MOD(_xlpm.idx, SpriteCount),
  INDEX(
    sprite_data.asm!$C$3:$R$156,
    INT(_xlpm.idx / SpriteCount) * 7 + INT(_xlpm.r / 16) + 1,
    MOD(_xlpm.r, 16) + 1
  )
)</f>
        <v>55</v>
      </c>
      <c r="M46" t="str" cm="1">
        <f t="array" ref="M46">_xlfn.LET(
  _xlpm.idx, (ROW()-3)*16 + M$1,
  _xlpm.r, MOD(_xlpm.idx, SpriteCount),
  INDEX(
    sprite_data.asm!$C$3:$R$156,
    INT(_xlpm.idx / SpriteCount) * 7 + INT(_xlpm.r / 16) + 1,
    MOD(_xlpm.r, 16) + 1
  )
)</f>
        <v>55</v>
      </c>
      <c r="N46" t="str" cm="1">
        <f t="array" ref="N46">_xlfn.LET(
  _xlpm.idx, (ROW()-3)*16 + N$1,
  _xlpm.r, MOD(_xlpm.idx, SpriteCount),
  INDEX(
    sprite_data.asm!$C$3:$R$156,
    INT(_xlpm.idx / SpriteCount) * 7 + INT(_xlpm.r / 16) + 1,
    MOD(_xlpm.r, 16) + 1
  )
)</f>
        <v>41</v>
      </c>
      <c r="O46" t="str" cm="1">
        <f t="array" ref="O46">_xlfn.LET(
  _xlpm.idx, (ROW()-3)*16 + O$1,
  _xlpm.r, MOD(_xlpm.idx, SpriteCount),
  INDEX(
    sprite_data.asm!$C$3:$R$156,
    INT(_xlpm.idx / SpriteCount) * 7 + INT(_xlpm.r / 16) + 1,
    MOD(_xlpm.r, 16) + 1
  )
)</f>
        <v>04</v>
      </c>
      <c r="P46" t="str" cm="1">
        <f t="array" ref="P46">_xlfn.LET(
  _xlpm.idx, (ROW()-3)*16 + P$1,
  _xlpm.r, MOD(_xlpm.idx, SpriteCount),
  INDEX(
    sprite_data.asm!$C$3:$R$156,
    INT(_xlpm.idx / SpriteCount) * 7 + INT(_xlpm.r / 16) + 1,
    MOD(_xlpm.r, 16) + 1
  )
)</f>
        <v>10</v>
      </c>
      <c r="Q46" t="str" cm="1">
        <f t="array" ref="Q46">_xlfn.LET(
  _xlpm.idx, (ROW()-3)*16 + Q$1,
  _xlpm.r, MOD(_xlpm.idx, SpriteCount),
  INDEX(
    sprite_data.asm!$C$3:$R$156,
    INT(_xlpm.idx / SpriteCount) * 7 + INT(_xlpm.r / 16) + 1,
    MOD(_xlpm.r, 16) + 1
  )
)</f>
        <v>41</v>
      </c>
    </row>
    <row r="47" spans="1:17" x14ac:dyDescent="0.3">
      <c r="A47" s="2" t="str">
        <f t="shared" si="4"/>
        <v>AFC0</v>
      </c>
      <c r="B47" t="str" cm="1">
        <f t="array" ref="B47">_xlfn.LET(
  _xlpm.idx, (ROW()-3)*16 + B$1,
  _xlpm.r, MOD(_xlpm.idx, SpriteCount),
  INDEX(
    sprite_data.asm!$C$3:$R$156,
    INT(_xlpm.idx / SpriteCount) * 7 + INT(_xlpm.r / 16) + 1,
    MOD(_xlpm.r, 16) + 1
  )
)</f>
        <v>01</v>
      </c>
      <c r="C47" t="str" cm="1">
        <f t="array" ref="C47">_xlfn.LET(
  _xlpm.idx, (ROW()-3)*16 + C$1,
  _xlpm.r, MOD(_xlpm.idx, SpriteCount),
  INDEX(
    sprite_data.asm!$C$3:$R$156,
    INT(_xlpm.idx / SpriteCount) * 7 + INT(_xlpm.r / 16) + 1,
    MOD(_xlpm.r, 16) + 1
  )
)</f>
        <v>41</v>
      </c>
      <c r="D47" t="str" cm="1">
        <f t="array" ref="D47">_xlfn.LET(
  _xlpm.idx, (ROW()-3)*16 + D$1,
  _xlpm.r, MOD(_xlpm.idx, SpriteCount),
  INDEX(
    sprite_data.asm!$C$3:$R$156,
    INT(_xlpm.idx / SpriteCount) * 7 + INT(_xlpm.r / 16) + 1,
    MOD(_xlpm.r, 16) + 1
  )
)</f>
        <v>41</v>
      </c>
      <c r="E47" t="str" cm="1">
        <f t="array" ref="E47">_xlfn.LET(
  _xlpm.idx, (ROW()-3)*16 + E$1,
  _xlpm.r, MOD(_xlpm.idx, SpriteCount),
  INDEX(
    sprite_data.asm!$C$3:$R$156,
    INT(_xlpm.idx / SpriteCount) * 7 + INT(_xlpm.r / 16) + 1,
    MOD(_xlpm.r, 16) + 1
  )
)</f>
        <v>55</v>
      </c>
      <c r="F47" t="str" cm="1">
        <f t="array" ref="F47">_xlfn.LET(
  _xlpm.idx, (ROW()-3)*16 + F$1,
  _xlpm.r, MOD(_xlpm.idx, SpriteCount),
  INDEX(
    sprite_data.asm!$C$3:$R$156,
    INT(_xlpm.idx / SpriteCount) * 7 + INT(_xlpm.r / 16) + 1,
    MOD(_xlpm.r, 16) + 1
  )
)</f>
        <v>55</v>
      </c>
      <c r="G47" t="str" cm="1">
        <f t="array" ref="G47">_xlfn.LET(
  _xlpm.idx, (ROW()-3)*16 + G$1,
  _xlpm.r, MOD(_xlpm.idx, SpriteCount),
  INDEX(
    sprite_data.asm!$C$3:$R$156,
    INT(_xlpm.idx / SpriteCount) * 7 + INT(_xlpm.r / 16) + 1,
    MOD(_xlpm.r, 16) + 1
  )
)</f>
        <v>55</v>
      </c>
      <c r="H47" t="str" cm="1">
        <f t="array" ref="H47">_xlfn.LET(
  _xlpm.idx, (ROW()-3)*16 + H$1,
  _xlpm.r, MOD(_xlpm.idx, SpriteCount),
  INDEX(
    sprite_data.asm!$C$3:$R$156,
    INT(_xlpm.idx / SpriteCount) * 7 + INT(_xlpm.r / 16) + 1,
    MOD(_xlpm.r, 16) + 1
  )
)</f>
        <v>55</v>
      </c>
      <c r="I47" t="str" cm="1">
        <f t="array" ref="I47">_xlfn.LET(
  _xlpm.idx, (ROW()-3)*16 + I$1,
  _xlpm.r, MOD(_xlpm.idx, SpriteCount),
  INDEX(
    sprite_data.asm!$C$3:$R$156,
    INT(_xlpm.idx / SpriteCount) * 7 + INT(_xlpm.r / 16) + 1,
    MOD(_xlpm.r, 16) + 1
  )
)</f>
        <v>55</v>
      </c>
      <c r="J47" t="str" cm="1">
        <f t="array" ref="J47">_xlfn.LET(
  _xlpm.idx, (ROW()-3)*16 + J$1,
  _xlpm.r, MOD(_xlpm.idx, SpriteCount),
  INDEX(
    sprite_data.asm!$C$3:$R$156,
    INT(_xlpm.idx / SpriteCount) * 7 + INT(_xlpm.r / 16) + 1,
    MOD(_xlpm.r, 16) + 1
  )
)</f>
        <v>55</v>
      </c>
      <c r="K47" t="str" cm="1">
        <f t="array" ref="K47">_xlfn.LET(
  _xlpm.idx, (ROW()-3)*16 + K$1,
  _xlpm.r, MOD(_xlpm.idx, SpriteCount),
  INDEX(
    sprite_data.asm!$C$3:$R$156,
    INT(_xlpm.idx / SpriteCount) * 7 + INT(_xlpm.r / 16) + 1,
    MOD(_xlpm.r, 16) + 1
  )
)</f>
        <v>41</v>
      </c>
      <c r="L47" t="str" cm="1">
        <f t="array" ref="L47">_xlfn.LET(
  _xlpm.idx, (ROW()-3)*16 + L$1,
  _xlpm.r, MOD(_xlpm.idx, SpriteCount),
  INDEX(
    sprite_data.asm!$C$3:$R$156,
    INT(_xlpm.idx / SpriteCount) * 7 + INT(_xlpm.r / 16) + 1,
    MOD(_xlpm.r, 16) + 1
  )
)</f>
        <v>45</v>
      </c>
      <c r="M47" t="str" cm="1">
        <f t="array" ref="M47">_xlfn.LET(
  _xlpm.idx, (ROW()-3)*16 + M$1,
  _xlpm.r, MOD(_xlpm.idx, SpriteCount),
  INDEX(
    sprite_data.asm!$C$3:$R$156,
    INT(_xlpm.idx / SpriteCount) * 7 + INT(_xlpm.r / 16) + 1,
    MOD(_xlpm.r, 16) + 1
  )
)</f>
        <v>41</v>
      </c>
      <c r="N47" t="str" cm="1">
        <f t="array" ref="N47">_xlfn.LET(
  _xlpm.idx, (ROW()-3)*16 + N$1,
  _xlpm.r, MOD(_xlpm.idx, SpriteCount),
  INDEX(
    sprite_data.asm!$C$3:$R$156,
    INT(_xlpm.idx / SpriteCount) * 7 + INT(_xlpm.r / 16) + 1,
    MOD(_xlpm.r, 16) + 1
  )
)</f>
        <v>41</v>
      </c>
      <c r="O47" t="str" cm="1">
        <f t="array" ref="O47">_xlfn.LET(
  _xlpm.idx, (ROW()-3)*16 + O$1,
  _xlpm.r, MOD(_xlpm.idx, SpriteCount),
  INDEX(
    sprite_data.asm!$C$3:$R$156,
    INT(_xlpm.idx / SpriteCount) * 7 + INT(_xlpm.r / 16) + 1,
    MOD(_xlpm.r, 16) + 1
  )
)</f>
        <v>51</v>
      </c>
      <c r="P47" t="str" cm="1">
        <f t="array" ref="P47">_xlfn.LET(
  _xlpm.idx, (ROW()-3)*16 + P$1,
  _xlpm.r, MOD(_xlpm.idx, SpriteCount),
  INDEX(
    sprite_data.asm!$C$3:$R$156,
    INT(_xlpm.idx / SpriteCount) * 7 + INT(_xlpm.r / 16) + 1,
    MOD(_xlpm.r, 16) + 1
  )
)</f>
        <v>55</v>
      </c>
      <c r="Q47" t="str" cm="1">
        <f t="array" ref="Q47">_xlfn.LET(
  _xlpm.idx, (ROW()-3)*16 + Q$1,
  _xlpm.r, MOD(_xlpm.idx, SpriteCount),
  INDEX(
    sprite_data.asm!$C$3:$R$156,
    INT(_xlpm.idx / SpriteCount) * 7 + INT(_xlpm.r / 16) + 1,
    MOD(_xlpm.r, 16) + 1
  )
)</f>
        <v>01</v>
      </c>
    </row>
    <row r="48" spans="1:17" x14ac:dyDescent="0.3">
      <c r="A48" s="2" t="str">
        <f t="shared" si="4"/>
        <v>AFD0</v>
      </c>
      <c r="B48" t="str" cm="1">
        <f t="array" ref="B48">_xlfn.LET(
  _xlpm.idx, (ROW()-3)*16 + B$1,
  _xlpm.r, MOD(_xlpm.idx, SpriteCount),
  INDEX(
    sprite_data.asm!$C$3:$R$156,
    INT(_xlpm.idx / SpriteCount) * 7 + INT(_xlpm.r / 16) + 1,
    MOD(_xlpm.r, 16) + 1
  )
)</f>
        <v>00</v>
      </c>
      <c r="C48" t="str" cm="1">
        <f t="array" ref="C48">_xlfn.LET(
  _xlpm.idx, (ROW()-3)*16 + C$1,
  _xlpm.r, MOD(_xlpm.idx, SpriteCount),
  INDEX(
    sprite_data.asm!$C$3:$R$156,
    INT(_xlpm.idx / SpriteCount) * 7 + INT(_xlpm.r / 16) + 1,
    MOD(_xlpm.r, 16) + 1
  )
)</f>
        <v>14</v>
      </c>
      <c r="D48" t="str" cm="1">
        <f t="array" ref="D48">_xlfn.LET(
  _xlpm.idx, (ROW()-3)*16 + D$1,
  _xlpm.r, MOD(_xlpm.idx, SpriteCount),
  INDEX(
    sprite_data.asm!$C$3:$R$156,
    INT(_xlpm.idx / SpriteCount) * 7 + INT(_xlpm.r / 16) + 1,
    MOD(_xlpm.r, 16) + 1
  )
)</f>
        <v>14</v>
      </c>
      <c r="E48" t="str" cm="1">
        <f t="array" ref="E48">_xlfn.LET(
  _xlpm.idx, (ROW()-3)*16 + E$1,
  _xlpm.r, MOD(_xlpm.idx, SpriteCount),
  INDEX(
    sprite_data.asm!$C$3:$R$156,
    INT(_xlpm.idx / SpriteCount) * 7 + INT(_xlpm.r / 16) + 1,
    MOD(_xlpm.r, 16) + 1
  )
)</f>
        <v>40</v>
      </c>
      <c r="F48" t="str" cm="1">
        <f t="array" ref="F48">_xlfn.LET(
  _xlpm.idx, (ROW()-3)*16 + F$1,
  _xlpm.r, MOD(_xlpm.idx, SpriteCount),
  INDEX(
    sprite_data.asm!$C$3:$R$156,
    INT(_xlpm.idx / SpriteCount) * 7 + INT(_xlpm.r / 16) + 1,
    MOD(_xlpm.r, 16) + 1
  )
)</f>
        <v>00</v>
      </c>
      <c r="G48" t="str" cm="1">
        <f t="array" ref="G48">_xlfn.LET(
  _xlpm.idx, (ROW()-3)*16 + G$1,
  _xlpm.r, MOD(_xlpm.idx, SpriteCount),
  INDEX(
    sprite_data.asm!$C$3:$R$156,
    INT(_xlpm.idx / SpriteCount) * 7 + INT(_xlpm.r / 16) + 1,
    MOD(_xlpm.r, 16) + 1
  )
)</f>
        <v>40</v>
      </c>
      <c r="H48" t="str" cm="1">
        <f t="array" ref="H48">_xlfn.LET(
  _xlpm.idx, (ROW()-3)*16 + H$1,
  _xlpm.r, MOD(_xlpm.idx, SpriteCount),
  INDEX(
    sprite_data.asm!$C$3:$R$156,
    INT(_xlpm.idx / SpriteCount) * 7 + INT(_xlpm.r / 16) + 1,
    MOD(_xlpm.r, 16) + 1
  )
)</f>
        <v>00</v>
      </c>
      <c r="I48" t="str" cm="1">
        <f t="array" ref="I48">_xlfn.LET(
  _xlpm.idx, (ROW()-3)*16 + I$1,
  _xlpm.r, MOD(_xlpm.idx, SpriteCount),
  INDEX(
    sprite_data.asm!$C$3:$R$156,
    INT(_xlpm.idx / SpriteCount) * 7 + INT(_xlpm.r / 16) + 1,
    MOD(_xlpm.r, 16) + 1
  )
)</f>
        <v>00</v>
      </c>
      <c r="J48" t="str" cm="1">
        <f t="array" ref="J48">_xlfn.LET(
  _xlpm.idx, (ROW()-3)*16 + J$1,
  _xlpm.r, MOD(_xlpm.idx, SpriteCount),
  INDEX(
    sprite_data.asm!$C$3:$R$156,
    INT(_xlpm.idx / SpriteCount) * 7 + INT(_xlpm.r / 16) + 1,
    MOD(_xlpm.r, 16) + 1
  )
)</f>
        <v>00</v>
      </c>
      <c r="K48" t="str" cm="1">
        <f t="array" ref="K48">_xlfn.LET(
  _xlpm.idx, (ROW()-3)*16 + K$1,
  _xlpm.r, MOD(_xlpm.idx, SpriteCount),
  INDEX(
    sprite_data.asm!$C$3:$R$156,
    INT(_xlpm.idx / SpriteCount) * 7 + INT(_xlpm.r / 16) + 1,
    MOD(_xlpm.r, 16) + 1
  )
)</f>
        <v>02</v>
      </c>
      <c r="L48" t="str" cm="1">
        <f t="array" ref="L48">_xlfn.LET(
  _xlpm.idx, (ROW()-3)*16 + L$1,
  _xlpm.r, MOD(_xlpm.idx, SpriteCount),
  INDEX(
    sprite_data.asm!$C$3:$R$156,
    INT(_xlpm.idx / SpriteCount) * 7 + INT(_xlpm.r / 16) + 1,
    MOD(_xlpm.r, 16) + 1
  )
)</f>
        <v>02</v>
      </c>
      <c r="M48" t="str" cm="1">
        <f t="array" ref="M48">_xlfn.LET(
  _xlpm.idx, (ROW()-3)*16 + M$1,
  _xlpm.r, MOD(_xlpm.idx, SpriteCount),
  INDEX(
    sprite_data.asm!$C$3:$R$156,
    INT(_xlpm.idx / SpriteCount) * 7 + INT(_xlpm.r / 16) + 1,
    MOD(_xlpm.r, 16) + 1
  )
)</f>
        <v>03</v>
      </c>
      <c r="N48" t="str" cm="1">
        <f t="array" ref="N48">_xlfn.LET(
  _xlpm.idx, (ROW()-3)*16 + N$1,
  _xlpm.r, MOD(_xlpm.idx, SpriteCount),
  INDEX(
    sprite_data.asm!$C$3:$R$156,
    INT(_xlpm.idx / SpriteCount) * 7 + INT(_xlpm.r / 16) + 1,
    MOD(_xlpm.r, 16) + 1
  )
)</f>
        <v>00</v>
      </c>
      <c r="O48" t="str" cm="1">
        <f t="array" ref="O48">_xlfn.LET(
  _xlpm.idx, (ROW()-3)*16 + O$1,
  _xlpm.r, MOD(_xlpm.idx, SpriteCount),
  INDEX(
    sprite_data.asm!$C$3:$R$156,
    INT(_xlpm.idx / SpriteCount) * 7 + INT(_xlpm.r / 16) + 1,
    MOD(_xlpm.r, 16) + 1
  )
)</f>
        <v>01</v>
      </c>
      <c r="P48" t="str" cm="1">
        <f t="array" ref="P48">_xlfn.LET(
  _xlpm.idx, (ROW()-3)*16 + P$1,
  _xlpm.r, MOD(_xlpm.idx, SpriteCount),
  INDEX(
    sprite_data.asm!$C$3:$R$156,
    INT(_xlpm.idx / SpriteCount) * 7 + INT(_xlpm.r / 16) + 1,
    MOD(_xlpm.r, 16) + 1
  )
)</f>
        <v>03</v>
      </c>
      <c r="Q48" t="str" cm="1">
        <f t="array" ref="Q48">_xlfn.LET(
  _xlpm.idx, (ROW()-3)*16 + Q$1,
  _xlpm.r, MOD(_xlpm.idx, SpriteCount),
  INDEX(
    sprite_data.asm!$C$3:$R$156,
    INT(_xlpm.idx / SpriteCount) * 7 + INT(_xlpm.r / 16) + 1,
    MOD(_xlpm.r, 16) + 1
  )
)</f>
        <v>00</v>
      </c>
    </row>
    <row r="49" spans="1:17" x14ac:dyDescent="0.3">
      <c r="A49" s="2" t="str">
        <f t="shared" si="4"/>
        <v>AFE0</v>
      </c>
      <c r="B49" t="str" cm="1">
        <f t="array" ref="B49">_xlfn.LET(
  _xlpm.idx, (ROW()-3)*16 + B$1,
  _xlpm.r, MOD(_xlpm.idx, SpriteCount),
  INDEX(
    sprite_data.asm!$C$3:$R$156,
    INT(_xlpm.idx / SpriteCount) * 7 + INT(_xlpm.r / 16) + 1,
    MOD(_xlpm.r, 16) + 1
  )
)</f>
        <v>00</v>
      </c>
      <c r="C49" t="str" cm="1">
        <f t="array" ref="C49">_xlfn.LET(
  _xlpm.idx, (ROW()-3)*16 + C$1,
  _xlpm.r, MOD(_xlpm.idx, SpriteCount),
  INDEX(
    sprite_data.asm!$C$3:$R$156,
    INT(_xlpm.idx / SpriteCount) * 7 + INT(_xlpm.r / 16) + 1,
    MOD(_xlpm.r, 16) + 1
  )
)</f>
        <v>00</v>
      </c>
      <c r="D49" t="str" cm="1">
        <f t="array" ref="D49">_xlfn.LET(
  _xlpm.idx, (ROW()-3)*16 + D$1,
  _xlpm.r, MOD(_xlpm.idx, SpriteCount),
  INDEX(
    sprite_data.asm!$C$3:$R$156,
    INT(_xlpm.idx / SpriteCount) * 7 + INT(_xlpm.r / 16) + 1,
    MOD(_xlpm.r, 16) + 1
  )
)</f>
        <v>07</v>
      </c>
      <c r="E49" t="str" cm="1">
        <f t="array" ref="E49">_xlfn.LET(
  _xlpm.idx, (ROW()-3)*16 + E$1,
  _xlpm.r, MOD(_xlpm.idx, SpriteCount),
  INDEX(
    sprite_data.asm!$C$3:$R$156,
    INT(_xlpm.idx / SpriteCount) * 7 + INT(_xlpm.r / 16) + 1,
    MOD(_xlpm.r, 16) + 1
  )
)</f>
        <v>00</v>
      </c>
      <c r="F49" t="str" cm="1">
        <f t="array" ref="F49">_xlfn.LET(
  _xlpm.idx, (ROW()-3)*16 + F$1,
  _xlpm.r, MOD(_xlpm.idx, SpriteCount),
  INDEX(
    sprite_data.asm!$C$3:$R$156,
    INT(_xlpm.idx / SpriteCount) * 7 + INT(_xlpm.r / 16) + 1,
    MOD(_xlpm.r, 16) + 1
  )
)</f>
        <v>00</v>
      </c>
      <c r="G49" t="str" cm="1">
        <f t="array" ref="G49">_xlfn.LET(
  _xlpm.idx, (ROW()-3)*16 + G$1,
  _xlpm.r, MOD(_xlpm.idx, SpriteCount),
  INDEX(
    sprite_data.asm!$C$3:$R$156,
    INT(_xlpm.idx / SpriteCount) * 7 + INT(_xlpm.r / 16) + 1,
    MOD(_xlpm.r, 16) + 1
  )
)</f>
        <v>00</v>
      </c>
      <c r="H49" t="str" cm="1">
        <f t="array" ref="H49">_xlfn.LET(
  _xlpm.idx, (ROW()-3)*16 + H$1,
  _xlpm.r, MOD(_xlpm.idx, SpriteCount),
  INDEX(
    sprite_data.asm!$C$3:$R$156,
    INT(_xlpm.idx / SpriteCount) * 7 + INT(_xlpm.r / 16) + 1,
    MOD(_xlpm.r, 16) + 1
  )
)</f>
        <v>00</v>
      </c>
      <c r="I49" t="str" cm="1">
        <f t="array" ref="I49">_xlfn.LET(
  _xlpm.idx, (ROW()-3)*16 + I$1,
  _xlpm.r, MOD(_xlpm.idx, SpriteCount),
  INDEX(
    sprite_data.asm!$C$3:$R$156,
    INT(_xlpm.idx / SpriteCount) * 7 + INT(_xlpm.r / 16) + 1,
    MOD(_xlpm.r, 16) + 1
  )
)</f>
        <v>01</v>
      </c>
      <c r="J49" t="str" cm="1">
        <f t="array" ref="J49">_xlfn.LET(
  _xlpm.idx, (ROW()-3)*16 + J$1,
  _xlpm.r, MOD(_xlpm.idx, SpriteCount),
  INDEX(
    sprite_data.asm!$C$3:$R$156,
    INT(_xlpm.idx / SpriteCount) * 7 + INT(_xlpm.r / 16) + 1,
    MOD(_xlpm.r, 16) + 1
  )
)</f>
        <v>00</v>
      </c>
      <c r="K49" t="str" cm="1">
        <f t="array" ref="K49">_xlfn.LET(
  _xlpm.idx, (ROW()-3)*16 + K$1,
  _xlpm.r, MOD(_xlpm.idx, SpriteCount),
  INDEX(
    sprite_data.asm!$C$3:$R$156,
    INT(_xlpm.idx / SpriteCount) * 7 + INT(_xlpm.r / 16) + 1,
    MOD(_xlpm.r, 16) + 1
  )
)</f>
        <v>00</v>
      </c>
      <c r="L49" t="str" cm="1">
        <f t="array" ref="L49">_xlfn.LET(
  _xlpm.idx, (ROW()-3)*16 + L$1,
  _xlpm.r, MOD(_xlpm.idx, SpriteCount),
  INDEX(
    sprite_data.asm!$C$3:$R$156,
    INT(_xlpm.idx / SpriteCount) * 7 + INT(_xlpm.r / 16) + 1,
    MOD(_xlpm.r, 16) + 1
  )
)</f>
        <v>02</v>
      </c>
      <c r="M49" t="str" cm="1">
        <f t="array" ref="M49">_xlfn.LET(
  _xlpm.idx, (ROW()-3)*16 + M$1,
  _xlpm.r, MOD(_xlpm.idx, SpriteCount),
  INDEX(
    sprite_data.asm!$C$3:$R$156,
    INT(_xlpm.idx / SpriteCount) * 7 + INT(_xlpm.r / 16) + 1,
    MOD(_xlpm.r, 16) + 1
  )
)</f>
        <v>03</v>
      </c>
      <c r="N49" t="str" cm="1">
        <f t="array" ref="N49">_xlfn.LET(
  _xlpm.idx, (ROW()-3)*16 + N$1,
  _xlpm.r, MOD(_xlpm.idx, SpriteCount),
  INDEX(
    sprite_data.asm!$C$3:$R$156,
    INT(_xlpm.idx / SpriteCount) * 7 + INT(_xlpm.r / 16) + 1,
    MOD(_xlpm.r, 16) + 1
  )
)</f>
        <v>01</v>
      </c>
      <c r="O49" t="str" cm="1">
        <f t="array" ref="O49">_xlfn.LET(
  _xlpm.idx, (ROW()-3)*16 + O$1,
  _xlpm.r, MOD(_xlpm.idx, SpriteCount),
  INDEX(
    sprite_data.asm!$C$3:$R$156,
    INT(_xlpm.idx / SpriteCount) * 7 + INT(_xlpm.r / 16) + 1,
    MOD(_xlpm.r, 16) + 1
  )
)</f>
        <v>01</v>
      </c>
      <c r="P49" t="str" cm="1">
        <f t="array" ref="P49">_xlfn.LET(
  _xlpm.idx, (ROW()-3)*16 + P$1,
  _xlpm.r, MOD(_xlpm.idx, SpriteCount),
  INDEX(
    sprite_data.asm!$C$3:$R$156,
    INT(_xlpm.idx / SpriteCount) * 7 + INT(_xlpm.r / 16) + 1,
    MOD(_xlpm.r, 16) + 1
  )
)</f>
        <v>00</v>
      </c>
      <c r="Q49" t="str" cm="1">
        <f t="array" ref="Q49">_xlfn.LET(
  _xlpm.idx, (ROW()-3)*16 + Q$1,
  _xlpm.r, MOD(_xlpm.idx, SpriteCount),
  INDEX(
    sprite_data.asm!$C$3:$R$156,
    INT(_xlpm.idx / SpriteCount) * 7 + INT(_xlpm.r / 16) + 1,
    MOD(_xlpm.r, 16) + 1
  )
)</f>
        <v>06</v>
      </c>
    </row>
    <row r="50" spans="1:17" x14ac:dyDescent="0.3">
      <c r="A50" s="2" t="str">
        <f t="shared" si="4"/>
        <v>AFF0</v>
      </c>
      <c r="B50" t="str" cm="1">
        <f t="array" ref="B50">_xlfn.LET(
  _xlpm.idx, (ROW()-3)*16 + B$1,
  _xlpm.r, MOD(_xlpm.idx, SpriteCount),
  INDEX(
    sprite_data.asm!$C$3:$R$156,
    INT(_xlpm.idx / SpriteCount) * 7 + INT(_xlpm.r / 16) + 1,
    MOD(_xlpm.r, 16) + 1
  )
)</f>
        <v>03</v>
      </c>
      <c r="C50" t="str" cm="1">
        <f t="array" ref="C50">_xlfn.LET(
  _xlpm.idx, (ROW()-3)*16 + C$1,
  _xlpm.r, MOD(_xlpm.idx, SpriteCount),
  INDEX(
    sprite_data.asm!$C$3:$R$156,
    INT(_xlpm.idx / SpriteCount) * 7 + INT(_xlpm.r / 16) + 1,
    MOD(_xlpm.r, 16) + 1
  )
)</f>
        <v>00</v>
      </c>
      <c r="D50" t="str" cm="1">
        <f t="array" ref="D50">_xlfn.LET(
  _xlpm.idx, (ROW()-3)*16 + D$1,
  _xlpm.r, MOD(_xlpm.idx, SpriteCount),
  INDEX(
    sprite_data.asm!$C$3:$R$156,
    INT(_xlpm.idx / SpriteCount) * 7 + INT(_xlpm.r / 16) + 1,
    MOD(_xlpm.r, 16) + 1
  )
)</f>
        <v>00</v>
      </c>
      <c r="E50" t="str" cm="1">
        <f t="array" ref="E50">_xlfn.LET(
  _xlpm.idx, (ROW()-3)*16 + E$1,
  _xlpm.r, MOD(_xlpm.idx, SpriteCount),
  INDEX(
    sprite_data.asm!$C$3:$R$156,
    INT(_xlpm.idx / SpriteCount) * 7 + INT(_xlpm.r / 16) + 1,
    MOD(_xlpm.r, 16) + 1
  )
)</f>
        <v>00</v>
      </c>
      <c r="F50" t="str" cm="1">
        <f t="array" ref="F50">_xlfn.LET(
  _xlpm.idx, (ROW()-3)*16 + F$1,
  _xlpm.r, MOD(_xlpm.idx, SpriteCount),
  INDEX(
    sprite_data.asm!$C$3:$R$156,
    INT(_xlpm.idx / SpriteCount) * 7 + INT(_xlpm.r / 16) + 1,
    MOD(_xlpm.r, 16) + 1
  )
)</f>
        <v>00</v>
      </c>
      <c r="G50" t="str" cm="1">
        <f t="array" ref="G50">_xlfn.LET(
  _xlpm.idx, (ROW()-3)*16 + G$1,
  _xlpm.r, MOD(_xlpm.idx, SpriteCount),
  INDEX(
    sprite_data.asm!$C$3:$R$156,
    INT(_xlpm.idx / SpriteCount) * 7 + INT(_xlpm.r / 16) + 1,
    MOD(_xlpm.r, 16) + 1
  )
)</f>
        <v>00</v>
      </c>
      <c r="H50" t="str" cm="1">
        <f t="array" ref="H50">_xlfn.LET(
  _xlpm.idx, (ROW()-3)*16 + H$1,
  _xlpm.r, MOD(_xlpm.idx, SpriteCount),
  INDEX(
    sprite_data.asm!$C$3:$R$156,
    INT(_xlpm.idx / SpriteCount) * 7 + INT(_xlpm.r / 16) + 1,
    MOD(_xlpm.r, 16) + 1
  )
)</f>
        <v>00</v>
      </c>
      <c r="I50" t="str" cm="1">
        <f t="array" ref="I50">_xlfn.LET(
  _xlpm.idx, (ROW()-3)*16 + I$1,
  _xlpm.r, MOD(_xlpm.idx, SpriteCount),
  INDEX(
    sprite_data.asm!$C$3:$R$156,
    INT(_xlpm.idx / SpriteCount) * 7 + INT(_xlpm.r / 16) + 1,
    MOD(_xlpm.r, 16) + 1
  )
)</f>
        <v>02</v>
      </c>
      <c r="J50" t="str" cm="1">
        <f t="array" ref="J50">_xlfn.LET(
  _xlpm.idx, (ROW()-3)*16 + J$1,
  _xlpm.r, MOD(_xlpm.idx, SpriteCount),
  INDEX(
    sprite_data.asm!$C$3:$R$156,
    INT(_xlpm.idx / SpriteCount) * 7 + INT(_xlpm.r / 16) + 1,
    MOD(_xlpm.r, 16) + 1
  )
)</f>
        <v>02</v>
      </c>
      <c r="K50" t="str" cm="1">
        <f t="array" ref="K50">_xlfn.LET(
  _xlpm.idx, (ROW()-3)*16 + K$1,
  _xlpm.r, MOD(_xlpm.idx, SpriteCount),
  INDEX(
    sprite_data.asm!$C$3:$R$156,
    INT(_xlpm.idx / SpriteCount) * 7 + INT(_xlpm.r / 16) + 1,
    MOD(_xlpm.r, 16) + 1
  )
)</f>
        <v>02</v>
      </c>
      <c r="L50" t="str" cm="1">
        <f t="array" ref="L50">_xlfn.LET(
  _xlpm.idx, (ROW()-3)*16 + L$1,
  _xlpm.r, MOD(_xlpm.idx, SpriteCount),
  INDEX(
    sprite_data.asm!$C$3:$R$156,
    INT(_xlpm.idx / SpriteCount) * 7 + INT(_xlpm.r / 16) + 1,
    MOD(_xlpm.r, 16) + 1
  )
)</f>
        <v>00</v>
      </c>
      <c r="M50" t="str" cm="1">
        <f t="array" ref="M50">_xlfn.LET(
  _xlpm.idx, (ROW()-3)*16 + M$1,
  _xlpm.r, MOD(_xlpm.idx, SpriteCount),
  INDEX(
    sprite_data.asm!$C$3:$R$156,
    INT(_xlpm.idx / SpriteCount) * 7 + INT(_xlpm.r / 16) + 1,
    MOD(_xlpm.r, 16) + 1
  )
)</f>
        <v>00</v>
      </c>
      <c r="N50" t="str" cm="1">
        <f t="array" ref="N50">_xlfn.LET(
  _xlpm.idx, (ROW()-3)*16 + N$1,
  _xlpm.r, MOD(_xlpm.idx, SpriteCount),
  INDEX(
    sprite_data.asm!$C$3:$R$156,
    INT(_xlpm.idx / SpriteCount) * 7 + INT(_xlpm.r / 16) + 1,
    MOD(_xlpm.r, 16) + 1
  )
)</f>
        <v>00</v>
      </c>
      <c r="O50" t="str" cm="1">
        <f t="array" ref="O50">_xlfn.LET(
  _xlpm.idx, (ROW()-3)*16 + O$1,
  _xlpm.r, MOD(_xlpm.idx, SpriteCount),
  INDEX(
    sprite_data.asm!$C$3:$R$156,
    INT(_xlpm.idx / SpriteCount) * 7 + INT(_xlpm.r / 16) + 1,
    MOD(_xlpm.r, 16) + 1
  )
)</f>
        <v>00</v>
      </c>
      <c r="P50" t="str" cm="1">
        <f t="array" ref="P50">_xlfn.LET(
  _xlpm.idx, (ROW()-3)*16 + P$1,
  _xlpm.r, MOD(_xlpm.idx, SpriteCount),
  INDEX(
    sprite_data.asm!$C$3:$R$156,
    INT(_xlpm.idx / SpriteCount) * 7 + INT(_xlpm.r / 16) + 1,
    MOD(_xlpm.r, 16) + 1
  )
)</f>
        <v>00</v>
      </c>
      <c r="Q50" t="str" cm="1">
        <f t="array" ref="Q50">_xlfn.LET(
  _xlpm.idx, (ROW()-3)*16 + Q$1,
  _xlpm.r, MOD(_xlpm.idx, SpriteCount),
  INDEX(
    sprite_data.asm!$C$3:$R$156,
    INT(_xlpm.idx / SpriteCount) * 7 + INT(_xlpm.r / 16) + 1,
    MOD(_xlpm.r, 16) + 1
  )
)</f>
        <v>00</v>
      </c>
    </row>
    <row r="51" spans="1:17" x14ac:dyDescent="0.3">
      <c r="A51" s="2" t="str">
        <f t="shared" si="4"/>
        <v>B000</v>
      </c>
      <c r="B51" t="str" cm="1">
        <f t="array" ref="B51">_xlfn.LET(
  _xlpm.idx, (ROW()-3)*16 + B$1,
  _xlpm.r, MOD(_xlpm.idx, SpriteCount),
  INDEX(
    sprite_data.asm!$C$3:$R$156,
    INT(_xlpm.idx / SpriteCount) * 7 + INT(_xlpm.r / 16) + 1,
    MOD(_xlpm.r, 16) + 1
  )
)</f>
        <v>00</v>
      </c>
      <c r="C51" t="str" cm="1">
        <f t="array" ref="C51">_xlfn.LET(
  _xlpm.idx, (ROW()-3)*16 + C$1,
  _xlpm.r, MOD(_xlpm.idx, SpriteCount),
  INDEX(
    sprite_data.asm!$C$3:$R$156,
    INT(_xlpm.idx / SpriteCount) * 7 + INT(_xlpm.r / 16) + 1,
    MOD(_xlpm.r, 16) + 1
  )
)</f>
        <v>00</v>
      </c>
      <c r="D51" t="str" cm="1">
        <f t="array" ref="D51">_xlfn.LET(
  _xlpm.idx, (ROW()-3)*16 + D$1,
  _xlpm.r, MOD(_xlpm.idx, SpriteCount),
  INDEX(
    sprite_data.asm!$C$3:$R$156,
    INT(_xlpm.idx / SpriteCount) * 7 + INT(_xlpm.r / 16) + 1,
    MOD(_xlpm.r, 16) + 1
  )
)</f>
        <v>00</v>
      </c>
      <c r="E51" t="str" cm="1">
        <f t="array" ref="E51">_xlfn.LET(
  _xlpm.idx, (ROW()-3)*16 + E$1,
  _xlpm.r, MOD(_xlpm.idx, SpriteCount),
  INDEX(
    sprite_data.asm!$C$3:$R$156,
    INT(_xlpm.idx / SpriteCount) * 7 + INT(_xlpm.r / 16) + 1,
    MOD(_xlpm.r, 16) + 1
  )
)</f>
        <v>00</v>
      </c>
      <c r="F51" t="str" cm="1">
        <f t="array" ref="F51">_xlfn.LET(
  _xlpm.idx, (ROW()-3)*16 + F$1,
  _xlpm.r, MOD(_xlpm.idx, SpriteCount),
  INDEX(
    sprite_data.asm!$C$3:$R$156,
    INT(_xlpm.idx / SpriteCount) * 7 + INT(_xlpm.r / 16) + 1,
    MOD(_xlpm.r, 16) + 1
  )
)</f>
        <v>00</v>
      </c>
      <c r="G51" t="str" cm="1">
        <f t="array" ref="G51">_xlfn.LET(
  _xlpm.idx, (ROW()-3)*16 + G$1,
  _xlpm.r, MOD(_xlpm.idx, SpriteCount),
  INDEX(
    sprite_data.asm!$C$3:$R$156,
    INT(_xlpm.idx / SpriteCount) * 7 + INT(_xlpm.r / 16) + 1,
    MOD(_xlpm.r, 16) + 1
  )
)</f>
        <v>01</v>
      </c>
      <c r="H51" t="str" cm="1">
        <f t="array" ref="H51">_xlfn.LET(
  _xlpm.idx, (ROW()-3)*16 + H$1,
  _xlpm.r, MOD(_xlpm.idx, SpriteCount),
  INDEX(
    sprite_data.asm!$C$3:$R$156,
    INT(_xlpm.idx / SpriteCount) * 7 + INT(_xlpm.r / 16) + 1,
    MOD(_xlpm.r, 16) + 1
  )
)</f>
        <v>00</v>
      </c>
      <c r="I51" t="str" cm="1">
        <f t="array" ref="I51">_xlfn.LET(
  _xlpm.idx, (ROW()-3)*16 + I$1,
  _xlpm.r, MOD(_xlpm.idx, SpriteCount),
  INDEX(
    sprite_data.asm!$C$3:$R$156,
    INT(_xlpm.idx / SpriteCount) * 7 + INT(_xlpm.r / 16) + 1,
    MOD(_xlpm.r, 16) + 1
  )
)</f>
        <v>04</v>
      </c>
      <c r="J51" t="str" cm="1">
        <f t="array" ref="J51">_xlfn.LET(
  _xlpm.idx, (ROW()-3)*16 + J$1,
  _xlpm.r, MOD(_xlpm.idx, SpriteCount),
  INDEX(
    sprite_data.asm!$C$3:$R$156,
    INT(_xlpm.idx / SpriteCount) * 7 + INT(_xlpm.r / 16) + 1,
    MOD(_xlpm.r, 16) + 1
  )
)</f>
        <v>01</v>
      </c>
      <c r="K51" t="str" cm="1">
        <f t="array" ref="K51">_xlfn.LET(
  _xlpm.idx, (ROW()-3)*16 + K$1,
  _xlpm.r, MOD(_xlpm.idx, SpriteCount),
  INDEX(
    sprite_data.asm!$C$3:$R$156,
    INT(_xlpm.idx / SpriteCount) * 7 + INT(_xlpm.r / 16) + 1,
    MOD(_xlpm.r, 16) + 1
  )
)</f>
        <v>00</v>
      </c>
      <c r="L51" t="str" cm="1">
        <f t="array" ref="L51">_xlfn.LET(
  _xlpm.idx, (ROW()-3)*16 + L$1,
  _xlpm.r, MOD(_xlpm.idx, SpriteCount),
  INDEX(
    sprite_data.asm!$C$3:$R$156,
    INT(_xlpm.idx / SpriteCount) * 7 + INT(_xlpm.r / 16) + 1,
    MOD(_xlpm.r, 16) + 1
  )
)</f>
        <v>00</v>
      </c>
      <c r="M51" t="str" cm="1">
        <f t="array" ref="M51">_xlfn.LET(
  _xlpm.idx, (ROW()-3)*16 + M$1,
  _xlpm.r, MOD(_xlpm.idx, SpriteCount),
  INDEX(
    sprite_data.asm!$C$3:$R$156,
    INT(_xlpm.idx / SpriteCount) * 7 + INT(_xlpm.r / 16) + 1,
    MOD(_xlpm.r, 16) + 1
  )
)</f>
        <v>00</v>
      </c>
      <c r="N51" t="str" cm="1">
        <f t="array" ref="N51">_xlfn.LET(
  _xlpm.idx, (ROW()-3)*16 + N$1,
  _xlpm.r, MOD(_xlpm.idx, SpriteCount),
  INDEX(
    sprite_data.asm!$C$3:$R$156,
    INT(_xlpm.idx / SpriteCount) * 7 + INT(_xlpm.r / 16) + 1,
    MOD(_xlpm.r, 16) + 1
  )
)</f>
        <v>02</v>
      </c>
      <c r="O51" t="str" cm="1">
        <f t="array" ref="O51">_xlfn.LET(
  _xlpm.idx, (ROW()-3)*16 + O$1,
  _xlpm.r, MOD(_xlpm.idx, SpriteCount),
  INDEX(
    sprite_data.asm!$C$3:$R$156,
    INT(_xlpm.idx / SpriteCount) * 7 + INT(_xlpm.r / 16) + 1,
    MOD(_xlpm.r, 16) + 1
  )
)</f>
        <v>01</v>
      </c>
      <c r="P51" t="str" cm="1">
        <f t="array" ref="P51">_xlfn.LET(
  _xlpm.idx, (ROW()-3)*16 + P$1,
  _xlpm.r, MOD(_xlpm.idx, SpriteCount),
  INDEX(
    sprite_data.asm!$C$3:$R$156,
    INT(_xlpm.idx / SpriteCount) * 7 + INT(_xlpm.r / 16) + 1,
    MOD(_xlpm.r, 16) + 1
  )
)</f>
        <v>01</v>
      </c>
      <c r="Q51" t="str" cm="1">
        <f t="array" ref="Q51">_xlfn.LET(
  _xlpm.idx, (ROW()-3)*16 + Q$1,
  _xlpm.r, MOD(_xlpm.idx, SpriteCount),
  INDEX(
    sprite_data.asm!$C$3:$R$156,
    INT(_xlpm.idx / SpriteCount) * 7 + INT(_xlpm.r / 16) + 1,
    MOD(_xlpm.r, 16) + 1
  )
)</f>
        <v>00</v>
      </c>
    </row>
    <row r="52" spans="1:17" x14ac:dyDescent="0.3">
      <c r="A52" s="2" t="str">
        <f t="shared" si="4"/>
        <v>B010</v>
      </c>
      <c r="B52" t="str" cm="1">
        <f t="array" ref="B52">_xlfn.LET(
  _xlpm.idx, (ROW()-3)*16 + B$1,
  _xlpm.r, MOD(_xlpm.idx, SpriteCount),
  INDEX(
    sprite_data.asm!$C$3:$R$156,
    INT(_xlpm.idx / SpriteCount) * 7 + INT(_xlpm.r / 16) + 1,
    MOD(_xlpm.r, 16) + 1
  )
)</f>
        <v>00</v>
      </c>
      <c r="C52" t="str" cm="1">
        <f t="array" ref="C52">_xlfn.LET(
  _xlpm.idx, (ROW()-3)*16 + C$1,
  _xlpm.r, MOD(_xlpm.idx, SpriteCount),
  INDEX(
    sprite_data.asm!$C$3:$R$156,
    INT(_xlpm.idx / SpriteCount) * 7 + INT(_xlpm.r / 16) + 1,
    MOD(_xlpm.r, 16) + 1
  )
)</f>
        <v>00</v>
      </c>
      <c r="D52" t="str" cm="1">
        <f t="array" ref="D52">_xlfn.LET(
  _xlpm.idx, (ROW()-3)*16 + D$1,
  _xlpm.r, MOD(_xlpm.idx, SpriteCount),
  INDEX(
    sprite_data.asm!$C$3:$R$156,
    INT(_xlpm.idx / SpriteCount) * 7 + INT(_xlpm.r / 16) + 1,
    MOD(_xlpm.r, 16) + 1
  )
)</f>
        <v>00</v>
      </c>
      <c r="E52" t="str" cm="1">
        <f t="array" ref="E52">_xlfn.LET(
  _xlpm.idx, (ROW()-3)*16 + E$1,
  _xlpm.r, MOD(_xlpm.idx, SpriteCount),
  INDEX(
    sprite_data.asm!$C$3:$R$156,
    INT(_xlpm.idx / SpriteCount) * 7 + INT(_xlpm.r / 16) + 1,
    MOD(_xlpm.r, 16) + 1
  )
)</f>
        <v>01</v>
      </c>
      <c r="F52" t="str" cm="1">
        <f t="array" ref="F52">_xlfn.LET(
  _xlpm.idx, (ROW()-3)*16 + F$1,
  _xlpm.r, MOD(_xlpm.idx, SpriteCount),
  INDEX(
    sprite_data.asm!$C$3:$R$156,
    INT(_xlpm.idx / SpriteCount) * 7 + INT(_xlpm.r / 16) + 1,
    MOD(_xlpm.r, 16) + 1
  )
)</f>
        <v>00</v>
      </c>
      <c r="G52" t="str" cm="1">
        <f t="array" ref="G52">_xlfn.LET(
  _xlpm.idx, (ROW()-3)*16 + G$1,
  _xlpm.r, MOD(_xlpm.idx, SpriteCount),
  INDEX(
    sprite_data.asm!$C$3:$R$156,
    INT(_xlpm.idx / SpriteCount) * 7 + INT(_xlpm.r / 16) + 1,
    MOD(_xlpm.r, 16) + 1
  )
)</f>
        <v>01</v>
      </c>
      <c r="H52" t="str" cm="1">
        <f t="array" ref="H52">_xlfn.LET(
  _xlpm.idx, (ROW()-3)*16 + H$1,
  _xlpm.r, MOD(_xlpm.idx, SpriteCount),
  INDEX(
    sprite_data.asm!$C$3:$R$156,
    INT(_xlpm.idx / SpriteCount) * 7 + INT(_xlpm.r / 16) + 1,
    MOD(_xlpm.r, 16) + 1
  )
)</f>
        <v>01</v>
      </c>
      <c r="I52" t="str" cm="1">
        <f t="array" ref="I52">_xlfn.LET(
  _xlpm.idx, (ROW()-3)*16 + I$1,
  _xlpm.r, MOD(_xlpm.idx, SpriteCount),
  INDEX(
    sprite_data.asm!$C$3:$R$156,
    INT(_xlpm.idx / SpriteCount) * 7 + INT(_xlpm.r / 16) + 1,
    MOD(_xlpm.r, 16) + 1
  )
)</f>
        <v>01</v>
      </c>
      <c r="J52" t="str" cm="1">
        <f t="array" ref="J52">_xlfn.LET(
  _xlpm.idx, (ROW()-3)*16 + J$1,
  _xlpm.r, MOD(_xlpm.idx, SpriteCount),
  INDEX(
    sprite_data.asm!$C$3:$R$156,
    INT(_xlpm.idx / SpriteCount) * 7 + INT(_xlpm.r / 16) + 1,
    MOD(_xlpm.r, 16) + 1
  )
)</f>
        <v>01</v>
      </c>
      <c r="K52" t="str" cm="1">
        <f t="array" ref="K52">_xlfn.LET(
  _xlpm.idx, (ROW()-3)*16 + K$1,
  _xlpm.r, MOD(_xlpm.idx, SpriteCount),
  INDEX(
    sprite_data.asm!$C$3:$R$156,
    INT(_xlpm.idx / SpriteCount) * 7 + INT(_xlpm.r / 16) + 1,
    MOD(_xlpm.r, 16) + 1
  )
)</f>
        <v>01</v>
      </c>
      <c r="L52" t="str" cm="1">
        <f t="array" ref="L52">_xlfn.LET(
  _xlpm.idx, (ROW()-3)*16 + L$1,
  _xlpm.r, MOD(_xlpm.idx, SpriteCount),
  INDEX(
    sprite_data.asm!$C$3:$R$156,
    INT(_xlpm.idx / SpriteCount) * 7 + INT(_xlpm.r / 16) + 1,
    MOD(_xlpm.r, 16) + 1
  )
)</f>
        <v>01</v>
      </c>
      <c r="M52" t="str" cm="1">
        <f t="array" ref="M52">_xlfn.LET(
  _xlpm.idx, (ROW()-3)*16 + M$1,
  _xlpm.r, MOD(_xlpm.idx, SpriteCount),
  INDEX(
    sprite_data.asm!$C$3:$R$156,
    INT(_xlpm.idx / SpriteCount) * 7 + INT(_xlpm.r / 16) + 1,
    MOD(_xlpm.r, 16) + 1
  )
)</f>
        <v>01</v>
      </c>
      <c r="N52" t="str" cm="1">
        <f t="array" ref="N52">_xlfn.LET(
  _xlpm.idx, (ROW()-3)*16 + N$1,
  _xlpm.r, MOD(_xlpm.idx, SpriteCount),
  INDEX(
    sprite_data.asm!$C$3:$R$156,
    INT(_xlpm.idx / SpriteCount) * 7 + INT(_xlpm.r / 16) + 1,
    MOD(_xlpm.r, 16) + 1
  )
)</f>
        <v>01</v>
      </c>
      <c r="O52" t="str" cm="1">
        <f t="array" ref="O52">_xlfn.LET(
  _xlpm.idx, (ROW()-3)*16 + O$1,
  _xlpm.r, MOD(_xlpm.idx, SpriteCount),
  INDEX(
    sprite_data.asm!$C$3:$R$156,
    INT(_xlpm.idx / SpriteCount) * 7 + INT(_xlpm.r / 16) + 1,
    MOD(_xlpm.r, 16) + 1
  )
)</f>
        <v>00</v>
      </c>
      <c r="P52" t="str" cm="1">
        <f t="array" ref="P52">_xlfn.LET(
  _xlpm.idx, (ROW()-3)*16 + P$1,
  _xlpm.r, MOD(_xlpm.idx, SpriteCount),
  INDEX(
    sprite_data.asm!$C$3:$R$156,
    INT(_xlpm.idx / SpriteCount) * 7 + INT(_xlpm.r / 16) + 1,
    MOD(_xlpm.r, 16) + 1
  )
)</f>
        <v>00</v>
      </c>
      <c r="Q52" t="str" cm="1">
        <f t="array" ref="Q52">_xlfn.LET(
  _xlpm.idx, (ROW()-3)*16 + Q$1,
  _xlpm.r, MOD(_xlpm.idx, SpriteCount),
  INDEX(
    sprite_data.asm!$C$3:$R$156,
    INT(_xlpm.idx / SpriteCount) * 7 + INT(_xlpm.r / 16) + 1,
    MOD(_xlpm.r, 16) + 1
  )
)</f>
        <v>00</v>
      </c>
    </row>
    <row r="53" spans="1:17" x14ac:dyDescent="0.3">
      <c r="A53" s="2" t="str">
        <f t="shared" si="4"/>
        <v>B020</v>
      </c>
      <c r="B53" t="str" cm="1">
        <f t="array" ref="B53">_xlfn.LET(
  _xlpm.idx, (ROW()-3)*16 + B$1,
  _xlpm.r, MOD(_xlpm.idx, SpriteCount),
  INDEX(
    sprite_data.asm!$C$3:$R$156,
    INT(_xlpm.idx / SpriteCount) * 7 + INT(_xlpm.r / 16) + 1,
    MOD(_xlpm.r, 16) + 1
  )
)</f>
        <v>00</v>
      </c>
      <c r="C53" t="str" cm="1">
        <f t="array" ref="C53">_xlfn.LET(
  _xlpm.idx, (ROW()-3)*16 + C$1,
  _xlpm.r, MOD(_xlpm.idx, SpriteCount),
  INDEX(
    sprite_data.asm!$C$3:$R$156,
    INT(_xlpm.idx / SpriteCount) * 7 + INT(_xlpm.r / 16) + 1,
    MOD(_xlpm.r, 16) + 1
  )
)</f>
        <v>00</v>
      </c>
      <c r="D53" t="str" cm="1">
        <f t="array" ref="D53">_xlfn.LET(
  _xlpm.idx, (ROW()-3)*16 + D$1,
  _xlpm.r, MOD(_xlpm.idx, SpriteCount),
  INDEX(
    sprite_data.asm!$C$3:$R$156,
    INT(_xlpm.idx / SpriteCount) * 7 + INT(_xlpm.r / 16) + 1,
    MOD(_xlpm.r, 16) + 1
  )
)</f>
        <v>00</v>
      </c>
      <c r="E53" t="str" cm="1">
        <f t="array" ref="E53">_xlfn.LET(
  _xlpm.idx, (ROW()-3)*16 + E$1,
  _xlpm.r, MOD(_xlpm.idx, SpriteCount),
  INDEX(
    sprite_data.asm!$C$3:$R$156,
    INT(_xlpm.idx / SpriteCount) * 7 + INT(_xlpm.r / 16) + 1,
    MOD(_xlpm.r, 16) + 1
  )
)</f>
        <v>00</v>
      </c>
      <c r="F53" t="str" cm="1">
        <f t="array" ref="F53">_xlfn.LET(
  _xlpm.idx, (ROW()-3)*16 + F$1,
  _xlpm.r, MOD(_xlpm.idx, SpriteCount),
  INDEX(
    sprite_data.asm!$C$3:$R$156,
    INT(_xlpm.idx / SpriteCount) * 7 + INT(_xlpm.r / 16) + 1,
    MOD(_xlpm.r, 16) + 1
  )
)</f>
        <v>00</v>
      </c>
      <c r="G53" t="str" cm="1">
        <f t="array" ref="G53">_xlfn.LET(
  _xlpm.idx, (ROW()-3)*16 + G$1,
  _xlpm.r, MOD(_xlpm.idx, SpriteCount),
  INDEX(
    sprite_data.asm!$C$3:$R$156,
    INT(_xlpm.idx / SpriteCount) * 7 + INT(_xlpm.r / 16) + 1,
    MOD(_xlpm.r, 16) + 1
  )
)</f>
        <v>00</v>
      </c>
      <c r="H53" t="str" cm="1">
        <f t="array" ref="H53">_xlfn.LET(
  _xlpm.idx, (ROW()-3)*16 + H$1,
  _xlpm.r, MOD(_xlpm.idx, SpriteCount),
  INDEX(
    sprite_data.asm!$C$3:$R$156,
    INT(_xlpm.idx / SpriteCount) * 7 + INT(_xlpm.r / 16) + 1,
    MOD(_xlpm.r, 16) + 1
  )
)</f>
        <v>00</v>
      </c>
      <c r="I53" t="str" cm="1">
        <f t="array" ref="I53">_xlfn.LET(
  _xlpm.idx, (ROW()-3)*16 + I$1,
  _xlpm.r, MOD(_xlpm.idx, SpriteCount),
  INDEX(
    sprite_data.asm!$C$3:$R$156,
    INT(_xlpm.idx / SpriteCount) * 7 + INT(_xlpm.r / 16) + 1,
    MOD(_xlpm.r, 16) + 1
  )
)</f>
        <v>00</v>
      </c>
      <c r="J53" t="str" cm="1">
        <f t="array" ref="J53">_xlfn.LET(
  _xlpm.idx, (ROW()-3)*16 + J$1,
  _xlpm.r, MOD(_xlpm.idx, SpriteCount),
  INDEX(
    sprite_data.asm!$C$3:$R$156,
    INT(_xlpm.idx / SpriteCount) * 7 + INT(_xlpm.r / 16) + 1,
    MOD(_xlpm.r, 16) + 1
  )
)</f>
        <v>00</v>
      </c>
      <c r="K53" t="str" cm="1">
        <f t="array" ref="K53">_xlfn.LET(
  _xlpm.idx, (ROW()-3)*16 + K$1,
  _xlpm.r, MOD(_xlpm.idx, SpriteCount),
  INDEX(
    sprite_data.asm!$C$3:$R$156,
    INT(_xlpm.idx / SpriteCount) * 7 + INT(_xlpm.r / 16) + 1,
    MOD(_xlpm.r, 16) + 1
  )
)</f>
        <v>00</v>
      </c>
      <c r="L53" t="str" cm="1">
        <f t="array" ref="L53">_xlfn.LET(
  _xlpm.idx, (ROW()-3)*16 + L$1,
  _xlpm.r, MOD(_xlpm.idx, SpriteCount),
  INDEX(
    sprite_data.asm!$C$3:$R$156,
    INT(_xlpm.idx / SpriteCount) * 7 + INT(_xlpm.r / 16) + 1,
    MOD(_xlpm.r, 16) + 1
  )
)</f>
        <v>00</v>
      </c>
      <c r="M53" t="str" cm="1">
        <f t="array" ref="M53">_xlfn.LET(
  _xlpm.idx, (ROW()-3)*16 + M$1,
  _xlpm.r, MOD(_xlpm.idx, SpriteCount),
  INDEX(
    sprite_data.asm!$C$3:$R$156,
    INT(_xlpm.idx / SpriteCount) * 7 + INT(_xlpm.r / 16) + 1,
    MOD(_xlpm.r, 16) + 1
  )
)</f>
        <v>00</v>
      </c>
      <c r="N53" t="str" cm="1">
        <f t="array" ref="N53">_xlfn.LET(
  _xlpm.idx, (ROW()-3)*16 + N$1,
  _xlpm.r, MOD(_xlpm.idx, SpriteCount),
  INDEX(
    sprite_data.asm!$C$3:$R$156,
    INT(_xlpm.idx / SpriteCount) * 7 + INT(_xlpm.r / 16) + 1,
    MOD(_xlpm.r, 16) + 1
  )
)</f>
        <v>00</v>
      </c>
      <c r="O53" t="str" cm="1">
        <f t="array" ref="O53">_xlfn.LET(
  _xlpm.idx, (ROW()-3)*16 + O$1,
  _xlpm.r, MOD(_xlpm.idx, SpriteCount),
  INDEX(
    sprite_data.asm!$C$3:$R$156,
    INT(_xlpm.idx / SpriteCount) * 7 + INT(_xlpm.r / 16) + 1,
    MOD(_xlpm.r, 16) + 1
  )
)</f>
        <v>00</v>
      </c>
      <c r="P53" t="str" cm="1">
        <f t="array" ref="P53">_xlfn.LET(
  _xlpm.idx, (ROW()-3)*16 + P$1,
  _xlpm.r, MOD(_xlpm.idx, SpriteCount),
  INDEX(
    sprite_data.asm!$C$3:$R$156,
    INT(_xlpm.idx / SpriteCount) * 7 + INT(_xlpm.r / 16) + 1,
    MOD(_xlpm.r, 16) + 1
  )
)</f>
        <v>00</v>
      </c>
      <c r="Q53" t="str" cm="1">
        <f t="array" ref="Q53">_xlfn.LET(
  _xlpm.idx, (ROW()-3)*16 + Q$1,
  _xlpm.r, MOD(_xlpm.idx, SpriteCount),
  INDEX(
    sprite_data.asm!$C$3:$R$156,
    INT(_xlpm.idx / SpriteCount) * 7 + INT(_xlpm.r / 16) + 1,
    MOD(_xlpm.r, 16) + 1
  )
)</f>
        <v>00</v>
      </c>
    </row>
    <row r="54" spans="1:17" x14ac:dyDescent="0.3">
      <c r="A54" s="2" t="str">
        <f t="shared" si="4"/>
        <v>B030</v>
      </c>
      <c r="B54" t="str" cm="1">
        <f t="array" ref="B54">_xlfn.LET(
  _xlpm.idx, (ROW()-3)*16 + B$1,
  _xlpm.r, MOD(_xlpm.idx, SpriteCount),
  INDEX(
    sprite_data.asm!$C$3:$R$156,
    INT(_xlpm.idx / SpriteCount) * 7 + INT(_xlpm.r / 16) + 1,
    MOD(_xlpm.r, 16) + 1
  )
)</f>
        <v>00</v>
      </c>
      <c r="C54" t="str" cm="1">
        <f t="array" ref="C54">_xlfn.LET(
  _xlpm.idx, (ROW()-3)*16 + C$1,
  _xlpm.r, MOD(_xlpm.idx, SpriteCount),
  INDEX(
    sprite_data.asm!$C$3:$R$156,
    INT(_xlpm.idx / SpriteCount) * 7 + INT(_xlpm.r / 16) + 1,
    MOD(_xlpm.r, 16) + 1
  )
)</f>
        <v>00</v>
      </c>
      <c r="D54" t="str" cm="1">
        <f t="array" ref="D54">_xlfn.LET(
  _xlpm.idx, (ROW()-3)*16 + D$1,
  _xlpm.r, MOD(_xlpm.idx, SpriteCount),
  INDEX(
    sprite_data.asm!$C$3:$R$156,
    INT(_xlpm.idx / SpriteCount) * 7 + INT(_xlpm.r / 16) + 1,
    MOD(_xlpm.r, 16) + 1
  )
)</f>
        <v>00</v>
      </c>
      <c r="E54" t="str" cm="1">
        <f t="array" ref="E54">_xlfn.LET(
  _xlpm.idx, (ROW()-3)*16 + E$1,
  _xlpm.r, MOD(_xlpm.idx, SpriteCount),
  INDEX(
    sprite_data.asm!$C$3:$R$156,
    INT(_xlpm.idx / SpriteCount) * 7 + INT(_xlpm.r / 16) + 1,
    MOD(_xlpm.r, 16) + 1
  )
)</f>
        <v>00</v>
      </c>
      <c r="F54" t="str" cm="1">
        <f t="array" ref="F54">_xlfn.LET(
  _xlpm.idx, (ROW()-3)*16 + F$1,
  _xlpm.r, MOD(_xlpm.idx, SpriteCount),
  INDEX(
    sprite_data.asm!$C$3:$R$156,
    INT(_xlpm.idx / SpriteCount) * 7 + INT(_xlpm.r / 16) + 1,
    MOD(_xlpm.r, 16) + 1
  )
)</f>
        <v>00</v>
      </c>
      <c r="G54" t="str" cm="1">
        <f t="array" ref="G54">_xlfn.LET(
  _xlpm.idx, (ROW()-3)*16 + G$1,
  _xlpm.r, MOD(_xlpm.idx, SpriteCount),
  INDEX(
    sprite_data.asm!$C$3:$R$156,
    INT(_xlpm.idx / SpriteCount) * 7 + INT(_xlpm.r / 16) + 1,
    MOD(_xlpm.r, 16) + 1
  )
)</f>
        <v>00</v>
      </c>
      <c r="H54" t="str" cm="1">
        <f t="array" ref="H54">_xlfn.LET(
  _xlpm.idx, (ROW()-3)*16 + H$1,
  _xlpm.r, MOD(_xlpm.idx, SpriteCount),
  INDEX(
    sprite_data.asm!$C$3:$R$156,
    INT(_xlpm.idx / SpriteCount) * 7 + INT(_xlpm.r / 16) + 1,
    MOD(_xlpm.r, 16) + 1
  )
)</f>
        <v>00</v>
      </c>
      <c r="I54" t="str" cm="1">
        <f t="array" ref="I54">_xlfn.LET(
  _xlpm.idx, (ROW()-3)*16 + I$1,
  _xlpm.r, MOD(_xlpm.idx, SpriteCount),
  INDEX(
    sprite_data.asm!$C$3:$R$156,
    INT(_xlpm.idx / SpriteCount) * 7 + INT(_xlpm.r / 16) + 1,
    MOD(_xlpm.r, 16) + 1
  )
)</f>
        <v>00</v>
      </c>
      <c r="J54" t="str" cm="1">
        <f t="array" ref="J54">_xlfn.LET(
  _xlpm.idx, (ROW()-3)*16 + J$1,
  _xlpm.r, MOD(_xlpm.idx, SpriteCount),
  INDEX(
    sprite_data.asm!$C$3:$R$156,
    INT(_xlpm.idx / SpriteCount) * 7 + INT(_xlpm.r / 16) + 1,
    MOD(_xlpm.r, 16) + 1
  )
)</f>
        <v>00</v>
      </c>
      <c r="K54" t="str" cm="1">
        <f t="array" ref="K54">_xlfn.LET(
  _xlpm.idx, (ROW()-3)*16 + K$1,
  _xlpm.r, MOD(_xlpm.idx, SpriteCount),
  INDEX(
    sprite_data.asm!$C$3:$R$156,
    INT(_xlpm.idx / SpriteCount) * 7 + INT(_xlpm.r / 16) + 1,
    MOD(_xlpm.r, 16) + 1
  )
)</f>
        <v>00</v>
      </c>
      <c r="L54" t="str" cm="1">
        <f t="array" ref="L54">_xlfn.LET(
  _xlpm.idx, (ROW()-3)*16 + L$1,
  _xlpm.r, MOD(_xlpm.idx, SpriteCount),
  INDEX(
    sprite_data.asm!$C$3:$R$156,
    INT(_xlpm.idx / SpriteCount) * 7 + INT(_xlpm.r / 16) + 1,
    MOD(_xlpm.r, 16) + 1
  )
)</f>
        <v>00</v>
      </c>
      <c r="M54" t="str" cm="1">
        <f t="array" ref="M54">_xlfn.LET(
  _xlpm.idx, (ROW()-3)*16 + M$1,
  _xlpm.r, MOD(_xlpm.idx, SpriteCount),
  INDEX(
    sprite_data.asm!$C$3:$R$156,
    INT(_xlpm.idx / SpriteCount) * 7 + INT(_xlpm.r / 16) + 1,
    MOD(_xlpm.r, 16) + 1
  )
)</f>
        <v>00</v>
      </c>
      <c r="N54" t="str" cm="1">
        <f t="array" ref="N54">_xlfn.LET(
  _xlpm.idx, (ROW()-3)*16 + N$1,
  _xlpm.r, MOD(_xlpm.idx, SpriteCount),
  INDEX(
    sprite_data.asm!$C$3:$R$156,
    INT(_xlpm.idx / SpriteCount) * 7 + INT(_xlpm.r / 16) + 1,
    MOD(_xlpm.r, 16) + 1
  )
)</f>
        <v>00</v>
      </c>
      <c r="O54" t="str" cm="1">
        <f t="array" ref="O54">_xlfn.LET(
  _xlpm.idx, (ROW()-3)*16 + O$1,
  _xlpm.r, MOD(_xlpm.idx, SpriteCount),
  INDEX(
    sprite_data.asm!$C$3:$R$156,
    INT(_xlpm.idx / SpriteCount) * 7 + INT(_xlpm.r / 16) + 1,
    MOD(_xlpm.r, 16) + 1
  )
)</f>
        <v>00</v>
      </c>
      <c r="P54" t="str" cm="1">
        <f t="array" ref="P54">_xlfn.LET(
  _xlpm.idx, (ROW()-3)*16 + P$1,
  _xlpm.r, MOD(_xlpm.idx, SpriteCount),
  INDEX(
    sprite_data.asm!$C$3:$R$156,
    INT(_xlpm.idx / SpriteCount) * 7 + INT(_xlpm.r / 16) + 1,
    MOD(_xlpm.r, 16) + 1
  )
)</f>
        <v>00</v>
      </c>
      <c r="Q54" t="str" cm="1">
        <f t="array" ref="Q54">_xlfn.LET(
  _xlpm.idx, (ROW()-3)*16 + Q$1,
  _xlpm.r, MOD(_xlpm.idx, SpriteCount),
  INDEX(
    sprite_data.asm!$C$3:$R$156,
    INT(_xlpm.idx / SpriteCount) * 7 + INT(_xlpm.r / 16) + 1,
    MOD(_xlpm.r, 16) + 1
  )
)</f>
        <v>00</v>
      </c>
    </row>
    <row r="55" spans="1:17" x14ac:dyDescent="0.3">
      <c r="A55" s="2" t="str">
        <f t="shared" si="4"/>
        <v>B040</v>
      </c>
      <c r="B55" t="str" cm="1">
        <f t="array" ref="B55">_xlfn.LET(
  _xlpm.idx, (ROW()-3)*16 + B$1,
  _xlpm.r, MOD(_xlpm.idx, SpriteCount),
  INDEX(
    sprite_data.asm!$C$3:$R$156,
    INT(_xlpm.idx / SpriteCount) * 7 + INT(_xlpm.r / 16) + 1,
    MOD(_xlpm.r, 16) + 1
  )
)</f>
        <v>00</v>
      </c>
      <c r="C55" t="str" cm="1">
        <f t="array" ref="C55">_xlfn.LET(
  _xlpm.idx, (ROW()-3)*16 + C$1,
  _xlpm.r, MOD(_xlpm.idx, SpriteCount),
  INDEX(
    sprite_data.asm!$C$3:$R$156,
    INT(_xlpm.idx / SpriteCount) * 7 + INT(_xlpm.r / 16) + 1,
    MOD(_xlpm.r, 16) + 1
  )
)</f>
        <v>00</v>
      </c>
      <c r="D55" t="str" cm="1">
        <f t="array" ref="D55">_xlfn.LET(
  _xlpm.idx, (ROW()-3)*16 + D$1,
  _xlpm.r, MOD(_xlpm.idx, SpriteCount),
  INDEX(
    sprite_data.asm!$C$3:$R$156,
    INT(_xlpm.idx / SpriteCount) * 7 + INT(_xlpm.r / 16) + 1,
    MOD(_xlpm.r, 16) + 1
  )
)</f>
        <v>55</v>
      </c>
      <c r="E55" t="str" cm="1">
        <f t="array" ref="E55">_xlfn.LET(
  _xlpm.idx, (ROW()-3)*16 + E$1,
  _xlpm.r, MOD(_xlpm.idx, SpriteCount),
  INDEX(
    sprite_data.asm!$C$3:$R$156,
    INT(_xlpm.idx / SpriteCount) * 7 + INT(_xlpm.r / 16) + 1,
    MOD(_xlpm.r, 16) + 1
  )
)</f>
        <v>06</v>
      </c>
      <c r="F55" t="str" cm="1">
        <f t="array" ref="F55">_xlfn.LET(
  _xlpm.idx, (ROW()-3)*16 + F$1,
  _xlpm.r, MOD(_xlpm.idx, SpriteCount),
  INDEX(
    sprite_data.asm!$C$3:$R$156,
    INT(_xlpm.idx / SpriteCount) * 7 + INT(_xlpm.r / 16) + 1,
    MOD(_xlpm.r, 16) + 1
  )
)</f>
        <v>00</v>
      </c>
      <c r="G55" t="str" cm="1">
        <f t="array" ref="G55">_xlfn.LET(
  _xlpm.idx, (ROW()-3)*16 + G$1,
  _xlpm.r, MOD(_xlpm.idx, SpriteCount),
  INDEX(
    sprite_data.asm!$C$3:$R$156,
    INT(_xlpm.idx / SpriteCount) * 7 + INT(_xlpm.r / 16) + 1,
    MOD(_xlpm.r, 16) + 1
  )
)</f>
        <v>30</v>
      </c>
      <c r="H55" t="str" cm="1">
        <f t="array" ref="H55">_xlfn.LET(
  _xlpm.idx, (ROW()-3)*16 + H$1,
  _xlpm.r, MOD(_xlpm.idx, SpriteCount),
  INDEX(
    sprite_data.asm!$C$3:$R$156,
    INT(_xlpm.idx / SpriteCount) * 7 + INT(_xlpm.r / 16) + 1,
    MOD(_xlpm.r, 16) + 1
  )
)</f>
        <v>00</v>
      </c>
      <c r="I55" t="str" cm="1">
        <f t="array" ref="I55">_xlfn.LET(
  _xlpm.idx, (ROW()-3)*16 + I$1,
  _xlpm.r, MOD(_xlpm.idx, SpriteCount),
  INDEX(
    sprite_data.asm!$C$3:$R$156,
    INT(_xlpm.idx / SpriteCount) * 7 + INT(_xlpm.r / 16) + 1,
    MOD(_xlpm.r, 16) + 1
  )
)</f>
        <v>00</v>
      </c>
      <c r="J55" t="str" cm="1">
        <f t="array" ref="J55">_xlfn.LET(
  _xlpm.idx, (ROW()-3)*16 + J$1,
  _xlpm.r, MOD(_xlpm.idx, SpriteCount),
  INDEX(
    sprite_data.asm!$C$3:$R$156,
    INT(_xlpm.idx / SpriteCount) * 7 + INT(_xlpm.r / 16) + 1,
    MOD(_xlpm.r, 16) + 1
  )
)</f>
        <v>28</v>
      </c>
      <c r="K55" t="str" cm="1">
        <f t="array" ref="K55">_xlfn.LET(
  _xlpm.idx, (ROW()-3)*16 + K$1,
  _xlpm.r, MOD(_xlpm.idx, SpriteCount),
  INDEX(
    sprite_data.asm!$C$3:$R$156,
    INT(_xlpm.idx / SpriteCount) * 7 + INT(_xlpm.r / 16) + 1,
    MOD(_xlpm.r, 16) + 1
  )
)</f>
        <v>6C</v>
      </c>
      <c r="L55" t="str" cm="1">
        <f t="array" ref="L55">_xlfn.LET(
  _xlpm.idx, (ROW()-3)*16 + L$1,
  _xlpm.r, MOD(_xlpm.idx, SpriteCount),
  INDEX(
    sprite_data.asm!$C$3:$R$156,
    INT(_xlpm.idx / SpriteCount) * 7 + INT(_xlpm.r / 16) + 1,
    MOD(_xlpm.r, 16) + 1
  )
)</f>
        <v>7F</v>
      </c>
      <c r="M55" t="str" cm="1">
        <f t="array" ref="M55">_xlfn.LET(
  _xlpm.idx, (ROW()-3)*16 + M$1,
  _xlpm.r, MOD(_xlpm.idx, SpriteCount),
  INDEX(
    sprite_data.asm!$C$3:$R$156,
    INT(_xlpm.idx / SpriteCount) * 7 + INT(_xlpm.r / 16) + 1,
    MOD(_xlpm.r, 16) + 1
  )
)</f>
        <v>5C</v>
      </c>
      <c r="N55" t="str" cm="1">
        <f t="array" ref="N55">_xlfn.LET(
  _xlpm.idx, (ROW()-3)*16 + N$1,
  _xlpm.r, MOD(_xlpm.idx, SpriteCount),
  INDEX(
    sprite_data.asm!$C$3:$R$156,
    INT(_xlpm.idx / SpriteCount) * 7 + INT(_xlpm.r / 16) + 1,
    MOD(_xlpm.r, 16) + 1
  )
)</f>
        <v>38</v>
      </c>
      <c r="O55" t="str" cm="1">
        <f t="array" ref="O55">_xlfn.LET(
  _xlpm.idx, (ROW()-3)*16 + O$1,
  _xlpm.r, MOD(_xlpm.idx, SpriteCount),
  INDEX(
    sprite_data.asm!$C$3:$R$156,
    INT(_xlpm.idx / SpriteCount) * 7 + INT(_xlpm.r / 16) + 1,
    MOD(_xlpm.r, 16) + 1
  )
)</f>
        <v>7A</v>
      </c>
      <c r="P55" t="str" cm="1">
        <f t="array" ref="P55">_xlfn.LET(
  _xlpm.idx, (ROW()-3)*16 + P$1,
  _xlpm.r, MOD(_xlpm.idx, SpriteCount),
  INDEX(
    sprite_data.asm!$C$3:$R$156,
    INT(_xlpm.idx / SpriteCount) * 7 + INT(_xlpm.r / 16) + 1,
    MOD(_xlpm.r, 16) + 1
  )
)</f>
        <v>7E</v>
      </c>
      <c r="Q55" t="str" cm="1">
        <f t="array" ref="Q55">_xlfn.LET(
  _xlpm.idx, (ROW()-3)*16 + Q$1,
  _xlpm.r, MOD(_xlpm.idx, SpriteCount),
  INDEX(
    sprite_data.asm!$C$3:$R$156,
    INT(_xlpm.idx / SpriteCount) * 7 + INT(_xlpm.r / 16) + 1,
    MOD(_xlpm.r, 16) + 1
  )
)</f>
        <v>70</v>
      </c>
    </row>
    <row r="56" spans="1:17" x14ac:dyDescent="0.3">
      <c r="A56" s="2" t="str">
        <f t="shared" si="4"/>
        <v>B050</v>
      </c>
      <c r="B56" t="str" cm="1">
        <f t="array" ref="B56">_xlfn.LET(
  _xlpm.idx, (ROW()-3)*16 + B$1,
  _xlpm.r, MOD(_xlpm.idx, SpriteCount),
  INDEX(
    sprite_data.asm!$C$3:$R$156,
    INT(_xlpm.idx / SpriteCount) * 7 + INT(_xlpm.r / 16) + 1,
    MOD(_xlpm.r, 16) + 1
  )
)</f>
        <v>70</v>
      </c>
      <c r="C56" t="str" cm="1">
        <f t="array" ref="C56">_xlfn.LET(
  _xlpm.idx, (ROW()-3)*16 + C$1,
  _xlpm.r, MOD(_xlpm.idx, SpriteCount),
  INDEX(
    sprite_data.asm!$C$3:$R$156,
    INT(_xlpm.idx / SpriteCount) * 7 + INT(_xlpm.r / 16) + 1,
    MOD(_xlpm.r, 16) + 1
  )
)</f>
        <v>78</v>
      </c>
      <c r="D56" t="str" cm="1">
        <f t="array" ref="D56">_xlfn.LET(
  _xlpm.idx, (ROW()-3)*16 + D$1,
  _xlpm.r, MOD(_xlpm.idx, SpriteCount),
  INDEX(
    sprite_data.asm!$C$3:$R$156,
    INT(_xlpm.idx / SpriteCount) * 7 + INT(_xlpm.r / 16) + 1,
    MOD(_xlpm.r, 16) + 1
  )
)</f>
        <v>78</v>
      </c>
      <c r="E56" t="str" cm="1">
        <f t="array" ref="E56">_xlfn.LET(
  _xlpm.idx, (ROW()-3)*16 + E$1,
  _xlpm.r, MOD(_xlpm.idx, SpriteCount),
  INDEX(
    sprite_data.asm!$C$3:$R$156,
    INT(_xlpm.idx / SpriteCount) * 7 + INT(_xlpm.r / 16) + 1,
    MOD(_xlpm.r, 16) + 1
  )
)</f>
        <v>60</v>
      </c>
      <c r="F56" t="str" cm="1">
        <f t="array" ref="F56">_xlfn.LET(
  _xlpm.idx, (ROW()-3)*16 + F$1,
  _xlpm.r, MOD(_xlpm.idx, SpriteCount),
  INDEX(
    sprite_data.asm!$C$3:$R$156,
    INT(_xlpm.idx / SpriteCount) * 7 + INT(_xlpm.r / 16) + 1,
    MOD(_xlpm.r, 16) + 1
  )
)</f>
        <v>18</v>
      </c>
      <c r="G56" t="str" cm="1">
        <f t="array" ref="G56">_xlfn.LET(
  _xlpm.idx, (ROW()-3)*16 + G$1,
  _xlpm.r, MOD(_xlpm.idx, SpriteCount),
  INDEX(
    sprite_data.asm!$C$3:$R$156,
    INT(_xlpm.idx / SpriteCount) * 7 + INT(_xlpm.r / 16) + 1,
    MOD(_xlpm.r, 16) + 1
  )
)</f>
        <v>3C</v>
      </c>
      <c r="H56" t="str" cm="1">
        <f t="array" ref="H56">_xlfn.LET(
  _xlpm.idx, (ROW()-3)*16 + H$1,
  _xlpm.r, MOD(_xlpm.idx, SpriteCount),
  INDEX(
    sprite_data.asm!$C$3:$R$156,
    INT(_xlpm.idx / SpriteCount) * 7 + INT(_xlpm.r / 16) + 1,
    MOD(_xlpm.r, 16) + 1
  )
)</f>
        <v>1E</v>
      </c>
      <c r="I56" t="str" cm="1">
        <f t="array" ref="I56">_xlfn.LET(
  _xlpm.idx, (ROW()-3)*16 + I$1,
  _xlpm.r, MOD(_xlpm.idx, SpriteCount),
  INDEX(
    sprite_data.asm!$C$3:$R$156,
    INT(_xlpm.idx / SpriteCount) * 7 + INT(_xlpm.r / 16) + 1,
    MOD(_xlpm.r, 16) + 1
  )
)</f>
        <v>60</v>
      </c>
      <c r="J56" t="str" cm="1">
        <f t="array" ref="J56">_xlfn.LET(
  _xlpm.idx, (ROW()-3)*16 + J$1,
  _xlpm.r, MOD(_xlpm.idx, SpriteCount),
  INDEX(
    sprite_data.asm!$C$3:$R$156,
    INT(_xlpm.idx / SpriteCount) * 7 + INT(_xlpm.r / 16) + 1,
    MOD(_xlpm.r, 16) + 1
  )
)</f>
        <v>70</v>
      </c>
      <c r="K56" t="str" cm="1">
        <f t="array" ref="K56">_xlfn.LET(
  _xlpm.idx, (ROW()-3)*16 + K$1,
  _xlpm.r, MOD(_xlpm.idx, SpriteCount),
  INDEX(
    sprite_data.asm!$C$3:$R$156,
    INT(_xlpm.idx / SpriteCount) * 7 + INT(_xlpm.r / 16) + 1,
    MOD(_xlpm.r, 16) + 1
  )
)</f>
        <v>60</v>
      </c>
      <c r="L56" t="str" cm="1">
        <f t="array" ref="L56">_xlfn.LET(
  _xlpm.idx, (ROW()-3)*16 + L$1,
  _xlpm.r, MOD(_xlpm.idx, SpriteCount),
  INDEX(
    sprite_data.asm!$C$3:$R$156,
    INT(_xlpm.idx / SpriteCount) * 7 + INT(_xlpm.r / 16) + 1,
    MOD(_xlpm.r, 16) + 1
  )
)</f>
        <v>1E</v>
      </c>
      <c r="M56" t="str" cm="1">
        <f t="array" ref="M56">_xlfn.LET(
  _xlpm.idx, (ROW()-3)*16 + M$1,
  _xlpm.r, MOD(_xlpm.idx, SpriteCount),
  INDEX(
    sprite_data.asm!$C$3:$R$156,
    INT(_xlpm.idx / SpriteCount) * 7 + INT(_xlpm.r / 16) + 1,
    MOD(_xlpm.r, 16) + 1
  )
)</f>
        <v>00</v>
      </c>
      <c r="N56" t="str" cm="1">
        <f t="array" ref="N56">_xlfn.LET(
  _xlpm.idx, (ROW()-3)*16 + N$1,
  _xlpm.r, MOD(_xlpm.idx, SpriteCount),
  INDEX(
    sprite_data.asm!$C$3:$R$156,
    INT(_xlpm.idx / SpriteCount) * 7 + INT(_xlpm.r / 16) + 1,
    MOD(_xlpm.r, 16) + 1
  )
)</f>
        <v>00</v>
      </c>
      <c r="O56" t="str" cm="1">
        <f t="array" ref="O56">_xlfn.LET(
  _xlpm.idx, (ROW()-3)*16 + O$1,
  _xlpm.r, MOD(_xlpm.idx, SpriteCount),
  INDEX(
    sprite_data.asm!$C$3:$R$156,
    INT(_xlpm.idx / SpriteCount) * 7 + INT(_xlpm.r / 16) + 1,
    MOD(_xlpm.r, 16) + 1
  )
)</f>
        <v>00</v>
      </c>
      <c r="P56" t="str" cm="1">
        <f t="array" ref="P56">_xlfn.LET(
  _xlpm.idx, (ROW()-3)*16 + P$1,
  _xlpm.r, MOD(_xlpm.idx, SpriteCount),
  INDEX(
    sprite_data.asm!$C$3:$R$156,
    INT(_xlpm.idx / SpriteCount) * 7 + INT(_xlpm.r / 16) + 1,
    MOD(_xlpm.r, 16) + 1
  )
)</f>
        <v>00</v>
      </c>
      <c r="Q56" t="str" cm="1">
        <f t="array" ref="Q56">_xlfn.LET(
  _xlpm.idx, (ROW()-3)*16 + Q$1,
  _xlpm.r, MOD(_xlpm.idx, SpriteCount),
  INDEX(
    sprite_data.asm!$C$3:$R$156,
    INT(_xlpm.idx / SpriteCount) * 7 + INT(_xlpm.r / 16) + 1,
    MOD(_xlpm.r, 16) + 1
  )
)</f>
        <v>00</v>
      </c>
    </row>
    <row r="57" spans="1:17" x14ac:dyDescent="0.3">
      <c r="A57" s="2" t="str">
        <f t="shared" si="4"/>
        <v>B060</v>
      </c>
      <c r="B57" t="str" cm="1">
        <f t="array" ref="B57">_xlfn.LET(
  _xlpm.idx, (ROW()-3)*16 + B$1,
  _xlpm.r, MOD(_xlpm.idx, SpriteCount),
  INDEX(
    sprite_data.asm!$C$3:$R$156,
    INT(_xlpm.idx / SpriteCount) * 7 + INT(_xlpm.r / 16) + 1,
    MOD(_xlpm.r, 16) + 1
  )
)</f>
        <v>00</v>
      </c>
      <c r="C57" t="str" cm="1">
        <f t="array" ref="C57">_xlfn.LET(
  _xlpm.idx, (ROW()-3)*16 + C$1,
  _xlpm.r, MOD(_xlpm.idx, SpriteCount),
  INDEX(
    sprite_data.asm!$C$3:$R$156,
    INT(_xlpm.idx / SpriteCount) * 7 + INT(_xlpm.r / 16) + 1,
    MOD(_xlpm.r, 16) + 1
  )
)</f>
        <v>00</v>
      </c>
      <c r="D57" t="str" cm="1">
        <f t="array" ref="D57">_xlfn.LET(
  _xlpm.idx, (ROW()-3)*16 + D$1,
  _xlpm.r, MOD(_xlpm.idx, SpriteCount),
  INDEX(
    sprite_data.asm!$C$3:$R$156,
    INT(_xlpm.idx / SpriteCount) * 7 + INT(_xlpm.r / 16) + 1,
    MOD(_xlpm.r, 16) + 1
  )
)</f>
        <v>28</v>
      </c>
      <c r="E57" t="str" cm="1">
        <f t="array" ref="E57">_xlfn.LET(
  _xlpm.idx, (ROW()-3)*16 + E$1,
  _xlpm.r, MOD(_xlpm.idx, SpriteCount),
  INDEX(
    sprite_data.asm!$C$3:$R$156,
    INT(_xlpm.idx / SpriteCount) * 7 + INT(_xlpm.r / 16) + 1,
    MOD(_xlpm.r, 16) + 1
  )
)</f>
        <v>00</v>
      </c>
      <c r="F57" t="str" cm="1">
        <f t="array" ref="F57">_xlfn.LET(
  _xlpm.idx, (ROW()-3)*16 + F$1,
  _xlpm.r, MOD(_xlpm.idx, SpriteCount),
  INDEX(
    sprite_data.asm!$C$3:$R$156,
    INT(_xlpm.idx / SpriteCount) * 7 + INT(_xlpm.r / 16) + 1,
    MOD(_xlpm.r, 16) + 1
  )
)</f>
        <v>00</v>
      </c>
      <c r="G57" t="str" cm="1">
        <f t="array" ref="G57">_xlfn.LET(
  _xlpm.idx, (ROW()-3)*16 + G$1,
  _xlpm.r, MOD(_xlpm.idx, SpriteCount),
  INDEX(
    sprite_data.asm!$C$3:$R$156,
    INT(_xlpm.idx / SpriteCount) * 7 + INT(_xlpm.r / 16) + 1,
    MOD(_xlpm.r, 16) + 1
  )
)</f>
        <v>7E</v>
      </c>
      <c r="H57" t="str" cm="1">
        <f t="array" ref="H57">_xlfn.LET(
  _xlpm.idx, (ROW()-3)*16 + H$1,
  _xlpm.r, MOD(_xlpm.idx, SpriteCount),
  INDEX(
    sprite_data.asm!$C$3:$R$156,
    INT(_xlpm.idx / SpriteCount) * 7 + INT(_xlpm.r / 16) + 1,
    MOD(_xlpm.r, 16) + 1
  )
)</f>
        <v>00</v>
      </c>
      <c r="I57" t="str" cm="1">
        <f t="array" ref="I57">_xlfn.LET(
  _xlpm.idx, (ROW()-3)*16 + I$1,
  _xlpm.r, MOD(_xlpm.idx, SpriteCount),
  INDEX(
    sprite_data.asm!$C$3:$R$156,
    INT(_xlpm.idx / SpriteCount) * 7 + INT(_xlpm.r / 16) + 1,
    MOD(_xlpm.r, 16) + 1
  )
)</f>
        <v>00</v>
      </c>
      <c r="J57" t="str" cm="1">
        <f t="array" ref="J57">_xlfn.LET(
  _xlpm.idx, (ROW()-3)*16 + J$1,
  _xlpm.r, MOD(_xlpm.idx, SpriteCount),
  INDEX(
    sprite_data.asm!$C$3:$R$156,
    INT(_xlpm.idx / SpriteCount) * 7 + INT(_xlpm.r / 16) + 1,
    MOD(_xlpm.r, 16) + 1
  )
)</f>
        <v>28</v>
      </c>
      <c r="K57" t="str" cm="1">
        <f t="array" ref="K57">_xlfn.LET(
  _xlpm.idx, (ROW()-3)*16 + K$1,
  _xlpm.r, MOD(_xlpm.idx, SpriteCount),
  INDEX(
    sprite_data.asm!$C$3:$R$156,
    INT(_xlpm.idx / SpriteCount) * 7 + INT(_xlpm.r / 16) + 1,
    MOD(_xlpm.r, 16) + 1
  )
)</f>
        <v>28</v>
      </c>
      <c r="L57" t="str" cm="1">
        <f t="array" ref="L57">_xlfn.LET(
  _xlpm.idx, (ROW()-3)*16 + L$1,
  _xlpm.r, MOD(_xlpm.idx, SpriteCount),
  INDEX(
    sprite_data.asm!$C$3:$R$156,
    INT(_xlpm.idx / SpriteCount) * 7 + INT(_xlpm.r / 16) + 1,
    MOD(_xlpm.r, 16) + 1
  )
)</f>
        <v>28</v>
      </c>
      <c r="M57" t="str" cm="1">
        <f t="array" ref="M57">_xlfn.LET(
  _xlpm.idx, (ROW()-3)*16 + M$1,
  _xlpm.r, MOD(_xlpm.idx, SpriteCount),
  INDEX(
    sprite_data.asm!$C$3:$R$156,
    INT(_xlpm.idx / SpriteCount) * 7 + INT(_xlpm.r / 16) + 1,
    MOD(_xlpm.r, 16) + 1
  )
)</f>
        <v>20</v>
      </c>
      <c r="N57" t="str" cm="1">
        <f t="array" ref="N57">_xlfn.LET(
  _xlpm.idx, (ROW()-3)*16 + N$1,
  _xlpm.r, MOD(_xlpm.idx, SpriteCount),
  INDEX(
    sprite_data.asm!$C$3:$R$156,
    INT(_xlpm.idx / SpriteCount) * 7 + INT(_xlpm.r / 16) + 1,
    MOD(_xlpm.r, 16) + 1
  )
)</f>
        <v>28</v>
      </c>
      <c r="O57" t="str" cm="1">
        <f t="array" ref="O57">_xlfn.LET(
  _xlpm.idx, (ROW()-3)*16 + O$1,
  _xlpm.r, MOD(_xlpm.idx, SpriteCount),
  INDEX(
    sprite_data.asm!$C$3:$R$156,
    INT(_xlpm.idx / SpriteCount) * 7 + INT(_xlpm.r / 16) + 1,
    MOD(_xlpm.r, 16) + 1
  )
)</f>
        <v>28</v>
      </c>
      <c r="P57" t="str" cm="1">
        <f t="array" ref="P57">_xlfn.LET(
  _xlpm.idx, (ROW()-3)*16 + P$1,
  _xlpm.r, MOD(_xlpm.idx, SpriteCount),
  INDEX(
    sprite_data.asm!$C$3:$R$156,
    INT(_xlpm.idx / SpriteCount) * 7 + INT(_xlpm.r / 16) + 1,
    MOD(_xlpm.r, 16) + 1
  )
)</f>
        <v>0A</v>
      </c>
      <c r="Q57" t="str" cm="1">
        <f t="array" ref="Q57">_xlfn.LET(
  _xlpm.idx, (ROW()-3)*16 + Q$1,
  _xlpm.r, MOD(_xlpm.idx, SpriteCount),
  INDEX(
    sprite_data.asm!$C$3:$R$156,
    INT(_xlpm.idx / SpriteCount) * 7 + INT(_xlpm.r / 16) + 1,
    MOD(_xlpm.r, 16) + 1
  )
)</f>
        <v>20</v>
      </c>
    </row>
    <row r="58" spans="1:17" x14ac:dyDescent="0.3">
      <c r="A58" s="2" t="str">
        <f t="shared" si="4"/>
        <v>B070</v>
      </c>
      <c r="B58" t="str" cm="1">
        <f t="array" ref="B58">_xlfn.LET(
  _xlpm.idx, (ROW()-3)*16 + B$1,
  _xlpm.r, MOD(_xlpm.idx, SpriteCount),
  INDEX(
    sprite_data.asm!$C$3:$R$156,
    INT(_xlpm.idx / SpriteCount) * 7 + INT(_xlpm.r / 16) + 1,
    MOD(_xlpm.r, 16) + 1
  )
)</f>
        <v>28</v>
      </c>
      <c r="C58" t="str" cm="1">
        <f t="array" ref="C58">_xlfn.LET(
  _xlpm.idx, (ROW()-3)*16 + C$1,
  _xlpm.r, MOD(_xlpm.idx, SpriteCount),
  INDEX(
    sprite_data.asm!$C$3:$R$156,
    INT(_xlpm.idx / SpriteCount) * 7 + INT(_xlpm.r / 16) + 1,
    MOD(_xlpm.r, 16) + 1
  )
)</f>
        <v>20</v>
      </c>
      <c r="D58" t="str" cm="1">
        <f t="array" ref="D58">_xlfn.LET(
  _xlpm.idx, (ROW()-3)*16 + D$1,
  _xlpm.r, MOD(_xlpm.idx, SpriteCount),
  INDEX(
    sprite_data.asm!$C$3:$R$156,
    INT(_xlpm.idx / SpriteCount) * 7 + INT(_xlpm.r / 16) + 1,
    MOD(_xlpm.r, 16) + 1
  )
)</f>
        <v>0A</v>
      </c>
      <c r="E58" t="str" cm="1">
        <f t="array" ref="E58">_xlfn.LET(
  _xlpm.idx, (ROW()-3)*16 + E$1,
  _xlpm.r, MOD(_xlpm.idx, SpriteCount),
  INDEX(
    sprite_data.asm!$C$3:$R$156,
    INT(_xlpm.idx / SpriteCount) * 7 + INT(_xlpm.r / 16) + 1,
    MOD(_xlpm.r, 16) + 1
  )
)</f>
        <v>2A</v>
      </c>
      <c r="F58" t="str" cm="1">
        <f t="array" ref="F58">_xlfn.LET(
  _xlpm.idx, (ROW()-3)*16 + F$1,
  _xlpm.r, MOD(_xlpm.idx, SpriteCount),
  INDEX(
    sprite_data.asm!$C$3:$R$156,
    INT(_xlpm.idx / SpriteCount) * 7 + INT(_xlpm.r / 16) + 1,
    MOD(_xlpm.r, 16) + 1
  )
)</f>
        <v>28</v>
      </c>
      <c r="G58" t="str" cm="1">
        <f t="array" ref="G58">_xlfn.LET(
  _xlpm.idx, (ROW()-3)*16 + G$1,
  _xlpm.r, MOD(_xlpm.idx, SpriteCount),
  INDEX(
    sprite_data.asm!$C$3:$R$156,
    INT(_xlpm.idx / SpriteCount) * 7 + INT(_xlpm.r / 16) + 1,
    MOD(_xlpm.r, 16) + 1
  )
)</f>
        <v>20</v>
      </c>
      <c r="H58" t="str" cm="1">
        <f t="array" ref="H58">_xlfn.LET(
  _xlpm.idx, (ROW()-3)*16 + H$1,
  _xlpm.r, MOD(_xlpm.idx, SpriteCount),
  INDEX(
    sprite_data.asm!$C$3:$R$156,
    INT(_xlpm.idx / SpriteCount) * 7 + INT(_xlpm.r / 16) + 1,
    MOD(_xlpm.r, 16) + 1
  )
)</f>
        <v>20</v>
      </c>
      <c r="I58" t="str" cm="1">
        <f t="array" ref="I58">_xlfn.LET(
  _xlpm.idx, (ROW()-3)*16 + I$1,
  _xlpm.r, MOD(_xlpm.idx, SpriteCount),
  INDEX(
    sprite_data.asm!$C$3:$R$156,
    INT(_xlpm.idx / SpriteCount) * 7 + INT(_xlpm.r / 16) + 1,
    MOD(_xlpm.r, 16) + 1
  )
)</f>
        <v>00</v>
      </c>
      <c r="J58" t="str" cm="1">
        <f t="array" ref="J58">_xlfn.LET(
  _xlpm.idx, (ROW()-3)*16 + J$1,
  _xlpm.r, MOD(_xlpm.idx, SpriteCount),
  INDEX(
    sprite_data.asm!$C$3:$R$156,
    INT(_xlpm.idx / SpriteCount) * 7 + INT(_xlpm.r / 16) + 1,
    MOD(_xlpm.r, 16) + 1
  )
)</f>
        <v>00</v>
      </c>
      <c r="K58" t="str" cm="1">
        <f t="array" ref="K58">_xlfn.LET(
  _xlpm.idx, (ROW()-3)*16 + K$1,
  _xlpm.r, MOD(_xlpm.idx, SpriteCount),
  INDEX(
    sprite_data.asm!$C$3:$R$156,
    INT(_xlpm.idx / SpriteCount) * 7 + INT(_xlpm.r / 16) + 1,
    MOD(_xlpm.r, 16) + 1
  )
)</f>
        <v>00</v>
      </c>
      <c r="L58" t="str" cm="1">
        <f t="array" ref="L58">_xlfn.LET(
  _xlpm.idx, (ROW()-3)*16 + L$1,
  _xlpm.r, MOD(_xlpm.idx, SpriteCount),
  INDEX(
    sprite_data.asm!$C$3:$R$156,
    INT(_xlpm.idx / SpriteCount) * 7 + INT(_xlpm.r / 16) + 1,
    MOD(_xlpm.r, 16) + 1
  )
)</f>
        <v>00</v>
      </c>
      <c r="M58" t="str" cm="1">
        <f t="array" ref="M58">_xlfn.LET(
  _xlpm.idx, (ROW()-3)*16 + M$1,
  _xlpm.r, MOD(_xlpm.idx, SpriteCount),
  INDEX(
    sprite_data.asm!$C$3:$R$156,
    INT(_xlpm.idx / SpriteCount) * 7 + INT(_xlpm.r / 16) + 1,
    MOD(_xlpm.r, 16) + 1
  )
)</f>
        <v>02</v>
      </c>
      <c r="N58" t="str" cm="1">
        <f t="array" ref="N58">_xlfn.LET(
  _xlpm.idx, (ROW()-3)*16 + N$1,
  _xlpm.r, MOD(_xlpm.idx, SpriteCount),
  INDEX(
    sprite_data.asm!$C$3:$R$156,
    INT(_xlpm.idx / SpriteCount) * 7 + INT(_xlpm.r / 16) + 1,
    MOD(_xlpm.r, 16) + 1
  )
)</f>
        <v>28</v>
      </c>
      <c r="O58" t="str" cm="1">
        <f t="array" ref="O58">_xlfn.LET(
  _xlpm.idx, (ROW()-3)*16 + O$1,
  _xlpm.r, MOD(_xlpm.idx, SpriteCount),
  INDEX(
    sprite_data.asm!$C$3:$R$156,
    INT(_xlpm.idx / SpriteCount) * 7 + INT(_xlpm.r / 16) + 1,
    MOD(_xlpm.r, 16) + 1
  )
)</f>
        <v>02</v>
      </c>
      <c r="P58" t="str" cm="1">
        <f t="array" ref="P58">_xlfn.LET(
  _xlpm.idx, (ROW()-3)*16 + P$1,
  _xlpm.r, MOD(_xlpm.idx, SpriteCount),
  INDEX(
    sprite_data.asm!$C$3:$R$156,
    INT(_xlpm.idx / SpriteCount) * 7 + INT(_xlpm.r / 16) + 1,
    MOD(_xlpm.r, 16) + 1
  )
)</f>
        <v>02</v>
      </c>
      <c r="Q58" t="str" cm="1">
        <f t="array" ref="Q58">_xlfn.LET(
  _xlpm.idx, (ROW()-3)*16 + Q$1,
  _xlpm.r, MOD(_xlpm.idx, SpriteCount),
  INDEX(
    sprite_data.asm!$C$3:$R$156,
    INT(_xlpm.idx / SpriteCount) * 7 + INT(_xlpm.r / 16) + 1,
    MOD(_xlpm.r, 16) + 1
  )
)</f>
        <v>0A</v>
      </c>
    </row>
    <row r="59" spans="1:17" x14ac:dyDescent="0.3">
      <c r="A59" s="2" t="str">
        <f t="shared" si="4"/>
        <v>B080</v>
      </c>
      <c r="B59" t="str" cm="1">
        <f t="array" ref="B59">_xlfn.LET(
  _xlpm.idx, (ROW()-3)*16 + B$1,
  _xlpm.r, MOD(_xlpm.idx, SpriteCount),
  INDEX(
    sprite_data.asm!$C$3:$R$156,
    INT(_xlpm.idx / SpriteCount) * 7 + INT(_xlpm.r / 16) + 1,
    MOD(_xlpm.r, 16) + 1
  )
)</f>
        <v>02</v>
      </c>
      <c r="C59" t="str" cm="1">
        <f t="array" ref="C59">_xlfn.LET(
  _xlpm.idx, (ROW()-3)*16 + C$1,
  _xlpm.r, MOD(_xlpm.idx, SpriteCount),
  INDEX(
    sprite_data.asm!$C$3:$R$156,
    INT(_xlpm.idx / SpriteCount) * 7 + INT(_xlpm.r / 16) + 1,
    MOD(_xlpm.r, 16) + 1
  )
)</f>
        <v>02</v>
      </c>
      <c r="D59" t="str" cm="1">
        <f t="array" ref="D59">_xlfn.LET(
  _xlpm.idx, (ROW()-3)*16 + D$1,
  _xlpm.r, MOD(_xlpm.idx, SpriteCount),
  INDEX(
    sprite_data.asm!$C$3:$R$156,
    INT(_xlpm.idx / SpriteCount) * 7 + INT(_xlpm.r / 16) + 1,
    MOD(_xlpm.r, 16) + 1
  )
)</f>
        <v>20</v>
      </c>
      <c r="E59" t="str" cm="1">
        <f t="array" ref="E59">_xlfn.LET(
  _xlpm.idx, (ROW()-3)*16 + E$1,
  _xlpm.r, MOD(_xlpm.idx, SpriteCount),
  INDEX(
    sprite_data.asm!$C$3:$R$156,
    INT(_xlpm.idx / SpriteCount) * 7 + INT(_xlpm.r / 16) + 1,
    MOD(_xlpm.r, 16) + 1
  )
)</f>
        <v>08</v>
      </c>
      <c r="F59" t="str" cm="1">
        <f t="array" ref="F59">_xlfn.LET(
  _xlpm.idx, (ROW()-3)*16 + F$1,
  _xlpm.r, MOD(_xlpm.idx, SpriteCount),
  INDEX(
    sprite_data.asm!$C$3:$R$156,
    INT(_xlpm.idx / SpriteCount) * 7 + INT(_xlpm.r / 16) + 1,
    MOD(_xlpm.r, 16) + 1
  )
)</f>
        <v>02</v>
      </c>
      <c r="G59" t="str" cm="1">
        <f t="array" ref="G59">_xlfn.LET(
  _xlpm.idx, (ROW()-3)*16 + G$1,
  _xlpm.r, MOD(_xlpm.idx, SpriteCount),
  INDEX(
    sprite_data.asm!$C$3:$R$156,
    INT(_xlpm.idx / SpriteCount) * 7 + INT(_xlpm.r / 16) + 1,
    MOD(_xlpm.r, 16) + 1
  )
)</f>
        <v>44</v>
      </c>
      <c r="H59" t="str" cm="1">
        <f t="array" ref="H59">_xlfn.LET(
  _xlpm.idx, (ROW()-3)*16 + H$1,
  _xlpm.r, MOD(_xlpm.idx, SpriteCount),
  INDEX(
    sprite_data.asm!$C$3:$R$156,
    INT(_xlpm.idx / SpriteCount) * 7 + INT(_xlpm.r / 16) + 1,
    MOD(_xlpm.r, 16) + 1
  )
)</f>
        <v>11</v>
      </c>
      <c r="I59" t="str" cm="1">
        <f t="array" ref="I59">_xlfn.LET(
  _xlpm.idx, (ROW()-3)*16 + I$1,
  _xlpm.r, MOD(_xlpm.idx, SpriteCount),
  INDEX(
    sprite_data.asm!$C$3:$R$156,
    INT(_xlpm.idx / SpriteCount) * 7 + INT(_xlpm.r / 16) + 1,
    MOD(_xlpm.r, 16) + 1
  )
)</f>
        <v>41</v>
      </c>
      <c r="J59" t="str" cm="1">
        <f t="array" ref="J59">_xlfn.LET(
  _xlpm.idx, (ROW()-3)*16 + J$1,
  _xlpm.r, MOD(_xlpm.idx, SpriteCount),
  INDEX(
    sprite_data.asm!$C$3:$R$156,
    INT(_xlpm.idx / SpriteCount) * 7 + INT(_xlpm.r / 16) + 1,
    MOD(_xlpm.r, 16) + 1
  )
)</f>
        <v>41</v>
      </c>
      <c r="K59" t="str" cm="1">
        <f t="array" ref="K59">_xlfn.LET(
  _xlpm.idx, (ROW()-3)*16 + K$1,
  _xlpm.r, MOD(_xlpm.idx, SpriteCount),
  INDEX(
    sprite_data.asm!$C$3:$R$156,
    INT(_xlpm.idx / SpriteCount) * 7 + INT(_xlpm.r / 16) + 1,
    MOD(_xlpm.r, 16) + 1
  )
)</f>
        <v>05</v>
      </c>
      <c r="L59" t="str" cm="1">
        <f t="array" ref="L59">_xlfn.LET(
  _xlpm.idx, (ROW()-3)*16 + L$1,
  _xlpm.r, MOD(_xlpm.idx, SpriteCount),
  INDEX(
    sprite_data.asm!$C$3:$R$156,
    INT(_xlpm.idx / SpriteCount) * 7 + INT(_xlpm.r / 16) + 1,
    MOD(_xlpm.r, 16) + 1
  )
)</f>
        <v>05</v>
      </c>
      <c r="M59" t="str" cm="1">
        <f t="array" ref="M59">_xlfn.LET(
  _xlpm.idx, (ROW()-3)*16 + M$1,
  _xlpm.r, MOD(_xlpm.idx, SpriteCount),
  INDEX(
    sprite_data.asm!$C$3:$R$156,
    INT(_xlpm.idx / SpriteCount) * 7 + INT(_xlpm.r / 16) + 1,
    MOD(_xlpm.r, 16) + 1
  )
)</f>
        <v>41</v>
      </c>
      <c r="N59" t="str" cm="1">
        <f t="array" ref="N59">_xlfn.LET(
  _xlpm.idx, (ROW()-3)*16 + N$1,
  _xlpm.r, MOD(_xlpm.idx, SpriteCount),
  INDEX(
    sprite_data.asm!$C$3:$R$156,
    INT(_xlpm.idx / SpriteCount) * 7 + INT(_xlpm.r / 16) + 1,
    MOD(_xlpm.r, 16) + 1
  )
)</f>
        <v>41</v>
      </c>
      <c r="O59" t="str" cm="1">
        <f t="array" ref="O59">_xlfn.LET(
  _xlpm.idx, (ROW()-3)*16 + O$1,
  _xlpm.r, MOD(_xlpm.idx, SpriteCount),
  INDEX(
    sprite_data.asm!$C$3:$R$156,
    INT(_xlpm.idx / SpriteCount) * 7 + INT(_xlpm.r / 16) + 1,
    MOD(_xlpm.r, 16) + 1
  )
)</f>
        <v>04</v>
      </c>
      <c r="P59" t="str" cm="1">
        <f t="array" ref="P59">_xlfn.LET(
  _xlpm.idx, (ROW()-3)*16 + P$1,
  _xlpm.r, MOD(_xlpm.idx, SpriteCount),
  INDEX(
    sprite_data.asm!$C$3:$R$156,
    INT(_xlpm.idx / SpriteCount) * 7 + INT(_xlpm.r / 16) + 1,
    MOD(_xlpm.r, 16) + 1
  )
)</f>
        <v>10</v>
      </c>
      <c r="Q59" t="str" cm="1">
        <f t="array" ref="Q59">_xlfn.LET(
  _xlpm.idx, (ROW()-3)*16 + Q$1,
  _xlpm.r, MOD(_xlpm.idx, SpriteCount),
  INDEX(
    sprite_data.asm!$C$3:$R$156,
    INT(_xlpm.idx / SpriteCount) * 7 + INT(_xlpm.r / 16) + 1,
    MOD(_xlpm.r, 16) + 1
  )
)</f>
        <v>51</v>
      </c>
    </row>
    <row r="60" spans="1:17" x14ac:dyDescent="0.3">
      <c r="A60" s="2" t="str">
        <f t="shared" si="4"/>
        <v>B090</v>
      </c>
      <c r="B60" t="str" cm="1">
        <f t="array" ref="B60">_xlfn.LET(
  _xlpm.idx, (ROW()-3)*16 + B$1,
  _xlpm.r, MOD(_xlpm.idx, SpriteCount),
  INDEX(
    sprite_data.asm!$C$3:$R$156,
    INT(_xlpm.idx / SpriteCount) * 7 + INT(_xlpm.r / 16) + 1,
    MOD(_xlpm.r, 16) + 1
  )
)</f>
        <v>01</v>
      </c>
      <c r="C60" t="str" cm="1">
        <f t="array" ref="C60">_xlfn.LET(
  _xlpm.idx, (ROW()-3)*16 + C$1,
  _xlpm.r, MOD(_xlpm.idx, SpriteCount),
  INDEX(
    sprite_data.asm!$C$3:$R$156,
    INT(_xlpm.idx / SpriteCount) * 7 + INT(_xlpm.r / 16) + 1,
    MOD(_xlpm.r, 16) + 1
  )
)</f>
        <v>45</v>
      </c>
      <c r="D60" t="str" cm="1">
        <f t="array" ref="D60">_xlfn.LET(
  _xlpm.idx, (ROW()-3)*16 + D$1,
  _xlpm.r, MOD(_xlpm.idx, SpriteCount),
  INDEX(
    sprite_data.asm!$C$3:$R$156,
    INT(_xlpm.idx / SpriteCount) * 7 + INT(_xlpm.r / 16) + 1,
    MOD(_xlpm.r, 16) + 1
  )
)</f>
        <v>41</v>
      </c>
      <c r="E60" t="str" cm="1">
        <f t="array" ref="E60">_xlfn.LET(
  _xlpm.idx, (ROW()-3)*16 + E$1,
  _xlpm.r, MOD(_xlpm.idx, SpriteCount),
  INDEX(
    sprite_data.asm!$C$3:$R$156,
    INT(_xlpm.idx / SpriteCount) * 7 + INT(_xlpm.r / 16) + 1,
    MOD(_xlpm.r, 16) + 1
  )
)</f>
        <v>51</v>
      </c>
      <c r="F60" t="str" cm="1">
        <f t="array" ref="F60">_xlfn.LET(
  _xlpm.idx, (ROW()-3)*16 + F$1,
  _xlpm.r, MOD(_xlpm.idx, SpriteCount),
  INDEX(
    sprite_data.asm!$C$3:$R$156,
    INT(_xlpm.idx / SpriteCount) * 7 + INT(_xlpm.r / 16) + 1,
    MOD(_xlpm.r, 16) + 1
  )
)</f>
        <v>41</v>
      </c>
      <c r="G60" t="str" cm="1">
        <f t="array" ref="G60">_xlfn.LET(
  _xlpm.idx, (ROW()-3)*16 + G$1,
  _xlpm.r, MOD(_xlpm.idx, SpriteCount),
  INDEX(
    sprite_data.asm!$C$3:$R$156,
    INT(_xlpm.idx / SpriteCount) * 7 + INT(_xlpm.r / 16) + 1,
    MOD(_xlpm.r, 16) + 1
  )
)</f>
        <v>51</v>
      </c>
      <c r="H60" t="str" cm="1">
        <f t="array" ref="H60">_xlfn.LET(
  _xlpm.idx, (ROW()-3)*16 + H$1,
  _xlpm.r, MOD(_xlpm.idx, SpriteCount),
  INDEX(
    sprite_data.asm!$C$3:$R$156,
    INT(_xlpm.idx / SpriteCount) * 7 + INT(_xlpm.r / 16) + 1,
    MOD(_xlpm.r, 16) + 1
  )
)</f>
        <v>41</v>
      </c>
      <c r="I60" t="str" cm="1">
        <f t="array" ref="I60">_xlfn.LET(
  _xlpm.idx, (ROW()-3)*16 + I$1,
  _xlpm.r, MOD(_xlpm.idx, SpriteCount),
  INDEX(
    sprite_data.asm!$C$3:$R$156,
    INT(_xlpm.idx / SpriteCount) * 7 + INT(_xlpm.r / 16) + 1,
    MOD(_xlpm.r, 16) + 1
  )
)</f>
        <v>41</v>
      </c>
      <c r="J60" t="str" cm="1">
        <f t="array" ref="J60">_xlfn.LET(
  _xlpm.idx, (ROW()-3)*16 + J$1,
  _xlpm.r, MOD(_xlpm.idx, SpriteCount),
  INDEX(
    sprite_data.asm!$C$3:$R$156,
    INT(_xlpm.idx / SpriteCount) * 7 + INT(_xlpm.r / 16) + 1,
    MOD(_xlpm.r, 16) + 1
  )
)</f>
        <v>04</v>
      </c>
      <c r="K60" t="str" cm="1">
        <f t="array" ref="K60">_xlfn.LET(
  _xlpm.idx, (ROW()-3)*16 + K$1,
  _xlpm.r, MOD(_xlpm.idx, SpriteCount),
  INDEX(
    sprite_data.asm!$C$3:$R$156,
    INT(_xlpm.idx / SpriteCount) * 7 + INT(_xlpm.r / 16) + 1,
    MOD(_xlpm.r, 16) + 1
  )
)</f>
        <v>41</v>
      </c>
      <c r="L60" t="str" cm="1">
        <f t="array" ref="L60">_xlfn.LET(
  _xlpm.idx, (ROW()-3)*16 + L$1,
  _xlpm.r, MOD(_xlpm.idx, SpriteCount),
  INDEX(
    sprite_data.asm!$C$3:$R$156,
    INT(_xlpm.idx / SpriteCount) * 7 + INT(_xlpm.r / 16) + 1,
    MOD(_xlpm.r, 16) + 1
  )
)</f>
        <v>45</v>
      </c>
      <c r="M60" t="str" cm="1">
        <f t="array" ref="M60">_xlfn.LET(
  _xlpm.idx, (ROW()-3)*16 + M$1,
  _xlpm.r, MOD(_xlpm.idx, SpriteCount),
  INDEX(
    sprite_data.asm!$C$3:$R$156,
    INT(_xlpm.idx / SpriteCount) * 7 + INT(_xlpm.r / 16) + 1,
    MOD(_xlpm.r, 16) + 1
  )
)</f>
        <v>41</v>
      </c>
      <c r="N60" t="str" cm="1">
        <f t="array" ref="N60">_xlfn.LET(
  _xlpm.idx, (ROW()-3)*16 + N$1,
  _xlpm.r, MOD(_xlpm.idx, SpriteCount),
  INDEX(
    sprite_data.asm!$C$3:$R$156,
    INT(_xlpm.idx / SpriteCount) * 7 + INT(_xlpm.r / 16) + 1,
    MOD(_xlpm.r, 16) + 1
  )
)</f>
        <v>41</v>
      </c>
      <c r="O60" t="str" cm="1">
        <f t="array" ref="O60">_xlfn.LET(
  _xlpm.idx, (ROW()-3)*16 + O$1,
  _xlpm.r, MOD(_xlpm.idx, SpriteCount),
  INDEX(
    sprite_data.asm!$C$3:$R$156,
    INT(_xlpm.idx / SpriteCount) * 7 + INT(_xlpm.r / 16) + 1,
    MOD(_xlpm.r, 16) + 1
  )
)</f>
        <v>51</v>
      </c>
      <c r="P60" t="str" cm="1">
        <f t="array" ref="P60">_xlfn.LET(
  _xlpm.idx, (ROW()-3)*16 + P$1,
  _xlpm.r, MOD(_xlpm.idx, SpriteCount),
  INDEX(
    sprite_data.asm!$C$3:$R$156,
    INT(_xlpm.idx / SpriteCount) * 7 + INT(_xlpm.r / 16) + 1,
    MOD(_xlpm.r, 16) + 1
  )
)</f>
        <v>41</v>
      </c>
      <c r="Q60" t="str" cm="1">
        <f t="array" ref="Q60">_xlfn.LET(
  _xlpm.idx, (ROW()-3)*16 + Q$1,
  _xlpm.r, MOD(_xlpm.idx, SpriteCount),
  INDEX(
    sprite_data.asm!$C$3:$R$156,
    INT(_xlpm.idx / SpriteCount) * 7 + INT(_xlpm.r / 16) + 1,
    MOD(_xlpm.r, 16) + 1
  )
)</f>
        <v>05</v>
      </c>
    </row>
    <row r="61" spans="1:17" x14ac:dyDescent="0.3">
      <c r="A61" s="2" t="str">
        <f t="shared" si="4"/>
        <v>B0A0</v>
      </c>
      <c r="B61" t="str" cm="1">
        <f t="array" ref="B61">_xlfn.LET(
  _xlpm.idx, (ROW()-3)*16 + B$1,
  _xlpm.r, MOD(_xlpm.idx, SpriteCount),
  INDEX(
    sprite_data.asm!$C$3:$R$156,
    INT(_xlpm.idx / SpriteCount) * 7 + INT(_xlpm.r / 16) + 1,
    MOD(_xlpm.r, 16) + 1
  )
)</f>
        <v>00</v>
      </c>
      <c r="C61" t="str" cm="1">
        <f t="array" ref="C61">_xlfn.LET(
  _xlpm.idx, (ROW()-3)*16 + C$1,
  _xlpm.r, MOD(_xlpm.idx, SpriteCount),
  INDEX(
    sprite_data.asm!$C$3:$R$156,
    INT(_xlpm.idx / SpriteCount) * 7 + INT(_xlpm.r / 16) + 1,
    MOD(_xlpm.r, 16) + 1
  )
)</f>
        <v>14</v>
      </c>
      <c r="D61" t="str" cm="1">
        <f t="array" ref="D61">_xlfn.LET(
  _xlpm.idx, (ROW()-3)*16 + D$1,
  _xlpm.r, MOD(_xlpm.idx, SpriteCount),
  INDEX(
    sprite_data.asm!$C$3:$R$156,
    INT(_xlpm.idx / SpriteCount) * 7 + INT(_xlpm.r / 16) + 1,
    MOD(_xlpm.r, 16) + 1
  )
)</f>
        <v>14</v>
      </c>
      <c r="E61" t="str" cm="1">
        <f t="array" ref="E61">_xlfn.LET(
  _xlpm.idx, (ROW()-3)*16 + E$1,
  _xlpm.r, MOD(_xlpm.idx, SpriteCount),
  INDEX(
    sprite_data.asm!$C$3:$R$156,
    INT(_xlpm.idx / SpriteCount) * 7 + INT(_xlpm.r / 16) + 1,
    MOD(_xlpm.r, 16) + 1
  )
)</f>
        <v>40</v>
      </c>
      <c r="F61" t="str" cm="1">
        <f t="array" ref="F61">_xlfn.LET(
  _xlpm.idx, (ROW()-3)*16 + F$1,
  _xlpm.r, MOD(_xlpm.idx, SpriteCount),
  INDEX(
    sprite_data.asm!$C$3:$R$156,
    INT(_xlpm.idx / SpriteCount) * 7 + INT(_xlpm.r / 16) + 1,
    MOD(_xlpm.r, 16) + 1
  )
)</f>
        <v>00</v>
      </c>
      <c r="G61" t="str" cm="1">
        <f t="array" ref="G61">_xlfn.LET(
  _xlpm.idx, (ROW()-3)*16 + G$1,
  _xlpm.r, MOD(_xlpm.idx, SpriteCount),
  INDEX(
    sprite_data.asm!$C$3:$R$156,
    INT(_xlpm.idx / SpriteCount) * 7 + INT(_xlpm.r / 16) + 1,
    MOD(_xlpm.r, 16) + 1
  )
)</f>
        <v>50</v>
      </c>
      <c r="H61" t="str" cm="1">
        <f t="array" ref="H61">_xlfn.LET(
  _xlpm.idx, (ROW()-3)*16 + H$1,
  _xlpm.r, MOD(_xlpm.idx, SpriteCount),
  INDEX(
    sprite_data.asm!$C$3:$R$156,
    INT(_xlpm.idx / SpriteCount) * 7 + INT(_xlpm.r / 16) + 1,
    MOD(_xlpm.r, 16) + 1
  )
)</f>
        <v>00</v>
      </c>
      <c r="I61" t="str" cm="1">
        <f t="array" ref="I61">_xlfn.LET(
  _xlpm.idx, (ROW()-3)*16 + I$1,
  _xlpm.r, MOD(_xlpm.idx, SpriteCount),
  INDEX(
    sprite_data.asm!$C$3:$R$156,
    INT(_xlpm.idx / SpriteCount) * 7 + INT(_xlpm.r / 16) + 1,
    MOD(_xlpm.r, 16) + 1
  )
)</f>
        <v>00</v>
      </c>
      <c r="J61" t="str" cm="1">
        <f t="array" ref="J61">_xlfn.LET(
  _xlpm.idx, (ROW()-3)*16 + J$1,
  _xlpm.r, MOD(_xlpm.idx, SpriteCount),
  INDEX(
    sprite_data.asm!$C$3:$R$156,
    INT(_xlpm.idx / SpriteCount) * 7 + INT(_xlpm.r / 16) + 1,
    MOD(_xlpm.r, 16) + 1
  )
)</f>
        <v>00</v>
      </c>
      <c r="K61" t="str" cm="1">
        <f t="array" ref="K61">_xlfn.LET(
  _xlpm.idx, (ROW()-3)*16 + K$1,
  _xlpm.r, MOD(_xlpm.idx, SpriteCount),
  INDEX(
    sprite_data.asm!$C$3:$R$156,
    INT(_xlpm.idx / SpriteCount) * 7 + INT(_xlpm.r / 16) + 1,
    MOD(_xlpm.r, 16) + 1
  )
)</f>
        <v>00</v>
      </c>
      <c r="L61" t="str" cm="1">
        <f t="array" ref="L61">_xlfn.LET(
  _xlpm.idx, (ROW()-3)*16 + L$1,
  _xlpm.r, MOD(_xlpm.idx, SpriteCount),
  INDEX(
    sprite_data.asm!$C$3:$R$156,
    INT(_xlpm.idx / SpriteCount) * 7 + INT(_xlpm.r / 16) + 1,
    MOD(_xlpm.r, 16) + 1
  )
)</f>
        <v>02</v>
      </c>
      <c r="M61" t="str" cm="1">
        <f t="array" ref="M61">_xlfn.LET(
  _xlpm.idx, (ROW()-3)*16 + M$1,
  _xlpm.r, MOD(_xlpm.idx, SpriteCount),
  INDEX(
    sprite_data.asm!$C$3:$R$156,
    INT(_xlpm.idx / SpriteCount) * 7 + INT(_xlpm.r / 16) + 1,
    MOD(_xlpm.r, 16) + 1
  )
)</f>
        <v>03</v>
      </c>
      <c r="N61" t="str" cm="1">
        <f t="array" ref="N61">_xlfn.LET(
  _xlpm.idx, (ROW()-3)*16 + N$1,
  _xlpm.r, MOD(_xlpm.idx, SpriteCount),
  INDEX(
    sprite_data.asm!$C$3:$R$156,
    INT(_xlpm.idx / SpriteCount) * 7 + INT(_xlpm.r / 16) + 1,
    MOD(_xlpm.r, 16) + 1
  )
)</f>
        <v>00</v>
      </c>
      <c r="O61" t="str" cm="1">
        <f t="array" ref="O61">_xlfn.LET(
  _xlpm.idx, (ROW()-3)*16 + O$1,
  _xlpm.r, MOD(_xlpm.idx, SpriteCount),
  INDEX(
    sprite_data.asm!$C$3:$R$156,
    INT(_xlpm.idx / SpriteCount) * 7 + INT(_xlpm.r / 16) + 1,
    MOD(_xlpm.r, 16) + 1
  )
)</f>
        <v>00</v>
      </c>
      <c r="P61" t="str" cm="1">
        <f t="array" ref="P61">_xlfn.LET(
  _xlpm.idx, (ROW()-3)*16 + P$1,
  _xlpm.r, MOD(_xlpm.idx, SpriteCount),
  INDEX(
    sprite_data.asm!$C$3:$R$156,
    INT(_xlpm.idx / SpriteCount) * 7 + INT(_xlpm.r / 16) + 1,
    MOD(_xlpm.r, 16) + 1
  )
)</f>
        <v>03</v>
      </c>
      <c r="Q61" t="str" cm="1">
        <f t="array" ref="Q61">_xlfn.LET(
  _xlpm.idx, (ROW()-3)*16 + Q$1,
  _xlpm.r, MOD(_xlpm.idx, SpriteCount),
  INDEX(
    sprite_data.asm!$C$3:$R$156,
    INT(_xlpm.idx / SpriteCount) * 7 + INT(_xlpm.r / 16) + 1,
    MOD(_xlpm.r, 16) + 1
  )
)</f>
        <v>00</v>
      </c>
    </row>
    <row r="62" spans="1:17" x14ac:dyDescent="0.3">
      <c r="A62" s="2" t="str">
        <f t="shared" si="4"/>
        <v>B0B0</v>
      </c>
      <c r="B62" t="str" cm="1">
        <f t="array" ref="B62">_xlfn.LET(
  _xlpm.idx, (ROW()-3)*16 + B$1,
  _xlpm.r, MOD(_xlpm.idx, SpriteCount),
  INDEX(
    sprite_data.asm!$C$3:$R$156,
    INT(_xlpm.idx / SpriteCount) * 7 + INT(_xlpm.r / 16) + 1,
    MOD(_xlpm.r, 16) + 1
  )
)</f>
        <v>01</v>
      </c>
      <c r="C62" t="str" cm="1">
        <f t="array" ref="C62">_xlfn.LET(
  _xlpm.idx, (ROW()-3)*16 + C$1,
  _xlpm.r, MOD(_xlpm.idx, SpriteCount),
  INDEX(
    sprite_data.asm!$C$3:$R$156,
    INT(_xlpm.idx / SpriteCount) * 7 + INT(_xlpm.r / 16) + 1,
    MOD(_xlpm.r, 16) + 1
  )
)</f>
        <v>01</v>
      </c>
      <c r="D62" t="str" cm="1">
        <f t="array" ref="D62">_xlfn.LET(
  _xlpm.idx, (ROW()-3)*16 + D$1,
  _xlpm.r, MOD(_xlpm.idx, SpriteCount),
  INDEX(
    sprite_data.asm!$C$3:$R$156,
    INT(_xlpm.idx / SpriteCount) * 7 + INT(_xlpm.r / 16) + 1,
    MOD(_xlpm.r, 16) + 1
  )
)</f>
        <v>07</v>
      </c>
      <c r="E62" t="str" cm="1">
        <f t="array" ref="E62">_xlfn.LET(
  _xlpm.idx, (ROW()-3)*16 + E$1,
  _xlpm.r, MOD(_xlpm.idx, SpriteCount),
  INDEX(
    sprite_data.asm!$C$3:$R$156,
    INT(_xlpm.idx / SpriteCount) * 7 + INT(_xlpm.r / 16) + 1,
    MOD(_xlpm.r, 16) + 1
  )
)</f>
        <v>01</v>
      </c>
      <c r="F62" t="str" cm="1">
        <f t="array" ref="F62">_xlfn.LET(
  _xlpm.idx, (ROW()-3)*16 + F$1,
  _xlpm.r, MOD(_xlpm.idx, SpriteCount),
  INDEX(
    sprite_data.asm!$C$3:$R$156,
    INT(_xlpm.idx / SpriteCount) * 7 + INT(_xlpm.r / 16) + 1,
    MOD(_xlpm.r, 16) + 1
  )
)</f>
        <v>00</v>
      </c>
      <c r="G62" t="str" cm="1">
        <f t="array" ref="G62">_xlfn.LET(
  _xlpm.idx, (ROW()-3)*16 + G$1,
  _xlpm.r, MOD(_xlpm.idx, SpriteCount),
  INDEX(
    sprite_data.asm!$C$3:$R$156,
    INT(_xlpm.idx / SpriteCount) * 7 + INT(_xlpm.r / 16) + 1,
    MOD(_xlpm.r, 16) + 1
  )
)</f>
        <v>00</v>
      </c>
      <c r="H62" t="str" cm="1">
        <f t="array" ref="H62">_xlfn.LET(
  _xlpm.idx, (ROW()-3)*16 + H$1,
  _xlpm.r, MOD(_xlpm.idx, SpriteCount),
  INDEX(
    sprite_data.asm!$C$3:$R$156,
    INT(_xlpm.idx / SpriteCount) * 7 + INT(_xlpm.r / 16) + 1,
    MOD(_xlpm.r, 16) + 1
  )
)</f>
        <v>00</v>
      </c>
      <c r="I62" t="str" cm="1">
        <f t="array" ref="I62">_xlfn.LET(
  _xlpm.idx, (ROW()-3)*16 + I$1,
  _xlpm.r, MOD(_xlpm.idx, SpriteCount),
  INDEX(
    sprite_data.asm!$C$3:$R$156,
    INT(_xlpm.idx / SpriteCount) * 7 + INT(_xlpm.r / 16) + 1,
    MOD(_xlpm.r, 16) + 1
  )
)</f>
        <v>07</v>
      </c>
      <c r="J62" t="str" cm="1">
        <f t="array" ref="J62">_xlfn.LET(
  _xlpm.idx, (ROW()-3)*16 + J$1,
  _xlpm.r, MOD(_xlpm.idx, SpriteCount),
  INDEX(
    sprite_data.asm!$C$3:$R$156,
    INT(_xlpm.idx / SpriteCount) * 7 + INT(_xlpm.r / 16) + 1,
    MOD(_xlpm.r, 16) + 1
  )
)</f>
        <v>00</v>
      </c>
      <c r="K62" t="str" cm="1">
        <f t="array" ref="K62">_xlfn.LET(
  _xlpm.idx, (ROW()-3)*16 + K$1,
  _xlpm.r, MOD(_xlpm.idx, SpriteCount),
  INDEX(
    sprite_data.asm!$C$3:$R$156,
    INT(_xlpm.idx / SpriteCount) * 7 + INT(_xlpm.r / 16) + 1,
    MOD(_xlpm.r, 16) + 1
  )
)</f>
        <v>02</v>
      </c>
      <c r="L62" t="str" cm="1">
        <f t="array" ref="L62">_xlfn.LET(
  _xlpm.idx, (ROW()-3)*16 + L$1,
  _xlpm.r, MOD(_xlpm.idx, SpriteCount),
  INDEX(
    sprite_data.asm!$C$3:$R$156,
    INT(_xlpm.idx / SpriteCount) * 7 + INT(_xlpm.r / 16) + 1,
    MOD(_xlpm.r, 16) + 1
  )
)</f>
        <v>03</v>
      </c>
      <c r="M62" t="str" cm="1">
        <f t="array" ref="M62">_xlfn.LET(
  _xlpm.idx, (ROW()-3)*16 + M$1,
  _xlpm.r, MOD(_xlpm.idx, SpriteCount),
  INDEX(
    sprite_data.asm!$C$3:$R$156,
    INT(_xlpm.idx / SpriteCount) * 7 + INT(_xlpm.r / 16) + 1,
    MOD(_xlpm.r, 16) + 1
  )
)</f>
        <v>00</v>
      </c>
      <c r="N62" t="str" cm="1">
        <f t="array" ref="N62">_xlfn.LET(
  _xlpm.idx, (ROW()-3)*16 + N$1,
  _xlpm.r, MOD(_xlpm.idx, SpriteCount),
  INDEX(
    sprite_data.asm!$C$3:$R$156,
    INT(_xlpm.idx / SpriteCount) * 7 + INT(_xlpm.r / 16) + 1,
    MOD(_xlpm.r, 16) + 1
  )
)</f>
        <v>00</v>
      </c>
      <c r="O62" t="str" cm="1">
        <f t="array" ref="O62">_xlfn.LET(
  _xlpm.idx, (ROW()-3)*16 + O$1,
  _xlpm.r, MOD(_xlpm.idx, SpriteCount),
  INDEX(
    sprite_data.asm!$C$3:$R$156,
    INT(_xlpm.idx / SpriteCount) * 7 + INT(_xlpm.r / 16) + 1,
    MOD(_xlpm.r, 16) + 1
  )
)</f>
        <v>00</v>
      </c>
      <c r="P62" t="str" cm="1">
        <f t="array" ref="P62">_xlfn.LET(
  _xlpm.idx, (ROW()-3)*16 + P$1,
  _xlpm.r, MOD(_xlpm.idx, SpriteCount),
  INDEX(
    sprite_data.asm!$C$3:$R$156,
    INT(_xlpm.idx / SpriteCount) * 7 + INT(_xlpm.r / 16) + 1,
    MOD(_xlpm.r, 16) + 1
  )
)</f>
        <v>00</v>
      </c>
      <c r="Q62" t="str" cm="1">
        <f t="array" ref="Q62">_xlfn.LET(
  _xlpm.idx, (ROW()-3)*16 + Q$1,
  _xlpm.r, MOD(_xlpm.idx, SpriteCount),
  INDEX(
    sprite_data.asm!$C$3:$R$156,
    INT(_xlpm.idx / SpriteCount) * 7 + INT(_xlpm.r / 16) + 1,
    MOD(_xlpm.r, 16) + 1
  )
)</f>
        <v>03</v>
      </c>
    </row>
    <row r="63" spans="1:17" x14ac:dyDescent="0.3">
      <c r="A63" s="2" t="str">
        <f t="shared" si="4"/>
        <v>B0C0</v>
      </c>
      <c r="B63" t="str" cm="1">
        <f t="array" ref="B63">_xlfn.LET(
  _xlpm.idx, (ROW()-3)*16 + B$1,
  _xlpm.r, MOD(_xlpm.idx, SpriteCount),
  INDEX(
    sprite_data.asm!$C$3:$R$156,
    INT(_xlpm.idx / SpriteCount) * 7 + INT(_xlpm.r / 16) + 1,
    MOD(_xlpm.r, 16) + 1
  )
)</f>
        <v>01</v>
      </c>
      <c r="C63" t="str" cm="1">
        <f t="array" ref="C63">_xlfn.LET(
  _xlpm.idx, (ROW()-3)*16 + C$1,
  _xlpm.r, MOD(_xlpm.idx, SpriteCount),
  INDEX(
    sprite_data.asm!$C$3:$R$156,
    INT(_xlpm.idx / SpriteCount) * 7 + INT(_xlpm.r / 16) + 1,
    MOD(_xlpm.r, 16) + 1
  )
)</f>
        <v>03</v>
      </c>
      <c r="D63" t="str" cm="1">
        <f t="array" ref="D63">_xlfn.LET(
  _xlpm.idx, (ROW()-3)*16 + D$1,
  _xlpm.r, MOD(_xlpm.idx, SpriteCount),
  INDEX(
    sprite_data.asm!$C$3:$R$156,
    INT(_xlpm.idx / SpriteCount) * 7 + INT(_xlpm.r / 16) + 1,
    MOD(_xlpm.r, 16) + 1
  )
)</f>
        <v>00</v>
      </c>
      <c r="E63" t="str" cm="1">
        <f t="array" ref="E63">_xlfn.LET(
  _xlpm.idx, (ROW()-3)*16 + E$1,
  _xlpm.r, MOD(_xlpm.idx, SpriteCount),
  INDEX(
    sprite_data.asm!$C$3:$R$156,
    INT(_xlpm.idx / SpriteCount) * 7 + INT(_xlpm.r / 16) + 1,
    MOD(_xlpm.r, 16) + 1
  )
)</f>
        <v>00</v>
      </c>
      <c r="F63" t="str" cm="1">
        <f t="array" ref="F63">_xlfn.LET(
  _xlpm.idx, (ROW()-3)*16 + F$1,
  _xlpm.r, MOD(_xlpm.idx, SpriteCount),
  INDEX(
    sprite_data.asm!$C$3:$R$156,
    INT(_xlpm.idx / SpriteCount) * 7 + INT(_xlpm.r / 16) + 1,
    MOD(_xlpm.r, 16) + 1
  )
)</f>
        <v>00</v>
      </c>
      <c r="G63" t="str" cm="1">
        <f t="array" ref="G63">_xlfn.LET(
  _xlpm.idx, (ROW()-3)*16 + G$1,
  _xlpm.r, MOD(_xlpm.idx, SpriteCount),
  INDEX(
    sprite_data.asm!$C$3:$R$156,
    INT(_xlpm.idx / SpriteCount) * 7 + INT(_xlpm.r / 16) + 1,
    MOD(_xlpm.r, 16) + 1
  )
)</f>
        <v>00</v>
      </c>
      <c r="H63" t="str" cm="1">
        <f t="array" ref="H63">_xlfn.LET(
  _xlpm.idx, (ROW()-3)*16 + H$1,
  _xlpm.r, MOD(_xlpm.idx, SpriteCount),
  INDEX(
    sprite_data.asm!$C$3:$R$156,
    INT(_xlpm.idx / SpriteCount) * 7 + INT(_xlpm.r / 16) + 1,
    MOD(_xlpm.r, 16) + 1
  )
)</f>
        <v>00</v>
      </c>
      <c r="I63" t="str" cm="1">
        <f t="array" ref="I63">_xlfn.LET(
  _xlpm.idx, (ROW()-3)*16 + I$1,
  _xlpm.r, MOD(_xlpm.idx, SpriteCount),
  INDEX(
    sprite_data.asm!$C$3:$R$156,
    INT(_xlpm.idx / SpriteCount) * 7 + INT(_xlpm.r / 16) + 1,
    MOD(_xlpm.r, 16) + 1
  )
)</f>
        <v>00</v>
      </c>
      <c r="J63" t="str" cm="1">
        <f t="array" ref="J63">_xlfn.LET(
  _xlpm.idx, (ROW()-3)*16 + J$1,
  _xlpm.r, MOD(_xlpm.idx, SpriteCount),
  INDEX(
    sprite_data.asm!$C$3:$R$156,
    INT(_xlpm.idx / SpriteCount) * 7 + INT(_xlpm.r / 16) + 1,
    MOD(_xlpm.r, 16) + 1
  )
)</f>
        <v>00</v>
      </c>
      <c r="K63" t="str" cm="1">
        <f t="array" ref="K63">_xlfn.LET(
  _xlpm.idx, (ROW()-3)*16 + K$1,
  _xlpm.r, MOD(_xlpm.idx, SpriteCount),
  INDEX(
    sprite_data.asm!$C$3:$R$156,
    INT(_xlpm.idx / SpriteCount) * 7 + INT(_xlpm.r / 16) + 1,
    MOD(_xlpm.r, 16) + 1
  )
)</f>
        <v>00</v>
      </c>
      <c r="L63" t="str" cm="1">
        <f t="array" ref="L63">_xlfn.LET(
  _xlpm.idx, (ROW()-3)*16 + L$1,
  _xlpm.r, MOD(_xlpm.idx, SpriteCount),
  INDEX(
    sprite_data.asm!$C$3:$R$156,
    INT(_xlpm.idx / SpriteCount) * 7 + INT(_xlpm.r / 16) + 1,
    MOD(_xlpm.r, 16) + 1
  )
)</f>
        <v>00</v>
      </c>
      <c r="M63" t="str" cm="1">
        <f t="array" ref="M63">_xlfn.LET(
  _xlpm.idx, (ROW()-3)*16 + M$1,
  _xlpm.r, MOD(_xlpm.idx, SpriteCount),
  INDEX(
    sprite_data.asm!$C$3:$R$156,
    INT(_xlpm.idx / SpriteCount) * 7 + INT(_xlpm.r / 16) + 1,
    MOD(_xlpm.r, 16) + 1
  )
)</f>
        <v>00</v>
      </c>
      <c r="N63" t="str" cm="1">
        <f t="array" ref="N63">_xlfn.LET(
  _xlpm.idx, (ROW()-3)*16 + N$1,
  _xlpm.r, MOD(_xlpm.idx, SpriteCount),
  INDEX(
    sprite_data.asm!$C$3:$R$156,
    INT(_xlpm.idx / SpriteCount) * 7 + INT(_xlpm.r / 16) + 1,
    MOD(_xlpm.r, 16) + 1
  )
)</f>
        <v>00</v>
      </c>
      <c r="O63" t="str" cm="1">
        <f t="array" ref="O63">_xlfn.LET(
  _xlpm.idx, (ROW()-3)*16 + O$1,
  _xlpm.r, MOD(_xlpm.idx, SpriteCount),
  INDEX(
    sprite_data.asm!$C$3:$R$156,
    INT(_xlpm.idx / SpriteCount) * 7 + INT(_xlpm.r / 16) + 1,
    MOD(_xlpm.r, 16) + 1
  )
)</f>
        <v>00</v>
      </c>
      <c r="P63" t="str" cm="1">
        <f t="array" ref="P63">_xlfn.LET(
  _xlpm.idx, (ROW()-3)*16 + P$1,
  _xlpm.r, MOD(_xlpm.idx, SpriteCount),
  INDEX(
    sprite_data.asm!$C$3:$R$156,
    INT(_xlpm.idx / SpriteCount) * 7 + INT(_xlpm.r / 16) + 1,
    MOD(_xlpm.r, 16) + 1
  )
)</f>
        <v>00</v>
      </c>
      <c r="Q63" t="str" cm="1">
        <f t="array" ref="Q63">_xlfn.LET(
  _xlpm.idx, (ROW()-3)*16 + Q$1,
  _xlpm.r, MOD(_xlpm.idx, SpriteCount),
  INDEX(
    sprite_data.asm!$C$3:$R$156,
    INT(_xlpm.idx / SpriteCount) * 7 + INT(_xlpm.r / 16) + 1,
    MOD(_xlpm.r, 16) + 1
  )
)</f>
        <v>00</v>
      </c>
    </row>
    <row r="64" spans="1:17" x14ac:dyDescent="0.3">
      <c r="A64" s="2" t="str">
        <f t="shared" si="4"/>
        <v>B0D0</v>
      </c>
      <c r="B64" t="str" cm="1">
        <f t="array" ref="B64">_xlfn.LET(
  _xlpm.idx, (ROW()-3)*16 + B$1,
  _xlpm.r, MOD(_xlpm.idx, SpriteCount),
  INDEX(
    sprite_data.asm!$C$3:$R$156,
    INT(_xlpm.idx / SpriteCount) * 7 + INT(_xlpm.r / 16) + 1,
    MOD(_xlpm.r, 16) + 1
  )
)</f>
        <v>01</v>
      </c>
      <c r="C64" t="str" cm="1">
        <f t="array" ref="C64">_xlfn.LET(
  _xlpm.idx, (ROW()-3)*16 + C$1,
  _xlpm.r, MOD(_xlpm.idx, SpriteCount),
  INDEX(
    sprite_data.asm!$C$3:$R$156,
    INT(_xlpm.idx / SpriteCount) * 7 + INT(_xlpm.r / 16) + 1,
    MOD(_xlpm.r, 16) + 1
  )
)</f>
        <v>00</v>
      </c>
      <c r="D64" t="str" cm="1">
        <f t="array" ref="D64">_xlfn.LET(
  _xlpm.idx, (ROW()-3)*16 + D$1,
  _xlpm.r, MOD(_xlpm.idx, SpriteCount),
  INDEX(
    sprite_data.asm!$C$3:$R$156,
    INT(_xlpm.idx / SpriteCount) * 7 + INT(_xlpm.r / 16) + 1,
    MOD(_xlpm.r, 16) + 1
  )
)</f>
        <v>01</v>
      </c>
      <c r="E64" t="str" cm="1">
        <f t="array" ref="E64">_xlfn.LET(
  _xlpm.idx, (ROW()-3)*16 + E$1,
  _xlpm.r, MOD(_xlpm.idx, SpriteCount),
  INDEX(
    sprite_data.asm!$C$3:$R$156,
    INT(_xlpm.idx / SpriteCount) * 7 + INT(_xlpm.r / 16) + 1,
    MOD(_xlpm.r, 16) + 1
  )
)</f>
        <v>01</v>
      </c>
      <c r="F64" t="str" cm="1">
        <f t="array" ref="F64">_xlfn.LET(
  _xlpm.idx, (ROW()-3)*16 + F$1,
  _xlpm.r, MOD(_xlpm.idx, SpriteCount),
  INDEX(
    sprite_data.asm!$C$3:$R$156,
    INT(_xlpm.idx / SpriteCount) * 7 + INT(_xlpm.r / 16) + 1,
    MOD(_xlpm.r, 16) + 1
  )
)</f>
        <v>01</v>
      </c>
      <c r="G64" t="str" cm="1">
        <f t="array" ref="G64">_xlfn.LET(
  _xlpm.idx, (ROW()-3)*16 + G$1,
  _xlpm.r, MOD(_xlpm.idx, SpriteCount),
  INDEX(
    sprite_data.asm!$C$3:$R$156,
    INT(_xlpm.idx / SpriteCount) * 7 + INT(_xlpm.r / 16) + 1,
    MOD(_xlpm.r, 16) + 1
  )
)</f>
        <v>00</v>
      </c>
      <c r="H64" t="str" cm="1">
        <f t="array" ref="H64">_xlfn.LET(
  _xlpm.idx, (ROW()-3)*16 + H$1,
  _xlpm.r, MOD(_xlpm.idx, SpriteCount),
  INDEX(
    sprite_data.asm!$C$3:$R$156,
    INT(_xlpm.idx / SpriteCount) * 7 + INT(_xlpm.r / 16) + 1,
    MOD(_xlpm.r, 16) + 1
  )
)</f>
        <v>00</v>
      </c>
      <c r="I64" t="str" cm="1">
        <f t="array" ref="I64">_xlfn.LET(
  _xlpm.idx, (ROW()-3)*16 + I$1,
  _xlpm.r, MOD(_xlpm.idx, SpriteCount),
  INDEX(
    sprite_data.asm!$C$3:$R$156,
    INT(_xlpm.idx / SpriteCount) * 7 + INT(_xlpm.r / 16) + 1,
    MOD(_xlpm.r, 16) + 1
  )
)</f>
        <v>01</v>
      </c>
      <c r="J64" t="str" cm="1">
        <f t="array" ref="J64">_xlfn.LET(
  _xlpm.idx, (ROW()-3)*16 + J$1,
  _xlpm.r, MOD(_xlpm.idx, SpriteCount),
  INDEX(
    sprite_data.asm!$C$3:$R$156,
    INT(_xlpm.idx / SpriteCount) * 7 + INT(_xlpm.r / 16) + 1,
    MOD(_xlpm.r, 16) + 1
  )
)</f>
        <v>00</v>
      </c>
      <c r="K64" t="str" cm="1">
        <f t="array" ref="K64">_xlfn.LET(
  _xlpm.idx, (ROW()-3)*16 + K$1,
  _xlpm.r, MOD(_xlpm.idx, SpriteCount),
  INDEX(
    sprite_data.asm!$C$3:$R$156,
    INT(_xlpm.idx / SpriteCount) * 7 + INT(_xlpm.r / 16) + 1,
    MOD(_xlpm.r, 16) + 1
  )
)</f>
        <v>01</v>
      </c>
      <c r="L64" t="str" cm="1">
        <f t="array" ref="L64">_xlfn.LET(
  _xlpm.idx, (ROW()-3)*16 + L$1,
  _xlpm.r, MOD(_xlpm.idx, SpriteCount),
  INDEX(
    sprite_data.asm!$C$3:$R$156,
    INT(_xlpm.idx / SpriteCount) * 7 + INT(_xlpm.r / 16) + 1,
    MOD(_xlpm.r, 16) + 1
  )
)</f>
        <v>00</v>
      </c>
      <c r="M64" t="str" cm="1">
        <f t="array" ref="M64">_xlfn.LET(
  _xlpm.idx, (ROW()-3)*16 + M$1,
  _xlpm.r, MOD(_xlpm.idx, SpriteCount),
  INDEX(
    sprite_data.asm!$C$3:$R$156,
    INT(_xlpm.idx / SpriteCount) * 7 + INT(_xlpm.r / 16) + 1,
    MOD(_xlpm.r, 16) + 1
  )
)</f>
        <v>00</v>
      </c>
      <c r="N64" t="str" cm="1">
        <f t="array" ref="N64">_xlfn.LET(
  _xlpm.idx, (ROW()-3)*16 + N$1,
  _xlpm.r, MOD(_xlpm.idx, SpriteCount),
  INDEX(
    sprite_data.asm!$C$3:$R$156,
    INT(_xlpm.idx / SpriteCount) * 7 + INT(_xlpm.r / 16) + 1,
    MOD(_xlpm.r, 16) + 1
  )
)</f>
        <v>03</v>
      </c>
      <c r="O64" t="str" cm="1">
        <f t="array" ref="O64">_xlfn.LET(
  _xlpm.idx, (ROW()-3)*16 + O$1,
  _xlpm.r, MOD(_xlpm.idx, SpriteCount),
  INDEX(
    sprite_data.asm!$C$3:$R$156,
    INT(_xlpm.idx / SpriteCount) * 7 + INT(_xlpm.r / 16) + 1,
    MOD(_xlpm.r, 16) + 1
  )
)</f>
        <v>00</v>
      </c>
      <c r="P64" t="str" cm="1">
        <f t="array" ref="P64">_xlfn.LET(
  _xlpm.idx, (ROW()-3)*16 + P$1,
  _xlpm.r, MOD(_xlpm.idx, SpriteCount),
  INDEX(
    sprite_data.asm!$C$3:$R$156,
    INT(_xlpm.idx / SpriteCount) * 7 + INT(_xlpm.r / 16) + 1,
    MOD(_xlpm.r, 16) + 1
  )
)</f>
        <v>00</v>
      </c>
      <c r="Q64" t="str" cm="1">
        <f t="array" ref="Q64">_xlfn.LET(
  _xlpm.idx, (ROW()-3)*16 + Q$1,
  _xlpm.r, MOD(_xlpm.idx, SpriteCount),
  INDEX(
    sprite_data.asm!$C$3:$R$156,
    INT(_xlpm.idx / SpriteCount) * 7 + INT(_xlpm.r / 16) + 1,
    MOD(_xlpm.r, 16) + 1
  )
)</f>
        <v>00</v>
      </c>
    </row>
    <row r="65" spans="1:17" x14ac:dyDescent="0.3">
      <c r="A65" s="2" t="str">
        <f t="shared" si="4"/>
        <v>B0E0</v>
      </c>
      <c r="B65" t="str" cm="1">
        <f t="array" ref="B65">_xlfn.LET(
  _xlpm.idx, (ROW()-3)*16 + B$1,
  _xlpm.r, MOD(_xlpm.idx, SpriteCount),
  INDEX(
    sprite_data.asm!$C$3:$R$156,
    INT(_xlpm.idx / SpriteCount) * 7 + INT(_xlpm.r / 16) + 1,
    MOD(_xlpm.r, 16) + 1
  )
)</f>
        <v>00</v>
      </c>
      <c r="C65" t="str" cm="1">
        <f t="array" ref="C65">_xlfn.LET(
  _xlpm.idx, (ROW()-3)*16 + C$1,
  _xlpm.r, MOD(_xlpm.idx, SpriteCount),
  INDEX(
    sprite_data.asm!$C$3:$R$156,
    INT(_xlpm.idx / SpriteCount) * 7 + INT(_xlpm.r / 16) + 1,
    MOD(_xlpm.r, 16) + 1
  )
)</f>
        <v>00</v>
      </c>
      <c r="D65" t="str" cm="1">
        <f t="array" ref="D65">_xlfn.LET(
  _xlpm.idx, (ROW()-3)*16 + D$1,
  _xlpm.r, MOD(_xlpm.idx, SpriteCount),
  INDEX(
    sprite_data.asm!$C$3:$R$156,
    INT(_xlpm.idx / SpriteCount) * 7 + INT(_xlpm.r / 16) + 1,
    MOD(_xlpm.r, 16) + 1
  )
)</f>
        <v>00</v>
      </c>
      <c r="E65" t="str" cm="1">
        <f t="array" ref="E65">_xlfn.LET(
  _xlpm.idx, (ROW()-3)*16 + E$1,
  _xlpm.r, MOD(_xlpm.idx, SpriteCount),
  INDEX(
    sprite_data.asm!$C$3:$R$156,
    INT(_xlpm.idx / SpriteCount) * 7 + INT(_xlpm.r / 16) + 1,
    MOD(_xlpm.r, 16) + 1
  )
)</f>
        <v>01</v>
      </c>
      <c r="F65" t="str" cm="1">
        <f t="array" ref="F65">_xlfn.LET(
  _xlpm.idx, (ROW()-3)*16 + F$1,
  _xlpm.r, MOD(_xlpm.idx, SpriteCount),
  INDEX(
    sprite_data.asm!$C$3:$R$156,
    INT(_xlpm.idx / SpriteCount) * 7 + INT(_xlpm.r / 16) + 1,
    MOD(_xlpm.r, 16) + 1
  )
)</f>
        <v>00</v>
      </c>
      <c r="G65" t="str" cm="1">
        <f t="array" ref="G65">_xlfn.LET(
  _xlpm.idx, (ROW()-3)*16 + G$1,
  _xlpm.r, MOD(_xlpm.idx, SpriteCount),
  INDEX(
    sprite_data.asm!$C$3:$R$156,
    INT(_xlpm.idx / SpriteCount) * 7 + INT(_xlpm.r / 16) + 1,
    MOD(_xlpm.r, 16) + 1
  )
)</f>
        <v>01</v>
      </c>
      <c r="H65" t="str" cm="1">
        <f t="array" ref="H65">_xlfn.LET(
  _xlpm.idx, (ROW()-3)*16 + H$1,
  _xlpm.r, MOD(_xlpm.idx, SpriteCount),
  INDEX(
    sprite_data.asm!$C$3:$R$156,
    INT(_xlpm.idx / SpriteCount) * 7 + INT(_xlpm.r / 16) + 1,
    MOD(_xlpm.r, 16) + 1
  )
)</f>
        <v>01</v>
      </c>
      <c r="I65" t="str" cm="1">
        <f t="array" ref="I65">_xlfn.LET(
  _xlpm.idx, (ROW()-3)*16 + I$1,
  _xlpm.r, MOD(_xlpm.idx, SpriteCount),
  INDEX(
    sprite_data.asm!$C$3:$R$156,
    INT(_xlpm.idx / SpriteCount) * 7 + INT(_xlpm.r / 16) + 1,
    MOD(_xlpm.r, 16) + 1
  )
)</f>
        <v>01</v>
      </c>
      <c r="J65" t="str" cm="1">
        <f t="array" ref="J65">_xlfn.LET(
  _xlpm.idx, (ROW()-3)*16 + J$1,
  _xlpm.r, MOD(_xlpm.idx, SpriteCount),
  INDEX(
    sprite_data.asm!$C$3:$R$156,
    INT(_xlpm.idx / SpriteCount) * 7 + INT(_xlpm.r / 16) + 1,
    MOD(_xlpm.r, 16) + 1
  )
)</f>
        <v>00</v>
      </c>
      <c r="K65" t="str" cm="1">
        <f t="array" ref="K65">_xlfn.LET(
  _xlpm.idx, (ROW()-3)*16 + K$1,
  _xlpm.r, MOD(_xlpm.idx, SpriteCount),
  INDEX(
    sprite_data.asm!$C$3:$R$156,
    INT(_xlpm.idx / SpriteCount) * 7 + INT(_xlpm.r / 16) + 1,
    MOD(_xlpm.r, 16) + 1
  )
)</f>
        <v>01</v>
      </c>
      <c r="L65" t="str" cm="1">
        <f t="array" ref="L65">_xlfn.LET(
  _xlpm.idx, (ROW()-3)*16 + L$1,
  _xlpm.r, MOD(_xlpm.idx, SpriteCount),
  INDEX(
    sprite_data.asm!$C$3:$R$156,
    INT(_xlpm.idx / SpriteCount) * 7 + INT(_xlpm.r / 16) + 1,
    MOD(_xlpm.r, 16) + 1
  )
)</f>
        <v>01</v>
      </c>
      <c r="M65" t="str" cm="1">
        <f t="array" ref="M65">_xlfn.LET(
  _xlpm.idx, (ROW()-3)*16 + M$1,
  _xlpm.r, MOD(_xlpm.idx, SpriteCount),
  INDEX(
    sprite_data.asm!$C$3:$R$156,
    INT(_xlpm.idx / SpriteCount) * 7 + INT(_xlpm.r / 16) + 1,
    MOD(_xlpm.r, 16) + 1
  )
)</f>
        <v>01</v>
      </c>
      <c r="N65" t="str" cm="1">
        <f t="array" ref="N65">_xlfn.LET(
  _xlpm.idx, (ROW()-3)*16 + N$1,
  _xlpm.r, MOD(_xlpm.idx, SpriteCount),
  INDEX(
    sprite_data.asm!$C$3:$R$156,
    INT(_xlpm.idx / SpriteCount) * 7 + INT(_xlpm.r / 16) + 1,
    MOD(_xlpm.r, 16) + 1
  )
)</f>
        <v>01</v>
      </c>
      <c r="O65" t="str" cm="1">
        <f t="array" ref="O65">_xlfn.LET(
  _xlpm.idx, (ROW()-3)*16 + O$1,
  _xlpm.r, MOD(_xlpm.idx, SpriteCount),
  INDEX(
    sprite_data.asm!$C$3:$R$156,
    INT(_xlpm.idx / SpriteCount) * 7 + INT(_xlpm.r / 16) + 1,
    MOD(_xlpm.r, 16) + 1
  )
)</f>
        <v>00</v>
      </c>
      <c r="P65" t="str" cm="1">
        <f t="array" ref="P65">_xlfn.LET(
  _xlpm.idx, (ROW()-3)*16 + P$1,
  _xlpm.r, MOD(_xlpm.idx, SpriteCount),
  INDEX(
    sprite_data.asm!$C$3:$R$156,
    INT(_xlpm.idx / SpriteCount) * 7 + INT(_xlpm.r / 16) + 1,
    MOD(_xlpm.r, 16) + 1
  )
)</f>
        <v>00</v>
      </c>
      <c r="Q65" t="str" cm="1">
        <f t="array" ref="Q65">_xlfn.LET(
  _xlpm.idx, (ROW()-3)*16 + Q$1,
  _xlpm.r, MOD(_xlpm.idx, SpriteCount),
  INDEX(
    sprite_data.asm!$C$3:$R$156,
    INT(_xlpm.idx / SpriteCount) * 7 + INT(_xlpm.r / 16) + 1,
    MOD(_xlpm.r, 16) + 1
  )
)</f>
        <v>00</v>
      </c>
    </row>
    <row r="66" spans="1:17" x14ac:dyDescent="0.3">
      <c r="A66" s="2" t="str">
        <f t="shared" ref="A66:A112" si="5">DEC2HEX(HEX2DEC(A65)+16)</f>
        <v>B0F0</v>
      </c>
      <c r="B66" t="str" cm="1">
        <f t="array" ref="B66">_xlfn.LET(
  _xlpm.idx, (ROW()-3)*16 + B$1,
  _xlpm.r, MOD(_xlpm.idx, SpriteCount),
  INDEX(
    sprite_data.asm!$C$3:$R$156,
    INT(_xlpm.idx / SpriteCount) * 7 + INT(_xlpm.r / 16) + 1,
    MOD(_xlpm.r, 16) + 1
  )
)</f>
        <v>00</v>
      </c>
      <c r="C66" t="str" cm="1">
        <f t="array" ref="C66">_xlfn.LET(
  _xlpm.idx, (ROW()-3)*16 + C$1,
  _xlpm.r, MOD(_xlpm.idx, SpriteCount),
  INDEX(
    sprite_data.asm!$C$3:$R$156,
    INT(_xlpm.idx / SpriteCount) * 7 + INT(_xlpm.r / 16) + 1,
    MOD(_xlpm.r, 16) + 1
  )
)</f>
        <v>00</v>
      </c>
      <c r="D66" t="str" cm="1">
        <f t="array" ref="D66">_xlfn.LET(
  _xlpm.idx, (ROW()-3)*16 + D$1,
  _xlpm.r, MOD(_xlpm.idx, SpriteCount),
  INDEX(
    sprite_data.asm!$C$3:$R$156,
    INT(_xlpm.idx / SpriteCount) * 7 + INT(_xlpm.r / 16) + 1,
    MOD(_xlpm.r, 16) + 1
  )
)</f>
        <v>00</v>
      </c>
      <c r="E66" t="str" cm="1">
        <f t="array" ref="E66">_xlfn.LET(
  _xlpm.idx, (ROW()-3)*16 + E$1,
  _xlpm.r, MOD(_xlpm.idx, SpriteCount),
  INDEX(
    sprite_data.asm!$C$3:$R$156,
    INT(_xlpm.idx / SpriteCount) * 7 + INT(_xlpm.r / 16) + 1,
    MOD(_xlpm.r, 16) + 1
  )
)</f>
        <v>00</v>
      </c>
      <c r="F66" t="str" cm="1">
        <f t="array" ref="F66">_xlfn.LET(
  _xlpm.idx, (ROW()-3)*16 + F$1,
  _xlpm.r, MOD(_xlpm.idx, SpriteCount),
  INDEX(
    sprite_data.asm!$C$3:$R$156,
    INT(_xlpm.idx / SpriteCount) * 7 + INT(_xlpm.r / 16) + 1,
    MOD(_xlpm.r, 16) + 1
  )
)</f>
        <v>00</v>
      </c>
      <c r="G66" t="str" cm="1">
        <f t="array" ref="G66">_xlfn.LET(
  _xlpm.idx, (ROW()-3)*16 + G$1,
  _xlpm.r, MOD(_xlpm.idx, SpriteCount),
  INDEX(
    sprite_data.asm!$C$3:$R$156,
    INT(_xlpm.idx / SpriteCount) * 7 + INT(_xlpm.r / 16) + 1,
    MOD(_xlpm.r, 16) + 1
  )
)</f>
        <v>00</v>
      </c>
      <c r="H66" t="str" cm="1">
        <f t="array" ref="H66">_xlfn.LET(
  _xlpm.idx, (ROW()-3)*16 + H$1,
  _xlpm.r, MOD(_xlpm.idx, SpriteCount),
  INDEX(
    sprite_data.asm!$C$3:$R$156,
    INT(_xlpm.idx / SpriteCount) * 7 + INT(_xlpm.r / 16) + 1,
    MOD(_xlpm.r, 16) + 1
  )
)</f>
        <v>00</v>
      </c>
      <c r="I66" t="str" cm="1">
        <f t="array" ref="I66">_xlfn.LET(
  _xlpm.idx, (ROW()-3)*16 + I$1,
  _xlpm.r, MOD(_xlpm.idx, SpriteCount),
  INDEX(
    sprite_data.asm!$C$3:$R$156,
    INT(_xlpm.idx / SpriteCount) * 7 + INT(_xlpm.r / 16) + 1,
    MOD(_xlpm.r, 16) + 1
  )
)</f>
        <v>00</v>
      </c>
      <c r="J66" t="str" cm="1">
        <f t="array" ref="J66">_xlfn.LET(
  _xlpm.idx, (ROW()-3)*16 + J$1,
  _xlpm.r, MOD(_xlpm.idx, SpriteCount),
  INDEX(
    sprite_data.asm!$C$3:$R$156,
    INT(_xlpm.idx / SpriteCount) * 7 + INT(_xlpm.r / 16) + 1,
    MOD(_xlpm.r, 16) + 1
  )
)</f>
        <v>00</v>
      </c>
      <c r="K66" t="str" cm="1">
        <f t="array" ref="K66">_xlfn.LET(
  _xlpm.idx, (ROW()-3)*16 + K$1,
  _xlpm.r, MOD(_xlpm.idx, SpriteCount),
  INDEX(
    sprite_data.asm!$C$3:$R$156,
    INT(_xlpm.idx / SpriteCount) * 7 + INT(_xlpm.r / 16) + 1,
    MOD(_xlpm.r, 16) + 1
  )
)</f>
        <v>00</v>
      </c>
      <c r="L66" t="str" cm="1">
        <f t="array" ref="L66">_xlfn.LET(
  _xlpm.idx, (ROW()-3)*16 + L$1,
  _xlpm.r, MOD(_xlpm.idx, SpriteCount),
  INDEX(
    sprite_data.asm!$C$3:$R$156,
    INT(_xlpm.idx / SpriteCount) * 7 + INT(_xlpm.r / 16) + 1,
    MOD(_xlpm.r, 16) + 1
  )
)</f>
        <v>00</v>
      </c>
      <c r="M66" t="str" cm="1">
        <f t="array" ref="M66">_xlfn.LET(
  _xlpm.idx, (ROW()-3)*16 + M$1,
  _xlpm.r, MOD(_xlpm.idx, SpriteCount),
  INDEX(
    sprite_data.asm!$C$3:$R$156,
    INT(_xlpm.idx / SpriteCount) * 7 + INT(_xlpm.r / 16) + 1,
    MOD(_xlpm.r, 16) + 1
  )
)</f>
        <v>00</v>
      </c>
      <c r="N66" t="str" cm="1">
        <f t="array" ref="N66">_xlfn.LET(
  _xlpm.idx, (ROW()-3)*16 + N$1,
  _xlpm.r, MOD(_xlpm.idx, SpriteCount),
  INDEX(
    sprite_data.asm!$C$3:$R$156,
    INT(_xlpm.idx / SpriteCount) * 7 + INT(_xlpm.r / 16) + 1,
    MOD(_xlpm.r, 16) + 1
  )
)</f>
        <v>00</v>
      </c>
      <c r="O66" t="str" cm="1">
        <f t="array" ref="O66">_xlfn.LET(
  _xlpm.idx, (ROW()-3)*16 + O$1,
  _xlpm.r, MOD(_xlpm.idx, SpriteCount),
  INDEX(
    sprite_data.asm!$C$3:$R$156,
    INT(_xlpm.idx / SpriteCount) * 7 + INT(_xlpm.r / 16) + 1,
    MOD(_xlpm.r, 16) + 1
  )
)</f>
        <v>00</v>
      </c>
      <c r="P66" t="str" cm="1">
        <f t="array" ref="P66">_xlfn.LET(
  _xlpm.idx, (ROW()-3)*16 + P$1,
  _xlpm.r, MOD(_xlpm.idx, SpriteCount),
  INDEX(
    sprite_data.asm!$C$3:$R$156,
    INT(_xlpm.idx / SpriteCount) * 7 + INT(_xlpm.r / 16) + 1,
    MOD(_xlpm.r, 16) + 1
  )
)</f>
        <v>00</v>
      </c>
      <c r="Q66" t="str" cm="1">
        <f t="array" ref="Q66">_xlfn.LET(
  _xlpm.idx, (ROW()-3)*16 + Q$1,
  _xlpm.r, MOD(_xlpm.idx, SpriteCount),
  INDEX(
    sprite_data.asm!$C$3:$R$156,
    INT(_xlpm.idx / SpriteCount) * 7 + INT(_xlpm.r / 16) + 1,
    MOD(_xlpm.r, 16) + 1
  )
)</f>
        <v>00</v>
      </c>
    </row>
    <row r="67" spans="1:17" x14ac:dyDescent="0.3">
      <c r="A67" s="2" t="str">
        <f t="shared" si="5"/>
        <v>B100</v>
      </c>
      <c r="B67" t="str" cm="1">
        <f t="array" ref="B67">_xlfn.LET(
  _xlpm.idx, (ROW()-3)*16 + B$1,
  _xlpm.r, MOD(_xlpm.idx, SpriteCount),
  INDEX(
    sprite_data.asm!$C$3:$R$156,
    INT(_xlpm.idx / SpriteCount) * 7 + INT(_xlpm.r / 16) + 1,
    MOD(_xlpm.r, 16) + 1
  )
)</f>
        <v>00</v>
      </c>
      <c r="C67" t="str" cm="1">
        <f t="array" ref="C67">_xlfn.LET(
  _xlpm.idx, (ROW()-3)*16 + C$1,
  _xlpm.r, MOD(_xlpm.idx, SpriteCount),
  INDEX(
    sprite_data.asm!$C$3:$R$156,
    INT(_xlpm.idx / SpriteCount) * 7 + INT(_xlpm.r / 16) + 1,
    MOD(_xlpm.r, 16) + 1
  )
)</f>
        <v>00</v>
      </c>
      <c r="D67" t="str" cm="1">
        <f t="array" ref="D67">_xlfn.LET(
  _xlpm.idx, (ROW()-3)*16 + D$1,
  _xlpm.r, MOD(_xlpm.idx, SpriteCount),
  INDEX(
    sprite_data.asm!$C$3:$R$156,
    INT(_xlpm.idx / SpriteCount) * 7 + INT(_xlpm.r / 16) + 1,
    MOD(_xlpm.r, 16) + 1
  )
)</f>
        <v>00</v>
      </c>
      <c r="E67" t="str" cm="1">
        <f t="array" ref="E67">_xlfn.LET(
  _xlpm.idx, (ROW()-3)*16 + E$1,
  _xlpm.r, MOD(_xlpm.idx, SpriteCount),
  INDEX(
    sprite_data.asm!$C$3:$R$156,
    INT(_xlpm.idx / SpriteCount) * 7 + INT(_xlpm.r / 16) + 1,
    MOD(_xlpm.r, 16) + 1
  )
)</f>
        <v>00</v>
      </c>
      <c r="F67" t="str" cm="1">
        <f t="array" ref="F67">_xlfn.LET(
  _xlpm.idx, (ROW()-3)*16 + F$1,
  _xlpm.r, MOD(_xlpm.idx, SpriteCount),
  INDEX(
    sprite_data.asm!$C$3:$R$156,
    INT(_xlpm.idx / SpriteCount) * 7 + INT(_xlpm.r / 16) + 1,
    MOD(_xlpm.r, 16) + 1
  )
)</f>
        <v>00</v>
      </c>
      <c r="G67" t="str" cm="1">
        <f t="array" ref="G67">_xlfn.LET(
  _xlpm.idx, (ROW()-3)*16 + G$1,
  _xlpm.r, MOD(_xlpm.idx, SpriteCount),
  INDEX(
    sprite_data.asm!$C$3:$R$156,
    INT(_xlpm.idx / SpriteCount) * 7 + INT(_xlpm.r / 16) + 1,
    MOD(_xlpm.r, 16) + 1
  )
)</f>
        <v>00</v>
      </c>
      <c r="H67" t="str" cm="1">
        <f t="array" ref="H67">_xlfn.LET(
  _xlpm.idx, (ROW()-3)*16 + H$1,
  _xlpm.r, MOD(_xlpm.idx, SpriteCount),
  INDEX(
    sprite_data.asm!$C$3:$R$156,
    INT(_xlpm.idx / SpriteCount) * 7 + INT(_xlpm.r / 16) + 1,
    MOD(_xlpm.r, 16) + 1
  )
)</f>
        <v>00</v>
      </c>
      <c r="I67" t="str" cm="1">
        <f t="array" ref="I67">_xlfn.LET(
  _xlpm.idx, (ROW()-3)*16 + I$1,
  _xlpm.r, MOD(_xlpm.idx, SpriteCount),
  INDEX(
    sprite_data.asm!$C$3:$R$156,
    INT(_xlpm.idx / SpriteCount) * 7 + INT(_xlpm.r / 16) + 1,
    MOD(_xlpm.r, 16) + 1
  )
)</f>
        <v>00</v>
      </c>
      <c r="J67" t="str" cm="1">
        <f t="array" ref="J67">_xlfn.LET(
  _xlpm.idx, (ROW()-3)*16 + J$1,
  _xlpm.r, MOD(_xlpm.idx, SpriteCount),
  INDEX(
    sprite_data.asm!$C$3:$R$156,
    INT(_xlpm.idx / SpriteCount) * 7 + INT(_xlpm.r / 16) + 1,
    MOD(_xlpm.r, 16) + 1
  )
)</f>
        <v>00</v>
      </c>
      <c r="K67" t="str" cm="1">
        <f t="array" ref="K67">_xlfn.LET(
  _xlpm.idx, (ROW()-3)*16 + K$1,
  _xlpm.r, MOD(_xlpm.idx, SpriteCount),
  INDEX(
    sprite_data.asm!$C$3:$R$156,
    INT(_xlpm.idx / SpriteCount) * 7 + INT(_xlpm.r / 16) + 1,
    MOD(_xlpm.r, 16) + 1
  )
)</f>
        <v>00</v>
      </c>
      <c r="L67" t="str" cm="1">
        <f t="array" ref="L67">_xlfn.LET(
  _xlpm.idx, (ROW()-3)*16 + L$1,
  _xlpm.r, MOD(_xlpm.idx, SpriteCount),
  INDEX(
    sprite_data.asm!$C$3:$R$156,
    INT(_xlpm.idx / SpriteCount) * 7 + INT(_xlpm.r / 16) + 1,
    MOD(_xlpm.r, 16) + 1
  )
)</f>
        <v>00</v>
      </c>
      <c r="M67" t="str" cm="1">
        <f t="array" ref="M67">_xlfn.LET(
  _xlpm.idx, (ROW()-3)*16 + M$1,
  _xlpm.r, MOD(_xlpm.idx, SpriteCount),
  INDEX(
    sprite_data.asm!$C$3:$R$156,
    INT(_xlpm.idx / SpriteCount) * 7 + INT(_xlpm.r / 16) + 1,
    MOD(_xlpm.r, 16) + 1
  )
)</f>
        <v>00</v>
      </c>
      <c r="N67" t="str" cm="1">
        <f t="array" ref="N67">_xlfn.LET(
  _xlpm.idx, (ROW()-3)*16 + N$1,
  _xlpm.r, MOD(_xlpm.idx, SpriteCount),
  INDEX(
    sprite_data.asm!$C$3:$R$156,
    INT(_xlpm.idx / SpriteCount) * 7 + INT(_xlpm.r / 16) + 1,
    MOD(_xlpm.r, 16) + 1
  )
)</f>
        <v>00</v>
      </c>
      <c r="O67" t="str" cm="1">
        <f t="array" ref="O67">_xlfn.LET(
  _xlpm.idx, (ROW()-3)*16 + O$1,
  _xlpm.r, MOD(_xlpm.idx, SpriteCount),
  INDEX(
    sprite_data.asm!$C$3:$R$156,
    INT(_xlpm.idx / SpriteCount) * 7 + INT(_xlpm.r / 16) + 1,
    MOD(_xlpm.r, 16) + 1
  )
)</f>
        <v>00</v>
      </c>
      <c r="P67" t="str" cm="1">
        <f t="array" ref="P67">_xlfn.LET(
  _xlpm.idx, (ROW()-3)*16 + P$1,
  _xlpm.r, MOD(_xlpm.idx, SpriteCount),
  INDEX(
    sprite_data.asm!$C$3:$R$156,
    INT(_xlpm.idx / SpriteCount) * 7 + INT(_xlpm.r / 16) + 1,
    MOD(_xlpm.r, 16) + 1
  )
)</f>
        <v>00</v>
      </c>
      <c r="Q67" t="str" cm="1">
        <f t="array" ref="Q67">_xlfn.LET(
  _xlpm.idx, (ROW()-3)*16 + Q$1,
  _xlpm.r, MOD(_xlpm.idx, SpriteCount),
  INDEX(
    sprite_data.asm!$C$3:$R$156,
    INT(_xlpm.idx / SpriteCount) * 7 + INT(_xlpm.r / 16) + 1,
    MOD(_xlpm.r, 16) + 1
  )
)</f>
        <v>00</v>
      </c>
    </row>
    <row r="68" spans="1:17" x14ac:dyDescent="0.3">
      <c r="A68" s="2" t="str">
        <f t="shared" si="5"/>
        <v>B110</v>
      </c>
      <c r="B68" t="str" cm="1">
        <f t="array" ref="B68">_xlfn.LET(
  _xlpm.idx, (ROW()-3)*16 + B$1,
  _xlpm.r, MOD(_xlpm.idx, SpriteCount),
  INDEX(
    sprite_data.asm!$C$3:$R$156,
    INT(_xlpm.idx / SpriteCount) * 7 + INT(_xlpm.r / 16) + 1,
    MOD(_xlpm.r, 16) + 1
  )
)</f>
        <v>00</v>
      </c>
      <c r="C68" t="str" cm="1">
        <f t="array" ref="C68">_xlfn.LET(
  _xlpm.idx, (ROW()-3)*16 + C$1,
  _xlpm.r, MOD(_xlpm.idx, SpriteCount),
  INDEX(
    sprite_data.asm!$C$3:$R$156,
    INT(_xlpm.idx / SpriteCount) * 7 + INT(_xlpm.r / 16) + 1,
    MOD(_xlpm.r, 16) + 1
  )
)</f>
        <v>51</v>
      </c>
      <c r="D68" t="str" cm="1">
        <f t="array" ref="D68">_xlfn.LET(
  _xlpm.idx, (ROW()-3)*16 + D$1,
  _xlpm.r, MOD(_xlpm.idx, SpriteCount),
  INDEX(
    sprite_data.asm!$C$3:$R$156,
    INT(_xlpm.idx / SpriteCount) * 7 + INT(_xlpm.r / 16) + 1,
    MOD(_xlpm.r, 16) + 1
  )
)</f>
        <v>55</v>
      </c>
      <c r="E68" t="str" cm="1">
        <f t="array" ref="E68">_xlfn.LET(
  _xlpm.idx, (ROW()-3)*16 + E$1,
  _xlpm.r, MOD(_xlpm.idx, SpriteCount),
  INDEX(
    sprite_data.asm!$C$3:$R$156,
    INT(_xlpm.idx / SpriteCount) * 7 + INT(_xlpm.r / 16) + 1,
    MOD(_xlpm.r, 16) + 1
  )
)</f>
        <v>06</v>
      </c>
      <c r="F68" t="str" cm="1">
        <f t="array" ref="F68">_xlfn.LET(
  _xlpm.idx, (ROW()-3)*16 + F$1,
  _xlpm.r, MOD(_xlpm.idx, SpriteCount),
  INDEX(
    sprite_data.asm!$C$3:$R$156,
    INT(_xlpm.idx / SpriteCount) * 7 + INT(_xlpm.r / 16) + 1,
    MOD(_xlpm.r, 16) + 1
  )
)</f>
        <v>00</v>
      </c>
      <c r="G68" t="str" cm="1">
        <f t="array" ref="G68">_xlfn.LET(
  _xlpm.idx, (ROW()-3)*16 + G$1,
  _xlpm.r, MOD(_xlpm.idx, SpriteCount),
  INDEX(
    sprite_data.asm!$C$3:$R$156,
    INT(_xlpm.idx / SpriteCount) * 7 + INT(_xlpm.r / 16) + 1,
    MOD(_xlpm.r, 16) + 1
  )
)</f>
        <v>30</v>
      </c>
      <c r="H68" t="str" cm="1">
        <f t="array" ref="H68">_xlfn.LET(
  _xlpm.idx, (ROW()-3)*16 + H$1,
  _xlpm.r, MOD(_xlpm.idx, SpriteCount),
  INDEX(
    sprite_data.asm!$C$3:$R$156,
    INT(_xlpm.idx / SpriteCount) * 7 + INT(_xlpm.r / 16) + 1,
    MOD(_xlpm.r, 16) + 1
  )
)</f>
        <v>00</v>
      </c>
      <c r="I68" t="str" cm="1">
        <f t="array" ref="I68">_xlfn.LET(
  _xlpm.idx, (ROW()-3)*16 + I$1,
  _xlpm.r, MOD(_xlpm.idx, SpriteCount),
  INDEX(
    sprite_data.asm!$C$3:$R$156,
    INT(_xlpm.idx / SpriteCount) * 7 + INT(_xlpm.r / 16) + 1,
    MOD(_xlpm.r, 16) + 1
  )
)</f>
        <v>78</v>
      </c>
      <c r="J68" t="str" cm="1">
        <f t="array" ref="J68">_xlfn.LET(
  _xlpm.idx, (ROW()-3)*16 + J$1,
  _xlpm.r, MOD(_xlpm.idx, SpriteCount),
  INDEX(
    sprite_data.asm!$C$3:$R$156,
    INT(_xlpm.idx / SpriteCount) * 7 + INT(_xlpm.r / 16) + 1,
    MOD(_xlpm.r, 16) + 1
  )
)</f>
        <v>22</v>
      </c>
      <c r="K68" t="str" cm="1">
        <f t="array" ref="K68">_xlfn.LET(
  _xlpm.idx, (ROW()-3)*16 + K$1,
  _xlpm.r, MOD(_xlpm.idx, SpriteCount),
  INDEX(
    sprite_data.asm!$C$3:$R$156,
    INT(_xlpm.idx / SpriteCount) * 7 + INT(_xlpm.r / 16) + 1,
    MOD(_xlpm.r, 16) + 1
  )
)</f>
        <v>36</v>
      </c>
      <c r="L68" t="str" cm="1">
        <f t="array" ref="L68">_xlfn.LET(
  _xlpm.idx, (ROW()-3)*16 + L$1,
  _xlpm.r, MOD(_xlpm.idx, SpriteCount),
  INDEX(
    sprite_data.asm!$C$3:$R$156,
    INT(_xlpm.idx / SpriteCount) * 7 + INT(_xlpm.r / 16) + 1,
    MOD(_xlpm.r, 16) + 1
  )
)</f>
        <v>7F</v>
      </c>
      <c r="M68" t="str" cm="1">
        <f t="array" ref="M68">_xlfn.LET(
  _xlpm.idx, (ROW()-3)*16 + M$1,
  _xlpm.r, MOD(_xlpm.idx, SpriteCount),
  INDEX(
    sprite_data.asm!$C$3:$R$156,
    INT(_xlpm.idx / SpriteCount) * 7 + INT(_xlpm.r / 16) + 1,
    MOD(_xlpm.r, 16) + 1
  )
)</f>
        <v>33</v>
      </c>
      <c r="N68" t="str" cm="1">
        <f t="array" ref="N68">_xlfn.LET(
  _xlpm.idx, (ROW()-3)*16 + N$1,
  _xlpm.r, MOD(_xlpm.idx, SpriteCount),
  INDEX(
    sprite_data.asm!$C$3:$R$156,
    INT(_xlpm.idx / SpriteCount) * 7 + INT(_xlpm.r / 16) + 1,
    MOD(_xlpm.r, 16) + 1
  )
)</f>
        <v>7C</v>
      </c>
      <c r="O68" t="str" cm="1">
        <f t="array" ref="O68">_xlfn.LET(
  _xlpm.idx, (ROW()-3)*16 + O$1,
  _xlpm.r, MOD(_xlpm.idx, SpriteCount),
  INDEX(
    sprite_data.asm!$C$3:$R$156,
    INT(_xlpm.idx / SpriteCount) * 7 + INT(_xlpm.r / 16) + 1,
    MOD(_xlpm.r, 16) + 1
  )
)</f>
        <v>5E</v>
      </c>
      <c r="P68" t="str" cm="1">
        <f t="array" ref="P68">_xlfn.LET(
  _xlpm.idx, (ROW()-3)*16 + P$1,
  _xlpm.r, MOD(_xlpm.idx, SpriteCount),
  INDEX(
    sprite_data.asm!$C$3:$R$156,
    INT(_xlpm.idx / SpriteCount) * 7 + INT(_xlpm.r / 16) + 1,
    MOD(_xlpm.r, 16) + 1
  )
)</f>
        <v>70</v>
      </c>
      <c r="Q68" t="str" cm="1">
        <f t="array" ref="Q68">_xlfn.LET(
  _xlpm.idx, (ROW()-3)*16 + Q$1,
  _xlpm.r, MOD(_xlpm.idx, SpriteCount),
  INDEX(
    sprite_data.asm!$C$3:$R$156,
    INT(_xlpm.idx / SpriteCount) * 7 + INT(_xlpm.r / 16) + 1,
    MOD(_xlpm.r, 16) + 1
  )
)</f>
        <v>5A</v>
      </c>
    </row>
    <row r="69" spans="1:17" x14ac:dyDescent="0.3">
      <c r="A69" s="2" t="str">
        <f t="shared" si="5"/>
        <v>B120</v>
      </c>
      <c r="B69" t="str" cm="1">
        <f t="array" ref="B69">_xlfn.LET(
  _xlpm.idx, (ROW()-3)*16 + B$1,
  _xlpm.r, MOD(_xlpm.idx, SpriteCount),
  INDEX(
    sprite_data.asm!$C$3:$R$156,
    INT(_xlpm.idx / SpriteCount) * 7 + INT(_xlpm.r / 16) + 1,
    MOD(_xlpm.r, 16) + 1
  )
)</f>
        <v>78</v>
      </c>
      <c r="C69" t="str" cm="1">
        <f t="array" ref="C69">_xlfn.LET(
  _xlpm.idx, (ROW()-3)*16 + C$1,
  _xlpm.r, MOD(_xlpm.idx, SpriteCount),
  INDEX(
    sprite_data.asm!$C$3:$R$156,
    INT(_xlpm.idx / SpriteCount) * 7 + INT(_xlpm.r / 16) + 1,
    MOD(_xlpm.r, 16) + 1
  )
)</f>
        <v>6C</v>
      </c>
      <c r="D69" t="str" cm="1">
        <f t="array" ref="D69">_xlfn.LET(
  _xlpm.idx, (ROW()-3)*16 + D$1,
  _xlpm.r, MOD(_xlpm.idx, SpriteCount),
  INDEX(
    sprite_data.asm!$C$3:$R$156,
    INT(_xlpm.idx / SpriteCount) * 7 + INT(_xlpm.r / 16) + 1,
    MOD(_xlpm.r, 16) + 1
  )
)</f>
        <v>38</v>
      </c>
      <c r="E69" t="str" cm="1">
        <f t="array" ref="E69">_xlfn.LET(
  _xlpm.idx, (ROW()-3)*16 + E$1,
  _xlpm.r, MOD(_xlpm.idx, SpriteCount),
  INDEX(
    sprite_data.asm!$C$3:$R$156,
    INT(_xlpm.idx / SpriteCount) * 7 + INT(_xlpm.r / 16) + 1,
    MOD(_xlpm.r, 16) + 1
  )
)</f>
        <v>60</v>
      </c>
      <c r="F69" t="str" cm="1">
        <f t="array" ref="F69">_xlfn.LET(
  _xlpm.idx, (ROW()-3)*16 + F$1,
  _xlpm.r, MOD(_xlpm.idx, SpriteCount),
  INDEX(
    sprite_data.asm!$C$3:$R$156,
    INT(_xlpm.idx / SpriteCount) * 7 + INT(_xlpm.r / 16) + 1,
    MOD(_xlpm.r, 16) + 1
  )
)</f>
        <v>18</v>
      </c>
      <c r="G69" t="str" cm="1">
        <f t="array" ref="G69">_xlfn.LET(
  _xlpm.idx, (ROW()-3)*16 + G$1,
  _xlpm.r, MOD(_xlpm.idx, SpriteCount),
  INDEX(
    sprite_data.asm!$C$3:$R$156,
    INT(_xlpm.idx / SpriteCount) * 7 + INT(_xlpm.r / 16) + 1,
    MOD(_xlpm.r, 16) + 1
  )
)</f>
        <v>18</v>
      </c>
      <c r="H69" t="str" cm="1">
        <f t="array" ref="H69">_xlfn.LET(
  _xlpm.idx, (ROW()-3)*16 + H$1,
  _xlpm.r, MOD(_xlpm.idx, SpriteCount),
  INDEX(
    sprite_data.asm!$C$3:$R$156,
    INT(_xlpm.idx / SpriteCount) * 7 + INT(_xlpm.r / 16) + 1,
    MOD(_xlpm.r, 16) + 1
  )
)</f>
        <v>1B</v>
      </c>
      <c r="I69" t="str" cm="1">
        <f t="array" ref="I69">_xlfn.LET(
  _xlpm.idx, (ROW()-3)*16 + I$1,
  _xlpm.r, MOD(_xlpm.idx, SpriteCount),
  INDEX(
    sprite_data.asm!$C$3:$R$156,
    INT(_xlpm.idx / SpriteCount) * 7 + INT(_xlpm.r / 16) + 1,
    MOD(_xlpm.r, 16) + 1
  )
)</f>
        <v>60</v>
      </c>
      <c r="J69" t="str" cm="1">
        <f t="array" ref="J69">_xlfn.LET(
  _xlpm.idx, (ROW()-3)*16 + J$1,
  _xlpm.r, MOD(_xlpm.idx, SpriteCount),
  INDEX(
    sprite_data.asm!$C$3:$R$156,
    INT(_xlpm.idx / SpriteCount) * 7 + INT(_xlpm.r / 16) + 1,
    MOD(_xlpm.r, 16) + 1
  )
)</f>
        <v>60</v>
      </c>
      <c r="K69" t="str" cm="1">
        <f t="array" ref="K69">_xlfn.LET(
  _xlpm.idx, (ROW()-3)*16 + K$1,
  _xlpm.r, MOD(_xlpm.idx, SpriteCount),
  INDEX(
    sprite_data.asm!$C$3:$R$156,
    INT(_xlpm.idx / SpriteCount) * 7 + INT(_xlpm.r / 16) + 1,
    MOD(_xlpm.r, 16) + 1
  )
)</f>
        <v>60</v>
      </c>
      <c r="L69" t="str" cm="1">
        <f t="array" ref="L69">_xlfn.LET(
  _xlpm.idx, (ROW()-3)*16 + L$1,
  _xlpm.r, MOD(_xlpm.idx, SpriteCount),
  INDEX(
    sprite_data.asm!$C$3:$R$156,
    INT(_xlpm.idx / SpriteCount) * 7 + INT(_xlpm.r / 16) + 1,
    MOD(_xlpm.r, 16) + 1
  )
)</f>
        <v>18</v>
      </c>
      <c r="M69" t="str" cm="1">
        <f t="array" ref="M69">_xlfn.LET(
  _xlpm.idx, (ROW()-3)*16 + M$1,
  _xlpm.r, MOD(_xlpm.idx, SpriteCount),
  INDEX(
    sprite_data.asm!$C$3:$R$156,
    INT(_xlpm.idx / SpriteCount) * 7 + INT(_xlpm.r / 16) + 1,
    MOD(_xlpm.r, 16) + 1
  )
)</f>
        <v>00</v>
      </c>
      <c r="N69" t="str" cm="1">
        <f t="array" ref="N69">_xlfn.LET(
  _xlpm.idx, (ROW()-3)*16 + N$1,
  _xlpm.r, MOD(_xlpm.idx, SpriteCount),
  INDEX(
    sprite_data.asm!$C$3:$R$156,
    INT(_xlpm.idx / SpriteCount) * 7 + INT(_xlpm.r / 16) + 1,
    MOD(_xlpm.r, 16) + 1
  )
)</f>
        <v>00</v>
      </c>
      <c r="O69" t="str" cm="1">
        <f t="array" ref="O69">_xlfn.LET(
  _xlpm.idx, (ROW()-3)*16 + O$1,
  _xlpm.r, MOD(_xlpm.idx, SpriteCount),
  INDEX(
    sprite_data.asm!$C$3:$R$156,
    INT(_xlpm.idx / SpriteCount) * 7 + INT(_xlpm.r / 16) + 1,
    MOD(_xlpm.r, 16) + 1
  )
)</f>
        <v>11</v>
      </c>
      <c r="P69" t="str" cm="1">
        <f t="array" ref="P69">_xlfn.LET(
  _xlpm.idx, (ROW()-3)*16 + P$1,
  _xlpm.r, MOD(_xlpm.idx, SpriteCount),
  INDEX(
    sprite_data.asm!$C$3:$R$156,
    INT(_xlpm.idx / SpriteCount) * 7 + INT(_xlpm.r / 16) + 1,
    MOD(_xlpm.r, 16) + 1
  )
)</f>
        <v>01</v>
      </c>
      <c r="Q69" t="str" cm="1">
        <f t="array" ref="Q69">_xlfn.LET(
  _xlpm.idx, (ROW()-3)*16 + Q$1,
  _xlpm.r, MOD(_xlpm.idx, SpriteCount),
  INDEX(
    sprite_data.asm!$C$3:$R$156,
    INT(_xlpm.idx / SpriteCount) * 7 + INT(_xlpm.r / 16) + 1,
    MOD(_xlpm.r, 16) + 1
  )
)</f>
        <v>51</v>
      </c>
    </row>
    <row r="70" spans="1:17" x14ac:dyDescent="0.3">
      <c r="A70" s="2" t="str">
        <f t="shared" si="5"/>
        <v>B130</v>
      </c>
      <c r="B70" t="str" cm="1">
        <f t="array" ref="B70">_xlfn.LET(
  _xlpm.idx, (ROW()-3)*16 + B$1,
  _xlpm.r, MOD(_xlpm.idx, SpriteCount),
  INDEX(
    sprite_data.asm!$C$3:$R$156,
    INT(_xlpm.idx / SpriteCount) * 7 + INT(_xlpm.r / 16) + 1,
    MOD(_xlpm.r, 16) + 1
  )
)</f>
        <v>51</v>
      </c>
      <c r="C70" t="str" cm="1">
        <f t="array" ref="C70">_xlfn.LET(
  _xlpm.idx, (ROW()-3)*16 + C$1,
  _xlpm.r, MOD(_xlpm.idx, SpriteCount),
  INDEX(
    sprite_data.asm!$C$3:$R$156,
    INT(_xlpm.idx / SpriteCount) * 7 + INT(_xlpm.r / 16) + 1,
    MOD(_xlpm.r, 16) + 1
  )
)</f>
        <v>51</v>
      </c>
      <c r="D70" t="str" cm="1">
        <f t="array" ref="D70">_xlfn.LET(
  _xlpm.idx, (ROW()-3)*16 + D$1,
  _xlpm.r, MOD(_xlpm.idx, SpriteCount),
  INDEX(
    sprite_data.asm!$C$3:$R$156,
    INT(_xlpm.idx / SpriteCount) * 7 + INT(_xlpm.r / 16) + 1,
    MOD(_xlpm.r, 16) + 1
  )
)</f>
        <v>28</v>
      </c>
      <c r="E70" t="str" cm="1">
        <f t="array" ref="E70">_xlfn.LET(
  _xlpm.idx, (ROW()-3)*16 + E$1,
  _xlpm.r, MOD(_xlpm.idx, SpriteCount),
  INDEX(
    sprite_data.asm!$C$3:$R$156,
    INT(_xlpm.idx / SpriteCount) * 7 + INT(_xlpm.r / 16) + 1,
    MOD(_xlpm.r, 16) + 1
  )
)</f>
        <v>20</v>
      </c>
      <c r="F70" t="str" cm="1">
        <f t="array" ref="F70">_xlfn.LET(
  _xlpm.idx, (ROW()-3)*16 + F$1,
  _xlpm.r, MOD(_xlpm.idx, SpriteCount),
  INDEX(
    sprite_data.asm!$C$3:$R$156,
    INT(_xlpm.idx / SpriteCount) * 7 + INT(_xlpm.r / 16) + 1,
    MOD(_xlpm.r, 16) + 1
  )
)</f>
        <v>00</v>
      </c>
      <c r="G70" t="str" cm="1">
        <f t="array" ref="G70">_xlfn.LET(
  _xlpm.idx, (ROW()-3)*16 + G$1,
  _xlpm.r, MOD(_xlpm.idx, SpriteCount),
  INDEX(
    sprite_data.asm!$C$3:$R$156,
    INT(_xlpm.idx / SpriteCount) * 7 + INT(_xlpm.r / 16) + 1,
    MOD(_xlpm.r, 16) + 1
  )
)</f>
        <v>5A</v>
      </c>
      <c r="H70" t="str" cm="1">
        <f t="array" ref="H70">_xlfn.LET(
  _xlpm.idx, (ROW()-3)*16 + H$1,
  _xlpm.r, MOD(_xlpm.idx, SpriteCount),
  INDEX(
    sprite_data.asm!$C$3:$R$156,
    INT(_xlpm.idx / SpriteCount) * 7 + INT(_xlpm.r / 16) + 1,
    MOD(_xlpm.r, 16) + 1
  )
)</f>
        <v>00</v>
      </c>
      <c r="I70" t="str" cm="1">
        <f t="array" ref="I70">_xlfn.LET(
  _xlpm.idx, (ROW()-3)*16 + I$1,
  _xlpm.r, MOD(_xlpm.idx, SpriteCount),
  INDEX(
    sprite_data.asm!$C$3:$R$156,
    INT(_xlpm.idx / SpriteCount) * 7 + INT(_xlpm.r / 16) + 1,
    MOD(_xlpm.r, 16) + 1
  )
)</f>
        <v>00</v>
      </c>
      <c r="J70" t="str" cm="1">
        <f t="array" ref="J70">_xlfn.LET(
  _xlpm.idx, (ROW()-3)*16 + J$1,
  _xlpm.r, MOD(_xlpm.idx, SpriteCount),
  INDEX(
    sprite_data.asm!$C$3:$R$156,
    INT(_xlpm.idx / SpriteCount) * 7 + INT(_xlpm.r / 16) + 1,
    MOD(_xlpm.r, 16) + 1
  )
)</f>
        <v>22</v>
      </c>
      <c r="K70" t="str" cm="1">
        <f t="array" ref="K70">_xlfn.LET(
  _xlpm.idx, (ROW()-3)*16 + K$1,
  _xlpm.r, MOD(_xlpm.idx, SpriteCount),
  INDEX(
    sprite_data.asm!$C$3:$R$156,
    INT(_xlpm.idx / SpriteCount) * 7 + INT(_xlpm.r / 16) + 1,
    MOD(_xlpm.r, 16) + 1
  )
)</f>
        <v>28</v>
      </c>
      <c r="L70" t="str" cm="1">
        <f t="array" ref="L70">_xlfn.LET(
  _xlpm.idx, (ROW()-3)*16 + L$1,
  _xlpm.r, MOD(_xlpm.idx, SpriteCount),
  INDEX(
    sprite_data.asm!$C$3:$R$156,
    INT(_xlpm.idx / SpriteCount) * 7 + INT(_xlpm.r / 16) + 1,
    MOD(_xlpm.r, 16) + 1
  )
)</f>
        <v>22</v>
      </c>
      <c r="M70" t="str" cm="1">
        <f t="array" ref="M70">_xlfn.LET(
  _xlpm.idx, (ROW()-3)*16 + M$1,
  _xlpm.r, MOD(_xlpm.idx, SpriteCount),
  INDEX(
    sprite_data.asm!$C$3:$R$156,
    INT(_xlpm.idx / SpriteCount) * 7 + INT(_xlpm.r / 16) + 1,
    MOD(_xlpm.r, 16) + 1
  )
)</f>
        <v>28</v>
      </c>
      <c r="N70" t="str" cm="1">
        <f t="array" ref="N70">_xlfn.LET(
  _xlpm.idx, (ROW()-3)*16 + N$1,
  _xlpm.r, MOD(_xlpm.idx, SpriteCount),
  INDEX(
    sprite_data.asm!$C$3:$R$156,
    INT(_xlpm.idx / SpriteCount) * 7 + INT(_xlpm.r / 16) + 1,
    MOD(_xlpm.r, 16) + 1
  )
)</f>
        <v>28</v>
      </c>
      <c r="O70" t="str" cm="1">
        <f t="array" ref="O70">_xlfn.LET(
  _xlpm.idx, (ROW()-3)*16 + O$1,
  _xlpm.r, MOD(_xlpm.idx, SpriteCount),
  INDEX(
    sprite_data.asm!$C$3:$R$156,
    INT(_xlpm.idx / SpriteCount) * 7 + INT(_xlpm.r / 16) + 1,
    MOD(_xlpm.r, 16) + 1
  )
)</f>
        <v>08</v>
      </c>
      <c r="P70" t="str" cm="1">
        <f t="array" ref="P70">_xlfn.LET(
  _xlpm.idx, (ROW()-3)*16 + P$1,
  _xlpm.r, MOD(_xlpm.idx, SpriteCount),
  INDEX(
    sprite_data.asm!$C$3:$R$156,
    INT(_xlpm.idx / SpriteCount) * 7 + INT(_xlpm.r / 16) + 1,
    MOD(_xlpm.r, 16) + 1
  )
)</f>
        <v>0A</v>
      </c>
      <c r="Q70" t="str" cm="1">
        <f t="array" ref="Q70">_xlfn.LET(
  _xlpm.idx, (ROW()-3)*16 + Q$1,
  _xlpm.r, MOD(_xlpm.idx, SpriteCount),
  INDEX(
    sprite_data.asm!$C$3:$R$156,
    INT(_xlpm.idx / SpriteCount) * 7 + INT(_xlpm.r / 16) + 1,
    MOD(_xlpm.r, 16) + 1
  )
)</f>
        <v>20</v>
      </c>
    </row>
    <row r="71" spans="1:17" x14ac:dyDescent="0.3">
      <c r="A71" s="2" t="str">
        <f t="shared" si="5"/>
        <v>B140</v>
      </c>
      <c r="B71" t="str" cm="1">
        <f t="array" ref="B71">_xlfn.LET(
  _xlpm.idx, (ROW()-3)*16 + B$1,
  _xlpm.r, MOD(_xlpm.idx, SpriteCount),
  INDEX(
    sprite_data.asm!$C$3:$R$156,
    INT(_xlpm.idx / SpriteCount) * 7 + INT(_xlpm.r / 16) + 1,
    MOD(_xlpm.r, 16) + 1
  )
)</f>
        <v>20</v>
      </c>
      <c r="C71" t="str" cm="1">
        <f t="array" ref="C71">_xlfn.LET(
  _xlpm.idx, (ROW()-3)*16 + C$1,
  _xlpm.r, MOD(_xlpm.idx, SpriteCount),
  INDEX(
    sprite_data.asm!$C$3:$R$156,
    INT(_xlpm.idx / SpriteCount) * 7 + INT(_xlpm.r / 16) + 1,
    MOD(_xlpm.r, 16) + 1
  )
)</f>
        <v>20</v>
      </c>
      <c r="D71" t="str" cm="1">
        <f t="array" ref="D71">_xlfn.LET(
  _xlpm.idx, (ROW()-3)*16 + D$1,
  _xlpm.r, MOD(_xlpm.idx, SpriteCount),
  INDEX(
    sprite_data.asm!$C$3:$R$156,
    INT(_xlpm.idx / SpriteCount) * 7 + INT(_xlpm.r / 16) + 1,
    MOD(_xlpm.r, 16) + 1
  )
)</f>
        <v>08</v>
      </c>
      <c r="E71" t="str" cm="1">
        <f t="array" ref="E71">_xlfn.LET(
  _xlpm.idx, (ROW()-3)*16 + E$1,
  _xlpm.r, MOD(_xlpm.idx, SpriteCount),
  INDEX(
    sprite_data.asm!$C$3:$R$156,
    INT(_xlpm.idx / SpriteCount) * 7 + INT(_xlpm.r / 16) + 1,
    MOD(_xlpm.r, 16) + 1
  )
)</f>
        <v>20</v>
      </c>
      <c r="F71" t="str" cm="1">
        <f t="array" ref="F71">_xlfn.LET(
  _xlpm.idx, (ROW()-3)*16 + F$1,
  _xlpm.r, MOD(_xlpm.idx, SpriteCount),
  INDEX(
    sprite_data.asm!$C$3:$R$156,
    INT(_xlpm.idx / SpriteCount) * 7 + INT(_xlpm.r / 16) + 1,
    MOD(_xlpm.r, 16) + 1
  )
)</f>
        <v>28</v>
      </c>
      <c r="G71" t="str" cm="1">
        <f t="array" ref="G71">_xlfn.LET(
  _xlpm.idx, (ROW()-3)*16 + G$1,
  _xlpm.r, MOD(_xlpm.idx, SpriteCount),
  INDEX(
    sprite_data.asm!$C$3:$R$156,
    INT(_xlpm.idx / SpriteCount) * 7 + INT(_xlpm.r / 16) + 1,
    MOD(_xlpm.r, 16) + 1
  )
)</f>
        <v>20</v>
      </c>
      <c r="H71" t="str" cm="1">
        <f t="array" ref="H71">_xlfn.LET(
  _xlpm.idx, (ROW()-3)*16 + H$1,
  _xlpm.r, MOD(_xlpm.idx, SpriteCount),
  INDEX(
    sprite_data.asm!$C$3:$R$156,
    INT(_xlpm.idx / SpriteCount) * 7 + INT(_xlpm.r / 16) + 1,
    MOD(_xlpm.r, 16) + 1
  )
)</f>
        <v>20</v>
      </c>
      <c r="I71" t="str" cm="1">
        <f t="array" ref="I71">_xlfn.LET(
  _xlpm.idx, (ROW()-3)*16 + I$1,
  _xlpm.r, MOD(_xlpm.idx, SpriteCount),
  INDEX(
    sprite_data.asm!$C$3:$R$156,
    INT(_xlpm.idx / SpriteCount) * 7 + INT(_xlpm.r / 16) + 1,
    MOD(_xlpm.r, 16) + 1
  )
)</f>
        <v>00</v>
      </c>
      <c r="J71" t="str" cm="1">
        <f t="array" ref="J71">_xlfn.LET(
  _xlpm.idx, (ROW()-3)*16 + J$1,
  _xlpm.r, MOD(_xlpm.idx, SpriteCount),
  INDEX(
    sprite_data.asm!$C$3:$R$156,
    INT(_xlpm.idx / SpriteCount) * 7 + INT(_xlpm.r / 16) + 1,
    MOD(_xlpm.r, 16) + 1
  )
)</f>
        <v>00</v>
      </c>
      <c r="K71" t="str" cm="1">
        <f t="array" ref="K71">_xlfn.LET(
  _xlpm.idx, (ROW()-3)*16 + K$1,
  _xlpm.r, MOD(_xlpm.idx, SpriteCount),
  INDEX(
    sprite_data.asm!$C$3:$R$156,
    INT(_xlpm.idx / SpriteCount) * 7 + INT(_xlpm.r / 16) + 1,
    MOD(_xlpm.r, 16) + 1
  )
)</f>
        <v>00</v>
      </c>
      <c r="L71" t="str" cm="1">
        <f t="array" ref="L71">_xlfn.LET(
  _xlpm.idx, (ROW()-3)*16 + L$1,
  _xlpm.r, MOD(_xlpm.idx, SpriteCount),
  INDEX(
    sprite_data.asm!$C$3:$R$156,
    INT(_xlpm.idx / SpriteCount) * 7 + INT(_xlpm.r / 16) + 1,
    MOD(_xlpm.r, 16) + 1
  )
)</f>
        <v>00</v>
      </c>
      <c r="M71" t="str" cm="1">
        <f t="array" ref="M71">_xlfn.LET(
  _xlpm.idx, (ROW()-3)*16 + M$1,
  _xlpm.r, MOD(_xlpm.idx, SpriteCount),
  INDEX(
    sprite_data.asm!$C$3:$R$156,
    INT(_xlpm.idx / SpriteCount) * 7 + INT(_xlpm.r / 16) + 1,
    MOD(_xlpm.r, 16) + 1
  )
)</f>
        <v>02</v>
      </c>
      <c r="N71" t="str" cm="1">
        <f t="array" ref="N71">_xlfn.LET(
  _xlpm.idx, (ROW()-3)*16 + N$1,
  _xlpm.r, MOD(_xlpm.idx, SpriteCount),
  INDEX(
    sprite_data.asm!$C$3:$R$156,
    INT(_xlpm.idx / SpriteCount) * 7 + INT(_xlpm.r / 16) + 1,
    MOD(_xlpm.r, 16) + 1
  )
)</f>
        <v>20</v>
      </c>
      <c r="O71" t="str" cm="1">
        <f t="array" ref="O71">_xlfn.LET(
  _xlpm.idx, (ROW()-3)*16 + O$1,
  _xlpm.r, MOD(_xlpm.idx, SpriteCount),
  INDEX(
    sprite_data.asm!$C$3:$R$156,
    INT(_xlpm.idx / SpriteCount) * 7 + INT(_xlpm.r / 16) + 1,
    MOD(_xlpm.r, 16) + 1
  )
)</f>
        <v>00</v>
      </c>
      <c r="P71" t="str" cm="1">
        <f t="array" ref="P71">_xlfn.LET(
  _xlpm.idx, (ROW()-3)*16 + P$1,
  _xlpm.r, MOD(_xlpm.idx, SpriteCount),
  INDEX(
    sprite_data.asm!$C$3:$R$156,
    INT(_xlpm.idx / SpriteCount) * 7 + INT(_xlpm.r / 16) + 1,
    MOD(_xlpm.r, 16) + 1
  )
)</f>
        <v>00</v>
      </c>
      <c r="Q71" t="str" cm="1">
        <f t="array" ref="Q71">_xlfn.LET(
  _xlpm.idx, (ROW()-3)*16 + Q$1,
  _xlpm.r, MOD(_xlpm.idx, SpriteCount),
  INDEX(
    sprite_data.asm!$C$3:$R$156,
    INT(_xlpm.idx / SpriteCount) * 7 + INT(_xlpm.r / 16) + 1,
    MOD(_xlpm.r, 16) + 1
  )
)</f>
        <v>0A</v>
      </c>
    </row>
    <row r="72" spans="1:17" x14ac:dyDescent="0.3">
      <c r="A72" s="2" t="str">
        <f t="shared" si="5"/>
        <v>B150</v>
      </c>
      <c r="B72" t="str" cm="1">
        <f t="array" ref="B72">_xlfn.LET(
  _xlpm.idx, (ROW()-3)*16 + B$1,
  _xlpm.r, MOD(_xlpm.idx, SpriteCount),
  INDEX(
    sprite_data.asm!$C$3:$R$156,
    INT(_xlpm.idx / SpriteCount) * 7 + INT(_xlpm.r / 16) + 1,
    MOD(_xlpm.r, 16) + 1
  )
)</f>
        <v>02</v>
      </c>
      <c r="C72" t="str" cm="1">
        <f t="array" ref="C72">_xlfn.LET(
  _xlpm.idx, (ROW()-3)*16 + C$1,
  _xlpm.r, MOD(_xlpm.idx, SpriteCount),
  INDEX(
    sprite_data.asm!$C$3:$R$156,
    INT(_xlpm.idx / SpriteCount) * 7 + INT(_xlpm.r / 16) + 1,
    MOD(_xlpm.r, 16) + 1
  )
)</f>
        <v>02</v>
      </c>
      <c r="D72" t="str" cm="1">
        <f t="array" ref="D72">_xlfn.LET(
  _xlpm.idx, (ROW()-3)*16 + D$1,
  _xlpm.r, MOD(_xlpm.idx, SpriteCount),
  INDEX(
    sprite_data.asm!$C$3:$R$156,
    INT(_xlpm.idx / SpriteCount) * 7 + INT(_xlpm.r / 16) + 1,
    MOD(_xlpm.r, 16) + 1
  )
)</f>
        <v>20</v>
      </c>
      <c r="E72" t="str" cm="1">
        <f t="array" ref="E72">_xlfn.LET(
  _xlpm.idx, (ROW()-3)*16 + E$1,
  _xlpm.r, MOD(_xlpm.idx, SpriteCount),
  INDEX(
    sprite_data.asm!$C$3:$R$156,
    INT(_xlpm.idx / SpriteCount) * 7 + INT(_xlpm.r / 16) + 1,
    MOD(_xlpm.r, 16) + 1
  )
)</f>
        <v>08</v>
      </c>
      <c r="F72" t="str" cm="1">
        <f t="array" ref="F72">_xlfn.LET(
  _xlpm.idx, (ROW()-3)*16 + F$1,
  _xlpm.r, MOD(_xlpm.idx, SpriteCount),
  INDEX(
    sprite_data.asm!$C$3:$R$156,
    INT(_xlpm.idx / SpriteCount) * 7 + INT(_xlpm.r / 16) + 1,
    MOD(_xlpm.r, 16) + 1
  )
)</f>
        <v>02</v>
      </c>
      <c r="G72" t="str" cm="1">
        <f t="array" ref="G72">_xlfn.LET(
  _xlpm.idx, (ROW()-3)*16 + G$1,
  _xlpm.r, MOD(_xlpm.idx, SpriteCount),
  INDEX(
    sprite_data.asm!$C$3:$R$156,
    INT(_xlpm.idx / SpriteCount) * 7 + INT(_xlpm.r / 16) + 1,
    MOD(_xlpm.r, 16) + 1
  )
)</f>
        <v>44</v>
      </c>
      <c r="H72" t="str" cm="1">
        <f t="array" ref="H72">_xlfn.LET(
  _xlpm.idx, (ROW()-3)*16 + H$1,
  _xlpm.r, MOD(_xlpm.idx, SpriteCount),
  INDEX(
    sprite_data.asm!$C$3:$R$156,
    INT(_xlpm.idx / SpriteCount) * 7 + INT(_xlpm.r / 16) + 1,
    MOD(_xlpm.r, 16) + 1
  )
)</f>
        <v>11</v>
      </c>
      <c r="I72" t="str" cm="1">
        <f t="array" ref="I72">_xlfn.LET(
  _xlpm.idx, (ROW()-3)*16 + I$1,
  _xlpm.r, MOD(_xlpm.idx, SpriteCount),
  INDEX(
    sprite_data.asm!$C$3:$R$156,
    INT(_xlpm.idx / SpriteCount) * 7 + INT(_xlpm.r / 16) + 1,
    MOD(_xlpm.r, 16) + 1
  )
)</f>
        <v>01</v>
      </c>
      <c r="J72" t="str" cm="1">
        <f t="array" ref="J72">_xlfn.LET(
  _xlpm.idx, (ROW()-3)*16 + J$1,
  _xlpm.r, MOD(_xlpm.idx, SpriteCount),
  INDEX(
    sprite_data.asm!$C$3:$R$156,
    INT(_xlpm.idx / SpriteCount) * 7 + INT(_xlpm.r / 16) + 1,
    MOD(_xlpm.r, 16) + 1
  )
)</f>
        <v>41</v>
      </c>
      <c r="K72" t="str" cm="1">
        <f t="array" ref="K72">_xlfn.LET(
  _xlpm.idx, (ROW()-3)*16 + K$1,
  _xlpm.r, MOD(_xlpm.idx, SpriteCount),
  INDEX(
    sprite_data.asm!$C$3:$R$156,
    INT(_xlpm.idx / SpriteCount) * 7 + INT(_xlpm.r / 16) + 1,
    MOD(_xlpm.r, 16) + 1
  )
)</f>
        <v>05</v>
      </c>
      <c r="L72" t="str" cm="1">
        <f t="array" ref="L72">_xlfn.LET(
  _xlpm.idx, (ROW()-3)*16 + L$1,
  _xlpm.r, MOD(_xlpm.idx, SpriteCount),
  INDEX(
    sprite_data.asm!$C$3:$R$156,
    INT(_xlpm.idx / SpriteCount) * 7 + INT(_xlpm.r / 16) + 1,
    MOD(_xlpm.r, 16) + 1
  )
)</f>
        <v>05</v>
      </c>
      <c r="M72" t="str" cm="1">
        <f t="array" ref="M72">_xlfn.LET(
  _xlpm.idx, (ROW()-3)*16 + M$1,
  _xlpm.r, MOD(_xlpm.idx, SpriteCount),
  INDEX(
    sprite_data.asm!$C$3:$R$156,
    INT(_xlpm.idx / SpriteCount) * 7 + INT(_xlpm.r / 16) + 1,
    MOD(_xlpm.r, 16) + 1
  )
)</f>
        <v>01</v>
      </c>
      <c r="N72" t="str" cm="1">
        <f t="array" ref="N72">_xlfn.LET(
  _xlpm.idx, (ROW()-3)*16 + N$1,
  _xlpm.r, MOD(_xlpm.idx, SpriteCount),
  INDEX(
    sprite_data.asm!$C$3:$R$156,
    INT(_xlpm.idx / SpriteCount) * 7 + INT(_xlpm.r / 16) + 1,
    MOD(_xlpm.r, 16) + 1
  )
)</f>
        <v>41</v>
      </c>
      <c r="O72" t="str" cm="1">
        <f t="array" ref="O72">_xlfn.LET(
  _xlpm.idx, (ROW()-3)*16 + O$1,
  _xlpm.r, MOD(_xlpm.idx, SpriteCount),
  INDEX(
    sprite_data.asm!$C$3:$R$156,
    INT(_xlpm.idx / SpriteCount) * 7 + INT(_xlpm.r / 16) + 1,
    MOD(_xlpm.r, 16) + 1
  )
)</f>
        <v>04</v>
      </c>
      <c r="P72" t="str" cm="1">
        <f t="array" ref="P72">_xlfn.LET(
  _xlpm.idx, (ROW()-3)*16 + P$1,
  _xlpm.r, MOD(_xlpm.idx, SpriteCount),
  INDEX(
    sprite_data.asm!$C$3:$R$156,
    INT(_xlpm.idx / SpriteCount) * 7 + INT(_xlpm.r / 16) + 1,
    MOD(_xlpm.r, 16) + 1
  )
)</f>
        <v>10</v>
      </c>
      <c r="Q72" t="str" cm="1">
        <f t="array" ref="Q72">_xlfn.LET(
  _xlpm.idx, (ROW()-3)*16 + Q$1,
  _xlpm.r, MOD(_xlpm.idx, SpriteCount),
  INDEX(
    sprite_data.asm!$C$3:$R$156,
    INT(_xlpm.idx / SpriteCount) * 7 + INT(_xlpm.r / 16) + 1,
    MOD(_xlpm.r, 16) + 1
  )
)</f>
        <v>11</v>
      </c>
    </row>
    <row r="73" spans="1:17" x14ac:dyDescent="0.3">
      <c r="A73" s="2" t="str">
        <f t="shared" si="5"/>
        <v>B160</v>
      </c>
      <c r="B73" t="str" cm="1">
        <f t="array" ref="B73">_xlfn.LET(
  _xlpm.idx, (ROW()-3)*16 + B$1,
  _xlpm.r, MOD(_xlpm.idx, SpriteCount),
  INDEX(
    sprite_data.asm!$C$3:$R$156,
    INT(_xlpm.idx / SpriteCount) * 7 + INT(_xlpm.r / 16) + 1,
    MOD(_xlpm.r, 16) + 1
  )
)</f>
        <v>01</v>
      </c>
      <c r="C73" t="str" cm="1">
        <f t="array" ref="C73">_xlfn.LET(
  _xlpm.idx, (ROW()-3)*16 + C$1,
  _xlpm.r, MOD(_xlpm.idx, SpriteCount),
  INDEX(
    sprite_data.asm!$C$3:$R$156,
    INT(_xlpm.idx / SpriteCount) * 7 + INT(_xlpm.r / 16) + 1,
    MOD(_xlpm.r, 16) + 1
  )
)</f>
        <v>55</v>
      </c>
      <c r="D73" t="str" cm="1">
        <f t="array" ref="D73">_xlfn.LET(
  _xlpm.idx, (ROW()-3)*16 + D$1,
  _xlpm.r, MOD(_xlpm.idx, SpriteCount),
  INDEX(
    sprite_data.asm!$C$3:$R$156,
    INT(_xlpm.idx / SpriteCount) * 7 + INT(_xlpm.r / 16) + 1,
    MOD(_xlpm.r, 16) + 1
  )
)</f>
        <v>45</v>
      </c>
      <c r="E73" t="str" cm="1">
        <f t="array" ref="E73">_xlfn.LET(
  _xlpm.idx, (ROW()-3)*16 + E$1,
  _xlpm.r, MOD(_xlpm.idx, SpriteCount),
  INDEX(
    sprite_data.asm!$C$3:$R$156,
    INT(_xlpm.idx / SpriteCount) * 7 + INT(_xlpm.r / 16) + 1,
    MOD(_xlpm.r, 16) + 1
  )
)</f>
        <v>51</v>
      </c>
      <c r="F73" t="str" cm="1">
        <f t="array" ref="F73">_xlfn.LET(
  _xlpm.idx, (ROW()-3)*16 + F$1,
  _xlpm.r, MOD(_xlpm.idx, SpriteCount),
  INDEX(
    sprite_data.asm!$C$3:$R$156,
    INT(_xlpm.idx / SpriteCount) * 7 + INT(_xlpm.r / 16) + 1,
    MOD(_xlpm.r, 16) + 1
  )
)</f>
        <v>41</v>
      </c>
      <c r="G73" t="str" cm="1">
        <f t="array" ref="G73">_xlfn.LET(
  _xlpm.idx, (ROW()-3)*16 + G$1,
  _xlpm.r, MOD(_xlpm.idx, SpriteCount),
  INDEX(
    sprite_data.asm!$C$3:$R$156,
    INT(_xlpm.idx / SpriteCount) * 7 + INT(_xlpm.r / 16) + 1,
    MOD(_xlpm.r, 16) + 1
  )
)</f>
        <v>51</v>
      </c>
      <c r="H73" t="str" cm="1">
        <f t="array" ref="H73">_xlfn.LET(
  _xlpm.idx, (ROW()-3)*16 + H$1,
  _xlpm.r, MOD(_xlpm.idx, SpriteCount),
  INDEX(
    sprite_data.asm!$C$3:$R$156,
    INT(_xlpm.idx / SpriteCount) * 7 + INT(_xlpm.r / 16) + 1,
    MOD(_xlpm.r, 16) + 1
  )
)</f>
        <v>41</v>
      </c>
      <c r="I73" t="str" cm="1">
        <f t="array" ref="I73">_xlfn.LET(
  _xlpm.idx, (ROW()-3)*16 + I$1,
  _xlpm.r, MOD(_xlpm.idx, SpriteCount),
  INDEX(
    sprite_data.asm!$C$3:$R$156,
    INT(_xlpm.idx / SpriteCount) * 7 + INT(_xlpm.r / 16) + 1,
    MOD(_xlpm.r, 16) + 1
  )
)</f>
        <v>01</v>
      </c>
      <c r="J73" t="str" cm="1">
        <f t="array" ref="J73">_xlfn.LET(
  _xlpm.idx, (ROW()-3)*16 + J$1,
  _xlpm.r, MOD(_xlpm.idx, SpriteCount),
  INDEX(
    sprite_data.asm!$C$3:$R$156,
    INT(_xlpm.idx / SpriteCount) * 7 + INT(_xlpm.r / 16) + 1,
    MOD(_xlpm.r, 16) + 1
  )
)</f>
        <v>04</v>
      </c>
      <c r="K73" t="str" cm="1">
        <f t="array" ref="K73">_xlfn.LET(
  _xlpm.idx, (ROW()-3)*16 + K$1,
  _xlpm.r, MOD(_xlpm.idx, SpriteCount),
  INDEX(
    sprite_data.asm!$C$3:$R$156,
    INT(_xlpm.idx / SpriteCount) * 7 + INT(_xlpm.r / 16) + 1,
    MOD(_xlpm.r, 16) + 1
  )
)</f>
        <v>41</v>
      </c>
      <c r="L73" t="str" cm="1">
        <f t="array" ref="L73">_xlfn.LET(
  _xlpm.idx, (ROW()-3)*16 + L$1,
  _xlpm.r, MOD(_xlpm.idx, SpriteCount),
  INDEX(
    sprite_data.asm!$C$3:$R$156,
    INT(_xlpm.idx / SpriteCount) * 7 + INT(_xlpm.r / 16) + 1,
    MOD(_xlpm.r, 16) + 1
  )
)</f>
        <v>45</v>
      </c>
      <c r="M73" t="str" cm="1">
        <f t="array" ref="M73">_xlfn.LET(
  _xlpm.idx, (ROW()-3)*16 + M$1,
  _xlpm.r, MOD(_xlpm.idx, SpriteCount),
  INDEX(
    sprite_data.asm!$C$3:$R$156,
    INT(_xlpm.idx / SpriteCount) * 7 + INT(_xlpm.r / 16) + 1,
    MOD(_xlpm.r, 16) + 1
  )
)</f>
        <v>41</v>
      </c>
      <c r="N73" t="str" cm="1">
        <f t="array" ref="N73">_xlfn.LET(
  _xlpm.idx, (ROW()-3)*16 + N$1,
  _xlpm.r, MOD(_xlpm.idx, SpriteCount),
  INDEX(
    sprite_data.asm!$C$3:$R$156,
    INT(_xlpm.idx / SpriteCount) * 7 + INT(_xlpm.r / 16) + 1,
    MOD(_xlpm.r, 16) + 1
  )
)</f>
        <v>41</v>
      </c>
      <c r="O73" t="str" cm="1">
        <f t="array" ref="O73">_xlfn.LET(
  _xlpm.idx, (ROW()-3)*16 + O$1,
  _xlpm.r, MOD(_xlpm.idx, SpriteCount),
  INDEX(
    sprite_data.asm!$C$3:$R$156,
    INT(_xlpm.idx / SpriteCount) * 7 + INT(_xlpm.r / 16) + 1,
    MOD(_xlpm.r, 16) + 1
  )
)</f>
        <v>51</v>
      </c>
      <c r="P73" t="str" cm="1">
        <f t="array" ref="P73">_xlfn.LET(
  _xlpm.idx, (ROW()-3)*16 + P$1,
  _xlpm.r, MOD(_xlpm.idx, SpriteCount),
  INDEX(
    sprite_data.asm!$C$3:$R$156,
    INT(_xlpm.idx / SpriteCount) * 7 + INT(_xlpm.r / 16) + 1,
    MOD(_xlpm.r, 16) + 1
  )
)</f>
        <v>41</v>
      </c>
      <c r="Q73" t="str" cm="1">
        <f t="array" ref="Q73">_xlfn.LET(
  _xlpm.idx, (ROW()-3)*16 + Q$1,
  _xlpm.r, MOD(_xlpm.idx, SpriteCount),
  INDEX(
    sprite_data.asm!$C$3:$R$156,
    INT(_xlpm.idx / SpriteCount) * 7 + INT(_xlpm.r / 16) + 1,
    MOD(_xlpm.r, 16) + 1
  )
)</f>
        <v>14</v>
      </c>
    </row>
    <row r="74" spans="1:17" x14ac:dyDescent="0.3">
      <c r="A74" s="2" t="str">
        <f t="shared" si="5"/>
        <v>B170</v>
      </c>
      <c r="B74" t="str" cm="1">
        <f t="array" ref="B74">_xlfn.LET(
  _xlpm.idx, (ROW()-3)*16 + B$1,
  _xlpm.r, MOD(_xlpm.idx, SpriteCount),
  INDEX(
    sprite_data.asm!$C$3:$R$156,
    INT(_xlpm.idx / SpriteCount) * 7 + INT(_xlpm.r / 16) + 1,
    MOD(_xlpm.r, 16) + 1
  )
)</f>
        <v>00</v>
      </c>
      <c r="C74" t="str" cm="1">
        <f t="array" ref="C74">_xlfn.LET(
  _xlpm.idx, (ROW()-3)*16 + C$1,
  _xlpm.r, MOD(_xlpm.idx, SpriteCount),
  INDEX(
    sprite_data.asm!$C$3:$R$156,
    INT(_xlpm.idx / SpriteCount) * 7 + INT(_xlpm.r / 16) + 1,
    MOD(_xlpm.r, 16) + 1
  )
)</f>
        <v>05</v>
      </c>
      <c r="D74" t="str" cm="1">
        <f t="array" ref="D74">_xlfn.LET(
  _xlpm.idx, (ROW()-3)*16 + D$1,
  _xlpm.r, MOD(_xlpm.idx, SpriteCount),
  INDEX(
    sprite_data.asm!$C$3:$R$156,
    INT(_xlpm.idx / SpriteCount) * 7 + INT(_xlpm.r / 16) + 1,
    MOD(_xlpm.r, 16) + 1
  )
)</f>
        <v>50</v>
      </c>
      <c r="E74" t="str" cm="1">
        <f t="array" ref="E74">_xlfn.LET(
  _xlpm.idx, (ROW()-3)*16 + E$1,
  _xlpm.r, MOD(_xlpm.idx, SpriteCount),
  INDEX(
    sprite_data.asm!$C$3:$R$156,
    INT(_xlpm.idx / SpriteCount) * 7 + INT(_xlpm.r / 16) + 1,
    MOD(_xlpm.r, 16) + 1
  )
)</f>
        <v>10</v>
      </c>
      <c r="F74" t="str" cm="1">
        <f t="array" ref="F74">_xlfn.LET(
  _xlpm.idx, (ROW()-3)*16 + F$1,
  _xlpm.r, MOD(_xlpm.idx, SpriteCount),
  INDEX(
    sprite_data.asm!$C$3:$R$156,
    INT(_xlpm.idx / SpriteCount) * 7 + INT(_xlpm.r / 16) + 1,
    MOD(_xlpm.r, 16) + 1
  )
)</f>
        <v>55</v>
      </c>
      <c r="G74" t="str" cm="1">
        <f t="array" ref="G74">_xlfn.LET(
  _xlpm.idx, (ROW()-3)*16 + G$1,
  _xlpm.r, MOD(_xlpm.idx, SpriteCount),
  INDEX(
    sprite_data.asm!$C$3:$R$156,
    INT(_xlpm.idx / SpriteCount) * 7 + INT(_xlpm.r / 16) + 1,
    MOD(_xlpm.r, 16) + 1
  )
)</f>
        <v>14</v>
      </c>
      <c r="H74" t="str" cm="1">
        <f t="array" ref="H74">_xlfn.LET(
  _xlpm.idx, (ROW()-3)*16 + H$1,
  _xlpm.r, MOD(_xlpm.idx, SpriteCount),
  INDEX(
    sprite_data.asm!$C$3:$R$156,
    INT(_xlpm.idx / SpriteCount) * 7 + INT(_xlpm.r / 16) + 1,
    MOD(_xlpm.r, 16) + 1
  )
)</f>
        <v>01</v>
      </c>
      <c r="I74" t="str" cm="1">
        <f t="array" ref="I74">_xlfn.LET(
  _xlpm.idx, (ROW()-3)*16 + I$1,
  _xlpm.r, MOD(_xlpm.idx, SpriteCount),
  INDEX(
    sprite_data.asm!$C$3:$R$156,
    INT(_xlpm.idx / SpriteCount) * 7 + INT(_xlpm.r / 16) + 1,
    MOD(_xlpm.r, 16) + 1
  )
)</f>
        <v>01</v>
      </c>
      <c r="J74" t="str" cm="1">
        <f t="array" ref="J74">_xlfn.LET(
  _xlpm.idx, (ROW()-3)*16 + J$1,
  _xlpm.r, MOD(_xlpm.idx, SpriteCount),
  INDEX(
    sprite_data.asm!$C$3:$R$156,
    INT(_xlpm.idx / SpriteCount) * 7 + INT(_xlpm.r / 16) + 1,
    MOD(_xlpm.r, 16) + 1
  )
)</f>
        <v>00</v>
      </c>
      <c r="K74" t="str" cm="1">
        <f t="array" ref="K74">_xlfn.LET(
  _xlpm.idx, (ROW()-3)*16 + K$1,
  _xlpm.r, MOD(_xlpm.idx, SpriteCount),
  INDEX(
    sprite_data.asm!$C$3:$R$156,
    INT(_xlpm.idx / SpriteCount) * 7 + INT(_xlpm.r / 16) + 1,
    MOD(_xlpm.r, 16) + 1
  )
)</f>
        <v>02</v>
      </c>
      <c r="L74" t="str" cm="1">
        <f t="array" ref="L74">_xlfn.LET(
  _xlpm.idx, (ROW()-3)*16 + L$1,
  _xlpm.r, MOD(_xlpm.idx, SpriteCount),
  INDEX(
    sprite_data.asm!$C$3:$R$156,
    INT(_xlpm.idx / SpriteCount) * 7 + INT(_xlpm.r / 16) + 1,
    MOD(_xlpm.r, 16) + 1
  )
)</f>
        <v>02</v>
      </c>
      <c r="M74" t="str" cm="1">
        <f t="array" ref="M74">_xlfn.LET(
  _xlpm.idx, (ROW()-3)*16 + M$1,
  _xlpm.r, MOD(_xlpm.idx, SpriteCount),
  INDEX(
    sprite_data.asm!$C$3:$R$156,
    INT(_xlpm.idx / SpriteCount) * 7 + INT(_xlpm.r / 16) + 1,
    MOD(_xlpm.r, 16) + 1
  )
)</f>
        <v>03</v>
      </c>
      <c r="N74" t="str" cm="1">
        <f t="array" ref="N74">_xlfn.LET(
  _xlpm.idx, (ROW()-3)*16 + N$1,
  _xlpm.r, MOD(_xlpm.idx, SpriteCount),
  INDEX(
    sprite_data.asm!$C$3:$R$156,
    INT(_xlpm.idx / SpriteCount) * 7 + INT(_xlpm.r / 16) + 1,
    MOD(_xlpm.r, 16) + 1
  )
)</f>
        <v>00</v>
      </c>
      <c r="O74" t="str" cm="1">
        <f t="array" ref="O74">_xlfn.LET(
  _xlpm.idx, (ROW()-3)*16 + O$1,
  _xlpm.r, MOD(_xlpm.idx, SpriteCount),
  INDEX(
    sprite_data.asm!$C$3:$R$156,
    INT(_xlpm.idx / SpriteCount) * 7 + INT(_xlpm.r / 16) + 1,
    MOD(_xlpm.r, 16) + 1
  )
)</f>
        <v>00</v>
      </c>
      <c r="P74" t="str" cm="1">
        <f t="array" ref="P74">_xlfn.LET(
  _xlpm.idx, (ROW()-3)*16 + P$1,
  _xlpm.r, MOD(_xlpm.idx, SpriteCount),
  INDEX(
    sprite_data.asm!$C$3:$R$156,
    INT(_xlpm.idx / SpriteCount) * 7 + INT(_xlpm.r / 16) + 1,
    MOD(_xlpm.r, 16) + 1
  )
)</f>
        <v>03</v>
      </c>
      <c r="Q74" t="str" cm="1">
        <f t="array" ref="Q74">_xlfn.LET(
  _xlpm.idx, (ROW()-3)*16 + Q$1,
  _xlpm.r, MOD(_xlpm.idx, SpriteCount),
  INDEX(
    sprite_data.asm!$C$3:$R$156,
    INT(_xlpm.idx / SpriteCount) * 7 + INT(_xlpm.r / 16) + 1,
    MOD(_xlpm.r, 16) + 1
  )
)</f>
        <v>01</v>
      </c>
    </row>
    <row r="75" spans="1:17" x14ac:dyDescent="0.3">
      <c r="A75" s="2" t="str">
        <f t="shared" si="5"/>
        <v>B180</v>
      </c>
      <c r="B75" t="str" cm="1">
        <f t="array" ref="B75">_xlfn.LET(
  _xlpm.idx, (ROW()-3)*16 + B$1,
  _xlpm.r, MOD(_xlpm.idx, SpriteCount),
  INDEX(
    sprite_data.asm!$C$3:$R$156,
    INT(_xlpm.idx / SpriteCount) * 7 + INT(_xlpm.r / 16) + 1,
    MOD(_xlpm.r, 16) + 1
  )
)</f>
        <v>04</v>
      </c>
      <c r="C75" t="str" cm="1">
        <f t="array" ref="C75">_xlfn.LET(
  _xlpm.idx, (ROW()-3)*16 + C$1,
  _xlpm.r, MOD(_xlpm.idx, SpriteCount),
  INDEX(
    sprite_data.asm!$C$3:$R$156,
    INT(_xlpm.idx / SpriteCount) * 7 + INT(_xlpm.r / 16) + 1,
    MOD(_xlpm.r, 16) + 1
  )
)</f>
        <v>06</v>
      </c>
      <c r="D75" t="str" cm="1">
        <f t="array" ref="D75">_xlfn.LET(
  _xlpm.idx, (ROW()-3)*16 + D$1,
  _xlpm.r, MOD(_xlpm.idx, SpriteCount),
  INDEX(
    sprite_data.asm!$C$3:$R$156,
    INT(_xlpm.idx / SpriteCount) * 7 + INT(_xlpm.r / 16) + 1,
    MOD(_xlpm.r, 16) + 1
  )
)</f>
        <v>07</v>
      </c>
      <c r="E75" t="str" cm="1">
        <f t="array" ref="E75">_xlfn.LET(
  _xlpm.idx, (ROW()-3)*16 + E$1,
  _xlpm.r, MOD(_xlpm.idx, SpriteCount),
  INDEX(
    sprite_data.asm!$C$3:$R$156,
    INT(_xlpm.idx / SpriteCount) * 7 + INT(_xlpm.r / 16) + 1,
    MOD(_xlpm.r, 16) + 1
  )
)</f>
        <v>03</v>
      </c>
      <c r="F75" t="str" cm="1">
        <f t="array" ref="F75">_xlfn.LET(
  _xlpm.idx, (ROW()-3)*16 + F$1,
  _xlpm.r, MOD(_xlpm.idx, SpriteCount),
  INDEX(
    sprite_data.asm!$C$3:$R$156,
    INT(_xlpm.idx / SpriteCount) * 7 + INT(_xlpm.r / 16) + 1,
    MOD(_xlpm.r, 16) + 1
  )
)</f>
        <v>00</v>
      </c>
      <c r="G75" t="str" cm="1">
        <f t="array" ref="G75">_xlfn.LET(
  _xlpm.idx, (ROW()-3)*16 + G$1,
  _xlpm.r, MOD(_xlpm.idx, SpriteCount),
  INDEX(
    sprite_data.asm!$C$3:$R$156,
    INT(_xlpm.idx / SpriteCount) * 7 + INT(_xlpm.r / 16) + 1,
    MOD(_xlpm.r, 16) + 1
  )
)</f>
        <v>01</v>
      </c>
      <c r="H75" t="str" cm="1">
        <f t="array" ref="H75">_xlfn.LET(
  _xlpm.idx, (ROW()-3)*16 + H$1,
  _xlpm.r, MOD(_xlpm.idx, SpriteCount),
  INDEX(
    sprite_data.asm!$C$3:$R$156,
    INT(_xlpm.idx / SpriteCount) * 7 + INT(_xlpm.r / 16) + 1,
    MOD(_xlpm.r, 16) + 1
  )
)</f>
        <v>00</v>
      </c>
      <c r="I75" t="str" cm="1">
        <f t="array" ref="I75">_xlfn.LET(
  _xlpm.idx, (ROW()-3)*16 + I$1,
  _xlpm.r, MOD(_xlpm.idx, SpriteCount),
  INDEX(
    sprite_data.asm!$C$3:$R$156,
    INT(_xlpm.idx / SpriteCount) * 7 + INT(_xlpm.r / 16) + 1,
    MOD(_xlpm.r, 16) + 1
  )
)</f>
        <v>05</v>
      </c>
      <c r="J75" t="str" cm="1">
        <f t="array" ref="J75">_xlfn.LET(
  _xlpm.idx, (ROW()-3)*16 + J$1,
  _xlpm.r, MOD(_xlpm.idx, SpriteCount),
  INDEX(
    sprite_data.asm!$C$3:$R$156,
    INT(_xlpm.idx / SpriteCount) * 7 + INT(_xlpm.r / 16) + 1,
    MOD(_xlpm.r, 16) + 1
  )
)</f>
        <v>01</v>
      </c>
      <c r="K75" t="str" cm="1">
        <f t="array" ref="K75">_xlfn.LET(
  _xlpm.idx, (ROW()-3)*16 + K$1,
  _xlpm.r, MOD(_xlpm.idx, SpriteCount),
  INDEX(
    sprite_data.asm!$C$3:$R$156,
    INT(_xlpm.idx / SpriteCount) * 7 + INT(_xlpm.r / 16) + 1,
    MOD(_xlpm.r, 16) + 1
  )
)</f>
        <v>03</v>
      </c>
      <c r="L75" t="str" cm="1">
        <f t="array" ref="L75">_xlfn.LET(
  _xlpm.idx, (ROW()-3)*16 + L$1,
  _xlpm.r, MOD(_xlpm.idx, SpriteCount),
  INDEX(
    sprite_data.asm!$C$3:$R$156,
    INT(_xlpm.idx / SpriteCount) * 7 + INT(_xlpm.r / 16) + 1,
    MOD(_xlpm.r, 16) + 1
  )
)</f>
        <v>00</v>
      </c>
      <c r="M75" t="str" cm="1">
        <f t="array" ref="M75">_xlfn.LET(
  _xlpm.idx, (ROW()-3)*16 + M$1,
  _xlpm.r, MOD(_xlpm.idx, SpriteCount),
  INDEX(
    sprite_data.asm!$C$3:$R$156,
    INT(_xlpm.idx / SpriteCount) * 7 + INT(_xlpm.r / 16) + 1,
    MOD(_xlpm.r, 16) + 1
  )
)</f>
        <v>00</v>
      </c>
      <c r="N75" t="str" cm="1">
        <f t="array" ref="N75">_xlfn.LET(
  _xlpm.idx, (ROW()-3)*16 + N$1,
  _xlpm.r, MOD(_xlpm.idx, SpriteCount),
  INDEX(
    sprite_data.asm!$C$3:$R$156,
    INT(_xlpm.idx / SpriteCount) * 7 + INT(_xlpm.r / 16) + 1,
    MOD(_xlpm.r, 16) + 1
  )
)</f>
        <v>00</v>
      </c>
      <c r="O75" t="str" cm="1">
        <f t="array" ref="O75">_xlfn.LET(
  _xlpm.idx, (ROW()-3)*16 + O$1,
  _xlpm.r, MOD(_xlpm.idx, SpriteCount),
  INDEX(
    sprite_data.asm!$C$3:$R$156,
    INT(_xlpm.idx / SpriteCount) * 7 + INT(_xlpm.r / 16) + 1,
    MOD(_xlpm.r, 16) + 1
  )
)</f>
        <v>00</v>
      </c>
      <c r="P75" t="str" cm="1">
        <f t="array" ref="P75">_xlfn.LET(
  _xlpm.idx, (ROW()-3)*16 + P$1,
  _xlpm.r, MOD(_xlpm.idx, SpriteCount),
  INDEX(
    sprite_data.asm!$C$3:$R$156,
    INT(_xlpm.idx / SpriteCount) * 7 + INT(_xlpm.r / 16) + 1,
    MOD(_xlpm.r, 16) + 1
  )
)</f>
        <v>00</v>
      </c>
      <c r="Q75" t="str" cm="1">
        <f t="array" ref="Q75">_xlfn.LET(
  _xlpm.idx, (ROW()-3)*16 + Q$1,
  _xlpm.r, MOD(_xlpm.idx, SpriteCount),
  INDEX(
    sprite_data.asm!$C$3:$R$156,
    INT(_xlpm.idx / SpriteCount) * 7 + INT(_xlpm.r / 16) + 1,
    MOD(_xlpm.r, 16) + 1
  )
)</f>
        <v>00</v>
      </c>
    </row>
    <row r="76" spans="1:17" x14ac:dyDescent="0.3">
      <c r="A76" s="2" t="str">
        <f t="shared" si="5"/>
        <v>B190</v>
      </c>
      <c r="B76" t="str" cm="1">
        <f t="array" ref="B76">_xlfn.LET(
  _xlpm.idx, (ROW()-3)*16 + B$1,
  _xlpm.r, MOD(_xlpm.idx, SpriteCount),
  INDEX(
    sprite_data.asm!$C$3:$R$156,
    INT(_xlpm.idx / SpriteCount) * 7 + INT(_xlpm.r / 16) + 1,
    MOD(_xlpm.r, 16) + 1
  )
)</f>
        <v>00</v>
      </c>
      <c r="C76" t="str" cm="1">
        <f t="array" ref="C76">_xlfn.LET(
  _xlpm.idx, (ROW()-3)*16 + C$1,
  _xlpm.r, MOD(_xlpm.idx, SpriteCount),
  INDEX(
    sprite_data.asm!$C$3:$R$156,
    INT(_xlpm.idx / SpriteCount) * 7 + INT(_xlpm.r / 16) + 1,
    MOD(_xlpm.r, 16) + 1
  )
)</f>
        <v>06</v>
      </c>
      <c r="D76" t="str" cm="1">
        <f t="array" ref="D76">_xlfn.LET(
  _xlpm.idx, (ROW()-3)*16 + D$1,
  _xlpm.r, MOD(_xlpm.idx, SpriteCount),
  INDEX(
    sprite_data.asm!$C$3:$R$156,
    INT(_xlpm.idx / SpriteCount) * 7 + INT(_xlpm.r / 16) + 1,
    MOD(_xlpm.r, 16) + 1
  )
)</f>
        <v>00</v>
      </c>
      <c r="E76" t="str" cm="1">
        <f t="array" ref="E76">_xlfn.LET(
  _xlpm.idx, (ROW()-3)*16 + E$1,
  _xlpm.r, MOD(_xlpm.idx, SpriteCount),
  INDEX(
    sprite_data.asm!$C$3:$R$156,
    INT(_xlpm.idx / SpriteCount) * 7 + INT(_xlpm.r / 16) + 1,
    MOD(_xlpm.r, 16) + 1
  )
)</f>
        <v>00</v>
      </c>
      <c r="F76" t="str" cm="1">
        <f t="array" ref="F76">_xlfn.LET(
  _xlpm.idx, (ROW()-3)*16 + F$1,
  _xlpm.r, MOD(_xlpm.idx, SpriteCount),
  INDEX(
    sprite_data.asm!$C$3:$R$156,
    INT(_xlpm.idx / SpriteCount) * 7 + INT(_xlpm.r / 16) + 1,
    MOD(_xlpm.r, 16) + 1
  )
)</f>
        <v>02</v>
      </c>
      <c r="G76" t="str" cm="1">
        <f t="array" ref="G76">_xlfn.LET(
  _xlpm.idx, (ROW()-3)*16 + G$1,
  _xlpm.r, MOD(_xlpm.idx, SpriteCount),
  INDEX(
    sprite_data.asm!$C$3:$R$156,
    INT(_xlpm.idx / SpriteCount) * 7 + INT(_xlpm.r / 16) + 1,
    MOD(_xlpm.r, 16) + 1
  )
)</f>
        <v>00</v>
      </c>
      <c r="H76" t="str" cm="1">
        <f t="array" ref="H76">_xlfn.LET(
  _xlpm.idx, (ROW()-3)*16 + H$1,
  _xlpm.r, MOD(_xlpm.idx, SpriteCount),
  INDEX(
    sprite_data.asm!$C$3:$R$156,
    INT(_xlpm.idx / SpriteCount) * 7 + INT(_xlpm.r / 16) + 1,
    MOD(_xlpm.r, 16) + 1
  )
)</f>
        <v>00</v>
      </c>
      <c r="I76" t="str" cm="1">
        <f t="array" ref="I76">_xlfn.LET(
  _xlpm.idx, (ROW()-3)*16 + I$1,
  _xlpm.r, MOD(_xlpm.idx, SpriteCount),
  INDEX(
    sprite_data.asm!$C$3:$R$156,
    INT(_xlpm.idx / SpriteCount) * 7 + INT(_xlpm.r / 16) + 1,
    MOD(_xlpm.r, 16) + 1
  )
)</f>
        <v>02</v>
      </c>
      <c r="J76" t="str" cm="1">
        <f t="array" ref="J76">_xlfn.LET(
  _xlpm.idx, (ROW()-3)*16 + J$1,
  _xlpm.r, MOD(_xlpm.idx, SpriteCount),
  INDEX(
    sprite_data.asm!$C$3:$R$156,
    INT(_xlpm.idx / SpriteCount) * 7 + INT(_xlpm.r / 16) + 1,
    MOD(_xlpm.r, 16) + 1
  )
)</f>
        <v>02</v>
      </c>
      <c r="K76" t="str" cm="1">
        <f t="array" ref="K76">_xlfn.LET(
  _xlpm.idx, (ROW()-3)*16 + K$1,
  _xlpm.r, MOD(_xlpm.idx, SpriteCount),
  INDEX(
    sprite_data.asm!$C$3:$R$156,
    INT(_xlpm.idx / SpriteCount) * 7 + INT(_xlpm.r / 16) + 1,
    MOD(_xlpm.r, 16) + 1
  )
)</f>
        <v>02</v>
      </c>
      <c r="L76" t="str" cm="1">
        <f t="array" ref="L76">_xlfn.LET(
  _xlpm.idx, (ROW()-3)*16 + L$1,
  _xlpm.r, MOD(_xlpm.idx, SpriteCount),
  INDEX(
    sprite_data.asm!$C$3:$R$156,
    INT(_xlpm.idx / SpriteCount) * 7 + INT(_xlpm.r / 16) + 1,
    MOD(_xlpm.r, 16) + 1
  )
)</f>
        <v>01</v>
      </c>
      <c r="M76" t="str" cm="1">
        <f t="array" ref="M76">_xlfn.LET(
  _xlpm.idx, (ROW()-3)*16 + M$1,
  _xlpm.r, MOD(_xlpm.idx, SpriteCount),
  INDEX(
    sprite_data.asm!$C$3:$R$156,
    INT(_xlpm.idx / SpriteCount) * 7 + INT(_xlpm.r / 16) + 1,
    MOD(_xlpm.r, 16) + 1
  )
)</f>
        <v>00</v>
      </c>
      <c r="N76" t="str" cm="1">
        <f t="array" ref="N76">_xlfn.LET(
  _xlpm.idx, (ROW()-3)*16 + N$1,
  _xlpm.r, MOD(_xlpm.idx, SpriteCount),
  INDEX(
    sprite_data.asm!$C$3:$R$156,
    INT(_xlpm.idx / SpriteCount) * 7 + INT(_xlpm.r / 16) + 1,
    MOD(_xlpm.r, 16) + 1
  )
)</f>
        <v>00</v>
      </c>
      <c r="O76" t="str" cm="1">
        <f t="array" ref="O76">_xlfn.LET(
  _xlpm.idx, (ROW()-3)*16 + O$1,
  _xlpm.r, MOD(_xlpm.idx, SpriteCount),
  INDEX(
    sprite_data.asm!$C$3:$R$156,
    INT(_xlpm.idx / SpriteCount) * 7 + INT(_xlpm.r / 16) + 1,
    MOD(_xlpm.r, 16) + 1
  )
)</f>
        <v>05</v>
      </c>
      <c r="P76" t="str" cm="1">
        <f t="array" ref="P76">_xlfn.LET(
  _xlpm.idx, (ROW()-3)*16 + P$1,
  _xlpm.r, MOD(_xlpm.idx, SpriteCount),
  INDEX(
    sprite_data.asm!$C$3:$R$156,
    INT(_xlpm.idx / SpriteCount) * 7 + INT(_xlpm.r / 16) + 1,
    MOD(_xlpm.r, 16) + 1
  )
)</f>
        <v>00</v>
      </c>
      <c r="Q76" t="str" cm="1">
        <f t="array" ref="Q76">_xlfn.LET(
  _xlpm.idx, (ROW()-3)*16 + Q$1,
  _xlpm.r, MOD(_xlpm.idx, SpriteCount),
  INDEX(
    sprite_data.asm!$C$3:$R$156,
    INT(_xlpm.idx / SpriteCount) * 7 + INT(_xlpm.r / 16) + 1,
    MOD(_xlpm.r, 16) + 1
  )
)</f>
        <v>02</v>
      </c>
    </row>
    <row r="77" spans="1:17" x14ac:dyDescent="0.3">
      <c r="A77" s="2" t="str">
        <f t="shared" si="5"/>
        <v>B1A0</v>
      </c>
      <c r="B77" t="str" cm="1">
        <f t="array" ref="B77">_xlfn.LET(
  _xlpm.idx, (ROW()-3)*16 + B$1,
  _xlpm.r, MOD(_xlpm.idx, SpriteCount),
  INDEX(
    sprite_data.asm!$C$3:$R$156,
    INT(_xlpm.idx / SpriteCount) * 7 + INT(_xlpm.r / 16) + 1,
    MOD(_xlpm.r, 16) + 1
  )
)</f>
        <v>04</v>
      </c>
      <c r="C77" t="str" cm="1">
        <f t="array" ref="C77">_xlfn.LET(
  _xlpm.idx, (ROW()-3)*16 + C$1,
  _xlpm.r, MOD(_xlpm.idx, SpriteCount),
  INDEX(
    sprite_data.asm!$C$3:$R$156,
    INT(_xlpm.idx / SpriteCount) * 7 + INT(_xlpm.r / 16) + 1,
    MOD(_xlpm.r, 16) + 1
  )
)</f>
        <v>01</v>
      </c>
      <c r="D77" t="str" cm="1">
        <f t="array" ref="D77">_xlfn.LET(
  _xlpm.idx, (ROW()-3)*16 + D$1,
  _xlpm.r, MOD(_xlpm.idx, SpriteCount),
  INDEX(
    sprite_data.asm!$C$3:$R$156,
    INT(_xlpm.idx / SpriteCount) * 7 + INT(_xlpm.r / 16) + 1,
    MOD(_xlpm.r, 16) + 1
  )
)</f>
        <v>01</v>
      </c>
      <c r="E77" t="str" cm="1">
        <f t="array" ref="E77">_xlfn.LET(
  _xlpm.idx, (ROW()-3)*16 + E$1,
  _xlpm.r, MOD(_xlpm.idx, SpriteCount),
  INDEX(
    sprite_data.asm!$C$3:$R$156,
    INT(_xlpm.idx / SpriteCount) * 7 + INT(_xlpm.r / 16) + 1,
    MOD(_xlpm.r, 16) + 1
  )
)</f>
        <v>01</v>
      </c>
      <c r="F77" t="str" cm="1">
        <f t="array" ref="F77">_xlfn.LET(
  _xlpm.idx, (ROW()-3)*16 + F$1,
  _xlpm.r, MOD(_xlpm.idx, SpriteCount),
  INDEX(
    sprite_data.asm!$C$3:$R$156,
    INT(_xlpm.idx / SpriteCount) * 7 + INT(_xlpm.r / 16) + 1,
    MOD(_xlpm.r, 16) + 1
  )
)</f>
        <v>04</v>
      </c>
      <c r="G77" t="str" cm="1">
        <f t="array" ref="G77">_xlfn.LET(
  _xlpm.idx, (ROW()-3)*16 + G$1,
  _xlpm.r, MOD(_xlpm.idx, SpriteCount),
  INDEX(
    sprite_data.asm!$C$3:$R$156,
    INT(_xlpm.idx / SpriteCount) * 7 + INT(_xlpm.r / 16) + 1,
    MOD(_xlpm.r, 16) + 1
  )
)</f>
        <v>00</v>
      </c>
      <c r="H77" t="str" cm="1">
        <f t="array" ref="H77">_xlfn.LET(
  _xlpm.idx, (ROW()-3)*16 + H$1,
  _xlpm.r, MOD(_xlpm.idx, SpriteCount),
  INDEX(
    sprite_data.asm!$C$3:$R$156,
    INT(_xlpm.idx / SpriteCount) * 7 + INT(_xlpm.r / 16) + 1,
    MOD(_xlpm.r, 16) + 1
  )
)</f>
        <v>00</v>
      </c>
      <c r="I77" t="str" cm="1">
        <f t="array" ref="I77">_xlfn.LET(
  _xlpm.idx, (ROW()-3)*16 + I$1,
  _xlpm.r, MOD(_xlpm.idx, SpriteCount),
  INDEX(
    sprite_data.asm!$C$3:$R$156,
    INT(_xlpm.idx / SpriteCount) * 7 + INT(_xlpm.r / 16) + 1,
    MOD(_xlpm.r, 16) + 1
  )
)</f>
        <v>00</v>
      </c>
      <c r="J77" t="str" cm="1">
        <f t="array" ref="J77">_xlfn.LET(
  _xlpm.idx, (ROW()-3)*16 + J$1,
  _xlpm.r, MOD(_xlpm.idx, SpriteCount),
  INDEX(
    sprite_data.asm!$C$3:$R$156,
    INT(_xlpm.idx / SpriteCount) * 7 + INT(_xlpm.r / 16) + 1,
    MOD(_xlpm.r, 16) + 1
  )
)</f>
        <v>00</v>
      </c>
      <c r="K77" t="str" cm="1">
        <f t="array" ref="K77">_xlfn.LET(
  _xlpm.idx, (ROW()-3)*16 + K$1,
  _xlpm.r, MOD(_xlpm.idx, SpriteCount),
  INDEX(
    sprite_data.asm!$C$3:$R$156,
    INT(_xlpm.idx / SpriteCount) * 7 + INT(_xlpm.r / 16) + 1,
    MOD(_xlpm.r, 16) + 1
  )
)</f>
        <v>01</v>
      </c>
      <c r="L77" t="str" cm="1">
        <f t="array" ref="L77">_xlfn.LET(
  _xlpm.idx, (ROW()-3)*16 + L$1,
  _xlpm.r, MOD(_xlpm.idx, SpriteCount),
  INDEX(
    sprite_data.asm!$C$3:$R$156,
    INT(_xlpm.idx / SpriteCount) * 7 + INT(_xlpm.r / 16) + 1,
    MOD(_xlpm.r, 16) + 1
  )
)</f>
        <v>00</v>
      </c>
      <c r="M77" t="str" cm="1">
        <f t="array" ref="M77">_xlfn.LET(
  _xlpm.idx, (ROW()-3)*16 + M$1,
  _xlpm.r, MOD(_xlpm.idx, SpriteCount),
  INDEX(
    sprite_data.asm!$C$3:$R$156,
    INT(_xlpm.idx / SpriteCount) * 7 + INT(_xlpm.r / 16) + 1,
    MOD(_xlpm.r, 16) + 1
  )
)</f>
        <v>00</v>
      </c>
      <c r="N77" t="str" cm="1">
        <f t="array" ref="N77">_xlfn.LET(
  _xlpm.idx, (ROW()-3)*16 + N$1,
  _xlpm.r, MOD(_xlpm.idx, SpriteCount),
  INDEX(
    sprite_data.asm!$C$3:$R$156,
    INT(_xlpm.idx / SpriteCount) * 7 + INT(_xlpm.r / 16) + 1,
    MOD(_xlpm.r, 16) + 1
  )
)</f>
        <v>00</v>
      </c>
      <c r="O77" t="str" cm="1">
        <f t="array" ref="O77">_xlfn.LET(
  _xlpm.idx, (ROW()-3)*16 + O$1,
  _xlpm.r, MOD(_xlpm.idx, SpriteCount),
  INDEX(
    sprite_data.asm!$C$3:$R$156,
    INT(_xlpm.idx / SpriteCount) * 7 + INT(_xlpm.r / 16) + 1,
    MOD(_xlpm.r, 16) + 1
  )
)</f>
        <v>00</v>
      </c>
      <c r="P77" t="str" cm="1">
        <f t="array" ref="P77">_xlfn.LET(
  _xlpm.idx, (ROW()-3)*16 + P$1,
  _xlpm.r, MOD(_xlpm.idx, SpriteCount),
  INDEX(
    sprite_data.asm!$C$3:$R$156,
    INT(_xlpm.idx / SpriteCount) * 7 + INT(_xlpm.r / 16) + 1,
    MOD(_xlpm.r, 16) + 1
  )
)</f>
        <v>00</v>
      </c>
      <c r="Q77" t="str" cm="1">
        <f t="array" ref="Q77">_xlfn.LET(
  _xlpm.idx, (ROW()-3)*16 + Q$1,
  _xlpm.r, MOD(_xlpm.idx, SpriteCount),
  INDEX(
    sprite_data.asm!$C$3:$R$156,
    INT(_xlpm.idx / SpriteCount) * 7 + INT(_xlpm.r / 16) + 1,
    MOD(_xlpm.r, 16) + 1
  )
)</f>
        <v>00</v>
      </c>
    </row>
    <row r="78" spans="1:17" x14ac:dyDescent="0.3">
      <c r="A78" s="2" t="str">
        <f t="shared" si="5"/>
        <v>B1B0</v>
      </c>
      <c r="B78" t="str" cm="1">
        <f t="array" ref="B78">_xlfn.LET(
  _xlpm.idx, (ROW()-3)*16 + B$1,
  _xlpm.r, MOD(_xlpm.idx, SpriteCount),
  INDEX(
    sprite_data.asm!$C$3:$R$156,
    INT(_xlpm.idx / SpriteCount) * 7 + INT(_xlpm.r / 16) + 1,
    MOD(_xlpm.r, 16) + 1
  )
)</f>
        <v>00</v>
      </c>
      <c r="C78" t="str" cm="1">
        <f t="array" ref="C78">_xlfn.LET(
  _xlpm.idx, (ROW()-3)*16 + C$1,
  _xlpm.r, MOD(_xlpm.idx, SpriteCount),
  INDEX(
    sprite_data.asm!$C$3:$R$156,
    INT(_xlpm.idx / SpriteCount) * 7 + INT(_xlpm.r / 16) + 1,
    MOD(_xlpm.r, 16) + 1
  )
)</f>
        <v>00</v>
      </c>
      <c r="D78" t="str" cm="1">
        <f t="array" ref="D78">_xlfn.LET(
  _xlpm.idx, (ROW()-3)*16 + D$1,
  _xlpm.r, MOD(_xlpm.idx, SpriteCount),
  INDEX(
    sprite_data.asm!$C$3:$R$156,
    INT(_xlpm.idx / SpriteCount) * 7 + INT(_xlpm.r / 16) + 1,
    MOD(_xlpm.r, 16) + 1
  )
)</f>
        <v>00</v>
      </c>
      <c r="E78" t="str" cm="1">
        <f t="array" ref="E78">_xlfn.LET(
  _xlpm.idx, (ROW()-3)*16 + E$1,
  _xlpm.r, MOD(_xlpm.idx, SpriteCount),
  INDEX(
    sprite_data.asm!$C$3:$R$156,
    INT(_xlpm.idx / SpriteCount) * 7 + INT(_xlpm.r / 16) + 1,
    MOD(_xlpm.r, 16) + 1
  )
)</f>
        <v>01</v>
      </c>
      <c r="F78" t="str" cm="1">
        <f t="array" ref="F78">_xlfn.LET(
  _xlpm.idx, (ROW()-3)*16 + F$1,
  _xlpm.r, MOD(_xlpm.idx, SpriteCount),
  INDEX(
    sprite_data.asm!$C$3:$R$156,
    INT(_xlpm.idx / SpriteCount) * 7 + INT(_xlpm.r / 16) + 1,
    MOD(_xlpm.r, 16) + 1
  )
)</f>
        <v>00</v>
      </c>
      <c r="G78" t="str" cm="1">
        <f t="array" ref="G78">_xlfn.LET(
  _xlpm.idx, (ROW()-3)*16 + G$1,
  _xlpm.r, MOD(_xlpm.idx, SpriteCount),
  INDEX(
    sprite_data.asm!$C$3:$R$156,
    INT(_xlpm.idx / SpriteCount) * 7 + INT(_xlpm.r / 16) + 1,
    MOD(_xlpm.r, 16) + 1
  )
)</f>
        <v>01</v>
      </c>
      <c r="H78" t="str" cm="1">
        <f t="array" ref="H78">_xlfn.LET(
  _xlpm.idx, (ROW()-3)*16 + H$1,
  _xlpm.r, MOD(_xlpm.idx, SpriteCount),
  INDEX(
    sprite_data.asm!$C$3:$R$156,
    INT(_xlpm.idx / SpriteCount) * 7 + INT(_xlpm.r / 16) + 1,
    MOD(_xlpm.r, 16) + 1
  )
)</f>
        <v>01</v>
      </c>
      <c r="I78" t="str" cm="1">
        <f t="array" ref="I78">_xlfn.LET(
  _xlpm.idx, (ROW()-3)*16 + I$1,
  _xlpm.r, MOD(_xlpm.idx, SpriteCount),
  INDEX(
    sprite_data.asm!$C$3:$R$156,
    INT(_xlpm.idx / SpriteCount) * 7 + INT(_xlpm.r / 16) + 1,
    MOD(_xlpm.r, 16) + 1
  )
)</f>
        <v>01</v>
      </c>
      <c r="J78" t="str" cm="1">
        <f t="array" ref="J78">_xlfn.LET(
  _xlpm.idx, (ROW()-3)*16 + J$1,
  _xlpm.r, MOD(_xlpm.idx, SpriteCount),
  INDEX(
    sprite_data.asm!$C$3:$R$156,
    INT(_xlpm.idx / SpriteCount) * 7 + INT(_xlpm.r / 16) + 1,
    MOD(_xlpm.r, 16) + 1
  )
)</f>
        <v>00</v>
      </c>
      <c r="K78" t="str" cm="1">
        <f t="array" ref="K78">_xlfn.LET(
  _xlpm.idx, (ROW()-3)*16 + K$1,
  _xlpm.r, MOD(_xlpm.idx, SpriteCount),
  INDEX(
    sprite_data.asm!$C$3:$R$156,
    INT(_xlpm.idx / SpriteCount) * 7 + INT(_xlpm.r / 16) + 1,
    MOD(_xlpm.r, 16) + 1
  )
)</f>
        <v>00</v>
      </c>
      <c r="L78" t="str" cm="1">
        <f t="array" ref="L78">_xlfn.LET(
  _xlpm.idx, (ROW()-3)*16 + L$1,
  _xlpm.r, MOD(_xlpm.idx, SpriteCount),
  INDEX(
    sprite_data.asm!$C$3:$R$156,
    INT(_xlpm.idx / SpriteCount) * 7 + INT(_xlpm.r / 16) + 1,
    MOD(_xlpm.r, 16) + 1
  )
)</f>
        <v>01</v>
      </c>
      <c r="M78" t="str" cm="1">
        <f t="array" ref="M78">_xlfn.LET(
  _xlpm.idx, (ROW()-3)*16 + M$1,
  _xlpm.r, MOD(_xlpm.idx, SpriteCount),
  INDEX(
    sprite_data.asm!$C$3:$R$156,
    INT(_xlpm.idx / SpriteCount) * 7 + INT(_xlpm.r / 16) + 1,
    MOD(_xlpm.r, 16) + 1
  )
)</f>
        <v>01</v>
      </c>
      <c r="N78" t="str" cm="1">
        <f t="array" ref="N78">_xlfn.LET(
  _xlpm.idx, (ROW()-3)*16 + N$1,
  _xlpm.r, MOD(_xlpm.idx, SpriteCount),
  INDEX(
    sprite_data.asm!$C$3:$R$156,
    INT(_xlpm.idx / SpriteCount) * 7 + INT(_xlpm.r / 16) + 1,
    MOD(_xlpm.r, 16) + 1
  )
)</f>
        <v>01</v>
      </c>
      <c r="O78" t="str" cm="1">
        <f t="array" ref="O78">_xlfn.LET(
  _xlpm.idx, (ROW()-3)*16 + O$1,
  _xlpm.r, MOD(_xlpm.idx, SpriteCount),
  INDEX(
    sprite_data.asm!$C$3:$R$156,
    INT(_xlpm.idx / SpriteCount) * 7 + INT(_xlpm.r / 16) + 1,
    MOD(_xlpm.r, 16) + 1
  )
)</f>
        <v>00</v>
      </c>
      <c r="P78" t="str" cm="1">
        <f t="array" ref="P78">_xlfn.LET(
  _xlpm.idx, (ROW()-3)*16 + P$1,
  _xlpm.r, MOD(_xlpm.idx, SpriteCount),
  INDEX(
    sprite_data.asm!$C$3:$R$156,
    INT(_xlpm.idx / SpriteCount) * 7 + INT(_xlpm.r / 16) + 1,
    MOD(_xlpm.r, 16) + 1
  )
)</f>
        <v>00</v>
      </c>
      <c r="Q78" t="str" cm="1">
        <f t="array" ref="Q78">_xlfn.LET(
  _xlpm.idx, (ROW()-3)*16 + Q$1,
  _xlpm.r, MOD(_xlpm.idx, SpriteCount),
  INDEX(
    sprite_data.asm!$C$3:$R$156,
    INT(_xlpm.idx / SpriteCount) * 7 + INT(_xlpm.r / 16) + 1,
    MOD(_xlpm.r, 16) + 1
  )
)</f>
        <v>00</v>
      </c>
    </row>
    <row r="79" spans="1:17" x14ac:dyDescent="0.3">
      <c r="A79" s="2" t="str">
        <f t="shared" si="5"/>
        <v>B1C0</v>
      </c>
      <c r="B79" t="str" cm="1">
        <f t="array" ref="B79">_xlfn.LET(
  _xlpm.idx, (ROW()-3)*16 + B$1,
  _xlpm.r, MOD(_xlpm.idx, SpriteCount),
  INDEX(
    sprite_data.asm!$C$3:$R$156,
    INT(_xlpm.idx / SpriteCount) * 7 + INT(_xlpm.r / 16) + 1,
    MOD(_xlpm.r, 16) + 1
  )
)</f>
        <v>00</v>
      </c>
      <c r="C79" t="str" cm="1">
        <f t="array" ref="C79">_xlfn.LET(
  _xlpm.idx, (ROW()-3)*16 + C$1,
  _xlpm.r, MOD(_xlpm.idx, SpriteCount),
  INDEX(
    sprite_data.asm!$C$3:$R$156,
    INT(_xlpm.idx / SpriteCount) * 7 + INT(_xlpm.r / 16) + 1,
    MOD(_xlpm.r, 16) + 1
  )
)</f>
        <v>00</v>
      </c>
      <c r="D79" t="str" cm="1">
        <f t="array" ref="D79">_xlfn.LET(
  _xlpm.idx, (ROW()-3)*16 + D$1,
  _xlpm.r, MOD(_xlpm.idx, SpriteCount),
  INDEX(
    sprite_data.asm!$C$3:$R$156,
    INT(_xlpm.idx / SpriteCount) * 7 + INT(_xlpm.r / 16) + 1,
    MOD(_xlpm.r, 16) + 1
  )
)</f>
        <v>00</v>
      </c>
      <c r="E79" t="str" cm="1">
        <f t="array" ref="E79">_xlfn.LET(
  _xlpm.idx, (ROW()-3)*16 + E$1,
  _xlpm.r, MOD(_xlpm.idx, SpriteCount),
  INDEX(
    sprite_data.asm!$C$3:$R$156,
    INT(_xlpm.idx / SpriteCount) * 7 + INT(_xlpm.r / 16) + 1,
    MOD(_xlpm.r, 16) + 1
  )
)</f>
        <v>00</v>
      </c>
      <c r="F79" t="str" cm="1">
        <f t="array" ref="F79">_xlfn.LET(
  _xlpm.idx, (ROW()-3)*16 + F$1,
  _xlpm.r, MOD(_xlpm.idx, SpriteCount),
  INDEX(
    sprite_data.asm!$C$3:$R$156,
    INT(_xlpm.idx / SpriteCount) * 7 + INT(_xlpm.r / 16) + 1,
    MOD(_xlpm.r, 16) + 1
  )
)</f>
        <v>00</v>
      </c>
      <c r="G79" t="str" cm="1">
        <f t="array" ref="G79">_xlfn.LET(
  _xlpm.idx, (ROW()-3)*16 + G$1,
  _xlpm.r, MOD(_xlpm.idx, SpriteCount),
  INDEX(
    sprite_data.asm!$C$3:$R$156,
    INT(_xlpm.idx / SpriteCount) * 7 + INT(_xlpm.r / 16) + 1,
    MOD(_xlpm.r, 16) + 1
  )
)</f>
        <v>00</v>
      </c>
      <c r="H79" t="str" cm="1">
        <f t="array" ref="H79">_xlfn.LET(
  _xlpm.idx, (ROW()-3)*16 + H$1,
  _xlpm.r, MOD(_xlpm.idx, SpriteCount),
  INDEX(
    sprite_data.asm!$C$3:$R$156,
    INT(_xlpm.idx / SpriteCount) * 7 + INT(_xlpm.r / 16) + 1,
    MOD(_xlpm.r, 16) + 1
  )
)</f>
        <v>00</v>
      </c>
      <c r="I79" t="str" cm="1">
        <f t="array" ref="I79">_xlfn.LET(
  _xlpm.idx, (ROW()-3)*16 + I$1,
  _xlpm.r, MOD(_xlpm.idx, SpriteCount),
  INDEX(
    sprite_data.asm!$C$3:$R$156,
    INT(_xlpm.idx / SpriteCount) * 7 + INT(_xlpm.r / 16) + 1,
    MOD(_xlpm.r, 16) + 1
  )
)</f>
        <v>00</v>
      </c>
      <c r="J79" t="str" cm="1">
        <f t="array" ref="J79">_xlfn.LET(
  _xlpm.idx, (ROW()-3)*16 + J$1,
  _xlpm.r, MOD(_xlpm.idx, SpriteCount),
  INDEX(
    sprite_data.asm!$C$3:$R$156,
    INT(_xlpm.idx / SpriteCount) * 7 + INT(_xlpm.r / 16) + 1,
    MOD(_xlpm.r, 16) + 1
  )
)</f>
        <v>00</v>
      </c>
      <c r="K79" t="str" cm="1">
        <f t="array" ref="K79">_xlfn.LET(
  _xlpm.idx, (ROW()-3)*16 + K$1,
  _xlpm.r, MOD(_xlpm.idx, SpriteCount),
  INDEX(
    sprite_data.asm!$C$3:$R$156,
    INT(_xlpm.idx / SpriteCount) * 7 + INT(_xlpm.r / 16) + 1,
    MOD(_xlpm.r, 16) + 1
  )
)</f>
        <v>00</v>
      </c>
      <c r="L79" t="str" cm="1">
        <f t="array" ref="L79">_xlfn.LET(
  _xlpm.idx, (ROW()-3)*16 + L$1,
  _xlpm.r, MOD(_xlpm.idx, SpriteCount),
  INDEX(
    sprite_data.asm!$C$3:$R$156,
    INT(_xlpm.idx / SpriteCount) * 7 + INT(_xlpm.r / 16) + 1,
    MOD(_xlpm.r, 16) + 1
  )
)</f>
        <v>00</v>
      </c>
      <c r="M79" t="str" cm="1">
        <f t="array" ref="M79">_xlfn.LET(
  _xlpm.idx, (ROW()-3)*16 + M$1,
  _xlpm.r, MOD(_xlpm.idx, SpriteCount),
  INDEX(
    sprite_data.asm!$C$3:$R$156,
    INT(_xlpm.idx / SpriteCount) * 7 + INT(_xlpm.r / 16) + 1,
    MOD(_xlpm.r, 16) + 1
  )
)</f>
        <v>00</v>
      </c>
      <c r="N79" t="str" cm="1">
        <f t="array" ref="N79">_xlfn.LET(
  _xlpm.idx, (ROW()-3)*16 + N$1,
  _xlpm.r, MOD(_xlpm.idx, SpriteCount),
  INDEX(
    sprite_data.asm!$C$3:$R$156,
    INT(_xlpm.idx / SpriteCount) * 7 + INT(_xlpm.r / 16) + 1,
    MOD(_xlpm.r, 16) + 1
  )
)</f>
        <v>00</v>
      </c>
      <c r="O79" t="str" cm="1">
        <f t="array" ref="O79">_xlfn.LET(
  _xlpm.idx, (ROW()-3)*16 + O$1,
  _xlpm.r, MOD(_xlpm.idx, SpriteCount),
  INDEX(
    sprite_data.asm!$C$3:$R$156,
    INT(_xlpm.idx / SpriteCount) * 7 + INT(_xlpm.r / 16) + 1,
    MOD(_xlpm.r, 16) + 1
  )
)</f>
        <v>00</v>
      </c>
      <c r="P79" t="str" cm="1">
        <f t="array" ref="P79">_xlfn.LET(
  _xlpm.idx, (ROW()-3)*16 + P$1,
  _xlpm.r, MOD(_xlpm.idx, SpriteCount),
  INDEX(
    sprite_data.asm!$C$3:$R$156,
    INT(_xlpm.idx / SpriteCount) * 7 + INT(_xlpm.r / 16) + 1,
    MOD(_xlpm.r, 16) + 1
  )
)</f>
        <v>00</v>
      </c>
      <c r="Q79" t="str" cm="1">
        <f t="array" ref="Q79">_xlfn.LET(
  _xlpm.idx, (ROW()-3)*16 + Q$1,
  _xlpm.r, MOD(_xlpm.idx, SpriteCount),
  INDEX(
    sprite_data.asm!$C$3:$R$156,
    INT(_xlpm.idx / SpriteCount) * 7 + INT(_xlpm.r / 16) + 1,
    MOD(_xlpm.r, 16) + 1
  )
)</f>
        <v>00</v>
      </c>
    </row>
    <row r="80" spans="1:17" x14ac:dyDescent="0.3">
      <c r="A80" s="2" t="str">
        <f t="shared" si="5"/>
        <v>B1D0</v>
      </c>
      <c r="B80" t="str" cm="1">
        <f t="array" ref="B80">_xlfn.LET(
  _xlpm.idx, (ROW()-3)*16 + B$1,
  _xlpm.r, MOD(_xlpm.idx, SpriteCount),
  INDEX(
    sprite_data.asm!$C$3:$R$156,
    INT(_xlpm.idx / SpriteCount) * 7 + INT(_xlpm.r / 16) + 1,
    MOD(_xlpm.r, 16) + 1
  )
)</f>
        <v>00</v>
      </c>
      <c r="C80" t="str" cm="1">
        <f t="array" ref="C80">_xlfn.LET(
  _xlpm.idx, (ROW()-3)*16 + C$1,
  _xlpm.r, MOD(_xlpm.idx, SpriteCount),
  INDEX(
    sprite_data.asm!$C$3:$R$156,
    INT(_xlpm.idx / SpriteCount) * 7 + INT(_xlpm.r / 16) + 1,
    MOD(_xlpm.r, 16) + 1
  )
)</f>
        <v>00</v>
      </c>
      <c r="D80" t="str" cm="1">
        <f t="array" ref="D80">_xlfn.LET(
  _xlpm.idx, (ROW()-3)*16 + D$1,
  _xlpm.r, MOD(_xlpm.idx, SpriteCount),
  INDEX(
    sprite_data.asm!$C$3:$R$156,
    INT(_xlpm.idx / SpriteCount) * 7 + INT(_xlpm.r / 16) + 1,
    MOD(_xlpm.r, 16) + 1
  )
)</f>
        <v>00</v>
      </c>
      <c r="E80" t="str" cm="1">
        <f t="array" ref="E80">_xlfn.LET(
  _xlpm.idx, (ROW()-3)*16 + E$1,
  _xlpm.r, MOD(_xlpm.idx, SpriteCount),
  INDEX(
    sprite_data.asm!$C$3:$R$156,
    INT(_xlpm.idx / SpriteCount) * 7 + INT(_xlpm.r / 16) + 1,
    MOD(_xlpm.r, 16) + 1
  )
)</f>
        <v>00</v>
      </c>
      <c r="F80" t="str" cm="1">
        <f t="array" ref="F80">_xlfn.LET(
  _xlpm.idx, (ROW()-3)*16 + F$1,
  _xlpm.r, MOD(_xlpm.idx, SpriteCount),
  INDEX(
    sprite_data.asm!$C$3:$R$156,
    INT(_xlpm.idx / SpriteCount) * 7 + INT(_xlpm.r / 16) + 1,
    MOD(_xlpm.r, 16) + 1
  )
)</f>
        <v>00</v>
      </c>
      <c r="G80" t="str" cm="1">
        <f t="array" ref="G80">_xlfn.LET(
  _xlpm.idx, (ROW()-3)*16 + G$1,
  _xlpm.r, MOD(_xlpm.idx, SpriteCount),
  INDEX(
    sprite_data.asm!$C$3:$R$156,
    INT(_xlpm.idx / SpriteCount) * 7 + INT(_xlpm.r / 16) + 1,
    MOD(_xlpm.r, 16) + 1
  )
)</f>
        <v>00</v>
      </c>
      <c r="H80" t="str" cm="1">
        <f t="array" ref="H80">_xlfn.LET(
  _xlpm.idx, (ROW()-3)*16 + H$1,
  _xlpm.r, MOD(_xlpm.idx, SpriteCount),
  INDEX(
    sprite_data.asm!$C$3:$R$156,
    INT(_xlpm.idx / SpriteCount) * 7 + INT(_xlpm.r / 16) + 1,
    MOD(_xlpm.r, 16) + 1
  )
)</f>
        <v>00</v>
      </c>
      <c r="I80" t="str" cm="1">
        <f t="array" ref="I80">_xlfn.LET(
  _xlpm.idx, (ROW()-3)*16 + I$1,
  _xlpm.r, MOD(_xlpm.idx, SpriteCount),
  INDEX(
    sprite_data.asm!$C$3:$R$156,
    INT(_xlpm.idx / SpriteCount) * 7 + INT(_xlpm.r / 16) + 1,
    MOD(_xlpm.r, 16) + 1
  )
)</f>
        <v>00</v>
      </c>
      <c r="J80" t="str" cm="1">
        <f t="array" ref="J80">_xlfn.LET(
  _xlpm.idx, (ROW()-3)*16 + J$1,
  _xlpm.r, MOD(_xlpm.idx, SpriteCount),
  INDEX(
    sprite_data.asm!$C$3:$R$156,
    INT(_xlpm.idx / SpriteCount) * 7 + INT(_xlpm.r / 16) + 1,
    MOD(_xlpm.r, 16) + 1
  )
)</f>
        <v>00</v>
      </c>
      <c r="K80" t="str" cm="1">
        <f t="array" ref="K80">_xlfn.LET(
  _xlpm.idx, (ROW()-3)*16 + K$1,
  _xlpm.r, MOD(_xlpm.idx, SpriteCount),
  INDEX(
    sprite_data.asm!$C$3:$R$156,
    INT(_xlpm.idx / SpriteCount) * 7 + INT(_xlpm.r / 16) + 1,
    MOD(_xlpm.r, 16) + 1
  )
)</f>
        <v>00</v>
      </c>
      <c r="L80" t="str" cm="1">
        <f t="array" ref="L80">_xlfn.LET(
  _xlpm.idx, (ROW()-3)*16 + L$1,
  _xlpm.r, MOD(_xlpm.idx, SpriteCount),
  INDEX(
    sprite_data.asm!$C$3:$R$156,
    INT(_xlpm.idx / SpriteCount) * 7 + INT(_xlpm.r / 16) + 1,
    MOD(_xlpm.r, 16) + 1
  )
)</f>
        <v>00</v>
      </c>
      <c r="M80" t="str" cm="1">
        <f t="array" ref="M80">_xlfn.LET(
  _xlpm.idx, (ROW()-3)*16 + M$1,
  _xlpm.r, MOD(_xlpm.idx, SpriteCount),
  INDEX(
    sprite_data.asm!$C$3:$R$156,
    INT(_xlpm.idx / SpriteCount) * 7 + INT(_xlpm.r / 16) + 1,
    MOD(_xlpm.r, 16) + 1
  )
)</f>
        <v>00</v>
      </c>
      <c r="N80" t="str" cm="1">
        <f t="array" ref="N80">_xlfn.LET(
  _xlpm.idx, (ROW()-3)*16 + N$1,
  _xlpm.r, MOD(_xlpm.idx, SpriteCount),
  INDEX(
    sprite_data.asm!$C$3:$R$156,
    INT(_xlpm.idx / SpriteCount) * 7 + INT(_xlpm.r / 16) + 1,
    MOD(_xlpm.r, 16) + 1
  )
)</f>
        <v>02</v>
      </c>
      <c r="O80" t="str" cm="1">
        <f t="array" ref="O80">_xlfn.LET(
  _xlpm.idx, (ROW()-3)*16 + O$1,
  _xlpm.r, MOD(_xlpm.idx, SpriteCount),
  INDEX(
    sprite_data.asm!$C$3:$R$156,
    INT(_xlpm.idx / SpriteCount) * 7 + INT(_xlpm.r / 16) + 1,
    MOD(_xlpm.r, 16) + 1
  )
)</f>
        <v>00</v>
      </c>
      <c r="P80" t="str" cm="1">
        <f t="array" ref="P80">_xlfn.LET(
  _xlpm.idx, (ROW()-3)*16 + P$1,
  _xlpm.r, MOD(_xlpm.idx, SpriteCount),
  INDEX(
    sprite_data.asm!$C$3:$R$156,
    INT(_xlpm.idx / SpriteCount) * 7 + INT(_xlpm.r / 16) + 1,
    MOD(_xlpm.r, 16) + 1
  )
)</f>
        <v>08</v>
      </c>
      <c r="Q80" t="str" cm="1">
        <f t="array" ref="Q80">_xlfn.LET(
  _xlpm.idx, (ROW()-3)*16 + Q$1,
  _xlpm.r, MOD(_xlpm.idx, SpriteCount),
  INDEX(
    sprite_data.asm!$C$3:$R$156,
    INT(_xlpm.idx / SpriteCount) * 7 + INT(_xlpm.r / 16) + 1,
    MOD(_xlpm.r, 16) + 1
  )
)</f>
        <v>20</v>
      </c>
    </row>
    <row r="81" spans="1:17" x14ac:dyDescent="0.3">
      <c r="A81" s="2" t="str">
        <f t="shared" si="5"/>
        <v>B1E0</v>
      </c>
      <c r="B81" t="str" cm="1">
        <f t="array" ref="B81">_xlfn.LET(
  _xlpm.idx, (ROW()-3)*16 + B$1,
  _xlpm.r, MOD(_xlpm.idx, SpriteCount),
  INDEX(
    sprite_data.asm!$C$3:$R$156,
    INT(_xlpm.idx / SpriteCount) * 7 + INT(_xlpm.r / 16) + 1,
    MOD(_xlpm.r, 16) + 1
  )
)</f>
        <v>00</v>
      </c>
      <c r="C81" t="str" cm="1">
        <f t="array" ref="C81">_xlfn.LET(
  _xlpm.idx, (ROW()-3)*16 + C$1,
  _xlpm.r, MOD(_xlpm.idx, SpriteCount),
  INDEX(
    sprite_data.asm!$C$3:$R$156,
    INT(_xlpm.idx / SpriteCount) * 7 + INT(_xlpm.r / 16) + 1,
    MOD(_xlpm.r, 16) + 1
  )
)</f>
        <v>51</v>
      </c>
      <c r="D81" t="str" cm="1">
        <f t="array" ref="D81">_xlfn.LET(
  _xlpm.idx, (ROW()-3)*16 + D$1,
  _xlpm.r, MOD(_xlpm.idx, SpriteCount),
  INDEX(
    sprite_data.asm!$C$3:$R$156,
    INT(_xlpm.idx / SpriteCount) * 7 + INT(_xlpm.r / 16) + 1,
    MOD(_xlpm.r, 16) + 1
  )
)</f>
        <v>55</v>
      </c>
      <c r="E81" t="str" cm="1">
        <f t="array" ref="E81">_xlfn.LET(
  _xlpm.idx, (ROW()-3)*16 + E$1,
  _xlpm.r, MOD(_xlpm.idx, SpriteCount),
  INDEX(
    sprite_data.asm!$C$3:$R$156,
    INT(_xlpm.idx / SpriteCount) * 7 + INT(_xlpm.r / 16) + 1,
    MOD(_xlpm.r, 16) + 1
  )
)</f>
        <v>06</v>
      </c>
      <c r="F81" t="str" cm="1">
        <f t="array" ref="F81">_xlfn.LET(
  _xlpm.idx, (ROW()-3)*16 + F$1,
  _xlpm.r, MOD(_xlpm.idx, SpriteCount),
  INDEX(
    sprite_data.asm!$C$3:$R$156,
    INT(_xlpm.idx / SpriteCount) * 7 + INT(_xlpm.r / 16) + 1,
    MOD(_xlpm.r, 16) + 1
  )
)</f>
        <v>00</v>
      </c>
      <c r="G81" t="str" cm="1">
        <f t="array" ref="G81">_xlfn.LET(
  _xlpm.idx, (ROW()-3)*16 + G$1,
  _xlpm.r, MOD(_xlpm.idx, SpriteCount),
  INDEX(
    sprite_data.asm!$C$3:$R$156,
    INT(_xlpm.idx / SpriteCount) * 7 + INT(_xlpm.r / 16) + 1,
    MOD(_xlpm.r, 16) + 1
  )
)</f>
        <v>30</v>
      </c>
      <c r="H81" t="str" cm="1">
        <f t="array" ref="H81">_xlfn.LET(
  _xlpm.idx, (ROW()-3)*16 + H$1,
  _xlpm.r, MOD(_xlpm.idx, SpriteCount),
  INDEX(
    sprite_data.asm!$C$3:$R$156,
    INT(_xlpm.idx / SpriteCount) * 7 + INT(_xlpm.r / 16) + 1,
    MOD(_xlpm.r, 16) + 1
  )
)</f>
        <v>00</v>
      </c>
      <c r="I81" t="str" cm="1">
        <f t="array" ref="I81">_xlfn.LET(
  _xlpm.idx, (ROW()-3)*16 + I$1,
  _xlpm.r, MOD(_xlpm.idx, SpriteCount),
  INDEX(
    sprite_data.asm!$C$3:$R$156,
    INT(_xlpm.idx / SpriteCount) * 7 + INT(_xlpm.r / 16) + 1,
    MOD(_xlpm.r, 16) + 1
  )
)</f>
        <v>28</v>
      </c>
      <c r="J81" t="str" cm="1">
        <f t="array" ref="J81">_xlfn.LET(
  _xlpm.idx, (ROW()-3)*16 + J$1,
  _xlpm.r, MOD(_xlpm.idx, SpriteCount),
  INDEX(
    sprite_data.asm!$C$3:$R$156,
    INT(_xlpm.idx / SpriteCount) * 7 + INT(_xlpm.r / 16) + 1,
    MOD(_xlpm.r, 16) + 1
  )
)</f>
        <v>60</v>
      </c>
      <c r="K81" t="str" cm="1">
        <f t="array" ref="K81">_xlfn.LET(
  _xlpm.idx, (ROW()-3)*16 + K$1,
  _xlpm.r, MOD(_xlpm.idx, SpriteCount),
  INDEX(
    sprite_data.asm!$C$3:$R$156,
    INT(_xlpm.idx / SpriteCount) * 7 + INT(_xlpm.r / 16) + 1,
    MOD(_xlpm.r, 16) + 1
  )
)</f>
        <v>30</v>
      </c>
      <c r="L81" t="str" cm="1">
        <f t="array" ref="L81">_xlfn.LET(
  _xlpm.idx, (ROW()-3)*16 + L$1,
  _xlpm.r, MOD(_xlpm.idx, SpriteCount),
  INDEX(
    sprite_data.asm!$C$3:$R$156,
    INT(_xlpm.idx / SpriteCount) * 7 + INT(_xlpm.r / 16) + 1,
    MOD(_xlpm.r, 16) + 1
  )
)</f>
        <v>7F</v>
      </c>
      <c r="M81" t="str" cm="1">
        <f t="array" ref="M81">_xlfn.LET(
  _xlpm.idx, (ROW()-3)*16 + M$1,
  _xlpm.r, MOD(_xlpm.idx, SpriteCount),
  INDEX(
    sprite_data.asm!$C$3:$R$156,
    INT(_xlpm.idx / SpriteCount) * 7 + INT(_xlpm.r / 16) + 1,
    MOD(_xlpm.r, 16) + 1
  )
)</f>
        <v>30</v>
      </c>
      <c r="N81" t="str" cm="1">
        <f t="array" ref="N81">_xlfn.LET(
  _xlpm.idx, (ROW()-3)*16 + N$1,
  _xlpm.r, MOD(_xlpm.idx, SpriteCount),
  INDEX(
    sprite_data.asm!$C$3:$R$156,
    INT(_xlpm.idx / SpriteCount) * 7 + INT(_xlpm.r / 16) + 1,
    MOD(_xlpm.r, 16) + 1
  )
)</f>
        <v>7B</v>
      </c>
      <c r="O81" t="str" cm="1">
        <f t="array" ref="O81">_xlfn.LET(
  _xlpm.idx, (ROW()-3)*16 + O$1,
  _xlpm.r, MOD(_xlpm.idx, SpriteCount),
  INDEX(
    sprite_data.asm!$C$3:$R$156,
    INT(_xlpm.idx / SpriteCount) * 7 + INT(_xlpm.r / 16) + 1,
    MOD(_xlpm.r, 16) + 1
  )
)</f>
        <v>18</v>
      </c>
      <c r="P81" t="str" cm="1">
        <f t="array" ref="P81">_xlfn.LET(
  _xlpm.idx, (ROW()-3)*16 + P$1,
  _xlpm.r, MOD(_xlpm.idx, SpriteCount),
  INDEX(
    sprite_data.asm!$C$3:$R$156,
    INT(_xlpm.idx / SpriteCount) * 7 + INT(_xlpm.r / 16) + 1,
    MOD(_xlpm.r, 16) + 1
  )
)</f>
        <v>70</v>
      </c>
      <c r="Q81" t="str" cm="1">
        <f t="array" ref="Q81">_xlfn.LET(
  _xlpm.idx, (ROW()-3)*16 + Q$1,
  _xlpm.r, MOD(_xlpm.idx, SpriteCount),
  INDEX(
    sprite_data.asm!$C$3:$R$156,
    INT(_xlpm.idx / SpriteCount) * 7 + INT(_xlpm.r / 16) + 1,
    MOD(_xlpm.r, 16) + 1
  )
)</f>
        <v>42</v>
      </c>
    </row>
    <row r="82" spans="1:17" x14ac:dyDescent="0.3">
      <c r="A82" s="2" t="str">
        <f t="shared" si="5"/>
        <v>B1F0</v>
      </c>
      <c r="B82" t="str" cm="1">
        <f t="array" ref="B82">_xlfn.LET(
  _xlpm.idx, (ROW()-3)*16 + B$1,
  _xlpm.r, MOD(_xlpm.idx, SpriteCount),
  INDEX(
    sprite_data.asm!$C$3:$R$156,
    INT(_xlpm.idx / SpriteCount) * 7 + INT(_xlpm.r / 16) + 1,
    MOD(_xlpm.r, 16) + 1
  )
)</f>
        <v>78</v>
      </c>
      <c r="C82" t="str" cm="1">
        <f t="array" ref="C82">_xlfn.LET(
  _xlpm.idx, (ROW()-3)*16 + C$1,
  _xlpm.r, MOD(_xlpm.idx, SpriteCount),
  INDEX(
    sprite_data.asm!$C$3:$R$156,
    INT(_xlpm.idx / SpriteCount) * 7 + INT(_xlpm.r / 16) + 1,
    MOD(_xlpm.r, 16) + 1
  )
)</f>
        <v>60</v>
      </c>
      <c r="D82" t="str" cm="1">
        <f t="array" ref="D82">_xlfn.LET(
  _xlpm.idx, (ROW()-3)*16 + D$1,
  _xlpm.r, MOD(_xlpm.idx, SpriteCount),
  INDEX(
    sprite_data.asm!$C$3:$R$156,
    INT(_xlpm.idx / SpriteCount) * 7 + INT(_xlpm.r / 16) + 1,
    MOD(_xlpm.r, 16) + 1
  )
)</f>
        <v>38</v>
      </c>
      <c r="E82" t="str" cm="1">
        <f t="array" ref="E82">_xlfn.LET(
  _xlpm.idx, (ROW()-3)*16 + E$1,
  _xlpm.r, MOD(_xlpm.idx, SpriteCount),
  INDEX(
    sprite_data.asm!$C$3:$R$156,
    INT(_xlpm.idx / SpriteCount) * 7 + INT(_xlpm.r / 16) + 1,
    MOD(_xlpm.r, 16) + 1
  )
)</f>
        <v>78</v>
      </c>
      <c r="F82" t="str" cm="1">
        <f t="array" ref="F82">_xlfn.LET(
  _xlpm.idx, (ROW()-3)*16 + F$1,
  _xlpm.r, MOD(_xlpm.idx, SpriteCount),
  INDEX(
    sprite_data.asm!$C$3:$R$156,
    INT(_xlpm.idx / SpriteCount) * 7 + INT(_xlpm.r / 16) + 1,
    MOD(_xlpm.r, 16) + 1
  )
)</f>
        <v>78</v>
      </c>
      <c r="G82" t="str" cm="1">
        <f t="array" ref="G82">_xlfn.LET(
  _xlpm.idx, (ROW()-3)*16 + G$1,
  _xlpm.r, MOD(_xlpm.idx, SpriteCount),
  INDEX(
    sprite_data.asm!$C$3:$R$156,
    INT(_xlpm.idx / SpriteCount) * 7 + INT(_xlpm.r / 16) + 1,
    MOD(_xlpm.r, 16) + 1
  )
)</f>
        <v>18</v>
      </c>
      <c r="H82" t="str" cm="1">
        <f t="array" ref="H82">_xlfn.LET(
  _xlpm.idx, (ROW()-3)*16 + H$1,
  _xlpm.r, MOD(_xlpm.idx, SpriteCount),
  INDEX(
    sprite_data.asm!$C$3:$R$156,
    INT(_xlpm.idx / SpriteCount) * 7 + INT(_xlpm.r / 16) + 1,
    MOD(_xlpm.r, 16) + 1
  )
)</f>
        <v>18</v>
      </c>
      <c r="I82" t="str" cm="1">
        <f t="array" ref="I82">_xlfn.LET(
  _xlpm.idx, (ROW()-3)*16 + I$1,
  _xlpm.r, MOD(_xlpm.idx, SpriteCount),
  INDEX(
    sprite_data.asm!$C$3:$R$156,
    INT(_xlpm.idx / SpriteCount) * 7 + INT(_xlpm.r / 16) + 1,
    MOD(_xlpm.r, 16) + 1
  )
)</f>
        <v>60</v>
      </c>
      <c r="J82" t="str" cm="1">
        <f t="array" ref="J82">_xlfn.LET(
  _xlpm.idx, (ROW()-3)*16 + J$1,
  _xlpm.r, MOD(_xlpm.idx, SpriteCount),
  INDEX(
    sprite_data.asm!$C$3:$R$156,
    INT(_xlpm.idx / SpriteCount) * 7 + INT(_xlpm.r / 16) + 1,
    MOD(_xlpm.r, 16) + 1
  )
)</f>
        <v>60</v>
      </c>
      <c r="K82" t="str" cm="1">
        <f t="array" ref="K82">_xlfn.LET(
  _xlpm.idx, (ROW()-3)*16 + K$1,
  _xlpm.r, MOD(_xlpm.idx, SpriteCount),
  INDEX(
    sprite_data.asm!$C$3:$R$156,
    INT(_xlpm.idx / SpriteCount) * 7 + INT(_xlpm.r / 16) + 1,
    MOD(_xlpm.r, 16) + 1
  )
)</f>
        <v>60</v>
      </c>
      <c r="L82" t="str" cm="1">
        <f t="array" ref="L82">_xlfn.LET(
  _xlpm.idx, (ROW()-3)*16 + L$1,
  _xlpm.r, MOD(_xlpm.idx, SpriteCount),
  INDEX(
    sprite_data.asm!$C$3:$R$156,
    INT(_xlpm.idx / SpriteCount) * 7 + INT(_xlpm.r / 16) + 1,
    MOD(_xlpm.r, 16) + 1
  )
)</f>
        <v>18</v>
      </c>
      <c r="M82" t="str" cm="1">
        <f t="array" ref="M82">_xlfn.LET(
  _xlpm.idx, (ROW()-3)*16 + M$1,
  _xlpm.r, MOD(_xlpm.idx, SpriteCount),
  INDEX(
    sprite_data.asm!$C$3:$R$156,
    INT(_xlpm.idx / SpriteCount) * 7 + INT(_xlpm.r / 16) + 1,
    MOD(_xlpm.r, 16) + 1
  )
)</f>
        <v>10</v>
      </c>
      <c r="N82" t="str" cm="1">
        <f t="array" ref="N82">_xlfn.LET(
  _xlpm.idx, (ROW()-3)*16 + N$1,
  _xlpm.r, MOD(_xlpm.idx, SpriteCount),
  INDEX(
    sprite_data.asm!$C$3:$R$156,
    INT(_xlpm.idx / SpriteCount) * 7 + INT(_xlpm.r / 16) + 1,
    MOD(_xlpm.r, 16) + 1
  )
)</f>
        <v>01</v>
      </c>
      <c r="O82" t="str" cm="1">
        <f t="array" ref="O82">_xlfn.LET(
  _xlpm.idx, (ROW()-3)*16 + O$1,
  _xlpm.r, MOD(_xlpm.idx, SpriteCount),
  INDEX(
    sprite_data.asm!$C$3:$R$156,
    INT(_xlpm.idx / SpriteCount) * 7 + INT(_xlpm.r / 16) + 1,
    MOD(_xlpm.r, 16) + 1
  )
)</f>
        <v>00</v>
      </c>
      <c r="P82" t="str" cm="1">
        <f t="array" ref="P82">_xlfn.LET(
  _xlpm.idx, (ROW()-3)*16 + P$1,
  _xlpm.r, MOD(_xlpm.idx, SpriteCount),
  INDEX(
    sprite_data.asm!$C$3:$R$156,
    INT(_xlpm.idx / SpriteCount) * 7 + INT(_xlpm.r / 16) + 1,
    MOD(_xlpm.r, 16) + 1
  )
)</f>
        <v>00</v>
      </c>
      <c r="Q82" t="str" cm="1">
        <f t="array" ref="Q82">_xlfn.LET(
  _xlpm.idx, (ROW()-3)*16 + Q$1,
  _xlpm.r, MOD(_xlpm.idx, SpriteCount),
  INDEX(
    sprite_data.asm!$C$3:$R$156,
    INT(_xlpm.idx / SpriteCount) * 7 + INT(_xlpm.r / 16) + 1,
    MOD(_xlpm.r, 16) + 1
  )
)</f>
        <v>51</v>
      </c>
    </row>
    <row r="83" spans="1:17" x14ac:dyDescent="0.3">
      <c r="A83" s="2" t="str">
        <f t="shared" si="5"/>
        <v>B200</v>
      </c>
      <c r="B83" t="str" cm="1">
        <f t="array" ref="B83">_xlfn.LET(
  _xlpm.idx, (ROW()-3)*16 + B$1,
  _xlpm.r, MOD(_xlpm.idx, SpriteCount),
  INDEX(
    sprite_data.asm!$C$3:$R$156,
    INT(_xlpm.idx / SpriteCount) * 7 + INT(_xlpm.r / 16) + 1,
    MOD(_xlpm.r, 16) + 1
  )
)</f>
        <v>51</v>
      </c>
      <c r="C83" t="str" cm="1">
        <f t="array" ref="C83">_xlfn.LET(
  _xlpm.idx, (ROW()-3)*16 + C$1,
  _xlpm.r, MOD(_xlpm.idx, SpriteCount),
  INDEX(
    sprite_data.asm!$C$3:$R$156,
    INT(_xlpm.idx / SpriteCount) * 7 + INT(_xlpm.r / 16) + 1,
    MOD(_xlpm.r, 16) + 1
  )
)</f>
        <v>51</v>
      </c>
      <c r="D83" t="str" cm="1">
        <f t="array" ref="D83">_xlfn.LET(
  _xlpm.idx, (ROW()-3)*16 + D$1,
  _xlpm.r, MOD(_xlpm.idx, SpriteCount),
  INDEX(
    sprite_data.asm!$C$3:$R$156,
    INT(_xlpm.idx / SpriteCount) * 7 + INT(_xlpm.r / 16) + 1,
    MOD(_xlpm.r, 16) + 1
  )
)</f>
        <v>00</v>
      </c>
      <c r="E83" t="str" cm="1">
        <f t="array" ref="E83">_xlfn.LET(
  _xlpm.idx, (ROW()-3)*16 + E$1,
  _xlpm.r, MOD(_xlpm.idx, SpriteCount),
  INDEX(
    sprite_data.asm!$C$3:$R$156,
    INT(_xlpm.idx / SpriteCount) * 7 + INT(_xlpm.r / 16) + 1,
    MOD(_xlpm.r, 16) + 1
  )
)</f>
        <v>20</v>
      </c>
      <c r="F83" t="str" cm="1">
        <f t="array" ref="F83">_xlfn.LET(
  _xlpm.idx, (ROW()-3)*16 + F$1,
  _xlpm.r, MOD(_xlpm.idx, SpriteCount),
  INDEX(
    sprite_data.asm!$C$3:$R$156,
    INT(_xlpm.idx / SpriteCount) * 7 + INT(_xlpm.r / 16) + 1,
    MOD(_xlpm.r, 16) + 1
  )
)</f>
        <v>00</v>
      </c>
      <c r="G83" t="str" cm="1">
        <f t="array" ref="G83">_xlfn.LET(
  _xlpm.idx, (ROW()-3)*16 + G$1,
  _xlpm.r, MOD(_xlpm.idx, SpriteCount),
  INDEX(
    sprite_data.asm!$C$3:$R$156,
    INT(_xlpm.idx / SpriteCount) * 7 + INT(_xlpm.r / 16) + 1,
    MOD(_xlpm.r, 16) + 1
  )
)</f>
        <v>18</v>
      </c>
      <c r="H83" t="str" cm="1">
        <f t="array" ref="H83">_xlfn.LET(
  _xlpm.idx, (ROW()-3)*16 + H$1,
  _xlpm.r, MOD(_xlpm.idx, SpriteCount),
  INDEX(
    sprite_data.asm!$C$3:$R$156,
    INT(_xlpm.idx / SpriteCount) * 7 + INT(_xlpm.r / 16) + 1,
    MOD(_xlpm.r, 16) + 1
  )
)</f>
        <v>10</v>
      </c>
      <c r="I83" t="str" cm="1">
        <f t="array" ref="I83">_xlfn.LET(
  _xlpm.idx, (ROW()-3)*16 + I$1,
  _xlpm.r, MOD(_xlpm.idx, SpriteCount),
  INDEX(
    sprite_data.asm!$C$3:$R$156,
    INT(_xlpm.idx / SpriteCount) * 7 + INT(_xlpm.r / 16) + 1,
    MOD(_xlpm.r, 16) + 1
  )
)</f>
        <v>05</v>
      </c>
      <c r="J83" t="str" cm="1">
        <f t="array" ref="J83">_xlfn.LET(
  _xlpm.idx, (ROW()-3)*16 + J$1,
  _xlpm.r, MOD(_xlpm.idx, SpriteCount),
  INDEX(
    sprite_data.asm!$C$3:$R$156,
    INT(_xlpm.idx / SpriteCount) * 7 + INT(_xlpm.r / 16) + 1,
    MOD(_xlpm.r, 16) + 1
  )
)</f>
        <v>30</v>
      </c>
      <c r="K83" t="str" cm="1">
        <f t="array" ref="K83">_xlfn.LET(
  _xlpm.idx, (ROW()-3)*16 + K$1,
  _xlpm.r, MOD(_xlpm.idx, SpriteCount),
  INDEX(
    sprite_data.asm!$C$3:$R$156,
    INT(_xlpm.idx / SpriteCount) * 7 + INT(_xlpm.r / 16) + 1,
    MOD(_xlpm.r, 16) + 1
  )
)</f>
        <v>60</v>
      </c>
      <c r="L83" t="str" cm="1">
        <f t="array" ref="L83">_xlfn.LET(
  _xlpm.idx, (ROW()-3)*16 + L$1,
  _xlpm.r, MOD(_xlpm.idx, SpriteCount),
  INDEX(
    sprite_data.asm!$C$3:$R$156,
    INT(_xlpm.idx / SpriteCount) * 7 + INT(_xlpm.r / 16) + 1,
    MOD(_xlpm.r, 16) + 1
  )
)</f>
        <v>60</v>
      </c>
      <c r="M83" t="str" cm="1">
        <f t="array" ref="M83">_xlfn.LET(
  _xlpm.idx, (ROW()-3)*16 + M$1,
  _xlpm.r, MOD(_xlpm.idx, SpriteCount),
  INDEX(
    sprite_data.asm!$C$3:$R$156,
    INT(_xlpm.idx / SpriteCount) * 7 + INT(_xlpm.r / 16) + 1,
    MOD(_xlpm.r, 16) + 1
  )
)</f>
        <v>32</v>
      </c>
      <c r="N83" t="str" cm="1">
        <f t="array" ref="N83">_xlfn.LET(
  _xlpm.idx, (ROW()-3)*16 + N$1,
  _xlpm.r, MOD(_xlpm.idx, SpriteCount),
  INDEX(
    sprite_data.asm!$C$3:$R$156,
    INT(_xlpm.idx / SpriteCount) * 7 + INT(_xlpm.r / 16) + 1,
    MOD(_xlpm.r, 16) + 1
  )
)</f>
        <v>30</v>
      </c>
      <c r="O83" t="str" cm="1">
        <f t="array" ref="O83">_xlfn.LET(
  _xlpm.idx, (ROW()-3)*16 + O$1,
  _xlpm.r, MOD(_xlpm.idx, SpriteCount),
  INDEX(
    sprite_data.asm!$C$3:$R$156,
    INT(_xlpm.idx / SpriteCount) * 7 + INT(_xlpm.r / 16) + 1,
    MOD(_xlpm.r, 16) + 1
  )
)</f>
        <v>08</v>
      </c>
      <c r="P83" t="str" cm="1">
        <f t="array" ref="P83">_xlfn.LET(
  _xlpm.idx, (ROW()-3)*16 + P$1,
  _xlpm.r, MOD(_xlpm.idx, SpriteCount),
  INDEX(
    sprite_data.asm!$C$3:$R$156,
    INT(_xlpm.idx / SpriteCount) * 7 + INT(_xlpm.r / 16) + 1,
    MOD(_xlpm.r, 16) + 1
  )
)</f>
        <v>08</v>
      </c>
      <c r="Q83" t="str" cm="1">
        <f t="array" ref="Q83">_xlfn.LET(
  _xlpm.idx, (ROW()-3)*16 + Q$1,
  _xlpm.r, MOD(_xlpm.idx, SpriteCount),
  INDEX(
    sprite_data.asm!$C$3:$R$156,
    INT(_xlpm.idx / SpriteCount) * 7 + INT(_xlpm.r / 16) + 1,
    MOD(_xlpm.r, 16) + 1
  )
)</f>
        <v>20</v>
      </c>
    </row>
    <row r="84" spans="1:17" x14ac:dyDescent="0.3">
      <c r="A84" s="2" t="str">
        <f t="shared" si="5"/>
        <v>B210</v>
      </c>
      <c r="B84" t="str" cm="1">
        <f t="array" ref="B84">_xlfn.LET(
  _xlpm.idx, (ROW()-3)*16 + B$1,
  _xlpm.r, MOD(_xlpm.idx, SpriteCount),
  INDEX(
    sprite_data.asm!$C$3:$R$156,
    INT(_xlpm.idx / SpriteCount) * 7 + INT(_xlpm.r / 16) + 1,
    MOD(_xlpm.r, 16) + 1
  )
)</f>
        <v>20</v>
      </c>
      <c r="C84" t="str" cm="1">
        <f t="array" ref="C84">_xlfn.LET(
  _xlpm.idx, (ROW()-3)*16 + C$1,
  _xlpm.r, MOD(_xlpm.idx, SpriteCount),
  INDEX(
    sprite_data.asm!$C$3:$R$156,
    INT(_xlpm.idx / SpriteCount) * 7 + INT(_xlpm.r / 16) + 1,
    MOD(_xlpm.r, 16) + 1
  )
)</f>
        <v>20</v>
      </c>
      <c r="D84" t="str" cm="1">
        <f t="array" ref="D84">_xlfn.LET(
  _xlpm.idx, (ROW()-3)*16 + D$1,
  _xlpm.r, MOD(_xlpm.idx, SpriteCount),
  INDEX(
    sprite_data.asm!$C$3:$R$156,
    INT(_xlpm.idx / SpriteCount) * 7 + INT(_xlpm.r / 16) + 1,
    MOD(_xlpm.r, 16) + 1
  )
)</f>
        <v>08</v>
      </c>
      <c r="E84" t="str" cm="1">
        <f t="array" ref="E84">_xlfn.LET(
  _xlpm.idx, (ROW()-3)*16 + E$1,
  _xlpm.r, MOD(_xlpm.idx, SpriteCount),
  INDEX(
    sprite_data.asm!$C$3:$R$156,
    INT(_xlpm.idx / SpriteCount) * 7 + INT(_xlpm.r / 16) + 1,
    MOD(_xlpm.r, 16) + 1
  )
)</f>
        <v>70</v>
      </c>
      <c r="F84" t="str" cm="1">
        <f t="array" ref="F84">_xlfn.LET(
  _xlpm.idx, (ROW()-3)*16 + F$1,
  _xlpm.r, MOD(_xlpm.idx, SpriteCount),
  INDEX(
    sprite_data.asm!$C$3:$R$156,
    INT(_xlpm.idx / SpriteCount) * 7 + INT(_xlpm.r / 16) + 1,
    MOD(_xlpm.r, 16) + 1
  )
)</f>
        <v>38</v>
      </c>
      <c r="G84" t="str" cm="1">
        <f t="array" ref="G84">_xlfn.LET(
  _xlpm.idx, (ROW()-3)*16 + G$1,
  _xlpm.r, MOD(_xlpm.idx, SpriteCount),
  INDEX(
    sprite_data.asm!$C$3:$R$156,
    INT(_xlpm.idx / SpriteCount) * 7 + INT(_xlpm.r / 16) + 1,
    MOD(_xlpm.r, 16) + 1
  )
)</f>
        <v>70</v>
      </c>
      <c r="H84" t="str" cm="1">
        <f t="array" ref="H84">_xlfn.LET(
  _xlpm.idx, (ROW()-3)*16 + H$1,
  _xlpm.r, MOD(_xlpm.idx, SpriteCount),
  INDEX(
    sprite_data.asm!$C$3:$R$156,
    INT(_xlpm.idx / SpriteCount) * 7 + INT(_xlpm.r / 16) + 1,
    MOD(_xlpm.r, 16) + 1
  )
)</f>
        <v>78</v>
      </c>
      <c r="I84" t="str" cm="1">
        <f t="array" ref="I84">_xlfn.LET(
  _xlpm.idx, (ROW()-3)*16 + I$1,
  _xlpm.r, MOD(_xlpm.idx, SpriteCount),
  INDEX(
    sprite_data.asm!$C$3:$R$156,
    INT(_xlpm.idx / SpriteCount) * 7 + INT(_xlpm.r / 16) + 1,
    MOD(_xlpm.r, 16) + 1
  )
)</f>
        <v>00</v>
      </c>
      <c r="J84" t="str" cm="1">
        <f t="array" ref="J84">_xlfn.LET(
  _xlpm.idx, (ROW()-3)*16 + J$1,
  _xlpm.r, MOD(_xlpm.idx, SpriteCount),
  INDEX(
    sprite_data.asm!$C$3:$R$156,
    INT(_xlpm.idx / SpriteCount) * 7 + INT(_xlpm.r / 16) + 1,
    MOD(_xlpm.r, 16) + 1
  )
)</f>
        <v>01</v>
      </c>
      <c r="K84" t="str" cm="1">
        <f t="array" ref="K84">_xlfn.LET(
  _xlpm.idx, (ROW()-3)*16 + K$1,
  _xlpm.r, MOD(_xlpm.idx, SpriteCount),
  INDEX(
    sprite_data.asm!$C$3:$R$156,
    INT(_xlpm.idx / SpriteCount) * 7 + INT(_xlpm.r / 16) + 1,
    MOD(_xlpm.r, 16) + 1
  )
)</f>
        <v>00</v>
      </c>
      <c r="L84" t="str" cm="1">
        <f t="array" ref="L84">_xlfn.LET(
  _xlpm.idx, (ROW()-3)*16 + L$1,
  _xlpm.r, MOD(_xlpm.idx, SpriteCount),
  INDEX(
    sprite_data.asm!$C$3:$R$156,
    INT(_xlpm.idx / SpriteCount) * 7 + INT(_xlpm.r / 16) + 1,
    MOD(_xlpm.r, 16) + 1
  )
)</f>
        <v>00</v>
      </c>
      <c r="M84" t="str" cm="1">
        <f t="array" ref="M84">_xlfn.LET(
  _xlpm.idx, (ROW()-3)*16 + M$1,
  _xlpm.r, MOD(_xlpm.idx, SpriteCount),
  INDEX(
    sprite_data.asm!$C$3:$R$156,
    INT(_xlpm.idx / SpriteCount) * 7 + INT(_xlpm.r / 16) + 1,
    MOD(_xlpm.r, 16) + 1
  )
)</f>
        <v>02</v>
      </c>
      <c r="N84" t="str" cm="1">
        <f t="array" ref="N84">_xlfn.LET(
  _xlpm.idx, (ROW()-3)*16 + N$1,
  _xlpm.r, MOD(_xlpm.idx, SpriteCount),
  INDEX(
    sprite_data.asm!$C$3:$R$156,
    INT(_xlpm.idx / SpriteCount) * 7 + INT(_xlpm.r / 16) + 1,
    MOD(_xlpm.r, 16) + 1
  )
)</f>
        <v>20</v>
      </c>
      <c r="O84" t="str" cm="1">
        <f t="array" ref="O84">_xlfn.LET(
  _xlpm.idx, (ROW()-3)*16 + O$1,
  _xlpm.r, MOD(_xlpm.idx, SpriteCount),
  INDEX(
    sprite_data.asm!$C$3:$R$156,
    INT(_xlpm.idx / SpriteCount) * 7 + INT(_xlpm.r / 16) + 1,
    MOD(_xlpm.r, 16) + 1
  )
)</f>
        <v>2A</v>
      </c>
      <c r="P84" t="str" cm="1">
        <f t="array" ref="P84">_xlfn.LET(
  _xlpm.idx, (ROW()-3)*16 + P$1,
  _xlpm.r, MOD(_xlpm.idx, SpriteCount),
  INDEX(
    sprite_data.asm!$C$3:$R$156,
    INT(_xlpm.idx / SpriteCount) * 7 + INT(_xlpm.r / 16) + 1,
    MOD(_xlpm.r, 16) + 1
  )
)</f>
        <v>28</v>
      </c>
      <c r="Q84" t="str" cm="1">
        <f t="array" ref="Q84">_xlfn.LET(
  _xlpm.idx, (ROW()-3)*16 + Q$1,
  _xlpm.r, MOD(_xlpm.idx, SpriteCount),
  INDEX(
    sprite_data.asm!$C$3:$R$156,
    INT(_xlpm.idx / SpriteCount) * 7 + INT(_xlpm.r / 16) + 1,
    MOD(_xlpm.r, 16) + 1
  )
)</f>
        <v>2A</v>
      </c>
    </row>
    <row r="85" spans="1:17" x14ac:dyDescent="0.3">
      <c r="A85" s="2" t="str">
        <f t="shared" si="5"/>
        <v>B220</v>
      </c>
      <c r="B85" t="str" cm="1">
        <f t="array" ref="B85">_xlfn.LET(
  _xlpm.idx, (ROW()-3)*16 + B$1,
  _xlpm.r, MOD(_xlpm.idx, SpriteCount),
  INDEX(
    sprite_data.asm!$C$3:$R$156,
    INT(_xlpm.idx / SpriteCount) * 7 + INT(_xlpm.r / 16) + 1,
    MOD(_xlpm.r, 16) + 1
  )
)</f>
        <v>2A</v>
      </c>
      <c r="C85" t="str" cm="1">
        <f t="array" ref="C85">_xlfn.LET(
  _xlpm.idx, (ROW()-3)*16 + C$1,
  _xlpm.r, MOD(_xlpm.idx, SpriteCount),
  INDEX(
    sprite_data.asm!$C$3:$R$156,
    INT(_xlpm.idx / SpriteCount) * 7 + INT(_xlpm.r / 16) + 1,
    MOD(_xlpm.r, 16) + 1
  )
)</f>
        <v>02</v>
      </c>
      <c r="D85" t="str" cm="1">
        <f t="array" ref="D85">_xlfn.LET(
  _xlpm.idx, (ROW()-3)*16 + D$1,
  _xlpm.r, MOD(_xlpm.idx, SpriteCount),
  INDEX(
    sprite_data.asm!$C$3:$R$156,
    INT(_xlpm.idx / SpriteCount) * 7 + INT(_xlpm.r / 16) + 1,
    MOD(_xlpm.r, 16) + 1
  )
)</f>
        <v>20</v>
      </c>
      <c r="E85" t="str" cm="1">
        <f t="array" ref="E85">_xlfn.LET(
  _xlpm.idx, (ROW()-3)*16 + E$1,
  _xlpm.r, MOD(_xlpm.idx, SpriteCount),
  INDEX(
    sprite_data.asm!$C$3:$R$156,
    INT(_xlpm.idx / SpriteCount) * 7 + INT(_xlpm.r / 16) + 1,
    MOD(_xlpm.r, 16) + 1
  )
)</f>
        <v>2A</v>
      </c>
      <c r="F85" t="str" cm="1">
        <f t="array" ref="F85">_xlfn.LET(
  _xlpm.idx, (ROW()-3)*16 + F$1,
  _xlpm.r, MOD(_xlpm.idx, SpriteCount),
  INDEX(
    sprite_data.asm!$C$3:$R$156,
    INT(_xlpm.idx / SpriteCount) * 7 + INT(_xlpm.r / 16) + 1,
    MOD(_xlpm.r, 16) + 1
  )
)</f>
        <v>2A</v>
      </c>
      <c r="G85" t="str" cm="1">
        <f t="array" ref="G85">_xlfn.LET(
  _xlpm.idx, (ROW()-3)*16 + G$1,
  _xlpm.r, MOD(_xlpm.idx, SpriteCount),
  INDEX(
    sprite_data.asm!$C$3:$R$156,
    INT(_xlpm.idx / SpriteCount) * 7 + INT(_xlpm.r / 16) + 1,
    MOD(_xlpm.r, 16) + 1
  )
)</f>
        <v>55</v>
      </c>
      <c r="H85" t="str" cm="1">
        <f t="array" ref="H85">_xlfn.LET(
  _xlpm.idx, (ROW()-3)*16 + H$1,
  _xlpm.r, MOD(_xlpm.idx, SpriteCount),
  INDEX(
    sprite_data.asm!$C$3:$R$156,
    INT(_xlpm.idx / SpriteCount) * 7 + INT(_xlpm.r / 16) + 1,
    MOD(_xlpm.r, 16) + 1
  )
)</f>
        <v>55</v>
      </c>
      <c r="I85" t="str" cm="1">
        <f t="array" ref="I85">_xlfn.LET(
  _xlpm.idx, (ROW()-3)*16 + I$1,
  _xlpm.r, MOD(_xlpm.idx, SpriteCount),
  INDEX(
    sprite_data.asm!$C$3:$R$156,
    INT(_xlpm.idx / SpriteCount) * 7 + INT(_xlpm.r / 16) + 1,
    MOD(_xlpm.r, 16) + 1
  )
)</f>
        <v>01</v>
      </c>
      <c r="J85" t="str" cm="1">
        <f t="array" ref="J85">_xlfn.LET(
  _xlpm.idx, (ROW()-3)*16 + J$1,
  _xlpm.r, MOD(_xlpm.idx, SpriteCount),
  INDEX(
    sprite_data.asm!$C$3:$R$156,
    INT(_xlpm.idx / SpriteCount) * 7 + INT(_xlpm.r / 16) + 1,
    MOD(_xlpm.r, 16) + 1
  )
)</f>
        <v>41</v>
      </c>
      <c r="K85" t="str" cm="1">
        <f t="array" ref="K85">_xlfn.LET(
  _xlpm.idx, (ROW()-3)*16 + K$1,
  _xlpm.r, MOD(_xlpm.idx, SpriteCount),
  INDEX(
    sprite_data.asm!$C$3:$R$156,
    INT(_xlpm.idx / SpriteCount) * 7 + INT(_xlpm.r / 16) + 1,
    MOD(_xlpm.r, 16) + 1
  )
)</f>
        <v>15</v>
      </c>
      <c r="L85" t="str" cm="1">
        <f t="array" ref="L85">_xlfn.LET(
  _xlpm.idx, (ROW()-3)*16 + L$1,
  _xlpm.r, MOD(_xlpm.idx, SpriteCount),
  INDEX(
    sprite_data.asm!$C$3:$R$156,
    INT(_xlpm.idx / SpriteCount) * 7 + INT(_xlpm.r / 16) + 1,
    MOD(_xlpm.r, 16) + 1
  )
)</f>
        <v>15</v>
      </c>
      <c r="M85" t="str" cm="1">
        <f t="array" ref="M85">_xlfn.LET(
  _xlpm.idx, (ROW()-3)*16 + M$1,
  _xlpm.r, MOD(_xlpm.idx, SpriteCount),
  INDEX(
    sprite_data.asm!$C$3:$R$156,
    INT(_xlpm.idx / SpriteCount) * 7 + INT(_xlpm.r / 16) + 1,
    MOD(_xlpm.r, 16) + 1
  )
)</f>
        <v>01</v>
      </c>
      <c r="N85" t="str" cm="1">
        <f t="array" ref="N85">_xlfn.LET(
  _xlpm.idx, (ROW()-3)*16 + N$1,
  _xlpm.r, MOD(_xlpm.idx, SpriteCount),
  INDEX(
    sprite_data.asm!$C$3:$R$156,
    INT(_xlpm.idx / SpriteCount) * 7 + INT(_xlpm.r / 16) + 1,
    MOD(_xlpm.r, 16) + 1
  )
)</f>
        <v>55</v>
      </c>
      <c r="O85" t="str" cm="1">
        <f t="array" ref="O85">_xlfn.LET(
  _xlpm.idx, (ROW()-3)*16 + O$1,
  _xlpm.r, MOD(_xlpm.idx, SpriteCount),
  INDEX(
    sprite_data.asm!$C$3:$R$156,
    INT(_xlpm.idx / SpriteCount) * 7 + INT(_xlpm.r / 16) + 1,
    MOD(_xlpm.r, 16) + 1
  )
)</f>
        <v>14</v>
      </c>
      <c r="P85" t="str" cm="1">
        <f t="array" ref="P85">_xlfn.LET(
  _xlpm.idx, (ROW()-3)*16 + P$1,
  _xlpm.r, MOD(_xlpm.idx, SpriteCount),
  INDEX(
    sprite_data.asm!$C$3:$R$156,
    INT(_xlpm.idx / SpriteCount) * 7 + INT(_xlpm.r / 16) + 1,
    MOD(_xlpm.r, 16) + 1
  )
)</f>
        <v>50</v>
      </c>
      <c r="Q85" t="str" cm="1">
        <f t="array" ref="Q85">_xlfn.LET(
  _xlpm.idx, (ROW()-3)*16 + Q$1,
  _xlpm.r, MOD(_xlpm.idx, SpriteCount),
  INDEX(
    sprite_data.asm!$C$3:$R$156,
    INT(_xlpm.idx / SpriteCount) * 7 + INT(_xlpm.r / 16) + 1,
    MOD(_xlpm.r, 16) + 1
  )
)</f>
        <v>15</v>
      </c>
    </row>
    <row r="86" spans="1:17" x14ac:dyDescent="0.3">
      <c r="A86" s="2" t="str">
        <f t="shared" si="5"/>
        <v>B230</v>
      </c>
      <c r="B86" t="str" cm="1">
        <f t="array" ref="B86">_xlfn.LET(
  _xlpm.idx, (ROW()-3)*16 + B$1,
  _xlpm.r, MOD(_xlpm.idx, SpriteCount),
  INDEX(
    sprite_data.asm!$C$3:$R$156,
    INT(_xlpm.idx / SpriteCount) * 7 + INT(_xlpm.r / 16) + 1,
    MOD(_xlpm.r, 16) + 1
  )
)</f>
        <v>01</v>
      </c>
      <c r="C86" t="str" cm="1">
        <f t="array" ref="C86">_xlfn.LET(
  _xlpm.idx, (ROW()-3)*16 + C$1,
  _xlpm.r, MOD(_xlpm.idx, SpriteCount),
  INDEX(
    sprite_data.asm!$C$3:$R$156,
    INT(_xlpm.idx / SpriteCount) * 7 + INT(_xlpm.r / 16) + 1,
    MOD(_xlpm.r, 16) + 1
  )
)</f>
        <v>55</v>
      </c>
      <c r="D86" t="str" cm="1">
        <f t="array" ref="D86">_xlfn.LET(
  _xlpm.idx, (ROW()-3)*16 + D$1,
  _xlpm.r, MOD(_xlpm.idx, SpriteCount),
  INDEX(
    sprite_data.asm!$C$3:$R$156,
    INT(_xlpm.idx / SpriteCount) * 7 + INT(_xlpm.r / 16) + 1,
    MOD(_xlpm.r, 16) + 1
  )
)</f>
        <v>55</v>
      </c>
      <c r="E86" t="str" cm="1">
        <f t="array" ref="E86">_xlfn.LET(
  _xlpm.idx, (ROW()-3)*16 + E$1,
  _xlpm.r, MOD(_xlpm.idx, SpriteCount),
  INDEX(
    sprite_data.asm!$C$3:$R$156,
    INT(_xlpm.idx / SpriteCount) * 7 + INT(_xlpm.r / 16) + 1,
    MOD(_xlpm.r, 16) + 1
  )
)</f>
        <v>41</v>
      </c>
      <c r="F86" t="str" cm="1">
        <f t="array" ref="F86">_xlfn.LET(
  _xlpm.idx, (ROW()-3)*16 + F$1,
  _xlpm.r, MOD(_xlpm.idx, SpriteCount),
  INDEX(
    sprite_data.asm!$C$3:$R$156,
    INT(_xlpm.idx / SpriteCount) * 7 + INT(_xlpm.r / 16) + 1,
    MOD(_xlpm.r, 16) + 1
  )
)</f>
        <v>55</v>
      </c>
      <c r="G86" t="str" cm="1">
        <f t="array" ref="G86">_xlfn.LET(
  _xlpm.idx, (ROW()-3)*16 + G$1,
  _xlpm.r, MOD(_xlpm.idx, SpriteCount),
  INDEX(
    sprite_data.asm!$C$3:$R$156,
    INT(_xlpm.idx / SpriteCount) * 7 + INT(_xlpm.r / 16) + 1,
    MOD(_xlpm.r, 16) + 1
  )
)</f>
        <v>41</v>
      </c>
      <c r="H86" t="str" cm="1">
        <f t="array" ref="H86">_xlfn.LET(
  _xlpm.idx, (ROW()-3)*16 + H$1,
  _xlpm.r, MOD(_xlpm.idx, SpriteCount),
  INDEX(
    sprite_data.asm!$C$3:$R$156,
    INT(_xlpm.idx / SpriteCount) * 7 + INT(_xlpm.r / 16) + 1,
    MOD(_xlpm.r, 16) + 1
  )
)</f>
        <v>55</v>
      </c>
      <c r="I86" t="str" cm="1">
        <f t="array" ref="I86">_xlfn.LET(
  _xlpm.idx, (ROW()-3)*16 + I$1,
  _xlpm.r, MOD(_xlpm.idx, SpriteCount),
  INDEX(
    sprite_data.asm!$C$3:$R$156,
    INT(_xlpm.idx / SpriteCount) * 7 + INT(_xlpm.r / 16) + 1,
    MOD(_xlpm.r, 16) + 1
  )
)</f>
        <v>55</v>
      </c>
      <c r="J86" t="str" cm="1">
        <f t="array" ref="J86">_xlfn.LET(
  _xlpm.idx, (ROW()-3)*16 + J$1,
  _xlpm.r, MOD(_xlpm.idx, SpriteCount),
  INDEX(
    sprite_data.asm!$C$3:$R$156,
    INT(_xlpm.idx / SpriteCount) * 7 + INT(_xlpm.r / 16) + 1,
    MOD(_xlpm.r, 16) + 1
  )
)</f>
        <v>04</v>
      </c>
      <c r="K86" t="str" cm="1">
        <f t="array" ref="K86">_xlfn.LET(
  _xlpm.idx, (ROW()-3)*16 + K$1,
  _xlpm.r, MOD(_xlpm.idx, SpriteCount),
  INDEX(
    sprite_data.asm!$C$3:$R$156,
    INT(_xlpm.idx / SpriteCount) * 7 + INT(_xlpm.r / 16) + 1,
    MOD(_xlpm.r, 16) + 1
  )
)</f>
        <v>41</v>
      </c>
      <c r="L86" t="str" cm="1">
        <f t="array" ref="L86">_xlfn.LET(
  _xlpm.idx, (ROW()-3)*16 + L$1,
  _xlpm.r, MOD(_xlpm.idx, SpriteCount),
  INDEX(
    sprite_data.asm!$C$3:$R$156,
    INT(_xlpm.idx / SpriteCount) * 7 + INT(_xlpm.r / 16) + 1,
    MOD(_xlpm.r, 16) + 1
  )
)</f>
        <v>45</v>
      </c>
      <c r="M86" t="str" cm="1">
        <f t="array" ref="M86">_xlfn.LET(
  _xlpm.idx, (ROW()-3)*16 + M$1,
  _xlpm.r, MOD(_xlpm.idx, SpriteCount),
  INDEX(
    sprite_data.asm!$C$3:$R$156,
    INT(_xlpm.idx / SpriteCount) * 7 + INT(_xlpm.r / 16) + 1,
    MOD(_xlpm.r, 16) + 1
  )
)</f>
        <v>41</v>
      </c>
      <c r="N86" t="str" cm="1">
        <f t="array" ref="N86">_xlfn.LET(
  _xlpm.idx, (ROW()-3)*16 + N$1,
  _xlpm.r, MOD(_xlpm.idx, SpriteCount),
  INDEX(
    sprite_data.asm!$C$3:$R$156,
    INT(_xlpm.idx / SpriteCount) * 7 + INT(_xlpm.r / 16) + 1,
    MOD(_xlpm.r, 16) + 1
  )
)</f>
        <v>14</v>
      </c>
      <c r="O86" t="str" cm="1">
        <f t="array" ref="O86">_xlfn.LET(
  _xlpm.idx, (ROW()-3)*16 + O$1,
  _xlpm.r, MOD(_xlpm.idx, SpriteCount),
  INDEX(
    sprite_data.asm!$C$3:$R$156,
    INT(_xlpm.idx / SpriteCount) * 7 + INT(_xlpm.r / 16) + 1,
    MOD(_xlpm.r, 16) + 1
  )
)</f>
        <v>55</v>
      </c>
      <c r="P86" t="str" cm="1">
        <f t="array" ref="P86">_xlfn.LET(
  _xlpm.idx, (ROW()-3)*16 + P$1,
  _xlpm.r, MOD(_xlpm.idx, SpriteCount),
  INDEX(
    sprite_data.asm!$C$3:$R$156,
    INT(_xlpm.idx / SpriteCount) * 7 + INT(_xlpm.r / 16) + 1,
    MOD(_xlpm.r, 16) + 1
  )
)</f>
        <v>10</v>
      </c>
      <c r="Q86" t="str" cm="1">
        <f t="array" ref="Q86">_xlfn.LET(
  _xlpm.idx, (ROW()-3)*16 + Q$1,
  _xlpm.r, MOD(_xlpm.idx, SpriteCount),
  INDEX(
    sprite_data.asm!$C$3:$R$156,
    INT(_xlpm.idx / SpriteCount) * 7 + INT(_xlpm.r / 16) + 1,
    MOD(_xlpm.r, 16) + 1
  )
)</f>
        <v>50</v>
      </c>
    </row>
    <row r="87" spans="1:17" x14ac:dyDescent="0.3">
      <c r="A87" s="2" t="str">
        <f t="shared" si="5"/>
        <v>B240</v>
      </c>
      <c r="B87" t="str" cm="1">
        <f t="array" ref="B87">_xlfn.LET(
  _xlpm.idx, (ROW()-3)*16 + B$1,
  _xlpm.r, MOD(_xlpm.idx, SpriteCount),
  INDEX(
    sprite_data.asm!$C$3:$R$156,
    INT(_xlpm.idx / SpriteCount) * 7 + INT(_xlpm.r / 16) + 1,
    MOD(_xlpm.r, 16) + 1
  )
)</f>
        <v>00</v>
      </c>
      <c r="C87" t="str" cm="1">
        <f t="array" ref="C87">_xlfn.LET(
  _xlpm.idx, (ROW()-3)*16 + C$1,
  _xlpm.r, MOD(_xlpm.idx, SpriteCount),
  INDEX(
    sprite_data.asm!$C$3:$R$156,
    INT(_xlpm.idx / SpriteCount) * 7 + INT(_xlpm.r / 16) + 1,
    MOD(_xlpm.r, 16) + 1
  )
)</f>
        <v>05</v>
      </c>
      <c r="D87" t="str" cm="1">
        <f t="array" ref="D87">_xlfn.LET(
  _xlpm.idx, (ROW()-3)*16 + D$1,
  _xlpm.r, MOD(_xlpm.idx, SpriteCount),
  INDEX(
    sprite_data.asm!$C$3:$R$156,
    INT(_xlpm.idx / SpriteCount) * 7 + INT(_xlpm.r / 16) + 1,
    MOD(_xlpm.r, 16) + 1
  )
)</f>
        <v>50</v>
      </c>
      <c r="E87" t="str" cm="1">
        <f t="array" ref="E87">_xlfn.LET(
  _xlpm.idx, (ROW()-3)*16 + E$1,
  _xlpm.r, MOD(_xlpm.idx, SpriteCount),
  INDEX(
    sprite_data.asm!$C$3:$R$156,
    INT(_xlpm.idx / SpriteCount) * 7 + INT(_xlpm.r / 16) + 1,
    MOD(_xlpm.r, 16) + 1
  )
)</f>
        <v>10</v>
      </c>
      <c r="F87" t="str" cm="1">
        <f t="array" ref="F87">_xlfn.LET(
  _xlpm.idx, (ROW()-3)*16 + F$1,
  _xlpm.r, MOD(_xlpm.idx, SpriteCount),
  INDEX(
    sprite_data.asm!$C$3:$R$156,
    INT(_xlpm.idx / SpriteCount) * 7 + INT(_xlpm.r / 16) + 1,
    MOD(_xlpm.r, 16) + 1
  )
)</f>
        <v>55</v>
      </c>
      <c r="G87" t="str" cm="1">
        <f t="array" ref="G87">_xlfn.LET(
  _xlpm.idx, (ROW()-3)*16 + G$1,
  _xlpm.r, MOD(_xlpm.idx, SpriteCount),
  INDEX(
    sprite_data.asm!$C$3:$R$156,
    INT(_xlpm.idx / SpriteCount) * 7 + INT(_xlpm.r / 16) + 1,
    MOD(_xlpm.r, 16) + 1
  )
)</f>
        <v>05</v>
      </c>
      <c r="H87" t="str" cm="1">
        <f t="array" ref="H87">_xlfn.LET(
  _xlpm.idx, (ROW()-3)*16 + H$1,
  _xlpm.r, MOD(_xlpm.idx, SpriteCount),
  INDEX(
    sprite_data.asm!$C$3:$R$156,
    INT(_xlpm.idx / SpriteCount) * 7 + INT(_xlpm.r / 16) + 1,
    MOD(_xlpm.r, 16) + 1
  )
)</f>
        <v>00</v>
      </c>
      <c r="I87" t="str" cm="1">
        <f t="array" ref="I87">_xlfn.LET(
  _xlpm.idx, (ROW()-3)*16 + I$1,
  _xlpm.r, MOD(_xlpm.idx, SpriteCount),
  INDEX(
    sprite_data.asm!$C$3:$R$156,
    INT(_xlpm.idx / SpriteCount) * 7 + INT(_xlpm.r / 16) + 1,
    MOD(_xlpm.r, 16) + 1
  )
)</f>
        <v>00</v>
      </c>
      <c r="J87" t="str" cm="1">
        <f t="array" ref="J87">_xlfn.LET(
  _xlpm.idx, (ROW()-3)*16 + J$1,
  _xlpm.r, MOD(_xlpm.idx, SpriteCount),
  INDEX(
    sprite_data.asm!$C$3:$R$156,
    INT(_xlpm.idx / SpriteCount) * 7 + INT(_xlpm.r / 16) + 1,
    MOD(_xlpm.r, 16) + 1
  )
)</f>
        <v>00</v>
      </c>
      <c r="K87" t="str" cm="1">
        <f t="array" ref="K87">_xlfn.LET(
  _xlpm.idx, (ROW()-3)*16 + K$1,
  _xlpm.r, MOD(_xlpm.idx, SpriteCount),
  INDEX(
    sprite_data.asm!$C$3:$R$156,
    INT(_xlpm.idx / SpriteCount) * 7 + INT(_xlpm.r / 16) + 1,
    MOD(_xlpm.r, 16) + 1
  )
)</f>
        <v>02</v>
      </c>
      <c r="L87" t="str" cm="1">
        <f t="array" ref="L87">_xlfn.LET(
  _xlpm.idx, (ROW()-3)*16 + L$1,
  _xlpm.r, MOD(_xlpm.idx, SpriteCount),
  INDEX(
    sprite_data.asm!$C$3:$R$156,
    INT(_xlpm.idx / SpriteCount) * 7 + INT(_xlpm.r / 16) + 1,
    MOD(_xlpm.r, 16) + 1
  )
)</f>
        <v>02</v>
      </c>
      <c r="M87" t="str" cm="1">
        <f t="array" ref="M87">_xlfn.LET(
  _xlpm.idx, (ROW()-3)*16 + M$1,
  _xlpm.r, MOD(_xlpm.idx, SpriteCount),
  INDEX(
    sprite_data.asm!$C$3:$R$156,
    INT(_xlpm.idx / SpriteCount) * 7 + INT(_xlpm.r / 16) + 1,
    MOD(_xlpm.r, 16) + 1
  )
)</f>
        <v>03</v>
      </c>
      <c r="N87" t="str" cm="1">
        <f t="array" ref="N87">_xlfn.LET(
  _xlpm.idx, (ROW()-3)*16 + N$1,
  _xlpm.r, MOD(_xlpm.idx, SpriteCount),
  INDEX(
    sprite_data.asm!$C$3:$R$156,
    INT(_xlpm.idx / SpriteCount) * 7 + INT(_xlpm.r / 16) + 1,
    MOD(_xlpm.r, 16) + 1
  )
)</f>
        <v>00</v>
      </c>
      <c r="O87" t="str" cm="1">
        <f t="array" ref="O87">_xlfn.LET(
  _xlpm.idx, (ROW()-3)*16 + O$1,
  _xlpm.r, MOD(_xlpm.idx, SpriteCount),
  INDEX(
    sprite_data.asm!$C$3:$R$156,
    INT(_xlpm.idx / SpriteCount) * 7 + INT(_xlpm.r / 16) + 1,
    MOD(_xlpm.r, 16) + 1
  )
)</f>
        <v>00</v>
      </c>
      <c r="P87" t="str" cm="1">
        <f t="array" ref="P87">_xlfn.LET(
  _xlpm.idx, (ROW()-3)*16 + P$1,
  _xlpm.r, MOD(_xlpm.idx, SpriteCount),
  INDEX(
    sprite_data.asm!$C$3:$R$156,
    INT(_xlpm.idx / SpriteCount) * 7 + INT(_xlpm.r / 16) + 1,
    MOD(_xlpm.r, 16) + 1
  )
)</f>
        <v>03</v>
      </c>
      <c r="Q87" t="str" cm="1">
        <f t="array" ref="Q87">_xlfn.LET(
  _xlpm.idx, (ROW()-3)*16 + Q$1,
  _xlpm.r, MOD(_xlpm.idx, SpriteCount),
  INDEX(
    sprite_data.asm!$C$3:$R$156,
    INT(_xlpm.idx / SpriteCount) * 7 + INT(_xlpm.r / 16) + 1,
    MOD(_xlpm.r, 16) + 1
  )
)</f>
        <v>01</v>
      </c>
    </row>
    <row r="88" spans="1:17" x14ac:dyDescent="0.3">
      <c r="A88" s="2" t="str">
        <f t="shared" si="5"/>
        <v>B250</v>
      </c>
      <c r="B88" t="str" cm="1">
        <f t="array" ref="B88">_xlfn.LET(
  _xlpm.idx, (ROW()-3)*16 + B$1,
  _xlpm.r, MOD(_xlpm.idx, SpriteCount),
  INDEX(
    sprite_data.asm!$C$3:$R$156,
    INT(_xlpm.idx / SpriteCount) * 7 + INT(_xlpm.r / 16) + 1,
    MOD(_xlpm.r, 16) + 1
  )
)</f>
        <v>00</v>
      </c>
      <c r="C88" t="str" cm="1">
        <f t="array" ref="C88">_xlfn.LET(
  _xlpm.idx, (ROW()-3)*16 + C$1,
  _xlpm.r, MOD(_xlpm.idx, SpriteCount),
  INDEX(
    sprite_data.asm!$C$3:$R$156,
    INT(_xlpm.idx / SpriteCount) * 7 + INT(_xlpm.r / 16) + 1,
    MOD(_xlpm.r, 16) + 1
  )
)</f>
        <v>00</v>
      </c>
      <c r="D88" t="str" cm="1">
        <f t="array" ref="D88">_xlfn.LET(
  _xlpm.idx, (ROW()-3)*16 + D$1,
  _xlpm.r, MOD(_xlpm.idx, SpriteCount),
  INDEX(
    sprite_data.asm!$C$3:$R$156,
    INT(_xlpm.idx / SpriteCount) * 7 + INT(_xlpm.r / 16) + 1,
    MOD(_xlpm.r, 16) + 1
  )
)</f>
        <v>07</v>
      </c>
      <c r="E88" t="str" cm="1">
        <f t="array" ref="E88">_xlfn.LET(
  _xlpm.idx, (ROW()-3)*16 + E$1,
  _xlpm.r, MOD(_xlpm.idx, SpriteCount),
  INDEX(
    sprite_data.asm!$C$3:$R$156,
    INT(_xlpm.idx / SpriteCount) * 7 + INT(_xlpm.r / 16) + 1,
    MOD(_xlpm.r, 16) + 1
  )
)</f>
        <v>00</v>
      </c>
      <c r="F88" t="str" cm="1">
        <f t="array" ref="F88">_xlfn.LET(
  _xlpm.idx, (ROW()-3)*16 + F$1,
  _xlpm.r, MOD(_xlpm.idx, SpriteCount),
  INDEX(
    sprite_data.asm!$C$3:$R$156,
    INT(_xlpm.idx / SpriteCount) * 7 + INT(_xlpm.r / 16) + 1,
    MOD(_xlpm.r, 16) + 1
  )
)</f>
        <v>00</v>
      </c>
      <c r="G88" t="str" cm="1">
        <f t="array" ref="G88">_xlfn.LET(
  _xlpm.idx, (ROW()-3)*16 + G$1,
  _xlpm.r, MOD(_xlpm.idx, SpriteCount),
  INDEX(
    sprite_data.asm!$C$3:$R$156,
    INT(_xlpm.idx / SpriteCount) * 7 + INT(_xlpm.r / 16) + 1,
    MOD(_xlpm.r, 16) + 1
  )
)</f>
        <v>00</v>
      </c>
      <c r="H88" t="str" cm="1">
        <f t="array" ref="H88">_xlfn.LET(
  _xlpm.idx, (ROW()-3)*16 + H$1,
  _xlpm.r, MOD(_xlpm.idx, SpriteCount),
  INDEX(
    sprite_data.asm!$C$3:$R$156,
    INT(_xlpm.idx / SpriteCount) * 7 + INT(_xlpm.r / 16) + 1,
    MOD(_xlpm.r, 16) + 1
  )
)</f>
        <v>00</v>
      </c>
      <c r="I88" t="str" cm="1">
        <f t="array" ref="I88">_xlfn.LET(
  _xlpm.idx, (ROW()-3)*16 + I$1,
  _xlpm.r, MOD(_xlpm.idx, SpriteCount),
  INDEX(
    sprite_data.asm!$C$3:$R$156,
    INT(_xlpm.idx / SpriteCount) * 7 + INT(_xlpm.r / 16) + 1,
    MOD(_xlpm.r, 16) + 1
  )
)</f>
        <v>01</v>
      </c>
      <c r="J88" t="str" cm="1">
        <f t="array" ref="J88">_xlfn.LET(
  _xlpm.idx, (ROW()-3)*16 + J$1,
  _xlpm.r, MOD(_xlpm.idx, SpriteCount),
  INDEX(
    sprite_data.asm!$C$3:$R$156,
    INT(_xlpm.idx / SpriteCount) * 7 + INT(_xlpm.r / 16) + 1,
    MOD(_xlpm.r, 16) + 1
  )
)</f>
        <v>06</v>
      </c>
      <c r="K88" t="str" cm="1">
        <f t="array" ref="K88">_xlfn.LET(
  _xlpm.idx, (ROW()-3)*16 + K$1,
  _xlpm.r, MOD(_xlpm.idx, SpriteCount),
  INDEX(
    sprite_data.asm!$C$3:$R$156,
    INT(_xlpm.idx / SpriteCount) * 7 + INT(_xlpm.r / 16) + 1,
    MOD(_xlpm.r, 16) + 1
  )
)</f>
        <v>00</v>
      </c>
      <c r="L88" t="str" cm="1">
        <f t="array" ref="L88">_xlfn.LET(
  _xlpm.idx, (ROW()-3)*16 + L$1,
  _xlpm.r, MOD(_xlpm.idx, SpriteCount),
  INDEX(
    sprite_data.asm!$C$3:$R$156,
    INT(_xlpm.idx / SpriteCount) * 7 + INT(_xlpm.r / 16) + 1,
    MOD(_xlpm.r, 16) + 1
  )
)</f>
        <v>00</v>
      </c>
      <c r="M88" t="str" cm="1">
        <f t="array" ref="M88">_xlfn.LET(
  _xlpm.idx, (ROW()-3)*16 + M$1,
  _xlpm.r, MOD(_xlpm.idx, SpriteCount),
  INDEX(
    sprite_data.asm!$C$3:$R$156,
    INT(_xlpm.idx / SpriteCount) * 7 + INT(_xlpm.r / 16) + 1,
    MOD(_xlpm.r, 16) + 1
  )
)</f>
        <v>00</v>
      </c>
      <c r="N88" t="str" cm="1">
        <f t="array" ref="N88">_xlfn.LET(
  _xlpm.idx, (ROW()-3)*16 + N$1,
  _xlpm.r, MOD(_xlpm.idx, SpriteCount),
  INDEX(
    sprite_data.asm!$C$3:$R$156,
    INT(_xlpm.idx / SpriteCount) * 7 + INT(_xlpm.r / 16) + 1,
    MOD(_xlpm.r, 16) + 1
  )
)</f>
        <v>00</v>
      </c>
      <c r="O88" t="str" cm="1">
        <f t="array" ref="O88">_xlfn.LET(
  _xlpm.idx, (ROW()-3)*16 + O$1,
  _xlpm.r, MOD(_xlpm.idx, SpriteCount),
  INDEX(
    sprite_data.asm!$C$3:$R$156,
    INT(_xlpm.idx / SpriteCount) * 7 + INT(_xlpm.r / 16) + 1,
    MOD(_xlpm.r, 16) + 1
  )
)</f>
        <v>00</v>
      </c>
      <c r="P88" t="str" cm="1">
        <f t="array" ref="P88">_xlfn.LET(
  _xlpm.idx, (ROW()-3)*16 + P$1,
  _xlpm.r, MOD(_xlpm.idx, SpriteCount),
  INDEX(
    sprite_data.asm!$C$3:$R$156,
    INT(_xlpm.idx / SpriteCount) * 7 + INT(_xlpm.r / 16) + 1,
    MOD(_xlpm.r, 16) + 1
  )
)</f>
        <v>00</v>
      </c>
      <c r="Q88" t="str" cm="1">
        <f t="array" ref="Q88">_xlfn.LET(
  _xlpm.idx, (ROW()-3)*16 + Q$1,
  _xlpm.r, MOD(_xlpm.idx, SpriteCount),
  INDEX(
    sprite_data.asm!$C$3:$R$156,
    INT(_xlpm.idx / SpriteCount) * 7 + INT(_xlpm.r / 16) + 1,
    MOD(_xlpm.r, 16) + 1
  )
)</f>
        <v>00</v>
      </c>
    </row>
    <row r="89" spans="1:17" x14ac:dyDescent="0.3">
      <c r="A89" s="2" t="str">
        <f t="shared" si="5"/>
        <v>B260</v>
      </c>
      <c r="B89" t="str" cm="1">
        <f t="array" ref="B89">_xlfn.LET(
  _xlpm.idx, (ROW()-3)*16 + B$1,
  _xlpm.r, MOD(_xlpm.idx, SpriteCount),
  INDEX(
    sprite_data.asm!$C$3:$R$156,
    INT(_xlpm.idx / SpriteCount) * 7 + INT(_xlpm.r / 16) + 1,
    MOD(_xlpm.r, 16) + 1
  )
)</f>
        <v>00</v>
      </c>
      <c r="C89" t="str" cm="1">
        <f t="array" ref="C89">_xlfn.LET(
  _xlpm.idx, (ROW()-3)*16 + C$1,
  _xlpm.r, MOD(_xlpm.idx, SpriteCount),
  INDEX(
    sprite_data.asm!$C$3:$R$156,
    INT(_xlpm.idx / SpriteCount) * 7 + INT(_xlpm.r / 16) + 1,
    MOD(_xlpm.r, 16) + 1
  )
)</f>
        <v>00</v>
      </c>
      <c r="D89" t="str" cm="1">
        <f t="array" ref="D89">_xlfn.LET(
  _xlpm.idx, (ROW()-3)*16 + D$1,
  _xlpm.r, MOD(_xlpm.idx, SpriteCount),
  INDEX(
    sprite_data.asm!$C$3:$R$156,
    INT(_xlpm.idx / SpriteCount) * 7 + INT(_xlpm.r / 16) + 1,
    MOD(_xlpm.r, 16) + 1
  )
)</f>
        <v>00</v>
      </c>
      <c r="E89" t="str" cm="1">
        <f t="array" ref="E89">_xlfn.LET(
  _xlpm.idx, (ROW()-3)*16 + E$1,
  _xlpm.r, MOD(_xlpm.idx, SpriteCount),
  INDEX(
    sprite_data.asm!$C$3:$R$156,
    INT(_xlpm.idx / SpriteCount) * 7 + INT(_xlpm.r / 16) + 1,
    MOD(_xlpm.r, 16) + 1
  )
)</f>
        <v>00</v>
      </c>
      <c r="F89" t="str" cm="1">
        <f t="array" ref="F89">_xlfn.LET(
  _xlpm.idx, (ROW()-3)*16 + F$1,
  _xlpm.r, MOD(_xlpm.idx, SpriteCount),
  INDEX(
    sprite_data.asm!$C$3:$R$156,
    INT(_xlpm.idx / SpriteCount) * 7 + INT(_xlpm.r / 16) + 1,
    MOD(_xlpm.r, 16) + 1
  )
)</f>
        <v>00</v>
      </c>
      <c r="G89" t="str" cm="1">
        <f t="array" ref="G89">_xlfn.LET(
  _xlpm.idx, (ROW()-3)*16 + G$1,
  _xlpm.r, MOD(_xlpm.idx, SpriteCount),
  INDEX(
    sprite_data.asm!$C$3:$R$156,
    INT(_xlpm.idx / SpriteCount) * 7 + INT(_xlpm.r / 16) + 1,
    MOD(_xlpm.r, 16) + 1
  )
)</f>
        <v>02</v>
      </c>
      <c r="H89" t="str" cm="1">
        <f t="array" ref="H89">_xlfn.LET(
  _xlpm.idx, (ROW()-3)*16 + H$1,
  _xlpm.r, MOD(_xlpm.idx, SpriteCount),
  INDEX(
    sprite_data.asm!$C$3:$R$156,
    INT(_xlpm.idx / SpriteCount) * 7 + INT(_xlpm.r / 16) + 1,
    MOD(_xlpm.r, 16) + 1
  )
)</f>
        <v>00</v>
      </c>
      <c r="I89" t="str" cm="1">
        <f t="array" ref="I89">_xlfn.LET(
  _xlpm.idx, (ROW()-3)*16 + I$1,
  _xlpm.r, MOD(_xlpm.idx, SpriteCount),
  INDEX(
    sprite_data.asm!$C$3:$R$156,
    INT(_xlpm.idx / SpriteCount) * 7 + INT(_xlpm.r / 16) + 1,
    MOD(_xlpm.r, 16) + 1
  )
)</f>
        <v>02</v>
      </c>
      <c r="J89" t="str" cm="1">
        <f t="array" ref="J89">_xlfn.LET(
  _xlpm.idx, (ROW()-3)*16 + J$1,
  _xlpm.r, MOD(_xlpm.idx, SpriteCount),
  INDEX(
    sprite_data.asm!$C$3:$R$156,
    INT(_xlpm.idx / SpriteCount) * 7 + INT(_xlpm.r / 16) + 1,
    MOD(_xlpm.r, 16) + 1
  )
)</f>
        <v>02</v>
      </c>
      <c r="K89" t="str" cm="1">
        <f t="array" ref="K89">_xlfn.LET(
  _xlpm.idx, (ROW()-3)*16 + K$1,
  _xlpm.r, MOD(_xlpm.idx, SpriteCount),
  INDEX(
    sprite_data.asm!$C$3:$R$156,
    INT(_xlpm.idx / SpriteCount) * 7 + INT(_xlpm.r / 16) + 1,
    MOD(_xlpm.r, 16) + 1
  )
)</f>
        <v>02</v>
      </c>
      <c r="L89" t="str" cm="1">
        <f t="array" ref="L89">_xlfn.LET(
  _xlpm.idx, (ROW()-3)*16 + L$1,
  _xlpm.r, MOD(_xlpm.idx, SpriteCount),
  INDEX(
    sprite_data.asm!$C$3:$R$156,
    INT(_xlpm.idx / SpriteCount) * 7 + INT(_xlpm.r / 16) + 1,
    MOD(_xlpm.r, 16) + 1
  )
)</f>
        <v>00</v>
      </c>
      <c r="M89" t="str" cm="1">
        <f t="array" ref="M89">_xlfn.LET(
  _xlpm.idx, (ROW()-3)*16 + M$1,
  _xlpm.r, MOD(_xlpm.idx, SpriteCount),
  INDEX(
    sprite_data.asm!$C$3:$R$156,
    INT(_xlpm.idx / SpriteCount) * 7 + INT(_xlpm.r / 16) + 1,
    MOD(_xlpm.r, 16) + 1
  )
)</f>
        <v>01</v>
      </c>
      <c r="N89" t="str" cm="1">
        <f t="array" ref="N89">_xlfn.LET(
  _xlpm.idx, (ROW()-3)*16 + N$1,
  _xlpm.r, MOD(_xlpm.idx, SpriteCount),
  INDEX(
    sprite_data.asm!$C$3:$R$156,
    INT(_xlpm.idx / SpriteCount) * 7 + INT(_xlpm.r / 16) + 1,
    MOD(_xlpm.r, 16) + 1
  )
)</f>
        <v>00</v>
      </c>
      <c r="O89" t="str" cm="1">
        <f t="array" ref="O89">_xlfn.LET(
  _xlpm.idx, (ROW()-3)*16 + O$1,
  _xlpm.r, MOD(_xlpm.idx, SpriteCount),
  INDEX(
    sprite_data.asm!$C$3:$R$156,
    INT(_xlpm.idx / SpriteCount) * 7 + INT(_xlpm.r / 16) + 1,
    MOD(_xlpm.r, 16) + 1
  )
)</f>
        <v>04</v>
      </c>
      <c r="P89" t="str" cm="1">
        <f t="array" ref="P89">_xlfn.LET(
  _xlpm.idx, (ROW()-3)*16 + P$1,
  _xlpm.r, MOD(_xlpm.idx, SpriteCount),
  INDEX(
    sprite_data.asm!$C$3:$R$156,
    INT(_xlpm.idx / SpriteCount) * 7 + INT(_xlpm.r / 16) + 1,
    MOD(_xlpm.r, 16) + 1
  )
)</f>
        <v>00</v>
      </c>
      <c r="Q89" t="str" cm="1">
        <f t="array" ref="Q89">_xlfn.LET(
  _xlpm.idx, (ROW()-3)*16 + Q$1,
  _xlpm.r, MOD(_xlpm.idx, SpriteCount),
  INDEX(
    sprite_data.asm!$C$3:$R$156,
    INT(_xlpm.idx / SpriteCount) * 7 + INT(_xlpm.r / 16) + 1,
    MOD(_xlpm.r, 16) + 1
  )
)</f>
        <v>00</v>
      </c>
    </row>
    <row r="90" spans="1:17" x14ac:dyDescent="0.3">
      <c r="A90" s="2" t="str">
        <f t="shared" si="5"/>
        <v>B270</v>
      </c>
      <c r="B90" t="str" cm="1">
        <f t="array" ref="B90">_xlfn.LET(
  _xlpm.idx, (ROW()-3)*16 + B$1,
  _xlpm.r, MOD(_xlpm.idx, SpriteCount),
  INDEX(
    sprite_data.asm!$C$3:$R$156,
    INT(_xlpm.idx / SpriteCount) * 7 + INT(_xlpm.r / 16) + 1,
    MOD(_xlpm.r, 16) + 1
  )
)</f>
        <v>00</v>
      </c>
      <c r="C90" t="str" cm="1">
        <f t="array" ref="C90">_xlfn.LET(
  _xlpm.idx, (ROW()-3)*16 + C$1,
  _xlpm.r, MOD(_xlpm.idx, SpriteCount),
  INDEX(
    sprite_data.asm!$C$3:$R$156,
    INT(_xlpm.idx / SpriteCount) * 7 + INT(_xlpm.r / 16) + 1,
    MOD(_xlpm.r, 16) + 1
  )
)</f>
        <v>04</v>
      </c>
      <c r="D90" t="str" cm="1">
        <f t="array" ref="D90">_xlfn.LET(
  _xlpm.idx, (ROW()-3)*16 + D$1,
  _xlpm.r, MOD(_xlpm.idx, SpriteCount),
  INDEX(
    sprite_data.asm!$C$3:$R$156,
    INT(_xlpm.idx / SpriteCount) * 7 + INT(_xlpm.r / 16) + 1,
    MOD(_xlpm.r, 16) + 1
  )
)</f>
        <v>00</v>
      </c>
      <c r="E90" t="str" cm="1">
        <f t="array" ref="E90">_xlfn.LET(
  _xlpm.idx, (ROW()-3)*16 + E$1,
  _xlpm.r, MOD(_xlpm.idx, SpriteCount),
  INDEX(
    sprite_data.asm!$C$3:$R$156,
    INT(_xlpm.idx / SpriteCount) * 7 + INT(_xlpm.r / 16) + 1,
    MOD(_xlpm.r, 16) + 1
  )
)</f>
        <v>00</v>
      </c>
      <c r="F90" t="str" cm="1">
        <f t="array" ref="F90">_xlfn.LET(
  _xlpm.idx, (ROW()-3)*16 + F$1,
  _xlpm.r, MOD(_xlpm.idx, SpriteCount),
  INDEX(
    sprite_data.asm!$C$3:$R$156,
    INT(_xlpm.idx / SpriteCount) * 7 + INT(_xlpm.r / 16) + 1,
    MOD(_xlpm.r, 16) + 1
  )
)</f>
        <v>00</v>
      </c>
      <c r="G90" t="str" cm="1">
        <f t="array" ref="G90">_xlfn.LET(
  _xlpm.idx, (ROW()-3)*16 + G$1,
  _xlpm.r, MOD(_xlpm.idx, SpriteCount),
  INDEX(
    sprite_data.asm!$C$3:$R$156,
    INT(_xlpm.idx / SpriteCount) * 7 + INT(_xlpm.r / 16) + 1,
    MOD(_xlpm.r, 16) + 1
  )
)</f>
        <v>00</v>
      </c>
      <c r="H90" t="str" cm="1">
        <f t="array" ref="H90">_xlfn.LET(
  _xlpm.idx, (ROW()-3)*16 + H$1,
  _xlpm.r, MOD(_xlpm.idx, SpriteCount),
  INDEX(
    sprite_data.asm!$C$3:$R$156,
    INT(_xlpm.idx / SpriteCount) * 7 + INT(_xlpm.r / 16) + 1,
    MOD(_xlpm.r, 16) + 1
  )
)</f>
        <v>00</v>
      </c>
      <c r="I90" t="str" cm="1">
        <f t="array" ref="I90">_xlfn.LET(
  _xlpm.idx, (ROW()-3)*16 + I$1,
  _xlpm.r, MOD(_xlpm.idx, SpriteCount),
  INDEX(
    sprite_data.asm!$C$3:$R$156,
    INT(_xlpm.idx / SpriteCount) * 7 + INT(_xlpm.r / 16) + 1,
    MOD(_xlpm.r, 16) + 1
  )
)</f>
        <v>00</v>
      </c>
      <c r="J90" t="str" cm="1">
        <f t="array" ref="J90">_xlfn.LET(
  _xlpm.idx, (ROW()-3)*16 + J$1,
  _xlpm.r, MOD(_xlpm.idx, SpriteCount),
  INDEX(
    sprite_data.asm!$C$3:$R$156,
    INT(_xlpm.idx / SpriteCount) * 7 + INT(_xlpm.r / 16) + 1,
    MOD(_xlpm.r, 16) + 1
  )
)</f>
        <v>00</v>
      </c>
      <c r="K90" t="str" cm="1">
        <f t="array" ref="K90">_xlfn.LET(
  _xlpm.idx, (ROW()-3)*16 + K$1,
  _xlpm.r, MOD(_xlpm.idx, SpriteCount),
  INDEX(
    sprite_data.asm!$C$3:$R$156,
    INT(_xlpm.idx / SpriteCount) * 7 + INT(_xlpm.r / 16) + 1,
    MOD(_xlpm.r, 16) + 1
  )
)</f>
        <v>00</v>
      </c>
      <c r="L90" t="str" cm="1">
        <f t="array" ref="L90">_xlfn.LET(
  _xlpm.idx, (ROW()-3)*16 + L$1,
  _xlpm.r, MOD(_xlpm.idx, SpriteCount),
  INDEX(
    sprite_data.asm!$C$3:$R$156,
    INT(_xlpm.idx / SpriteCount) * 7 + INT(_xlpm.r / 16) + 1,
    MOD(_xlpm.r, 16) + 1
  )
)</f>
        <v>00</v>
      </c>
      <c r="M90" t="str" cm="1">
        <f t="array" ref="M90">_xlfn.LET(
  _xlpm.idx, (ROW()-3)*16 + M$1,
  _xlpm.r, MOD(_xlpm.idx, SpriteCount),
  INDEX(
    sprite_data.asm!$C$3:$R$156,
    INT(_xlpm.idx / SpriteCount) * 7 + INT(_xlpm.r / 16) + 1,
    MOD(_xlpm.r, 16) + 1
  )
)</f>
        <v>00</v>
      </c>
      <c r="N90" t="str" cm="1">
        <f t="array" ref="N90">_xlfn.LET(
  _xlpm.idx, (ROW()-3)*16 + N$1,
  _xlpm.r, MOD(_xlpm.idx, SpriteCount),
  INDEX(
    sprite_data.asm!$C$3:$R$156,
    INT(_xlpm.idx / SpriteCount) * 7 + INT(_xlpm.r / 16) + 1,
    MOD(_xlpm.r, 16) + 1
  )
)</f>
        <v>00</v>
      </c>
      <c r="O90" t="str" cm="1">
        <f t="array" ref="O90">_xlfn.LET(
  _xlpm.idx, (ROW()-3)*16 + O$1,
  _xlpm.r, MOD(_xlpm.idx, SpriteCount),
  INDEX(
    sprite_data.asm!$C$3:$R$156,
    INT(_xlpm.idx / SpriteCount) * 7 + INT(_xlpm.r / 16) + 1,
    MOD(_xlpm.r, 16) + 1
  )
)</f>
        <v>01</v>
      </c>
      <c r="P90" t="str" cm="1">
        <f t="array" ref="P90">_xlfn.LET(
  _xlpm.idx, (ROW()-3)*16 + P$1,
  _xlpm.r, MOD(_xlpm.idx, SpriteCount),
  INDEX(
    sprite_data.asm!$C$3:$R$156,
    INT(_xlpm.idx / SpriteCount) * 7 + INT(_xlpm.r / 16) + 1,
    MOD(_xlpm.r, 16) + 1
  )
)</f>
        <v>00</v>
      </c>
      <c r="Q90" t="str" cm="1">
        <f t="array" ref="Q90">_xlfn.LET(
  _xlpm.idx, (ROW()-3)*16 + Q$1,
  _xlpm.r, MOD(_xlpm.idx, SpriteCount),
  INDEX(
    sprite_data.asm!$C$3:$R$156,
    INT(_xlpm.idx / SpriteCount) * 7 + INT(_xlpm.r / 16) + 1,
    MOD(_xlpm.r, 16) + 1
  )
)</f>
        <v>00</v>
      </c>
    </row>
    <row r="91" spans="1:17" x14ac:dyDescent="0.3">
      <c r="A91" s="2" t="str">
        <f t="shared" si="5"/>
        <v>B280</v>
      </c>
      <c r="B91" t="str" cm="1">
        <f t="array" ref="B91">_xlfn.LET(
  _xlpm.idx, (ROW()-3)*16 + B$1,
  _xlpm.r, MOD(_xlpm.idx, SpriteCount),
  INDEX(
    sprite_data.asm!$C$3:$R$156,
    INT(_xlpm.idx / SpriteCount) * 7 + INT(_xlpm.r / 16) + 1,
    MOD(_xlpm.r, 16) + 1
  )
)</f>
        <v>02</v>
      </c>
      <c r="C91" t="str" cm="1">
        <f t="array" ref="C91">_xlfn.LET(
  _xlpm.idx, (ROW()-3)*16 + C$1,
  _xlpm.r, MOD(_xlpm.idx, SpriteCount),
  INDEX(
    sprite_data.asm!$C$3:$R$156,
    INT(_xlpm.idx / SpriteCount) * 7 + INT(_xlpm.r / 16) + 1,
    MOD(_xlpm.r, 16) + 1
  )
)</f>
        <v>00</v>
      </c>
      <c r="D91" t="str" cm="1">
        <f t="array" ref="D91">_xlfn.LET(
  _xlpm.idx, (ROW()-3)*16 + D$1,
  _xlpm.r, MOD(_xlpm.idx, SpriteCount),
  INDEX(
    sprite_data.asm!$C$3:$R$156,
    INT(_xlpm.idx / SpriteCount) * 7 + INT(_xlpm.r / 16) + 1,
    MOD(_xlpm.r, 16) + 1
  )
)</f>
        <v>00</v>
      </c>
      <c r="E91" t="str" cm="1">
        <f t="array" ref="E91">_xlfn.LET(
  _xlpm.idx, (ROW()-3)*16 + E$1,
  _xlpm.r, MOD(_xlpm.idx, SpriteCount),
  INDEX(
    sprite_data.asm!$C$3:$R$156,
    INT(_xlpm.idx / SpriteCount) * 7 + INT(_xlpm.r / 16) + 1,
    MOD(_xlpm.r, 16) + 1
  )
)</f>
        <v>01</v>
      </c>
      <c r="F91" t="str" cm="1">
        <f t="array" ref="F91">_xlfn.LET(
  _xlpm.idx, (ROW()-3)*16 + F$1,
  _xlpm.r, MOD(_xlpm.idx, SpriteCount),
  INDEX(
    sprite_data.asm!$C$3:$R$156,
    INT(_xlpm.idx / SpriteCount) * 7 + INT(_xlpm.r / 16) + 1,
    MOD(_xlpm.r, 16) + 1
  )
)</f>
        <v>00</v>
      </c>
      <c r="G91" t="str" cm="1">
        <f t="array" ref="G91">_xlfn.LET(
  _xlpm.idx, (ROW()-3)*16 + G$1,
  _xlpm.r, MOD(_xlpm.idx, SpriteCount),
  INDEX(
    sprite_data.asm!$C$3:$R$156,
    INT(_xlpm.idx / SpriteCount) * 7 + INT(_xlpm.r / 16) + 1,
    MOD(_xlpm.r, 16) + 1
  )
)</f>
        <v>01</v>
      </c>
      <c r="H91" t="str" cm="1">
        <f t="array" ref="H91">_xlfn.LET(
  _xlpm.idx, (ROW()-3)*16 + H$1,
  _xlpm.r, MOD(_xlpm.idx, SpriteCount),
  INDEX(
    sprite_data.asm!$C$3:$R$156,
    INT(_xlpm.idx / SpriteCount) * 7 + INT(_xlpm.r / 16) + 1,
    MOD(_xlpm.r, 16) + 1
  )
)</f>
        <v>01</v>
      </c>
      <c r="I91" t="str" cm="1">
        <f t="array" ref="I91">_xlfn.LET(
  _xlpm.idx, (ROW()-3)*16 + I$1,
  _xlpm.r, MOD(_xlpm.idx, SpriteCount),
  INDEX(
    sprite_data.asm!$C$3:$R$156,
    INT(_xlpm.idx / SpriteCount) * 7 + INT(_xlpm.r / 16) + 1,
    MOD(_xlpm.r, 16) + 1
  )
)</f>
        <v>01</v>
      </c>
      <c r="J91" t="str" cm="1">
        <f t="array" ref="J91">_xlfn.LET(
  _xlpm.idx, (ROW()-3)*16 + J$1,
  _xlpm.r, MOD(_xlpm.idx, SpriteCount),
  INDEX(
    sprite_data.asm!$C$3:$R$156,
    INT(_xlpm.idx / SpriteCount) * 7 + INT(_xlpm.r / 16) + 1,
    MOD(_xlpm.r, 16) + 1
  )
)</f>
        <v>01</v>
      </c>
      <c r="K91" t="str" cm="1">
        <f t="array" ref="K91">_xlfn.LET(
  _xlpm.idx, (ROW()-3)*16 + K$1,
  _xlpm.r, MOD(_xlpm.idx, SpriteCount),
  INDEX(
    sprite_data.asm!$C$3:$R$156,
    INT(_xlpm.idx / SpriteCount) * 7 + INT(_xlpm.r / 16) + 1,
    MOD(_xlpm.r, 16) + 1
  )
)</f>
        <v>00</v>
      </c>
      <c r="L91" t="str" cm="1">
        <f t="array" ref="L91">_xlfn.LET(
  _xlpm.idx, (ROW()-3)*16 + L$1,
  _xlpm.r, MOD(_xlpm.idx, SpriteCount),
  INDEX(
    sprite_data.asm!$C$3:$R$156,
    INT(_xlpm.idx / SpriteCount) * 7 + INT(_xlpm.r / 16) + 1,
    MOD(_xlpm.r, 16) + 1
  )
)</f>
        <v>01</v>
      </c>
      <c r="M91" t="str" cm="1">
        <f t="array" ref="M91">_xlfn.LET(
  _xlpm.idx, (ROW()-3)*16 + M$1,
  _xlpm.r, MOD(_xlpm.idx, SpriteCount),
  INDEX(
    sprite_data.asm!$C$3:$R$156,
    INT(_xlpm.idx / SpriteCount) * 7 + INT(_xlpm.r / 16) + 1,
    MOD(_xlpm.r, 16) + 1
  )
)</f>
        <v>01</v>
      </c>
      <c r="N91" t="str" cm="1">
        <f t="array" ref="N91">_xlfn.LET(
  _xlpm.idx, (ROW()-3)*16 + N$1,
  _xlpm.r, MOD(_xlpm.idx, SpriteCount),
  INDEX(
    sprite_data.asm!$C$3:$R$156,
    INT(_xlpm.idx / SpriteCount) * 7 + INT(_xlpm.r / 16) + 1,
    MOD(_xlpm.r, 16) + 1
  )
)</f>
        <v>01</v>
      </c>
      <c r="O91" t="str" cm="1">
        <f t="array" ref="O91">_xlfn.LET(
  _xlpm.idx, (ROW()-3)*16 + O$1,
  _xlpm.r, MOD(_xlpm.idx, SpriteCount),
  INDEX(
    sprite_data.asm!$C$3:$R$156,
    INT(_xlpm.idx / SpriteCount) * 7 + INT(_xlpm.r / 16) + 1,
    MOD(_xlpm.r, 16) + 1
  )
)</f>
        <v>00</v>
      </c>
      <c r="P91" t="str" cm="1">
        <f t="array" ref="P91">_xlfn.LET(
  _xlpm.idx, (ROW()-3)*16 + P$1,
  _xlpm.r, MOD(_xlpm.idx, SpriteCount),
  INDEX(
    sprite_data.asm!$C$3:$R$156,
    INT(_xlpm.idx / SpriteCount) * 7 + INT(_xlpm.r / 16) + 1,
    MOD(_xlpm.r, 16) + 1
  )
)</f>
        <v>00</v>
      </c>
      <c r="Q91" t="str" cm="1">
        <f t="array" ref="Q91">_xlfn.LET(
  _xlpm.idx, (ROW()-3)*16 + Q$1,
  _xlpm.r, MOD(_xlpm.idx, SpriteCount),
  INDEX(
    sprite_data.asm!$C$3:$R$156,
    INT(_xlpm.idx / SpriteCount) * 7 + INT(_xlpm.r / 16) + 1,
    MOD(_xlpm.r, 16) + 1
  )
)</f>
        <v>00</v>
      </c>
    </row>
    <row r="92" spans="1:17" x14ac:dyDescent="0.3">
      <c r="A92" s="2" t="str">
        <f t="shared" si="5"/>
        <v>B290</v>
      </c>
      <c r="B92" t="str" cm="1">
        <f t="array" ref="B92">_xlfn.LET(
  _xlpm.idx, (ROW()-3)*16 + B$1,
  _xlpm.r, MOD(_xlpm.idx, SpriteCount),
  INDEX(
    sprite_data.asm!$C$3:$R$156,
    INT(_xlpm.idx / SpriteCount) * 7 + INT(_xlpm.r / 16) + 1,
    MOD(_xlpm.r, 16) + 1
  )
)</f>
        <v>00</v>
      </c>
      <c r="C92" t="str" cm="1">
        <f t="array" ref="C92">_xlfn.LET(
  _xlpm.idx, (ROW()-3)*16 + C$1,
  _xlpm.r, MOD(_xlpm.idx, SpriteCount),
  INDEX(
    sprite_data.asm!$C$3:$R$156,
    INT(_xlpm.idx / SpriteCount) * 7 + INT(_xlpm.r / 16) + 1,
    MOD(_xlpm.r, 16) + 1
  )
)</f>
        <v>00</v>
      </c>
      <c r="D92" t="str" cm="1">
        <f t="array" ref="D92">_xlfn.LET(
  _xlpm.idx, (ROW()-3)*16 + D$1,
  _xlpm.r, MOD(_xlpm.idx, SpriteCount),
  INDEX(
    sprite_data.asm!$C$3:$R$156,
    INT(_xlpm.idx / SpriteCount) * 7 + INT(_xlpm.r / 16) + 1,
    MOD(_xlpm.r, 16) + 1
  )
)</f>
        <v>00</v>
      </c>
      <c r="E92" t="str" cm="1">
        <f t="array" ref="E92">_xlfn.LET(
  _xlpm.idx, (ROW()-3)*16 + E$1,
  _xlpm.r, MOD(_xlpm.idx, SpriteCount),
  INDEX(
    sprite_data.asm!$C$3:$R$156,
    INT(_xlpm.idx / SpriteCount) * 7 + INT(_xlpm.r / 16) + 1,
    MOD(_xlpm.r, 16) + 1
  )
)</f>
        <v>00</v>
      </c>
      <c r="F92" t="str" cm="1">
        <f t="array" ref="F92">_xlfn.LET(
  _xlpm.idx, (ROW()-3)*16 + F$1,
  _xlpm.r, MOD(_xlpm.idx, SpriteCount),
  INDEX(
    sprite_data.asm!$C$3:$R$156,
    INT(_xlpm.idx / SpriteCount) * 7 + INT(_xlpm.r / 16) + 1,
    MOD(_xlpm.r, 16) + 1
  )
)</f>
        <v>00</v>
      </c>
      <c r="G92" t="str" cm="1">
        <f t="array" ref="G92">_xlfn.LET(
  _xlpm.idx, (ROW()-3)*16 + G$1,
  _xlpm.r, MOD(_xlpm.idx, SpriteCount),
  INDEX(
    sprite_data.asm!$C$3:$R$156,
    INT(_xlpm.idx / SpriteCount) * 7 + INT(_xlpm.r / 16) + 1,
    MOD(_xlpm.r, 16) + 1
  )
)</f>
        <v>00</v>
      </c>
      <c r="H92" t="str" cm="1">
        <f t="array" ref="H92">_xlfn.LET(
  _xlpm.idx, (ROW()-3)*16 + H$1,
  _xlpm.r, MOD(_xlpm.idx, SpriteCount),
  INDEX(
    sprite_data.asm!$C$3:$R$156,
    INT(_xlpm.idx / SpriteCount) * 7 + INT(_xlpm.r / 16) + 1,
    MOD(_xlpm.r, 16) + 1
  )
)</f>
        <v>00</v>
      </c>
      <c r="I92" t="str" cm="1">
        <f t="array" ref="I92">_xlfn.LET(
  _xlpm.idx, (ROW()-3)*16 + I$1,
  _xlpm.r, MOD(_xlpm.idx, SpriteCount),
  INDEX(
    sprite_data.asm!$C$3:$R$156,
    INT(_xlpm.idx / SpriteCount) * 7 + INT(_xlpm.r / 16) + 1,
    MOD(_xlpm.r, 16) + 1
  )
)</f>
        <v>00</v>
      </c>
      <c r="J92" t="str" cm="1">
        <f t="array" ref="J92">_xlfn.LET(
  _xlpm.idx, (ROW()-3)*16 + J$1,
  _xlpm.r, MOD(_xlpm.idx, SpriteCount),
  INDEX(
    sprite_data.asm!$C$3:$R$156,
    INT(_xlpm.idx / SpriteCount) * 7 + INT(_xlpm.r / 16) + 1,
    MOD(_xlpm.r, 16) + 1
  )
)</f>
        <v>00</v>
      </c>
      <c r="K92" t="str" cm="1">
        <f t="array" ref="K92">_xlfn.LET(
  _xlpm.idx, (ROW()-3)*16 + K$1,
  _xlpm.r, MOD(_xlpm.idx, SpriteCount),
  INDEX(
    sprite_data.asm!$C$3:$R$156,
    INT(_xlpm.idx / SpriteCount) * 7 + INT(_xlpm.r / 16) + 1,
    MOD(_xlpm.r, 16) + 1
  )
)</f>
        <v>00</v>
      </c>
      <c r="L92" t="str" cm="1">
        <f t="array" ref="L92">_xlfn.LET(
  _xlpm.idx, (ROW()-3)*16 + L$1,
  _xlpm.r, MOD(_xlpm.idx, SpriteCount),
  INDEX(
    sprite_data.asm!$C$3:$R$156,
    INT(_xlpm.idx / SpriteCount) * 7 + INT(_xlpm.r / 16) + 1,
    MOD(_xlpm.r, 16) + 1
  )
)</f>
        <v>00</v>
      </c>
      <c r="M92" t="str" cm="1">
        <f t="array" ref="M92">_xlfn.LET(
  _xlpm.idx, (ROW()-3)*16 + M$1,
  _xlpm.r, MOD(_xlpm.idx, SpriteCount),
  INDEX(
    sprite_data.asm!$C$3:$R$156,
    INT(_xlpm.idx / SpriteCount) * 7 + INT(_xlpm.r / 16) + 1,
    MOD(_xlpm.r, 16) + 1
  )
)</f>
        <v>00</v>
      </c>
      <c r="N92" t="str" cm="1">
        <f t="array" ref="N92">_xlfn.LET(
  _xlpm.idx, (ROW()-3)*16 + N$1,
  _xlpm.r, MOD(_xlpm.idx, SpriteCount),
  INDEX(
    sprite_data.asm!$C$3:$R$156,
    INT(_xlpm.idx / SpriteCount) * 7 + INT(_xlpm.r / 16) + 1,
    MOD(_xlpm.r, 16) + 1
  )
)</f>
        <v>00</v>
      </c>
      <c r="O92" t="str" cm="1">
        <f t="array" ref="O92">_xlfn.LET(
  _xlpm.idx, (ROW()-3)*16 + O$1,
  _xlpm.r, MOD(_xlpm.idx, SpriteCount),
  INDEX(
    sprite_data.asm!$C$3:$R$156,
    INT(_xlpm.idx / SpriteCount) * 7 + INT(_xlpm.r / 16) + 1,
    MOD(_xlpm.r, 16) + 1
  )
)</f>
        <v>00</v>
      </c>
      <c r="P92" t="str" cm="1">
        <f t="array" ref="P92">_xlfn.LET(
  _xlpm.idx, (ROW()-3)*16 + P$1,
  _xlpm.r, MOD(_xlpm.idx, SpriteCount),
  INDEX(
    sprite_data.asm!$C$3:$R$156,
    INT(_xlpm.idx / SpriteCount) * 7 + INT(_xlpm.r / 16) + 1,
    MOD(_xlpm.r, 16) + 1
  )
)</f>
        <v>00</v>
      </c>
      <c r="Q92" t="str" cm="1">
        <f t="array" ref="Q92">_xlfn.LET(
  _xlpm.idx, (ROW()-3)*16 + Q$1,
  _xlpm.r, MOD(_xlpm.idx, SpriteCount),
  INDEX(
    sprite_data.asm!$C$3:$R$156,
    INT(_xlpm.idx / SpriteCount) * 7 + INT(_xlpm.r / 16) + 1,
    MOD(_xlpm.r, 16) + 1
  )
)</f>
        <v>00</v>
      </c>
    </row>
    <row r="93" spans="1:17" x14ac:dyDescent="0.3">
      <c r="A93" s="2" t="str">
        <f t="shared" si="5"/>
        <v>B2A0</v>
      </c>
      <c r="B93" t="str" cm="1">
        <f t="array" ref="B93">_xlfn.LET(
  _xlpm.idx, (ROW()-3)*16 + B$1,
  _xlpm.r, MOD(_xlpm.idx, SpriteCount),
  INDEX(
    sprite_data.asm!$C$3:$R$156,
    INT(_xlpm.idx / SpriteCount) * 7 + INT(_xlpm.r / 16) + 1,
    MOD(_xlpm.r, 16) + 1
  )
)</f>
        <v>00</v>
      </c>
      <c r="C93" t="str" cm="1">
        <f t="array" ref="C93">_xlfn.LET(
  _xlpm.idx, (ROW()-3)*16 + C$1,
  _xlpm.r, MOD(_xlpm.idx, SpriteCount),
  INDEX(
    sprite_data.asm!$C$3:$R$156,
    INT(_xlpm.idx / SpriteCount) * 7 + INT(_xlpm.r / 16) + 1,
    MOD(_xlpm.r, 16) + 1
  )
)</f>
        <v>00</v>
      </c>
      <c r="D93" t="str" cm="1">
        <f t="array" ref="D93">_xlfn.LET(
  _xlpm.idx, (ROW()-3)*16 + D$1,
  _xlpm.r, MOD(_xlpm.idx, SpriteCount),
  INDEX(
    sprite_data.asm!$C$3:$R$156,
    INT(_xlpm.idx / SpriteCount) * 7 + INT(_xlpm.r / 16) + 1,
    MOD(_xlpm.r, 16) + 1
  )
)</f>
        <v>00</v>
      </c>
      <c r="E93" t="str" cm="1">
        <f t="array" ref="E93">_xlfn.LET(
  _xlpm.idx, (ROW()-3)*16 + E$1,
  _xlpm.r, MOD(_xlpm.idx, SpriteCount),
  INDEX(
    sprite_data.asm!$C$3:$R$156,
    INT(_xlpm.idx / SpriteCount) * 7 + INT(_xlpm.r / 16) + 1,
    MOD(_xlpm.r, 16) + 1
  )
)</f>
        <v>00</v>
      </c>
      <c r="F93" t="str" cm="1">
        <f t="array" ref="F93">_xlfn.LET(
  _xlpm.idx, (ROW()-3)*16 + F$1,
  _xlpm.r, MOD(_xlpm.idx, SpriteCount),
  INDEX(
    sprite_data.asm!$C$3:$R$156,
    INT(_xlpm.idx / SpriteCount) * 7 + INT(_xlpm.r / 16) + 1,
    MOD(_xlpm.r, 16) + 1
  )
)</f>
        <v>00</v>
      </c>
      <c r="G93" t="str" cm="1">
        <f t="array" ref="G93">_xlfn.LET(
  _xlpm.idx, (ROW()-3)*16 + G$1,
  _xlpm.r, MOD(_xlpm.idx, SpriteCount),
  INDEX(
    sprite_data.asm!$C$3:$R$156,
    INT(_xlpm.idx / SpriteCount) * 7 + INT(_xlpm.r / 16) + 1,
    MOD(_xlpm.r, 16) + 1
  )
)</f>
        <v>00</v>
      </c>
      <c r="H93" t="str" cm="1">
        <f t="array" ref="H93">_xlfn.LET(
  _xlpm.idx, (ROW()-3)*16 + H$1,
  _xlpm.r, MOD(_xlpm.idx, SpriteCount),
  INDEX(
    sprite_data.asm!$C$3:$R$156,
    INT(_xlpm.idx / SpriteCount) * 7 + INT(_xlpm.r / 16) + 1,
    MOD(_xlpm.r, 16) + 1
  )
)</f>
        <v>00</v>
      </c>
      <c r="I93" t="str" cm="1">
        <f t="array" ref="I93">_xlfn.LET(
  _xlpm.idx, (ROW()-3)*16 + I$1,
  _xlpm.r, MOD(_xlpm.idx, SpriteCount),
  INDEX(
    sprite_data.asm!$C$3:$R$156,
    INT(_xlpm.idx / SpriteCount) * 7 + INT(_xlpm.r / 16) + 1,
    MOD(_xlpm.r, 16) + 1
  )
)</f>
        <v>00</v>
      </c>
      <c r="J93" t="str" cm="1">
        <f t="array" ref="J93">_xlfn.LET(
  _xlpm.idx, (ROW()-3)*16 + J$1,
  _xlpm.r, MOD(_xlpm.idx, SpriteCount),
  INDEX(
    sprite_data.asm!$C$3:$R$156,
    INT(_xlpm.idx / SpriteCount) * 7 + INT(_xlpm.r / 16) + 1,
    MOD(_xlpm.r, 16) + 1
  )
)</f>
        <v>00</v>
      </c>
      <c r="K93" t="str" cm="1">
        <f t="array" ref="K93">_xlfn.LET(
  _xlpm.idx, (ROW()-3)*16 + K$1,
  _xlpm.r, MOD(_xlpm.idx, SpriteCount),
  INDEX(
    sprite_data.asm!$C$3:$R$156,
    INT(_xlpm.idx / SpriteCount) * 7 + INT(_xlpm.r / 16) + 1,
    MOD(_xlpm.r, 16) + 1
  )
)</f>
        <v>00</v>
      </c>
      <c r="L93" t="str" cm="1">
        <f t="array" ref="L93">_xlfn.LET(
  _xlpm.idx, (ROW()-3)*16 + L$1,
  _xlpm.r, MOD(_xlpm.idx, SpriteCount),
  INDEX(
    sprite_data.asm!$C$3:$R$156,
    INT(_xlpm.idx / SpriteCount) * 7 + INT(_xlpm.r / 16) + 1,
    MOD(_xlpm.r, 16) + 1
  )
)</f>
        <v>00</v>
      </c>
      <c r="M93" t="str" cm="1">
        <f t="array" ref="M93">_xlfn.LET(
  _xlpm.idx, (ROW()-3)*16 + M$1,
  _xlpm.r, MOD(_xlpm.idx, SpriteCount),
  INDEX(
    sprite_data.asm!$C$3:$R$156,
    INT(_xlpm.idx / SpriteCount) * 7 + INT(_xlpm.r / 16) + 1,
    MOD(_xlpm.r, 16) + 1
  )
)</f>
        <v>00</v>
      </c>
      <c r="N93" t="str" cm="1">
        <f t="array" ref="N93">_xlfn.LET(
  _xlpm.idx, (ROW()-3)*16 + N$1,
  _xlpm.r, MOD(_xlpm.idx, SpriteCount),
  INDEX(
    sprite_data.asm!$C$3:$R$156,
    INT(_xlpm.idx / SpriteCount) * 7 + INT(_xlpm.r / 16) + 1,
    MOD(_xlpm.r, 16) + 1
  )
)</f>
        <v>02</v>
      </c>
      <c r="O93" t="str" cm="1">
        <f t="array" ref="O93">_xlfn.LET(
  _xlpm.idx, (ROW()-3)*16 + O$1,
  _xlpm.r, MOD(_xlpm.idx, SpriteCount),
  INDEX(
    sprite_data.asm!$C$3:$R$156,
    INT(_xlpm.idx / SpriteCount) * 7 + INT(_xlpm.r / 16) + 1,
    MOD(_xlpm.r, 16) + 1
  )
)</f>
        <v>00</v>
      </c>
      <c r="P93" t="str" cm="1">
        <f t="array" ref="P93">_xlfn.LET(
  _xlpm.idx, (ROW()-3)*16 + P$1,
  _xlpm.r, MOD(_xlpm.idx, SpriteCount),
  INDEX(
    sprite_data.asm!$C$3:$R$156,
    INT(_xlpm.idx / SpriteCount) * 7 + INT(_xlpm.r / 16) + 1,
    MOD(_xlpm.r, 16) + 1
  )
)</f>
        <v>6C</v>
      </c>
      <c r="Q93" t="str" cm="1">
        <f t="array" ref="Q93">_xlfn.LET(
  _xlpm.idx, (ROW()-3)*16 + Q$1,
  _xlpm.r, MOD(_xlpm.idx, SpriteCount),
  INDEX(
    sprite_data.asm!$C$3:$R$156,
    INT(_xlpm.idx / SpriteCount) * 7 + INT(_xlpm.r / 16) + 1,
    MOD(_xlpm.r, 16) + 1
  )
)</f>
        <v>00</v>
      </c>
    </row>
    <row r="94" spans="1:17" x14ac:dyDescent="0.3">
      <c r="A94" s="2" t="str">
        <f t="shared" si="5"/>
        <v>B2B0</v>
      </c>
      <c r="B94" t="str" cm="1">
        <f t="array" ref="B94">_xlfn.LET(
  _xlpm.idx, (ROW()-3)*16 + B$1,
  _xlpm.r, MOD(_xlpm.idx, SpriteCount),
  INDEX(
    sprite_data.asm!$C$3:$R$156,
    INT(_xlpm.idx / SpriteCount) * 7 + INT(_xlpm.r / 16) + 1,
    MOD(_xlpm.r, 16) + 1
  )
)</f>
        <v>00</v>
      </c>
      <c r="C94" t="str" cm="1">
        <f t="array" ref="C94">_xlfn.LET(
  _xlpm.idx, (ROW()-3)*16 + C$1,
  _xlpm.r, MOD(_xlpm.idx, SpriteCount),
  INDEX(
    sprite_data.asm!$C$3:$R$156,
    INT(_xlpm.idx / SpriteCount) * 7 + INT(_xlpm.r / 16) + 1,
    MOD(_xlpm.r, 16) + 1
  )
)</f>
        <v>51</v>
      </c>
      <c r="D94" t="str" cm="1">
        <f t="array" ref="D94">_xlfn.LET(
  _xlpm.idx, (ROW()-3)*16 + D$1,
  _xlpm.r, MOD(_xlpm.idx, SpriteCount),
  INDEX(
    sprite_data.asm!$C$3:$R$156,
    INT(_xlpm.idx / SpriteCount) * 7 + INT(_xlpm.r / 16) + 1,
    MOD(_xlpm.r, 16) + 1
  )
)</f>
        <v>55</v>
      </c>
      <c r="E94" t="str" cm="1">
        <f t="array" ref="E94">_xlfn.LET(
  _xlpm.idx, (ROW()-3)*16 + E$1,
  _xlpm.r, MOD(_xlpm.idx, SpriteCount),
  INDEX(
    sprite_data.asm!$C$3:$R$156,
    INT(_xlpm.idx / SpriteCount) * 7 + INT(_xlpm.r / 16) + 1,
    MOD(_xlpm.r, 16) + 1
  )
)</f>
        <v>7E</v>
      </c>
      <c r="F94" t="str" cm="1">
        <f t="array" ref="F94">_xlfn.LET(
  _xlpm.idx, (ROW()-3)*16 + F$1,
  _xlpm.r, MOD(_xlpm.idx, SpriteCount),
  INDEX(
    sprite_data.asm!$C$3:$R$156,
    INT(_xlpm.idx / SpriteCount) * 7 + INT(_xlpm.r / 16) + 1,
    MOD(_xlpm.r, 16) + 1
  )
)</f>
        <v>00</v>
      </c>
      <c r="G94" t="str" cm="1">
        <f t="array" ref="G94">_xlfn.LET(
  _xlpm.idx, (ROW()-3)*16 + G$1,
  _xlpm.r, MOD(_xlpm.idx, SpriteCount),
  INDEX(
    sprite_data.asm!$C$3:$R$156,
    INT(_xlpm.idx / SpriteCount) * 7 + INT(_xlpm.r / 16) + 1,
    MOD(_xlpm.r, 16) + 1
  )
)</f>
        <v>30</v>
      </c>
      <c r="H94" t="str" cm="1">
        <f t="array" ref="H94">_xlfn.LET(
  _xlpm.idx, (ROW()-3)*16 + H$1,
  _xlpm.r, MOD(_xlpm.idx, SpriteCount),
  INDEX(
    sprite_data.asm!$C$3:$R$156,
    INT(_xlpm.idx / SpriteCount) * 7 + INT(_xlpm.r / 16) + 1,
    MOD(_xlpm.r, 16) + 1
  )
)</f>
        <v>06</v>
      </c>
      <c r="I94" t="str" cm="1">
        <f t="array" ref="I94">_xlfn.LET(
  _xlpm.idx, (ROW()-3)*16 + I$1,
  _xlpm.r, MOD(_xlpm.idx, SpriteCount),
  INDEX(
    sprite_data.asm!$C$3:$R$156,
    INT(_xlpm.idx / SpriteCount) * 7 + INT(_xlpm.r / 16) + 1,
    MOD(_xlpm.r, 16) + 1
  )
)</f>
        <v>78</v>
      </c>
      <c r="J94" t="str" cm="1">
        <f t="array" ref="J94">_xlfn.LET(
  _xlpm.idx, (ROW()-3)*16 + J$1,
  _xlpm.r, MOD(_xlpm.idx, SpriteCount),
  INDEX(
    sprite_data.asm!$C$3:$R$156,
    INT(_xlpm.idx / SpriteCount) * 7 + INT(_xlpm.r / 16) + 1,
    MOD(_xlpm.r, 16) + 1
  )
)</f>
        <v>70</v>
      </c>
      <c r="K94" t="str" cm="1">
        <f t="array" ref="K94">_xlfn.LET(
  _xlpm.idx, (ROW()-3)*16 + K$1,
  _xlpm.r, MOD(_xlpm.idx, SpriteCount),
  INDEX(
    sprite_data.asm!$C$3:$R$156,
    INT(_xlpm.idx / SpriteCount) * 7 + INT(_xlpm.r / 16) + 1,
    MOD(_xlpm.r, 16) + 1
  )
)</f>
        <v>70</v>
      </c>
      <c r="L94" t="str" cm="1">
        <f t="array" ref="L94">_xlfn.LET(
  _xlpm.idx, (ROW()-3)*16 + L$1,
  _xlpm.r, MOD(_xlpm.idx, SpriteCount),
  INDEX(
    sprite_data.asm!$C$3:$R$156,
    INT(_xlpm.idx / SpriteCount) * 7 + INT(_xlpm.r / 16) + 1,
    MOD(_xlpm.r, 16) + 1
  )
)</f>
        <v>7F</v>
      </c>
      <c r="M94" t="str" cm="1">
        <f t="array" ref="M94">_xlfn.LET(
  _xlpm.idx, (ROW()-3)*16 + M$1,
  _xlpm.r, MOD(_xlpm.idx, SpriteCount),
  INDEX(
    sprite_data.asm!$C$3:$R$156,
    INT(_xlpm.idx / SpriteCount) * 7 + INT(_xlpm.r / 16) + 1,
    MOD(_xlpm.r, 16) + 1
  )
)</f>
        <v>38</v>
      </c>
      <c r="N94" t="str" cm="1">
        <f t="array" ref="N94">_xlfn.LET(
  _xlpm.idx, (ROW()-3)*16 + N$1,
  _xlpm.r, MOD(_xlpm.idx, SpriteCount),
  INDEX(
    sprite_data.asm!$C$3:$R$156,
    INT(_xlpm.idx / SpriteCount) * 7 + INT(_xlpm.r / 16) + 1,
    MOD(_xlpm.r, 16) + 1
  )
)</f>
        <v>1C</v>
      </c>
      <c r="O94" t="str" cm="1">
        <f t="array" ref="O94">_xlfn.LET(
  _xlpm.idx, (ROW()-3)*16 + O$1,
  _xlpm.r, MOD(_xlpm.idx, SpriteCount),
  INDEX(
    sprite_data.asm!$C$3:$R$156,
    INT(_xlpm.idx / SpriteCount) * 7 + INT(_xlpm.r / 16) + 1,
    MOD(_xlpm.r, 16) + 1
  )
)</f>
        <v>3C</v>
      </c>
      <c r="P94" t="str" cm="1">
        <f t="array" ref="P94">_xlfn.LET(
  _xlpm.idx, (ROW()-3)*16 + P$1,
  _xlpm.r, MOD(_xlpm.idx, SpriteCount),
  INDEX(
    sprite_data.asm!$C$3:$R$156,
    INT(_xlpm.idx / SpriteCount) * 7 + INT(_xlpm.r / 16) + 1,
    MOD(_xlpm.r, 16) + 1
  )
)</f>
        <v>58</v>
      </c>
      <c r="Q94" t="str" cm="1">
        <f t="array" ref="Q94">_xlfn.LET(
  _xlpm.idx, (ROW()-3)*16 + Q$1,
  _xlpm.r, MOD(_xlpm.idx, SpriteCount),
  INDEX(
    sprite_data.asm!$C$3:$R$156,
    INT(_xlpm.idx / SpriteCount) * 7 + INT(_xlpm.r / 16) + 1,
    MOD(_xlpm.r, 16) + 1
  )
)</f>
        <v>60</v>
      </c>
    </row>
    <row r="95" spans="1:17" x14ac:dyDescent="0.3">
      <c r="A95" s="2" t="str">
        <f t="shared" si="5"/>
        <v>B2C0</v>
      </c>
      <c r="B95" t="str" cm="1">
        <f t="array" ref="B95">_xlfn.LET(
  _xlpm.idx, (ROW()-3)*16 + B$1,
  _xlpm.r, MOD(_xlpm.idx, SpriteCount),
  INDEX(
    sprite_data.asm!$C$3:$R$156,
    INT(_xlpm.idx / SpriteCount) * 7 + INT(_xlpm.r / 16) + 1,
    MOD(_xlpm.r, 16) + 1
  )
)</f>
        <v>60</v>
      </c>
      <c r="C95" t="str" cm="1">
        <f t="array" ref="C95">_xlfn.LET(
  _xlpm.idx, (ROW()-3)*16 + C$1,
  _xlpm.r, MOD(_xlpm.idx, SpriteCount),
  INDEX(
    sprite_data.asm!$C$3:$R$156,
    INT(_xlpm.idx / SpriteCount) * 7 + INT(_xlpm.r / 16) + 1,
    MOD(_xlpm.r, 16) + 1
  )
)</f>
        <v>70</v>
      </c>
      <c r="D95" t="str" cm="1">
        <f t="array" ref="D95">_xlfn.LET(
  _xlpm.idx, (ROW()-3)*16 + D$1,
  _xlpm.r, MOD(_xlpm.idx, SpriteCount),
  INDEX(
    sprite_data.asm!$C$3:$R$156,
    INT(_xlpm.idx / SpriteCount) * 7 + INT(_xlpm.r / 16) + 1,
    MOD(_xlpm.r, 16) + 1
  )
)</f>
        <v>6C</v>
      </c>
      <c r="E95" t="str" cm="1">
        <f t="array" ref="E95">_xlfn.LET(
  _xlpm.idx, (ROW()-3)*16 + E$1,
  _xlpm.r, MOD(_xlpm.idx, SpriteCount),
  INDEX(
    sprite_data.asm!$C$3:$R$156,
    INT(_xlpm.idx / SpriteCount) * 7 + INT(_xlpm.r / 16) + 1,
    MOD(_xlpm.r, 16) + 1
  )
)</f>
        <v>6C</v>
      </c>
      <c r="F95" t="str" cm="1">
        <f t="array" ref="F95">_xlfn.LET(
  _xlpm.idx, (ROW()-3)*16 + F$1,
  _xlpm.r, MOD(_xlpm.idx, SpriteCount),
  INDEX(
    sprite_data.asm!$C$3:$R$156,
    INT(_xlpm.idx / SpriteCount) * 7 + INT(_xlpm.r / 16) + 1,
    MOD(_xlpm.r, 16) + 1
  )
)</f>
        <v>58</v>
      </c>
      <c r="G95" t="str" cm="1">
        <f t="array" ref="G95">_xlfn.LET(
  _xlpm.idx, (ROW()-3)*16 + G$1,
  _xlpm.r, MOD(_xlpm.idx, SpriteCount),
  INDEX(
    sprite_data.asm!$C$3:$R$156,
    INT(_xlpm.idx / SpriteCount) * 7 + INT(_xlpm.r / 16) + 1,
    MOD(_xlpm.r, 16) + 1
  )
)</f>
        <v>1E</v>
      </c>
      <c r="H95" t="str" cm="1">
        <f t="array" ref="H95">_xlfn.LET(
  _xlpm.idx, (ROW()-3)*16 + H$1,
  _xlpm.r, MOD(_xlpm.idx, SpriteCount),
  INDEX(
    sprite_data.asm!$C$3:$R$156,
    INT(_xlpm.idx / SpriteCount) * 7 + INT(_xlpm.r / 16) + 1,
    MOD(_xlpm.r, 16) + 1
  )
)</f>
        <v>1C</v>
      </c>
      <c r="I95" t="str" cm="1">
        <f t="array" ref="I95">_xlfn.LET(
  _xlpm.idx, (ROW()-3)*16 + I$1,
  _xlpm.r, MOD(_xlpm.idx, SpriteCount),
  INDEX(
    sprite_data.asm!$C$3:$R$156,
    INT(_xlpm.idx / SpriteCount) * 7 + INT(_xlpm.r / 16) + 1,
    MOD(_xlpm.r, 16) + 1
  )
)</f>
        <v>70</v>
      </c>
      <c r="J95" t="str" cm="1">
        <f t="array" ref="J95">_xlfn.LET(
  _xlpm.idx, (ROW()-3)*16 + J$1,
  _xlpm.r, MOD(_xlpm.idx, SpriteCount),
  INDEX(
    sprite_data.asm!$C$3:$R$156,
    INT(_xlpm.idx / SpriteCount) * 7 + INT(_xlpm.r / 16) + 1,
    MOD(_xlpm.r, 16) + 1
  )
)</f>
        <v>60</v>
      </c>
      <c r="K95" t="str" cm="1">
        <f t="array" ref="K95">_xlfn.LET(
  _xlpm.idx, (ROW()-3)*16 + K$1,
  _xlpm.r, MOD(_xlpm.idx, SpriteCount),
  INDEX(
    sprite_data.asm!$C$3:$R$156,
    INT(_xlpm.idx / SpriteCount) * 7 + INT(_xlpm.r / 16) + 1,
    MOD(_xlpm.r, 16) + 1
  )
)</f>
        <v>60</v>
      </c>
      <c r="L95" t="str" cm="1">
        <f t="array" ref="L95">_xlfn.LET(
  _xlpm.idx, (ROW()-3)*16 + L$1,
  _xlpm.r, MOD(_xlpm.idx, SpriteCount),
  INDEX(
    sprite_data.asm!$C$3:$R$156,
    INT(_xlpm.idx / SpriteCount) * 7 + INT(_xlpm.r / 16) + 1,
    MOD(_xlpm.r, 16) + 1
  )
)</f>
        <v>38</v>
      </c>
      <c r="M95" t="str" cm="1">
        <f t="array" ref="M95">_xlfn.LET(
  _xlpm.idx, (ROW()-3)*16 + M$1,
  _xlpm.r, MOD(_xlpm.idx, SpriteCount),
  INDEX(
    sprite_data.asm!$C$3:$R$156,
    INT(_xlpm.idx / SpriteCount) * 7 + INT(_xlpm.r / 16) + 1,
    MOD(_xlpm.r, 16) + 1
  )
)</f>
        <v>40</v>
      </c>
      <c r="N95" t="str" cm="1">
        <f t="array" ref="N95">_xlfn.LET(
  _xlpm.idx, (ROW()-3)*16 + N$1,
  _xlpm.r, MOD(_xlpm.idx, SpriteCount),
  INDEX(
    sprite_data.asm!$C$3:$R$156,
    INT(_xlpm.idx / SpriteCount) * 7 + INT(_xlpm.r / 16) + 1,
    MOD(_xlpm.r, 16) + 1
  )
)</f>
        <v>04</v>
      </c>
      <c r="O95" t="str" cm="1">
        <f t="array" ref="O95">_xlfn.LET(
  _xlpm.idx, (ROW()-3)*16 + O$1,
  _xlpm.r, MOD(_xlpm.idx, SpriteCount),
  INDEX(
    sprite_data.asm!$C$3:$R$156,
    INT(_xlpm.idx / SpriteCount) * 7 + INT(_xlpm.r / 16) + 1,
    MOD(_xlpm.r, 16) + 1
  )
)</f>
        <v>01</v>
      </c>
      <c r="P95" t="str" cm="1">
        <f t="array" ref="P95">_xlfn.LET(
  _xlpm.idx, (ROW()-3)*16 + P$1,
  _xlpm.r, MOD(_xlpm.idx, SpriteCount),
  INDEX(
    sprite_data.asm!$C$3:$R$156,
    INT(_xlpm.idx / SpriteCount) * 7 + INT(_xlpm.r / 16) + 1,
    MOD(_xlpm.r, 16) + 1
  )
)</f>
        <v>00</v>
      </c>
      <c r="Q95" t="str" cm="1">
        <f t="array" ref="Q95">_xlfn.LET(
  _xlpm.idx, (ROW()-3)*16 + Q$1,
  _xlpm.r, MOD(_xlpm.idx, SpriteCount),
  INDEX(
    sprite_data.asm!$C$3:$R$156,
    INT(_xlpm.idx / SpriteCount) * 7 + INT(_xlpm.r / 16) + 1,
    MOD(_xlpm.r, 16) + 1
  )
)</f>
        <v>51</v>
      </c>
    </row>
    <row r="96" spans="1:17" x14ac:dyDescent="0.3">
      <c r="A96" s="2" t="str">
        <f t="shared" si="5"/>
        <v>B2D0</v>
      </c>
      <c r="B96" t="str" cm="1">
        <f t="array" ref="B96">_xlfn.LET(
  _xlpm.idx, (ROW()-3)*16 + B$1,
  _xlpm.r, MOD(_xlpm.idx, SpriteCount),
  INDEX(
    sprite_data.asm!$C$3:$R$156,
    INT(_xlpm.idx / SpriteCount) * 7 + INT(_xlpm.r / 16) + 1,
    MOD(_xlpm.r, 16) + 1
  )
)</f>
        <v>51</v>
      </c>
      <c r="C96" t="str" cm="1">
        <f t="array" ref="C96">_xlfn.LET(
  _xlpm.idx, (ROW()-3)*16 + C$1,
  _xlpm.r, MOD(_xlpm.idx, SpriteCount),
  INDEX(
    sprite_data.asm!$C$3:$R$156,
    INT(_xlpm.idx / SpriteCount) * 7 + INT(_xlpm.r / 16) + 1,
    MOD(_xlpm.r, 16) + 1
  )
)</f>
        <v>51</v>
      </c>
      <c r="D96" t="str" cm="1">
        <f t="array" ref="D96">_xlfn.LET(
  _xlpm.idx, (ROW()-3)*16 + D$1,
  _xlpm.r, MOD(_xlpm.idx, SpriteCount),
  INDEX(
    sprite_data.asm!$C$3:$R$156,
    INT(_xlpm.idx / SpriteCount) * 7 + INT(_xlpm.r / 16) + 1,
    MOD(_xlpm.r, 16) + 1
  )
)</f>
        <v>51</v>
      </c>
      <c r="E96" t="str" cm="1">
        <f t="array" ref="E96">_xlfn.LET(
  _xlpm.idx, (ROW()-3)*16 + E$1,
  _xlpm.r, MOD(_xlpm.idx, SpriteCount),
  INDEX(
    sprite_data.asm!$C$3:$R$156,
    INT(_xlpm.idx / SpriteCount) * 7 + INT(_xlpm.r / 16) + 1,
    MOD(_xlpm.r, 16) + 1
  )
)</f>
        <v>29</v>
      </c>
      <c r="F96" t="str" cm="1">
        <f t="array" ref="F96">_xlfn.LET(
  _xlpm.idx, (ROW()-3)*16 + F$1,
  _xlpm.r, MOD(_xlpm.idx, SpriteCount),
  INDEX(
    sprite_data.asm!$C$3:$R$156,
    INT(_xlpm.idx / SpriteCount) * 7 + INT(_xlpm.r / 16) + 1,
    MOD(_xlpm.r, 16) + 1
  )
)</f>
        <v>20</v>
      </c>
      <c r="G96" t="str" cm="1">
        <f t="array" ref="G96">_xlfn.LET(
  _xlpm.idx, (ROW()-3)*16 + G$1,
  _xlpm.r, MOD(_xlpm.idx, SpriteCount),
  INDEX(
    sprite_data.asm!$C$3:$R$156,
    INT(_xlpm.idx / SpriteCount) * 7 + INT(_xlpm.r / 16) + 1,
    MOD(_xlpm.r, 16) + 1
  )
)</f>
        <v>38</v>
      </c>
      <c r="H96" t="str" cm="1">
        <f t="array" ref="H96">_xlfn.LET(
  _xlpm.idx, (ROW()-3)*16 + H$1,
  _xlpm.r, MOD(_xlpm.idx, SpriteCount),
  INDEX(
    sprite_data.asm!$C$3:$R$156,
    INT(_xlpm.idx / SpriteCount) * 7 + INT(_xlpm.r / 16) + 1,
    MOD(_xlpm.r, 16) + 1
  )
)</f>
        <v>44</v>
      </c>
      <c r="I96" t="str" cm="1">
        <f t="array" ref="I96">_xlfn.LET(
  _xlpm.idx, (ROW()-3)*16 + I$1,
  _xlpm.r, MOD(_xlpm.idx, SpriteCount),
  INDEX(
    sprite_data.asm!$C$3:$R$156,
    INT(_xlpm.idx / SpriteCount) * 7 + INT(_xlpm.r / 16) + 1,
    MOD(_xlpm.r, 16) + 1
  )
)</f>
        <v>02</v>
      </c>
      <c r="J96" t="str" cm="1">
        <f t="array" ref="J96">_xlfn.LET(
  _xlpm.idx, (ROW()-3)*16 + J$1,
  _xlpm.r, MOD(_xlpm.idx, SpriteCount),
  INDEX(
    sprite_data.asm!$C$3:$R$156,
    INT(_xlpm.idx / SpriteCount) * 7 + INT(_xlpm.r / 16) + 1,
    MOD(_xlpm.r, 16) + 1
  )
)</f>
        <v>70</v>
      </c>
      <c r="K96" t="str" cm="1">
        <f t="array" ref="K96">_xlfn.LET(
  _xlpm.idx, (ROW()-3)*16 + K$1,
  _xlpm.r, MOD(_xlpm.idx, SpriteCount),
  INDEX(
    sprite_data.asm!$C$3:$R$156,
    INT(_xlpm.idx / SpriteCount) * 7 + INT(_xlpm.r / 16) + 1,
    MOD(_xlpm.r, 16) + 1
  )
)</f>
        <v>60</v>
      </c>
      <c r="L96" t="str" cm="1">
        <f t="array" ref="L96">_xlfn.LET(
  _xlpm.idx, (ROW()-3)*16 + L$1,
  _xlpm.r, MOD(_xlpm.idx, SpriteCount),
  INDEX(
    sprite_data.asm!$C$3:$R$156,
    INT(_xlpm.idx / SpriteCount) * 7 + INT(_xlpm.r / 16) + 1,
    MOD(_xlpm.r, 16) + 1
  )
)</f>
        <v>70</v>
      </c>
      <c r="M96" t="str" cm="1">
        <f t="array" ref="M96">_xlfn.LET(
  _xlpm.idx, (ROW()-3)*16 + M$1,
  _xlpm.r, MOD(_xlpm.idx, SpriteCount),
  INDEX(
    sprite_data.asm!$C$3:$R$156,
    INT(_xlpm.idx / SpriteCount) * 7 + INT(_xlpm.r / 16) + 1,
    MOD(_xlpm.r, 16) + 1
  )
)</f>
        <v>38</v>
      </c>
      <c r="N96" t="str" cm="1">
        <f t="array" ref="N96">_xlfn.LET(
  _xlpm.idx, (ROW()-3)*16 + N$1,
  _xlpm.r, MOD(_xlpm.idx, SpriteCount),
  INDEX(
    sprite_data.asm!$C$3:$R$156,
    INT(_xlpm.idx / SpriteCount) * 7 + INT(_xlpm.r / 16) + 1,
    MOD(_xlpm.r, 16) + 1
  )
)</f>
        <v>78</v>
      </c>
      <c r="O96" t="str" cm="1">
        <f t="array" ref="O96">_xlfn.LET(
  _xlpm.idx, (ROW()-3)*16 + O$1,
  _xlpm.r, MOD(_xlpm.idx, SpriteCount),
  INDEX(
    sprite_data.asm!$C$3:$R$156,
    INT(_xlpm.idx / SpriteCount) * 7 + INT(_xlpm.r / 16) + 1,
    MOD(_xlpm.r, 16) + 1
  )
)</f>
        <v>1E</v>
      </c>
      <c r="P96" t="str" cm="1">
        <f t="array" ref="P96">_xlfn.LET(
  _xlpm.idx, (ROW()-3)*16 + P$1,
  _xlpm.r, MOD(_xlpm.idx, SpriteCount),
  INDEX(
    sprite_data.asm!$C$3:$R$156,
    INT(_xlpm.idx / SpriteCount) * 7 + INT(_xlpm.r / 16) + 1,
    MOD(_xlpm.r, 16) + 1
  )
)</f>
        <v>1C</v>
      </c>
      <c r="Q96" t="str" cm="1">
        <f t="array" ref="Q96">_xlfn.LET(
  _xlpm.idx, (ROW()-3)*16 + Q$1,
  _xlpm.r, MOD(_xlpm.idx, SpriteCount),
  INDEX(
    sprite_data.asm!$C$3:$R$156,
    INT(_xlpm.idx / SpriteCount) * 7 + INT(_xlpm.r / 16) + 1,
    MOD(_xlpm.r, 16) + 1
  )
)</f>
        <v>70</v>
      </c>
    </row>
    <row r="97" spans="1:17" x14ac:dyDescent="0.3">
      <c r="A97" s="2" t="str">
        <f t="shared" si="5"/>
        <v>B2E0</v>
      </c>
      <c r="B97" t="str" cm="1">
        <f t="array" ref="B97">_xlfn.LET(
  _xlpm.idx, (ROW()-3)*16 + B$1,
  _xlpm.r, MOD(_xlpm.idx, SpriteCount),
  INDEX(
    sprite_data.asm!$C$3:$R$156,
    INT(_xlpm.idx / SpriteCount) * 7 + INT(_xlpm.r / 16) + 1,
    MOD(_xlpm.r, 16) + 1
  )
)</f>
        <v>70</v>
      </c>
      <c r="C97" t="str" cm="1">
        <f t="array" ref="C97">_xlfn.LET(
  _xlpm.idx, (ROW()-3)*16 + C$1,
  _xlpm.r, MOD(_xlpm.idx, SpriteCount),
  INDEX(
    sprite_data.asm!$C$3:$R$156,
    INT(_xlpm.idx / SpriteCount) * 7 + INT(_xlpm.r / 16) + 1,
    MOD(_xlpm.r, 16) + 1
  )
)</f>
        <v>70</v>
      </c>
      <c r="D97" t="str" cm="1">
        <f t="array" ref="D97">_xlfn.LET(
  _xlpm.idx, (ROW()-3)*16 + D$1,
  _xlpm.r, MOD(_xlpm.idx, SpriteCount),
  INDEX(
    sprite_data.asm!$C$3:$R$156,
    INT(_xlpm.idx / SpriteCount) * 7 + INT(_xlpm.r / 16) + 1,
    MOD(_xlpm.r, 16) + 1
  )
)</f>
        <v>1C</v>
      </c>
      <c r="E97" t="str" cm="1">
        <f t="array" ref="E97">_xlfn.LET(
  _xlpm.idx, (ROW()-3)*16 + E$1,
  _xlpm.r, MOD(_xlpm.idx, SpriteCount),
  INDEX(
    sprite_data.asm!$C$3:$R$156,
    INT(_xlpm.idx / SpriteCount) * 7 + INT(_xlpm.r / 16) + 1,
    MOD(_xlpm.r, 16) + 1
  )
)</f>
        <v>58</v>
      </c>
      <c r="F97" t="str" cm="1">
        <f t="array" ref="F97">_xlfn.LET(
  _xlpm.idx, (ROW()-3)*16 + F$1,
  _xlpm.r, MOD(_xlpm.idx, SpriteCount),
  INDEX(
    sprite_data.asm!$C$3:$R$156,
    INT(_xlpm.idx / SpriteCount) * 7 + INT(_xlpm.r / 16) + 1,
    MOD(_xlpm.r, 16) + 1
  )
)</f>
        <v>6C</v>
      </c>
      <c r="G97" t="str" cm="1">
        <f t="array" ref="G97">_xlfn.LET(
  _xlpm.idx, (ROW()-3)*16 + G$1,
  _xlpm.r, MOD(_xlpm.idx, SpriteCount),
  INDEX(
    sprite_data.asm!$C$3:$R$156,
    INT(_xlpm.idx / SpriteCount) * 7 + INT(_xlpm.r / 16) + 1,
    MOD(_xlpm.r, 16) + 1
  )
)</f>
        <v>30</v>
      </c>
      <c r="H97" t="str" cm="1">
        <f t="array" ref="H97">_xlfn.LET(
  _xlpm.idx, (ROW()-3)*16 + H$1,
  _xlpm.r, MOD(_xlpm.idx, SpriteCount),
  INDEX(
    sprite_data.asm!$C$3:$R$156,
    INT(_xlpm.idx / SpriteCount) * 7 + INT(_xlpm.r / 16) + 1,
    MOD(_xlpm.r, 16) + 1
  )
)</f>
        <v>6C</v>
      </c>
      <c r="I97" t="str" cm="1">
        <f t="array" ref="I97">_xlfn.LET(
  _xlpm.idx, (ROW()-3)*16 + I$1,
  _xlpm.r, MOD(_xlpm.idx, SpriteCount),
  INDEX(
    sprite_data.asm!$C$3:$R$156,
    INT(_xlpm.idx / SpriteCount) * 7 + INT(_xlpm.r / 16) + 1,
    MOD(_xlpm.r, 16) + 1
  )
)</f>
        <v>00</v>
      </c>
      <c r="J97" t="str" cm="1">
        <f t="array" ref="J97">_xlfn.LET(
  _xlpm.idx, (ROW()-3)*16 + J$1,
  _xlpm.r, MOD(_xlpm.idx, SpriteCount),
  INDEX(
    sprite_data.asm!$C$3:$R$156,
    INT(_xlpm.idx / SpriteCount) * 7 + INT(_xlpm.r / 16) + 1,
    MOD(_xlpm.r, 16) + 1
  )
)</f>
        <v>01</v>
      </c>
      <c r="K97" t="str" cm="1">
        <f t="array" ref="K97">_xlfn.LET(
  _xlpm.idx, (ROW()-3)*16 + K$1,
  _xlpm.r, MOD(_xlpm.idx, SpriteCount),
  INDEX(
    sprite_data.asm!$C$3:$R$156,
    INT(_xlpm.idx / SpriteCount) * 7 + INT(_xlpm.r / 16) + 1,
    MOD(_xlpm.r, 16) + 1
  )
)</f>
        <v>00</v>
      </c>
      <c r="L97" t="str" cm="1">
        <f t="array" ref="L97">_xlfn.LET(
  _xlpm.idx, (ROW()-3)*16 + L$1,
  _xlpm.r, MOD(_xlpm.idx, SpriteCount),
  INDEX(
    sprite_data.asm!$C$3:$R$156,
    INT(_xlpm.idx / SpriteCount) * 7 + INT(_xlpm.r / 16) + 1,
    MOD(_xlpm.r, 16) + 1
  )
)</f>
        <v>00</v>
      </c>
      <c r="M97" t="str" cm="1">
        <f t="array" ref="M97">_xlfn.LET(
  _xlpm.idx, (ROW()-3)*16 + M$1,
  _xlpm.r, MOD(_xlpm.idx, SpriteCount),
  INDEX(
    sprite_data.asm!$C$3:$R$156,
    INT(_xlpm.idx / SpriteCount) * 7 + INT(_xlpm.r / 16) + 1,
    MOD(_xlpm.r, 16) + 1
  )
)</f>
        <v>22</v>
      </c>
      <c r="N97" t="str" cm="1">
        <f t="array" ref="N97">_xlfn.LET(
  _xlpm.idx, (ROW()-3)*16 + N$1,
  _xlpm.r, MOD(_xlpm.idx, SpriteCount),
  INDEX(
    sprite_data.asm!$C$3:$R$156,
    INT(_xlpm.idx / SpriteCount) * 7 + INT(_xlpm.r / 16) + 1,
    MOD(_xlpm.r, 16) + 1
  )
)</f>
        <v>20</v>
      </c>
      <c r="O97" t="str" cm="1">
        <f t="array" ref="O97">_xlfn.LET(
  _xlpm.idx, (ROW()-3)*16 + O$1,
  _xlpm.r, MOD(_xlpm.idx, SpriteCount),
  INDEX(
    sprite_data.asm!$C$3:$R$156,
    INT(_xlpm.idx / SpriteCount) * 7 + INT(_xlpm.r / 16) + 1,
    MOD(_xlpm.r, 16) + 1
  )
)</f>
        <v>02</v>
      </c>
      <c r="P97" t="str" cm="1">
        <f t="array" ref="P97">_xlfn.LET(
  _xlpm.idx, (ROW()-3)*16 + P$1,
  _xlpm.r, MOD(_xlpm.idx, SpriteCount),
  INDEX(
    sprite_data.asm!$C$3:$R$156,
    INT(_xlpm.idx / SpriteCount) * 7 + INT(_xlpm.r / 16) + 1,
    MOD(_xlpm.r, 16) + 1
  )
)</f>
        <v>00</v>
      </c>
      <c r="Q97" t="str" cm="1">
        <f t="array" ref="Q97">_xlfn.LET(
  _xlpm.idx, (ROW()-3)*16 + Q$1,
  _xlpm.r, MOD(_xlpm.idx, SpriteCount),
  INDEX(
    sprite_data.asm!$C$3:$R$156,
    INT(_xlpm.idx / SpriteCount) * 7 + INT(_xlpm.r / 16) + 1,
    MOD(_xlpm.r, 16) + 1
  )
)</f>
        <v>00</v>
      </c>
    </row>
    <row r="98" spans="1:17" x14ac:dyDescent="0.3">
      <c r="A98" s="2" t="str">
        <f t="shared" si="5"/>
        <v>B2F0</v>
      </c>
      <c r="B98" t="str" cm="1">
        <f t="array" ref="B98">_xlfn.LET(
  _xlpm.idx, (ROW()-3)*16 + B$1,
  _xlpm.r, MOD(_xlpm.idx, SpriteCount),
  INDEX(
    sprite_data.asm!$C$3:$R$156,
    INT(_xlpm.idx / SpriteCount) * 7 + INT(_xlpm.r / 16) + 1,
    MOD(_xlpm.r, 16) + 1
  )
)</f>
        <v>20</v>
      </c>
      <c r="C98" t="str" cm="1">
        <f t="array" ref="C98">_xlfn.LET(
  _xlpm.idx, (ROW()-3)*16 + C$1,
  _xlpm.r, MOD(_xlpm.idx, SpriteCount),
  INDEX(
    sprite_data.asm!$C$3:$R$156,
    INT(_xlpm.idx / SpriteCount) * 7 + INT(_xlpm.r / 16) + 1,
    MOD(_xlpm.r, 16) + 1
  )
)</f>
        <v>2A</v>
      </c>
      <c r="D98" t="str" cm="1">
        <f t="array" ref="D98">_xlfn.LET(
  _xlpm.idx, (ROW()-3)*16 + D$1,
  _xlpm.r, MOD(_xlpm.idx, SpriteCount),
  INDEX(
    sprite_data.asm!$C$3:$R$156,
    INT(_xlpm.idx / SpriteCount) * 7 + INT(_xlpm.r / 16) + 1,
    MOD(_xlpm.r, 16) + 1
  )
)</f>
        <v>28</v>
      </c>
      <c r="E98" t="str" cm="1">
        <f t="array" ref="E98">_xlfn.LET(
  _xlpm.idx, (ROW()-3)*16 + E$1,
  _xlpm.r, MOD(_xlpm.idx, SpriteCount),
  INDEX(
    sprite_data.asm!$C$3:$R$156,
    INT(_xlpm.idx / SpriteCount) * 7 + INT(_xlpm.r / 16) + 1,
    MOD(_xlpm.r, 16) + 1
  )
)</f>
        <v>02</v>
      </c>
      <c r="F98" t="str" cm="1">
        <f t="array" ref="F98">_xlfn.LET(
  _xlpm.idx, (ROW()-3)*16 + F$1,
  _xlpm.r, MOD(_xlpm.idx, SpriteCount),
  INDEX(
    sprite_data.asm!$C$3:$R$156,
    INT(_xlpm.idx / SpriteCount) * 7 + INT(_xlpm.r / 16) + 1,
    MOD(_xlpm.r, 16) + 1
  )
)</f>
        <v>20</v>
      </c>
      <c r="G98" t="str" cm="1">
        <f t="array" ref="G98">_xlfn.LET(
  _xlpm.idx, (ROW()-3)*16 + G$1,
  _xlpm.r, MOD(_xlpm.idx, SpriteCount),
  INDEX(
    sprite_data.asm!$C$3:$R$156,
    INT(_xlpm.idx / SpriteCount) * 7 + INT(_xlpm.r / 16) + 1,
    MOD(_xlpm.r, 16) + 1
  )
)</f>
        <v>41</v>
      </c>
      <c r="H98" t="str" cm="1">
        <f t="array" ref="H98">_xlfn.LET(
  _xlpm.idx, (ROW()-3)*16 + H$1,
  _xlpm.r, MOD(_xlpm.idx, SpriteCount),
  INDEX(
    sprite_data.asm!$C$3:$R$156,
    INT(_xlpm.idx / SpriteCount) * 7 + INT(_xlpm.r / 16) + 1,
    MOD(_xlpm.r, 16) + 1
  )
)</f>
        <v>41</v>
      </c>
      <c r="I98" t="str" cm="1">
        <f t="array" ref="I98">_xlfn.LET(
  _xlpm.idx, (ROW()-3)*16 + I$1,
  _xlpm.r, MOD(_xlpm.idx, SpriteCount),
  INDEX(
    sprite_data.asm!$C$3:$R$156,
    INT(_xlpm.idx / SpriteCount) * 7 + INT(_xlpm.r / 16) + 1,
    MOD(_xlpm.r, 16) + 1
  )
)</f>
        <v>05</v>
      </c>
      <c r="J98" t="str" cm="1">
        <f t="array" ref="J98">_xlfn.LET(
  _xlpm.idx, (ROW()-3)*16 + J$1,
  _xlpm.r, MOD(_xlpm.idx, SpriteCount),
  INDEX(
    sprite_data.asm!$C$3:$R$156,
    INT(_xlpm.idx / SpriteCount) * 7 + INT(_xlpm.r / 16) + 1,
    MOD(_xlpm.r, 16) + 1
  )
)</f>
        <v>45</v>
      </c>
      <c r="K98" t="str" cm="1">
        <f t="array" ref="K98">_xlfn.LET(
  _xlpm.idx, (ROW()-3)*16 + K$1,
  _xlpm.r, MOD(_xlpm.idx, SpriteCount),
  INDEX(
    sprite_data.asm!$C$3:$R$156,
    INT(_xlpm.idx / SpriteCount) * 7 + INT(_xlpm.r / 16) + 1,
    MOD(_xlpm.r, 16) + 1
  )
)</f>
        <v>01</v>
      </c>
      <c r="L98" t="str" cm="1">
        <f t="array" ref="L98">_xlfn.LET(
  _xlpm.idx, (ROW()-3)*16 + L$1,
  _xlpm.r, MOD(_xlpm.idx, SpriteCount),
  INDEX(
    sprite_data.asm!$C$3:$R$156,
    INT(_xlpm.idx / SpriteCount) * 7 + INT(_xlpm.r / 16) + 1,
    MOD(_xlpm.r, 16) + 1
  )
)</f>
        <v>01</v>
      </c>
      <c r="M98" t="str" cm="1">
        <f t="array" ref="M98">_xlfn.LET(
  _xlpm.idx, (ROW()-3)*16 + M$1,
  _xlpm.r, MOD(_xlpm.idx, SpriteCount),
  INDEX(
    sprite_data.asm!$C$3:$R$156,
    INT(_xlpm.idx / SpriteCount) * 7 + INT(_xlpm.r / 16) + 1,
    MOD(_xlpm.r, 16) + 1
  )
)</f>
        <v>51</v>
      </c>
      <c r="N98" t="str" cm="1">
        <f t="array" ref="N98">_xlfn.LET(
  _xlpm.idx, (ROW()-3)*16 + N$1,
  _xlpm.r, MOD(_xlpm.idx, SpriteCount),
  INDEX(
    sprite_data.asm!$C$3:$R$156,
    INT(_xlpm.idx / SpriteCount) * 7 + INT(_xlpm.r / 16) + 1,
    MOD(_xlpm.r, 16) + 1
  )
)</f>
        <v>45</v>
      </c>
      <c r="O98" t="str" cm="1">
        <f t="array" ref="O98">_xlfn.LET(
  _xlpm.idx, (ROW()-3)*16 + O$1,
  _xlpm.r, MOD(_xlpm.idx, SpriteCount),
  INDEX(
    sprite_data.asm!$C$3:$R$156,
    INT(_xlpm.idx / SpriteCount) * 7 + INT(_xlpm.r / 16) + 1,
    MOD(_xlpm.r, 16) + 1
  )
)</f>
        <v>14</v>
      </c>
      <c r="P98" t="str" cm="1">
        <f t="array" ref="P98">_xlfn.LET(
  _xlpm.idx, (ROW()-3)*16 + P$1,
  _xlpm.r, MOD(_xlpm.idx, SpriteCount),
  INDEX(
    sprite_data.asm!$C$3:$R$156,
    INT(_xlpm.idx / SpriteCount) * 7 + INT(_xlpm.r / 16) + 1,
    MOD(_xlpm.r, 16) + 1
  )
)</f>
        <v>50</v>
      </c>
      <c r="Q98" t="str" cm="1">
        <f t="array" ref="Q98">_xlfn.LET(
  _xlpm.idx, (ROW()-3)*16 + Q$1,
  _xlpm.r, MOD(_xlpm.idx, SpriteCount),
  INDEX(
    sprite_data.asm!$C$3:$R$156,
    INT(_xlpm.idx / SpriteCount) * 7 + INT(_xlpm.r / 16) + 1,
    MOD(_xlpm.r, 16) + 1
  )
)</f>
        <v>55</v>
      </c>
    </row>
    <row r="99" spans="1:17" x14ac:dyDescent="0.3">
      <c r="A99" s="2" t="str">
        <f t="shared" si="5"/>
        <v>B300</v>
      </c>
      <c r="B99" t="str" cm="1">
        <f t="array" ref="B99">_xlfn.LET(
  _xlpm.idx, (ROW()-3)*16 + B$1,
  _xlpm.r, MOD(_xlpm.idx, SpriteCount),
  INDEX(
    sprite_data.asm!$C$3:$R$156,
    INT(_xlpm.idx / SpriteCount) * 7 + INT(_xlpm.r / 16) + 1,
    MOD(_xlpm.r, 16) + 1
  )
)</f>
        <v>05</v>
      </c>
      <c r="C99" t="str" cm="1">
        <f t="array" ref="C99">_xlfn.LET(
  _xlpm.idx, (ROW()-3)*16 + C$1,
  _xlpm.r, MOD(_xlpm.idx, SpriteCount),
  INDEX(
    sprite_data.asm!$C$3:$R$156,
    INT(_xlpm.idx / SpriteCount) * 7 + INT(_xlpm.r / 16) + 1,
    MOD(_xlpm.r, 16) + 1
  )
)</f>
        <v>41</v>
      </c>
      <c r="D99" t="str" cm="1">
        <f t="array" ref="D99">_xlfn.LET(
  _xlpm.idx, (ROW()-3)*16 + D$1,
  _xlpm.r, MOD(_xlpm.idx, SpriteCount),
  INDEX(
    sprite_data.asm!$C$3:$R$156,
    INT(_xlpm.idx / SpriteCount) * 7 + INT(_xlpm.r / 16) + 1,
    MOD(_xlpm.r, 16) + 1
  )
)</f>
        <v>55</v>
      </c>
      <c r="E99" t="str" cm="1">
        <f t="array" ref="E99">_xlfn.LET(
  _xlpm.idx, (ROW()-3)*16 + E$1,
  _xlpm.r, MOD(_xlpm.idx, SpriteCount),
  INDEX(
    sprite_data.asm!$C$3:$R$156,
    INT(_xlpm.idx / SpriteCount) * 7 + INT(_xlpm.r / 16) + 1,
    MOD(_xlpm.r, 16) + 1
  )
)</f>
        <v>41</v>
      </c>
      <c r="F99" t="str" cm="1">
        <f t="array" ref="F99">_xlfn.LET(
  _xlpm.idx, (ROW()-3)*16 + F$1,
  _xlpm.r, MOD(_xlpm.idx, SpriteCount),
  INDEX(
    sprite_data.asm!$C$3:$R$156,
    INT(_xlpm.idx / SpriteCount) * 7 + INT(_xlpm.r / 16) + 1,
    MOD(_xlpm.r, 16) + 1
  )
)</f>
        <v>05</v>
      </c>
      <c r="G99" t="str" cm="1">
        <f t="array" ref="G99">_xlfn.LET(
  _xlpm.idx, (ROW()-3)*16 + G$1,
  _xlpm.r, MOD(_xlpm.idx, SpriteCount),
  INDEX(
    sprite_data.asm!$C$3:$R$156,
    INT(_xlpm.idx / SpriteCount) * 7 + INT(_xlpm.r / 16) + 1,
    MOD(_xlpm.r, 16) + 1
  )
)</f>
        <v>41</v>
      </c>
      <c r="H99" t="str" cm="1">
        <f t="array" ref="H99">_xlfn.LET(
  _xlpm.idx, (ROW()-3)*16 + H$1,
  _xlpm.r, MOD(_xlpm.idx, SpriteCount),
  INDEX(
    sprite_data.asm!$C$3:$R$156,
    INT(_xlpm.idx / SpriteCount) * 7 + INT(_xlpm.r / 16) + 1,
    MOD(_xlpm.r, 16) + 1
  )
)</f>
        <v>15</v>
      </c>
      <c r="I99" t="str" cm="1">
        <f t="array" ref="I99">_xlfn.LET(
  _xlpm.idx, (ROW()-3)*16 + I$1,
  _xlpm.r, MOD(_xlpm.idx, SpriteCount),
  INDEX(
    sprite_data.asm!$C$3:$R$156,
    INT(_xlpm.idx / SpriteCount) * 7 + INT(_xlpm.r / 16) + 1,
    MOD(_xlpm.r, 16) + 1
  )
)</f>
        <v>50</v>
      </c>
      <c r="J99" t="str" cm="1">
        <f t="array" ref="J99">_xlfn.LET(
  _xlpm.idx, (ROW()-3)*16 + J$1,
  _xlpm.r, MOD(_xlpm.idx, SpriteCount),
  INDEX(
    sprite_data.asm!$C$3:$R$156,
    INT(_xlpm.idx / SpriteCount) * 7 + INT(_xlpm.r / 16) + 1,
    MOD(_xlpm.r, 16) + 1
  )
)</f>
        <v>14</v>
      </c>
      <c r="K99" t="str" cm="1">
        <f t="array" ref="K99">_xlfn.LET(
  _xlpm.idx, (ROW()-3)*16 + K$1,
  _xlpm.r, MOD(_xlpm.idx, SpriteCount),
  INDEX(
    sprite_data.asm!$C$3:$R$156,
    INT(_xlpm.idx / SpriteCount) * 7 + INT(_xlpm.r / 16) + 1,
    MOD(_xlpm.r, 16) + 1
  )
)</f>
        <v>45</v>
      </c>
      <c r="L99" t="str" cm="1">
        <f t="array" ref="L99">_xlfn.LET(
  _xlpm.idx, (ROW()-3)*16 + L$1,
  _xlpm.r, MOD(_xlpm.idx, SpriteCount),
  INDEX(
    sprite_data.asm!$C$3:$R$156,
    INT(_xlpm.idx / SpriteCount) * 7 + INT(_xlpm.r / 16) + 1,
    MOD(_xlpm.r, 16) + 1
  )
)</f>
        <v>45</v>
      </c>
      <c r="M99" t="str" cm="1">
        <f t="array" ref="M99">_xlfn.LET(
  _xlpm.idx, (ROW()-3)*16 + M$1,
  _xlpm.r, MOD(_xlpm.idx, SpriteCount),
  INDEX(
    sprite_data.asm!$C$3:$R$156,
    INT(_xlpm.idx / SpriteCount) * 7 + INT(_xlpm.r / 16) + 1,
    MOD(_xlpm.r, 16) + 1
  )
)</f>
        <v>55</v>
      </c>
      <c r="N99" t="str" cm="1">
        <f t="array" ref="N99">_xlfn.LET(
  _xlpm.idx, (ROW()-3)*16 + N$1,
  _xlpm.r, MOD(_xlpm.idx, SpriteCount),
  INDEX(
    sprite_data.asm!$C$3:$R$156,
    INT(_xlpm.idx / SpriteCount) * 7 + INT(_xlpm.r / 16) + 1,
    MOD(_xlpm.r, 16) + 1
  )
)</f>
        <v>14</v>
      </c>
      <c r="O99" t="str" cm="1">
        <f t="array" ref="O99">_xlfn.LET(
  _xlpm.idx, (ROW()-3)*16 + O$1,
  _xlpm.r, MOD(_xlpm.idx, SpriteCount),
  INDEX(
    sprite_data.asm!$C$3:$R$156,
    INT(_xlpm.idx / SpriteCount) * 7 + INT(_xlpm.r / 16) + 1,
    MOD(_xlpm.r, 16) + 1
  )
)</f>
        <v>14</v>
      </c>
      <c r="P99" t="str" cm="1">
        <f t="array" ref="P99">_xlfn.LET(
  _xlpm.idx, (ROW()-3)*16 + P$1,
  _xlpm.r, MOD(_xlpm.idx, SpriteCount),
  INDEX(
    sprite_data.asm!$C$3:$R$156,
    INT(_xlpm.idx / SpriteCount) * 7 + INT(_xlpm.r / 16) + 1,
    MOD(_xlpm.r, 16) + 1
  )
)</f>
        <v>14</v>
      </c>
      <c r="Q99" t="str" cm="1">
        <f t="array" ref="Q99">_xlfn.LET(
  _xlpm.idx, (ROW()-3)*16 + Q$1,
  _xlpm.r, MOD(_xlpm.idx, SpriteCount),
  INDEX(
    sprite_data.asm!$C$3:$R$156,
    INT(_xlpm.idx / SpriteCount) * 7 + INT(_xlpm.r / 16) + 1,
    MOD(_xlpm.r, 16) + 1
  )
)</f>
        <v>50</v>
      </c>
    </row>
    <row r="100" spans="1:17" x14ac:dyDescent="0.3">
      <c r="A100" s="2" t="str">
        <f t="shared" si="5"/>
        <v>B310</v>
      </c>
      <c r="B100" t="str" cm="1">
        <f t="array" ref="B100">_xlfn.LET(
  _xlpm.idx, (ROW()-3)*16 + B$1,
  _xlpm.r, MOD(_xlpm.idx, SpriteCount),
  INDEX(
    sprite_data.asm!$C$3:$R$156,
    INT(_xlpm.idx / SpriteCount) * 7 + INT(_xlpm.r / 16) + 1,
    MOD(_xlpm.r, 16) + 1
  )
)</f>
        <v>00</v>
      </c>
      <c r="C100" t="str" cm="1">
        <f t="array" ref="C100">_xlfn.LET(
  _xlpm.idx, (ROW()-3)*16 + C$1,
  _xlpm.r, MOD(_xlpm.idx, SpriteCount),
  INDEX(
    sprite_data.asm!$C$3:$R$156,
    INT(_xlpm.idx / SpriteCount) * 7 + INT(_xlpm.r / 16) + 1,
    MOD(_xlpm.r, 16) + 1
  )
)</f>
        <v>05</v>
      </c>
      <c r="D100" t="str" cm="1">
        <f t="array" ref="D100">_xlfn.LET(
  _xlpm.idx, (ROW()-3)*16 + D$1,
  _xlpm.r, MOD(_xlpm.idx, SpriteCount),
  INDEX(
    sprite_data.asm!$C$3:$R$156,
    INT(_xlpm.idx / SpriteCount) * 7 + INT(_xlpm.r / 16) + 1,
    MOD(_xlpm.r, 16) + 1
  )
)</f>
        <v>50</v>
      </c>
      <c r="E100" t="str" cm="1">
        <f t="array" ref="E100">_xlfn.LET(
  _xlpm.idx, (ROW()-3)*16 + E$1,
  _xlpm.r, MOD(_xlpm.idx, SpriteCount),
  INDEX(
    sprite_data.asm!$C$3:$R$156,
    INT(_xlpm.idx / SpriteCount) * 7 + INT(_xlpm.r / 16) + 1,
    MOD(_xlpm.r, 16) + 1
  )
)</f>
        <v>04</v>
      </c>
      <c r="F100" t="str" cm="1">
        <f t="array" ref="F100">_xlfn.LET(
  _xlpm.idx, (ROW()-3)*16 + F$1,
  _xlpm.r, MOD(_xlpm.idx, SpriteCount),
  INDEX(
    sprite_data.asm!$C$3:$R$156,
    INT(_xlpm.idx / SpriteCount) * 7 + INT(_xlpm.r / 16) + 1,
    MOD(_xlpm.r, 16) + 1
  )
)</f>
        <v>55</v>
      </c>
      <c r="G100" t="str" cm="1">
        <f t="array" ref="G100">_xlfn.LET(
  _xlpm.idx, (ROW()-3)*16 + G$1,
  _xlpm.r, MOD(_xlpm.idx, SpriteCount),
  INDEX(
    sprite_data.asm!$C$3:$R$156,
    INT(_xlpm.idx / SpriteCount) * 7 + INT(_xlpm.r / 16) + 1,
    MOD(_xlpm.r, 16) + 1
  )
)</f>
        <v>05</v>
      </c>
      <c r="H100" t="str" cm="1">
        <f t="array" ref="H100">_xlfn.LET(
  _xlpm.idx, (ROW()-3)*16 + H$1,
  _xlpm.r, MOD(_xlpm.idx, SpriteCount),
  INDEX(
    sprite_data.asm!$C$3:$R$156,
    INT(_xlpm.idx / SpriteCount) * 7 + INT(_xlpm.r / 16) + 1,
    MOD(_xlpm.r, 16) + 1
  )
)</f>
        <v>00</v>
      </c>
      <c r="I100" t="str" cm="1">
        <f t="array" ref="I100">_xlfn.LET(
  _xlpm.idx, (ROW()-3)*16 + I$1,
  _xlpm.r, MOD(_xlpm.idx, SpriteCount),
  INDEX(
    sprite_data.asm!$C$3:$R$156,
    INT(_xlpm.idx / SpriteCount) * 7 + INT(_xlpm.r / 16) + 1,
    MOD(_xlpm.r, 16) + 1
  )
)</f>
        <v>01</v>
      </c>
      <c r="J100" t="str" cm="1">
        <f t="array" ref="J100">_xlfn.LET(
  _xlpm.idx, (ROW()-3)*16 + J$1,
  _xlpm.r, MOD(_xlpm.idx, SpriteCount),
  INDEX(
    sprite_data.asm!$C$3:$R$156,
    INT(_xlpm.idx / SpriteCount) * 7 + INT(_xlpm.r / 16) + 1,
    MOD(_xlpm.r, 16) + 1
  )
)</f>
        <v>00</v>
      </c>
      <c r="K100" t="str" cm="1">
        <f t="array" ref="K100">_xlfn.LET(
  _xlpm.idx, (ROW()-3)*16 + K$1,
  _xlpm.r, MOD(_xlpm.idx, SpriteCount),
  INDEX(
    sprite_data.asm!$C$3:$R$156,
    INT(_xlpm.idx / SpriteCount) * 7 + INT(_xlpm.r / 16) + 1,
    MOD(_xlpm.r, 16) + 1
  )
)</f>
        <v>02</v>
      </c>
      <c r="L100" t="str" cm="1">
        <f t="array" ref="L100">_xlfn.LET(
  _xlpm.idx, (ROW()-3)*16 + L$1,
  _xlpm.r, MOD(_xlpm.idx, SpriteCount),
  INDEX(
    sprite_data.asm!$C$3:$R$156,
    INT(_xlpm.idx / SpriteCount) * 7 + INT(_xlpm.r / 16) + 1,
    MOD(_xlpm.r, 16) + 1
  )
)</f>
        <v>02</v>
      </c>
      <c r="M100" t="str" cm="1">
        <f t="array" ref="M100">_xlfn.LET(
  _xlpm.idx, (ROW()-3)*16 + M$1,
  _xlpm.r, MOD(_xlpm.idx, SpriteCount),
  INDEX(
    sprite_data.asm!$C$3:$R$156,
    INT(_xlpm.idx / SpriteCount) * 7 + INT(_xlpm.r / 16) + 1,
    MOD(_xlpm.r, 16) + 1
  )
)</f>
        <v>03</v>
      </c>
      <c r="N100" t="str" cm="1">
        <f t="array" ref="N100">_xlfn.LET(
  _xlpm.idx, (ROW()-3)*16 + N$1,
  _xlpm.r, MOD(_xlpm.idx, SpriteCount),
  INDEX(
    sprite_data.asm!$C$3:$R$156,
    INT(_xlpm.idx / SpriteCount) * 7 + INT(_xlpm.r / 16) + 1,
    MOD(_xlpm.r, 16) + 1
  )
)</f>
        <v>00</v>
      </c>
      <c r="O100" t="str" cm="1">
        <f t="array" ref="O100">_xlfn.LET(
  _xlpm.idx, (ROW()-3)*16 + O$1,
  _xlpm.r, MOD(_xlpm.idx, SpriteCount),
  INDEX(
    sprite_data.asm!$C$3:$R$156,
    INT(_xlpm.idx / SpriteCount) * 7 + INT(_xlpm.r / 16) + 1,
    MOD(_xlpm.r, 16) + 1
  )
)</f>
        <v>00</v>
      </c>
      <c r="P100" t="str" cm="1">
        <f t="array" ref="P100">_xlfn.LET(
  _xlpm.idx, (ROW()-3)*16 + P$1,
  _xlpm.r, MOD(_xlpm.idx, SpriteCount),
  INDEX(
    sprite_data.asm!$C$3:$R$156,
    INT(_xlpm.idx / SpriteCount) * 7 + INT(_xlpm.r / 16) + 1,
    MOD(_xlpm.r, 16) + 1
  )
)</f>
        <v>03</v>
      </c>
      <c r="Q100" t="str" cm="1">
        <f t="array" ref="Q100">_xlfn.LET(
  _xlpm.idx, (ROW()-3)*16 + Q$1,
  _xlpm.r, MOD(_xlpm.idx, SpriteCount),
  INDEX(
    sprite_data.asm!$C$3:$R$156,
    INT(_xlpm.idx / SpriteCount) * 7 + INT(_xlpm.r / 16) + 1,
    MOD(_xlpm.r, 16) + 1
  )
)</f>
        <v>01</v>
      </c>
    </row>
    <row r="101" spans="1:17" x14ac:dyDescent="0.3">
      <c r="A101" s="2" t="str">
        <f t="shared" si="5"/>
        <v>B320</v>
      </c>
      <c r="B101" t="str" cm="1">
        <f t="array" ref="B101">_xlfn.LET(
  _xlpm.idx, (ROW()-3)*16 + B$1,
  _xlpm.r, MOD(_xlpm.idx, SpriteCount),
  INDEX(
    sprite_data.asm!$C$3:$R$156,
    INT(_xlpm.idx / SpriteCount) * 7 + INT(_xlpm.r / 16) + 1,
    MOD(_xlpm.r, 16) + 1
  )
)</f>
        <v>00</v>
      </c>
      <c r="C101" t="str" cm="1">
        <f t="array" ref="C101">_xlfn.LET(
  _xlpm.idx, (ROW()-3)*16 + C$1,
  _xlpm.r, MOD(_xlpm.idx, SpriteCount),
  INDEX(
    sprite_data.asm!$C$3:$R$156,
    INT(_xlpm.idx / SpriteCount) * 7 + INT(_xlpm.r / 16) + 1,
    MOD(_xlpm.r, 16) + 1
  )
)</f>
        <v>00</v>
      </c>
      <c r="D101" t="str" cm="1">
        <f t="array" ref="D101">_xlfn.LET(
  _xlpm.idx, (ROW()-3)*16 + D$1,
  _xlpm.r, MOD(_xlpm.idx, SpriteCount),
  INDEX(
    sprite_data.asm!$C$3:$R$156,
    INT(_xlpm.idx / SpriteCount) * 7 + INT(_xlpm.r / 16) + 1,
    MOD(_xlpm.r, 16) + 1
  )
)</f>
        <v>07</v>
      </c>
      <c r="E101" t="str" cm="1">
        <f t="array" ref="E101">_xlfn.LET(
  _xlpm.idx, (ROW()-3)*16 + E$1,
  _xlpm.r, MOD(_xlpm.idx, SpriteCount),
  INDEX(
    sprite_data.asm!$C$3:$R$156,
    INT(_xlpm.idx / SpriteCount) * 7 + INT(_xlpm.r / 16) + 1,
    MOD(_xlpm.r, 16) + 1
  )
)</f>
        <v>00</v>
      </c>
      <c r="F101" t="str" cm="1">
        <f t="array" ref="F101">_xlfn.LET(
  _xlpm.idx, (ROW()-3)*16 + F$1,
  _xlpm.r, MOD(_xlpm.idx, SpriteCount),
  INDEX(
    sprite_data.asm!$C$3:$R$156,
    INT(_xlpm.idx / SpriteCount) * 7 + INT(_xlpm.r / 16) + 1,
    MOD(_xlpm.r, 16) + 1
  )
)</f>
        <v>00</v>
      </c>
      <c r="G101" t="str" cm="1">
        <f t="array" ref="G101">_xlfn.LET(
  _xlpm.idx, (ROW()-3)*16 + G$1,
  _xlpm.r, MOD(_xlpm.idx, SpriteCount),
  INDEX(
    sprite_data.asm!$C$3:$R$156,
    INT(_xlpm.idx / SpriteCount) * 7 + INT(_xlpm.r / 16) + 1,
    MOD(_xlpm.r, 16) + 1
  )
)</f>
        <v>00</v>
      </c>
      <c r="H101" t="str" cm="1">
        <f t="array" ref="H101">_xlfn.LET(
  _xlpm.idx, (ROW()-3)*16 + H$1,
  _xlpm.r, MOD(_xlpm.idx, SpriteCount),
  INDEX(
    sprite_data.asm!$C$3:$R$156,
    INT(_xlpm.idx / SpriteCount) * 7 + INT(_xlpm.r / 16) + 1,
    MOD(_xlpm.r, 16) + 1
  )
)</f>
        <v>01</v>
      </c>
      <c r="I101" t="str" cm="1">
        <f t="array" ref="I101">_xlfn.LET(
  _xlpm.idx, (ROW()-3)*16 + I$1,
  _xlpm.r, MOD(_xlpm.idx, SpriteCount),
  INDEX(
    sprite_data.asm!$C$3:$R$156,
    INT(_xlpm.idx / SpriteCount) * 7 + INT(_xlpm.r / 16) + 1,
    MOD(_xlpm.r, 16) + 1
  )
)</f>
        <v>01</v>
      </c>
      <c r="J101" t="str" cm="1">
        <f t="array" ref="J101">_xlfn.LET(
  _xlpm.idx, (ROW()-3)*16 + J$1,
  _xlpm.r, MOD(_xlpm.idx, SpriteCount),
  INDEX(
    sprite_data.asm!$C$3:$R$156,
    INT(_xlpm.idx / SpriteCount) * 7 + INT(_xlpm.r / 16) + 1,
    MOD(_xlpm.r, 16) + 1
  )
)</f>
        <v>01</v>
      </c>
      <c r="K101" t="str" cm="1">
        <f t="array" ref="K101">_xlfn.LET(
  _xlpm.idx, (ROW()-3)*16 + K$1,
  _xlpm.r, MOD(_xlpm.idx, SpriteCount),
  INDEX(
    sprite_data.asm!$C$3:$R$156,
    INT(_xlpm.idx / SpriteCount) * 7 + INT(_xlpm.r / 16) + 1,
    MOD(_xlpm.r, 16) + 1
  )
)</f>
        <v>01</v>
      </c>
      <c r="L101" t="str" cm="1">
        <f t="array" ref="L101">_xlfn.LET(
  _xlpm.idx, (ROW()-3)*16 + L$1,
  _xlpm.r, MOD(_xlpm.idx, SpriteCount),
  INDEX(
    sprite_data.asm!$C$3:$R$156,
    INT(_xlpm.idx / SpriteCount) * 7 + INT(_xlpm.r / 16) + 1,
    MOD(_xlpm.r, 16) + 1
  )
)</f>
        <v>00</v>
      </c>
      <c r="M101" t="str" cm="1">
        <f t="array" ref="M101">_xlfn.LET(
  _xlpm.idx, (ROW()-3)*16 + M$1,
  _xlpm.r, MOD(_xlpm.idx, SpriteCount),
  INDEX(
    sprite_data.asm!$C$3:$R$156,
    INT(_xlpm.idx / SpriteCount) * 7 + INT(_xlpm.r / 16) + 1,
    MOD(_xlpm.r, 16) + 1
  )
)</f>
        <v>00</v>
      </c>
      <c r="N101" t="str" cm="1">
        <f t="array" ref="N101">_xlfn.LET(
  _xlpm.idx, (ROW()-3)*16 + N$1,
  _xlpm.r, MOD(_xlpm.idx, SpriteCount),
  INDEX(
    sprite_data.asm!$C$3:$R$156,
    INT(_xlpm.idx / SpriteCount) * 7 + INT(_xlpm.r / 16) + 1,
    MOD(_xlpm.r, 16) + 1
  )
)</f>
        <v>01</v>
      </c>
      <c r="O101" t="str" cm="1">
        <f t="array" ref="O101">_xlfn.LET(
  _xlpm.idx, (ROW()-3)*16 + O$1,
  _xlpm.r, MOD(_xlpm.idx, SpriteCount),
  INDEX(
    sprite_data.asm!$C$3:$R$156,
    INT(_xlpm.idx / SpriteCount) * 7 + INT(_xlpm.r / 16) + 1,
    MOD(_xlpm.r, 16) + 1
  )
)</f>
        <v>00</v>
      </c>
      <c r="P101" t="str" cm="1">
        <f t="array" ref="P101">_xlfn.LET(
  _xlpm.idx, (ROW()-3)*16 + P$1,
  _xlpm.r, MOD(_xlpm.idx, SpriteCount),
  INDEX(
    sprite_data.asm!$C$3:$R$156,
    INT(_xlpm.idx / SpriteCount) * 7 + INT(_xlpm.r / 16) + 1,
    MOD(_xlpm.r, 16) + 1
  )
)</f>
        <v>00</v>
      </c>
      <c r="Q101" t="str" cm="1">
        <f t="array" ref="Q101">_xlfn.LET(
  _xlpm.idx, (ROW()-3)*16 + Q$1,
  _xlpm.r, MOD(_xlpm.idx, SpriteCount),
  INDEX(
    sprite_data.asm!$C$3:$R$156,
    INT(_xlpm.idx / SpriteCount) * 7 + INT(_xlpm.r / 16) + 1,
    MOD(_xlpm.r, 16) + 1
  )
)</f>
        <v>00</v>
      </c>
    </row>
    <row r="102" spans="1:17" x14ac:dyDescent="0.3">
      <c r="A102" s="2" t="str">
        <f t="shared" si="5"/>
        <v>B330</v>
      </c>
      <c r="B102" t="str" cm="1">
        <f t="array" ref="B102">_xlfn.LET(
  _xlpm.idx, (ROW()-3)*16 + B$1,
  _xlpm.r, MOD(_xlpm.idx, SpriteCount),
  INDEX(
    sprite_data.asm!$C$3:$R$156,
    INT(_xlpm.idx / SpriteCount) * 7 + INT(_xlpm.r / 16) + 1,
    MOD(_xlpm.r, 16) + 1
  )
)</f>
        <v>03</v>
      </c>
      <c r="C102" t="str" cm="1">
        <f t="array" ref="C102">_xlfn.LET(
  _xlpm.idx, (ROW()-3)*16 + C$1,
  _xlpm.r, MOD(_xlpm.idx, SpriteCount),
  INDEX(
    sprite_data.asm!$C$3:$R$156,
    INT(_xlpm.idx / SpriteCount) * 7 + INT(_xlpm.r / 16) + 1,
    MOD(_xlpm.r, 16) + 1
  )
)</f>
        <v>01</v>
      </c>
      <c r="D102" t="str" cm="1">
        <f t="array" ref="D102">_xlfn.LET(
  _xlpm.idx, (ROW()-3)*16 + D$1,
  _xlpm.r, MOD(_xlpm.idx, SpriteCount),
  INDEX(
    sprite_data.asm!$C$3:$R$156,
    INT(_xlpm.idx / SpriteCount) * 7 + INT(_xlpm.r / 16) + 1,
    MOD(_xlpm.r, 16) + 1
  )
)</f>
        <v>00</v>
      </c>
      <c r="E102" t="str" cm="1">
        <f t="array" ref="E102">_xlfn.LET(
  _xlpm.idx, (ROW()-3)*16 + E$1,
  _xlpm.r, MOD(_xlpm.idx, SpriteCount),
  INDEX(
    sprite_data.asm!$C$3:$R$156,
    INT(_xlpm.idx / SpriteCount) * 7 + INT(_xlpm.r / 16) + 1,
    MOD(_xlpm.r, 16) + 1
  )
)</f>
        <v>04</v>
      </c>
      <c r="F102" t="str" cm="1">
        <f t="array" ref="F102">_xlfn.LET(
  _xlpm.idx, (ROW()-3)*16 + F$1,
  _xlpm.r, MOD(_xlpm.idx, SpriteCount),
  INDEX(
    sprite_data.asm!$C$3:$R$156,
    INT(_xlpm.idx / SpriteCount) * 7 + INT(_xlpm.r / 16) + 1,
    MOD(_xlpm.r, 16) + 1
  )
)</f>
        <v>00</v>
      </c>
      <c r="G102" t="str" cm="1">
        <f t="array" ref="G102">_xlfn.LET(
  _xlpm.idx, (ROW()-3)*16 + G$1,
  _xlpm.r, MOD(_xlpm.idx, SpriteCount),
  INDEX(
    sprite_data.asm!$C$3:$R$156,
    INT(_xlpm.idx / SpriteCount) * 7 + INT(_xlpm.r / 16) + 1,
    MOD(_xlpm.r, 16) + 1
  )
)</f>
        <v>00</v>
      </c>
      <c r="H102" t="str" cm="1">
        <f t="array" ref="H102">_xlfn.LET(
  _xlpm.idx, (ROW()-3)*16 + H$1,
  _xlpm.r, MOD(_xlpm.idx, SpriteCount),
  INDEX(
    sprite_data.asm!$C$3:$R$156,
    INT(_xlpm.idx / SpriteCount) * 7 + INT(_xlpm.r / 16) + 1,
    MOD(_xlpm.r, 16) + 1
  )
)</f>
        <v>02</v>
      </c>
      <c r="I102" t="str" cm="1">
        <f t="array" ref="I102">_xlfn.LET(
  _xlpm.idx, (ROW()-3)*16 + I$1,
  _xlpm.r, MOD(_xlpm.idx, SpriteCount),
  INDEX(
    sprite_data.asm!$C$3:$R$156,
    INT(_xlpm.idx / SpriteCount) * 7 + INT(_xlpm.r / 16) + 1,
    MOD(_xlpm.r, 16) + 1
  )
)</f>
        <v>02</v>
      </c>
      <c r="J102" t="str" cm="1">
        <f t="array" ref="J102">_xlfn.LET(
  _xlpm.idx, (ROW()-3)*16 + J$1,
  _xlpm.r, MOD(_xlpm.idx, SpriteCount),
  INDEX(
    sprite_data.asm!$C$3:$R$156,
    INT(_xlpm.idx / SpriteCount) * 7 + INT(_xlpm.r / 16) + 1,
    MOD(_xlpm.r, 16) + 1
  )
)</f>
        <v>02</v>
      </c>
      <c r="K102" t="str" cm="1">
        <f t="array" ref="K102">_xlfn.LET(
  _xlpm.idx, (ROW()-3)*16 + K$1,
  _xlpm.r, MOD(_xlpm.idx, SpriteCount),
  INDEX(
    sprite_data.asm!$C$3:$R$156,
    INT(_xlpm.idx / SpriteCount) * 7 + INT(_xlpm.r / 16) + 1,
    MOD(_xlpm.r, 16) + 1
  )
)</f>
        <v>02</v>
      </c>
      <c r="L102" t="str" cm="1">
        <f t="array" ref="L102">_xlfn.LET(
  _xlpm.idx, (ROW()-3)*16 + L$1,
  _xlpm.r, MOD(_xlpm.idx, SpriteCount),
  INDEX(
    sprite_data.asm!$C$3:$R$156,
    INT(_xlpm.idx / SpriteCount) * 7 + INT(_xlpm.r / 16) + 1,
    MOD(_xlpm.r, 16) + 1
  )
)</f>
        <v>02</v>
      </c>
      <c r="M102" t="str" cm="1">
        <f t="array" ref="M102">_xlfn.LET(
  _xlpm.idx, (ROW()-3)*16 + M$1,
  _xlpm.r, MOD(_xlpm.idx, SpriteCount),
  INDEX(
    sprite_data.asm!$C$3:$R$156,
    INT(_xlpm.idx / SpriteCount) * 7 + INT(_xlpm.r / 16) + 1,
    MOD(_xlpm.r, 16) + 1
  )
)</f>
        <v>01</v>
      </c>
      <c r="N102" t="str" cm="1">
        <f t="array" ref="N102">_xlfn.LET(
  _xlpm.idx, (ROW()-3)*16 + N$1,
  _xlpm.r, MOD(_xlpm.idx, SpriteCount),
  INDEX(
    sprite_data.asm!$C$3:$R$156,
    INT(_xlpm.idx / SpriteCount) * 7 + INT(_xlpm.r / 16) + 1,
    MOD(_xlpm.r, 16) + 1
  )
)</f>
        <v>00</v>
      </c>
      <c r="O102" t="str" cm="1">
        <f t="array" ref="O102">_xlfn.LET(
  _xlpm.idx, (ROW()-3)*16 + O$1,
  _xlpm.r, MOD(_xlpm.idx, SpriteCount),
  INDEX(
    sprite_data.asm!$C$3:$R$156,
    INT(_xlpm.idx / SpriteCount) * 7 + INT(_xlpm.r / 16) + 1,
    MOD(_xlpm.r, 16) + 1
  )
)</f>
        <v>00</v>
      </c>
      <c r="P102" t="str" cm="1">
        <f t="array" ref="P102">_xlfn.LET(
  _xlpm.idx, (ROW()-3)*16 + P$1,
  _xlpm.r, MOD(_xlpm.idx, SpriteCount),
  INDEX(
    sprite_data.asm!$C$3:$R$156,
    INT(_xlpm.idx / SpriteCount) * 7 + INT(_xlpm.r / 16) + 1,
    MOD(_xlpm.r, 16) + 1
  )
)</f>
        <v>00</v>
      </c>
      <c r="Q102" t="str" cm="1">
        <f t="array" ref="Q102">_xlfn.LET(
  _xlpm.idx, (ROW()-3)*16 + Q$1,
  _xlpm.r, MOD(_xlpm.idx, SpriteCount),
  INDEX(
    sprite_data.asm!$C$3:$R$156,
    INT(_xlpm.idx / SpriteCount) * 7 + INT(_xlpm.r / 16) + 1,
    MOD(_xlpm.r, 16) + 1
  )
)</f>
        <v>00</v>
      </c>
    </row>
    <row r="103" spans="1:17" x14ac:dyDescent="0.3">
      <c r="A103" s="2" t="str">
        <f t="shared" si="5"/>
        <v>B340</v>
      </c>
      <c r="B103" t="str" cm="1">
        <f t="array" ref="B103">_xlfn.LET(
  _xlpm.idx, (ROW()-3)*16 + B$1,
  _xlpm.r, MOD(_xlpm.idx, SpriteCount),
  INDEX(
    sprite_data.asm!$C$3:$R$156,
    INT(_xlpm.idx / SpriteCount) * 7 + INT(_xlpm.r / 16) + 1,
    MOD(_xlpm.r, 16) + 1
  )
)</f>
        <v>00</v>
      </c>
      <c r="C103" t="str" cm="1">
        <f t="array" ref="C103">_xlfn.LET(
  _xlpm.idx, (ROW()-3)*16 + C$1,
  _xlpm.r, MOD(_xlpm.idx, SpriteCount),
  INDEX(
    sprite_data.asm!$C$3:$R$156,
    INT(_xlpm.idx / SpriteCount) * 7 + INT(_xlpm.r / 16) + 1,
    MOD(_xlpm.r, 16) + 1
  )
)</f>
        <v>01</v>
      </c>
      <c r="D103" t="str" cm="1">
        <f t="array" ref="D103">_xlfn.LET(
  _xlpm.idx, (ROW()-3)*16 + D$1,
  _xlpm.r, MOD(_xlpm.idx, SpriteCount),
  INDEX(
    sprite_data.asm!$C$3:$R$156,
    INT(_xlpm.idx / SpriteCount) * 7 + INT(_xlpm.r / 16) + 1,
    MOD(_xlpm.r, 16) + 1
  )
)</f>
        <v>01</v>
      </c>
      <c r="E103" t="str" cm="1">
        <f t="array" ref="E103">_xlfn.LET(
  _xlpm.idx, (ROW()-3)*16 + E$1,
  _xlpm.r, MOD(_xlpm.idx, SpriteCount),
  INDEX(
    sprite_data.asm!$C$3:$R$156,
    INT(_xlpm.idx / SpriteCount) * 7 + INT(_xlpm.r / 16) + 1,
    MOD(_xlpm.r, 16) + 1
  )
)</f>
        <v>00</v>
      </c>
      <c r="F103" t="str" cm="1">
        <f t="array" ref="F103">_xlfn.LET(
  _xlpm.idx, (ROW()-3)*16 + F$1,
  _xlpm.r, MOD(_xlpm.idx, SpriteCount),
  INDEX(
    sprite_data.asm!$C$3:$R$156,
    INT(_xlpm.idx / SpriteCount) * 7 + INT(_xlpm.r / 16) + 1,
    MOD(_xlpm.r, 16) + 1
  )
)</f>
        <v>00</v>
      </c>
      <c r="G103" t="str" cm="1">
        <f t="array" ref="G103">_xlfn.LET(
  _xlpm.idx, (ROW()-3)*16 + G$1,
  _xlpm.r, MOD(_xlpm.idx, SpriteCount),
  INDEX(
    sprite_data.asm!$C$3:$R$156,
    INT(_xlpm.idx / SpriteCount) * 7 + INT(_xlpm.r / 16) + 1,
    MOD(_xlpm.r, 16) + 1
  )
)</f>
        <v>00</v>
      </c>
      <c r="H103" t="str" cm="1">
        <f t="array" ref="H103">_xlfn.LET(
  _xlpm.idx, (ROW()-3)*16 + H$1,
  _xlpm.r, MOD(_xlpm.idx, SpriteCount),
  INDEX(
    sprite_data.asm!$C$3:$R$156,
    INT(_xlpm.idx / SpriteCount) * 7 + INT(_xlpm.r / 16) + 1,
    MOD(_xlpm.r, 16) + 1
  )
)</f>
        <v>00</v>
      </c>
      <c r="I103" t="str" cm="1">
        <f t="array" ref="I103">_xlfn.LET(
  _xlpm.idx, (ROW()-3)*16 + I$1,
  _xlpm.r, MOD(_xlpm.idx, SpriteCount),
  INDEX(
    sprite_data.asm!$C$3:$R$156,
    INT(_xlpm.idx / SpriteCount) * 7 + INT(_xlpm.r / 16) + 1,
    MOD(_xlpm.r, 16) + 1
  )
)</f>
        <v>00</v>
      </c>
      <c r="J103" t="str" cm="1">
        <f t="array" ref="J103">_xlfn.LET(
  _xlpm.idx, (ROW()-3)*16 + J$1,
  _xlpm.r, MOD(_xlpm.idx, SpriteCount),
  INDEX(
    sprite_data.asm!$C$3:$R$156,
    INT(_xlpm.idx / SpriteCount) * 7 + INT(_xlpm.r / 16) + 1,
    MOD(_xlpm.r, 16) + 1
  )
)</f>
        <v>01</v>
      </c>
      <c r="K103" t="str" cm="1">
        <f t="array" ref="K103">_xlfn.LET(
  _xlpm.idx, (ROW()-3)*16 + K$1,
  _xlpm.r, MOD(_xlpm.idx, SpriteCount),
  INDEX(
    sprite_data.asm!$C$3:$R$156,
    INT(_xlpm.idx / SpriteCount) * 7 + INT(_xlpm.r / 16) + 1,
    MOD(_xlpm.r, 16) + 1
  )
)</f>
        <v>00</v>
      </c>
      <c r="L103" t="str" cm="1">
        <f t="array" ref="L103">_xlfn.LET(
  _xlpm.idx, (ROW()-3)*16 + L$1,
  _xlpm.r, MOD(_xlpm.idx, SpriteCount),
  INDEX(
    sprite_data.asm!$C$3:$R$156,
    INT(_xlpm.idx / SpriteCount) * 7 + INT(_xlpm.r / 16) + 1,
    MOD(_xlpm.r, 16) + 1
  )
)</f>
        <v>00</v>
      </c>
      <c r="M103" t="str" cm="1">
        <f t="array" ref="M103">_xlfn.LET(
  _xlpm.idx, (ROW()-3)*16 + M$1,
  _xlpm.r, MOD(_xlpm.idx, SpriteCount),
  INDEX(
    sprite_data.asm!$C$3:$R$156,
    INT(_xlpm.idx / SpriteCount) * 7 + INT(_xlpm.r / 16) + 1,
    MOD(_xlpm.r, 16) + 1
  )
)</f>
        <v>01</v>
      </c>
      <c r="N103" t="str" cm="1">
        <f t="array" ref="N103">_xlfn.LET(
  _xlpm.idx, (ROW()-3)*16 + N$1,
  _xlpm.r, MOD(_xlpm.idx, SpriteCount),
  INDEX(
    sprite_data.asm!$C$3:$R$156,
    INT(_xlpm.idx / SpriteCount) * 7 + INT(_xlpm.r / 16) + 1,
    MOD(_xlpm.r, 16) + 1
  )
)</f>
        <v>00</v>
      </c>
      <c r="O103" t="str" cm="1">
        <f t="array" ref="O103">_xlfn.LET(
  _xlpm.idx, (ROW()-3)*16 + O$1,
  _xlpm.r, MOD(_xlpm.idx, SpriteCount),
  INDEX(
    sprite_data.asm!$C$3:$R$156,
    INT(_xlpm.idx / SpriteCount) * 7 + INT(_xlpm.r / 16) + 1,
    MOD(_xlpm.r, 16) + 1
  )
)</f>
        <v>03</v>
      </c>
      <c r="P103" t="str" cm="1">
        <f t="array" ref="P103">_xlfn.LET(
  _xlpm.idx, (ROW()-3)*16 + P$1,
  _xlpm.r, MOD(_xlpm.idx, SpriteCount),
  INDEX(
    sprite_data.asm!$C$3:$R$156,
    INT(_xlpm.idx / SpriteCount) * 7 + INT(_xlpm.r / 16) + 1,
    MOD(_xlpm.r, 16) + 1
  )
)</f>
        <v>00</v>
      </c>
      <c r="Q103" t="str" cm="1">
        <f t="array" ref="Q103">_xlfn.LET(
  _xlpm.idx, (ROW()-3)*16 + Q$1,
  _xlpm.r, MOD(_xlpm.idx, SpriteCount),
  INDEX(
    sprite_data.asm!$C$3:$R$156,
    INT(_xlpm.idx / SpriteCount) * 7 + INT(_xlpm.r / 16) + 1,
    MOD(_xlpm.r, 16) + 1
  )
)</f>
        <v>00</v>
      </c>
    </row>
    <row r="104" spans="1:17" x14ac:dyDescent="0.3">
      <c r="A104" s="2" t="str">
        <f t="shared" si="5"/>
        <v>B350</v>
      </c>
      <c r="B104" t="str" cm="1">
        <f t="array" ref="B104">_xlfn.LET(
  _xlpm.idx, (ROW()-3)*16 + B$1,
  _xlpm.r, MOD(_xlpm.idx, SpriteCount),
  INDEX(
    sprite_data.asm!$C$3:$R$156,
    INT(_xlpm.idx / SpriteCount) * 7 + INT(_xlpm.r / 16) + 1,
    MOD(_xlpm.r, 16) + 1
  )
)</f>
        <v>02</v>
      </c>
      <c r="C104" t="str" cm="1">
        <f t="array" ref="C104">_xlfn.LET(
  _xlpm.idx, (ROW()-3)*16 + C$1,
  _xlpm.r, MOD(_xlpm.idx, SpriteCount),
  INDEX(
    sprite_data.asm!$C$3:$R$156,
    INT(_xlpm.idx / SpriteCount) * 7 + INT(_xlpm.r / 16) + 1,
    MOD(_xlpm.r, 16) + 1
  )
)</f>
        <v>00</v>
      </c>
      <c r="D104" t="str" cm="1">
        <f t="array" ref="D104">_xlfn.LET(
  _xlpm.idx, (ROW()-3)*16 + D$1,
  _xlpm.r, MOD(_xlpm.idx, SpriteCount),
  INDEX(
    sprite_data.asm!$C$3:$R$156,
    INT(_xlpm.idx / SpriteCount) * 7 + INT(_xlpm.r / 16) + 1,
    MOD(_xlpm.r, 16) + 1
  )
)</f>
        <v>00</v>
      </c>
      <c r="E104" t="str" cm="1">
        <f t="array" ref="E104">_xlfn.LET(
  _xlpm.idx, (ROW()-3)*16 + E$1,
  _xlpm.r, MOD(_xlpm.idx, SpriteCount),
  INDEX(
    sprite_data.asm!$C$3:$R$156,
    INT(_xlpm.idx / SpriteCount) * 7 + INT(_xlpm.r / 16) + 1,
    MOD(_xlpm.r, 16) + 1
  )
)</f>
        <v>01</v>
      </c>
      <c r="F104" t="str" cm="1">
        <f t="array" ref="F104">_xlfn.LET(
  _xlpm.idx, (ROW()-3)*16 + F$1,
  _xlpm.r, MOD(_xlpm.idx, SpriteCount),
  INDEX(
    sprite_data.asm!$C$3:$R$156,
    INT(_xlpm.idx / SpriteCount) * 7 + INT(_xlpm.r / 16) + 1,
    MOD(_xlpm.r, 16) + 1
  )
)</f>
        <v>00</v>
      </c>
      <c r="G104" t="str" cm="1">
        <f t="array" ref="G104">_xlfn.LET(
  _xlpm.idx, (ROW()-3)*16 + G$1,
  _xlpm.r, MOD(_xlpm.idx, SpriteCount),
  INDEX(
    sprite_data.asm!$C$3:$R$156,
    INT(_xlpm.idx / SpriteCount) * 7 + INT(_xlpm.r / 16) + 1,
    MOD(_xlpm.r, 16) + 1
  )
)</f>
        <v>00</v>
      </c>
      <c r="H104" t="str" cm="1">
        <f t="array" ref="H104">_xlfn.LET(
  _xlpm.idx, (ROW()-3)*16 + H$1,
  _xlpm.r, MOD(_xlpm.idx, SpriteCount),
  INDEX(
    sprite_data.asm!$C$3:$R$156,
    INT(_xlpm.idx / SpriteCount) * 7 + INT(_xlpm.r / 16) + 1,
    MOD(_xlpm.r, 16) + 1
  )
)</f>
        <v>01</v>
      </c>
      <c r="I104" t="str" cm="1">
        <f t="array" ref="I104">_xlfn.LET(
  _xlpm.idx, (ROW()-3)*16 + I$1,
  _xlpm.r, MOD(_xlpm.idx, SpriteCount),
  INDEX(
    sprite_data.asm!$C$3:$R$156,
    INT(_xlpm.idx / SpriteCount) * 7 + INT(_xlpm.r / 16) + 1,
    MOD(_xlpm.r, 16) + 1
  )
)</f>
        <v>01</v>
      </c>
      <c r="J104" t="str" cm="1">
        <f t="array" ref="J104">_xlfn.LET(
  _xlpm.idx, (ROW()-3)*16 + J$1,
  _xlpm.r, MOD(_xlpm.idx, SpriteCount),
  INDEX(
    sprite_data.asm!$C$3:$R$156,
    INT(_xlpm.idx / SpriteCount) * 7 + INT(_xlpm.r / 16) + 1,
    MOD(_xlpm.r, 16) + 1
  )
)</f>
        <v>01</v>
      </c>
      <c r="K104" t="str" cm="1">
        <f t="array" ref="K104">_xlfn.LET(
  _xlpm.idx, (ROW()-3)*16 + K$1,
  _xlpm.r, MOD(_xlpm.idx, SpriteCount),
  INDEX(
    sprite_data.asm!$C$3:$R$156,
    INT(_xlpm.idx / SpriteCount) * 7 + INT(_xlpm.r / 16) + 1,
    MOD(_xlpm.r, 16) + 1
  )
)</f>
        <v>01</v>
      </c>
      <c r="L104" t="str" cm="1">
        <f t="array" ref="L104">_xlfn.LET(
  _xlpm.idx, (ROW()-3)*16 + L$1,
  _xlpm.r, MOD(_xlpm.idx, SpriteCount),
  INDEX(
    sprite_data.asm!$C$3:$R$156,
    INT(_xlpm.idx / SpriteCount) * 7 + INT(_xlpm.r / 16) + 1,
    MOD(_xlpm.r, 16) + 1
  )
)</f>
        <v>00</v>
      </c>
      <c r="M104" t="str" cm="1">
        <f t="array" ref="M104">_xlfn.LET(
  _xlpm.idx, (ROW()-3)*16 + M$1,
  _xlpm.r, MOD(_xlpm.idx, SpriteCount),
  INDEX(
    sprite_data.asm!$C$3:$R$156,
    INT(_xlpm.idx / SpriteCount) * 7 + INT(_xlpm.r / 16) + 1,
    MOD(_xlpm.r, 16) + 1
  )
)</f>
        <v>01</v>
      </c>
      <c r="N104" t="str" cm="1">
        <f t="array" ref="N104">_xlfn.LET(
  _xlpm.idx, (ROW()-3)*16 + N$1,
  _xlpm.r, MOD(_xlpm.idx, SpriteCount),
  INDEX(
    sprite_data.asm!$C$3:$R$156,
    INT(_xlpm.idx / SpriteCount) * 7 + INT(_xlpm.r / 16) + 1,
    MOD(_xlpm.r, 16) + 1
  )
)</f>
        <v>01</v>
      </c>
      <c r="O104" t="str" cm="1">
        <f t="array" ref="O104">_xlfn.LET(
  _xlpm.idx, (ROW()-3)*16 + O$1,
  _xlpm.r, MOD(_xlpm.idx, SpriteCount),
  INDEX(
    sprite_data.asm!$C$3:$R$156,
    INT(_xlpm.idx / SpriteCount) * 7 + INT(_xlpm.r / 16) + 1,
    MOD(_xlpm.r, 16) + 1
  )
)</f>
        <v>00</v>
      </c>
      <c r="P104" t="str" cm="1">
        <f t="array" ref="P104">_xlfn.LET(
  _xlpm.idx, (ROW()-3)*16 + P$1,
  _xlpm.r, MOD(_xlpm.idx, SpriteCount),
  INDEX(
    sprite_data.asm!$C$3:$R$156,
    INT(_xlpm.idx / SpriteCount) * 7 + INT(_xlpm.r / 16) + 1,
    MOD(_xlpm.r, 16) + 1
  )
)</f>
        <v>00</v>
      </c>
      <c r="Q104" t="str" cm="1">
        <f t="array" ref="Q104">_xlfn.LET(
  _xlpm.idx, (ROW()-3)*16 + Q$1,
  _xlpm.r, MOD(_xlpm.idx, SpriteCount),
  INDEX(
    sprite_data.asm!$C$3:$R$156,
    INT(_xlpm.idx / SpriteCount) * 7 + INT(_xlpm.r / 16) + 1,
    MOD(_xlpm.r, 16) + 1
  )
)</f>
        <v>00</v>
      </c>
    </row>
    <row r="105" spans="1:17" x14ac:dyDescent="0.3">
      <c r="A105" s="2" t="str">
        <f t="shared" si="5"/>
        <v>B360</v>
      </c>
      <c r="B105" t="str" cm="1">
        <f t="array" ref="B105">_xlfn.LET(
  _xlpm.idx, (ROW()-3)*16 + B$1,
  _xlpm.r, MOD(_xlpm.idx, SpriteCount),
  INDEX(
    sprite_data.asm!$C$3:$R$156,
    INT(_xlpm.idx / SpriteCount) * 7 + INT(_xlpm.r / 16) + 1,
    MOD(_xlpm.r, 16) + 1
  )
)</f>
        <v>00</v>
      </c>
      <c r="C105" t="str" cm="1">
        <f t="array" ref="C105">_xlfn.LET(
  _xlpm.idx, (ROW()-3)*16 + C$1,
  _xlpm.r, MOD(_xlpm.idx, SpriteCount),
  INDEX(
    sprite_data.asm!$C$3:$R$156,
    INT(_xlpm.idx / SpriteCount) * 7 + INT(_xlpm.r / 16) + 1,
    MOD(_xlpm.r, 16) + 1
  )
)</f>
        <v>00</v>
      </c>
      <c r="D105" t="str" cm="1">
        <f t="array" ref="D105">_xlfn.LET(
  _xlpm.idx, (ROW()-3)*16 + D$1,
  _xlpm.r, MOD(_xlpm.idx, SpriteCount),
  INDEX(
    sprite_data.asm!$C$3:$R$156,
    INT(_xlpm.idx / SpriteCount) * 7 + INT(_xlpm.r / 16) + 1,
    MOD(_xlpm.r, 16) + 1
  )
)</f>
        <v>00</v>
      </c>
      <c r="E105" t="str" cm="1">
        <f t="array" ref="E105">_xlfn.LET(
  _xlpm.idx, (ROW()-3)*16 + E$1,
  _xlpm.r, MOD(_xlpm.idx, SpriteCount),
  INDEX(
    sprite_data.asm!$C$3:$R$156,
    INT(_xlpm.idx / SpriteCount) * 7 + INT(_xlpm.r / 16) + 1,
    MOD(_xlpm.r, 16) + 1
  )
)</f>
        <v>00</v>
      </c>
      <c r="F105" t="str" cm="1">
        <f t="array" ref="F105">_xlfn.LET(
  _xlpm.idx, (ROW()-3)*16 + F$1,
  _xlpm.r, MOD(_xlpm.idx, SpriteCount),
  INDEX(
    sprite_data.asm!$C$3:$R$156,
    INT(_xlpm.idx / SpriteCount) * 7 + INT(_xlpm.r / 16) + 1,
    MOD(_xlpm.r, 16) + 1
  )
)</f>
        <v>00</v>
      </c>
      <c r="G105" t="str" cm="1">
        <f t="array" ref="G105">_xlfn.LET(
  _xlpm.idx, (ROW()-3)*16 + G$1,
  _xlpm.r, MOD(_xlpm.idx, SpriteCount),
  INDEX(
    sprite_data.asm!$C$3:$R$156,
    INT(_xlpm.idx / SpriteCount) * 7 + INT(_xlpm.r / 16) + 1,
    MOD(_xlpm.r, 16) + 1
  )
)</f>
        <v>00</v>
      </c>
      <c r="H105" t="str" cm="1">
        <f t="array" ref="H105">_xlfn.LET(
  _xlpm.idx, (ROW()-3)*16 + H$1,
  _xlpm.r, MOD(_xlpm.idx, SpriteCount),
  INDEX(
    sprite_data.asm!$C$3:$R$156,
    INT(_xlpm.idx / SpriteCount) * 7 + INT(_xlpm.r / 16) + 1,
    MOD(_xlpm.r, 16) + 1
  )
)</f>
        <v>00</v>
      </c>
      <c r="I105" t="str" cm="1">
        <f t="array" ref="I105">_xlfn.LET(
  _xlpm.idx, (ROW()-3)*16 + I$1,
  _xlpm.r, MOD(_xlpm.idx, SpriteCount),
  INDEX(
    sprite_data.asm!$C$3:$R$156,
    INT(_xlpm.idx / SpriteCount) * 7 + INT(_xlpm.r / 16) + 1,
    MOD(_xlpm.r, 16) + 1
  )
)</f>
        <v>00</v>
      </c>
      <c r="J105" t="str" cm="1">
        <f t="array" ref="J105">_xlfn.LET(
  _xlpm.idx, (ROW()-3)*16 + J$1,
  _xlpm.r, MOD(_xlpm.idx, SpriteCount),
  INDEX(
    sprite_data.asm!$C$3:$R$156,
    INT(_xlpm.idx / SpriteCount) * 7 + INT(_xlpm.r / 16) + 1,
    MOD(_xlpm.r, 16) + 1
  )
)</f>
        <v>00</v>
      </c>
      <c r="K105" t="str" cm="1">
        <f t="array" ref="K105">_xlfn.LET(
  _xlpm.idx, (ROW()-3)*16 + K$1,
  _xlpm.r, MOD(_xlpm.idx, SpriteCount),
  INDEX(
    sprite_data.asm!$C$3:$R$156,
    INT(_xlpm.idx / SpriteCount) * 7 + INT(_xlpm.r / 16) + 1,
    MOD(_xlpm.r, 16) + 1
  )
)</f>
        <v>00</v>
      </c>
      <c r="L105" t="str" cm="1">
        <f t="array" ref="L105">_xlfn.LET(
  _xlpm.idx, (ROW()-3)*16 + L$1,
  _xlpm.r, MOD(_xlpm.idx, SpriteCount),
  INDEX(
    sprite_data.asm!$C$3:$R$156,
    INT(_xlpm.idx / SpriteCount) * 7 + INT(_xlpm.r / 16) + 1,
    MOD(_xlpm.r, 16) + 1
  )
)</f>
        <v>00</v>
      </c>
      <c r="M105" t="str" cm="1">
        <f t="array" ref="M105">_xlfn.LET(
  _xlpm.idx, (ROW()-3)*16 + M$1,
  _xlpm.r, MOD(_xlpm.idx, SpriteCount),
  INDEX(
    sprite_data.asm!$C$3:$R$156,
    INT(_xlpm.idx / SpriteCount) * 7 + INT(_xlpm.r / 16) + 1,
    MOD(_xlpm.r, 16) + 1
  )
)</f>
        <v>00</v>
      </c>
      <c r="N105" t="str" cm="1">
        <f t="array" ref="N105">_xlfn.LET(
  _xlpm.idx, (ROW()-3)*16 + N$1,
  _xlpm.r, MOD(_xlpm.idx, SpriteCount),
  INDEX(
    sprite_data.asm!$C$3:$R$156,
    INT(_xlpm.idx / SpriteCount) * 7 + INT(_xlpm.r / 16) + 1,
    MOD(_xlpm.r, 16) + 1
  )
)</f>
        <v>00</v>
      </c>
      <c r="O105" t="str" cm="1">
        <f t="array" ref="O105">_xlfn.LET(
  _xlpm.idx, (ROW()-3)*16 + O$1,
  _xlpm.r, MOD(_xlpm.idx, SpriteCount),
  INDEX(
    sprite_data.asm!$C$3:$R$156,
    INT(_xlpm.idx / SpriteCount) * 7 + INT(_xlpm.r / 16) + 1,
    MOD(_xlpm.r, 16) + 1
  )
)</f>
        <v>00</v>
      </c>
      <c r="P105" t="str" cm="1">
        <f t="array" ref="P105">_xlfn.LET(
  _xlpm.idx, (ROW()-3)*16 + P$1,
  _xlpm.r, MOD(_xlpm.idx, SpriteCount),
  INDEX(
    sprite_data.asm!$C$3:$R$156,
    INT(_xlpm.idx / SpriteCount) * 7 + INT(_xlpm.r / 16) + 1,
    MOD(_xlpm.r, 16) + 1
  )
)</f>
        <v>00</v>
      </c>
      <c r="Q105" t="str" cm="1">
        <f t="array" ref="Q105">_xlfn.LET(
  _xlpm.idx, (ROW()-3)*16 + Q$1,
  _xlpm.r, MOD(_xlpm.idx, SpriteCount),
  INDEX(
    sprite_data.asm!$C$3:$R$156,
    INT(_xlpm.idx / SpriteCount) * 7 + INT(_xlpm.r / 16) + 1,
    MOD(_xlpm.r, 16) + 1
  )
)</f>
        <v>00</v>
      </c>
    </row>
    <row r="106" spans="1:17" x14ac:dyDescent="0.3">
      <c r="A106" s="2" t="str">
        <f t="shared" si="5"/>
        <v>B370</v>
      </c>
      <c r="B106" t="str" cm="1">
        <f t="array" ref="B106">_xlfn.LET(
  _xlpm.idx, (ROW()-3)*16 + B$1,
  _xlpm.r, MOD(_xlpm.idx, SpriteCount),
  INDEX(
    sprite_data.asm!$C$3:$R$156,
    INT(_xlpm.idx / SpriteCount) * 7 + INT(_xlpm.r / 16) + 1,
    MOD(_xlpm.r, 16) + 1
  )
)</f>
        <v>00</v>
      </c>
      <c r="C106" t="str" cm="1">
        <f t="array" ref="C106">_xlfn.LET(
  _xlpm.idx, (ROW()-3)*16 + C$1,
  _xlpm.r, MOD(_xlpm.idx, SpriteCount),
  INDEX(
    sprite_data.asm!$C$3:$R$156,
    INT(_xlpm.idx / SpriteCount) * 7 + INT(_xlpm.r / 16) + 1,
    MOD(_xlpm.r, 16) + 1
  )
)</f>
        <v>00</v>
      </c>
      <c r="D106" t="str" cm="1">
        <f t="array" ref="D106">_xlfn.LET(
  _xlpm.idx, (ROW()-3)*16 + D$1,
  _xlpm.r, MOD(_xlpm.idx, SpriteCount),
  INDEX(
    sprite_data.asm!$C$3:$R$156,
    INT(_xlpm.idx / SpriteCount) * 7 + INT(_xlpm.r / 16) + 1,
    MOD(_xlpm.r, 16) + 1
  )
)</f>
        <v>00</v>
      </c>
      <c r="E106" t="str" cm="1">
        <f t="array" ref="E106">_xlfn.LET(
  _xlpm.idx, (ROW()-3)*16 + E$1,
  _xlpm.r, MOD(_xlpm.idx, SpriteCount),
  INDEX(
    sprite_data.asm!$C$3:$R$156,
    INT(_xlpm.idx / SpriteCount) * 7 + INT(_xlpm.r / 16) + 1,
    MOD(_xlpm.r, 16) + 1
  )
)</f>
        <v>00</v>
      </c>
      <c r="F106" t="str" cm="1">
        <f t="array" ref="F106">_xlfn.LET(
  _xlpm.idx, (ROW()-3)*16 + F$1,
  _xlpm.r, MOD(_xlpm.idx, SpriteCount),
  INDEX(
    sprite_data.asm!$C$3:$R$156,
    INT(_xlpm.idx / SpriteCount) * 7 + INT(_xlpm.r / 16) + 1,
    MOD(_xlpm.r, 16) + 1
  )
)</f>
        <v>00</v>
      </c>
      <c r="G106" t="str" cm="1">
        <f t="array" ref="G106">_xlfn.LET(
  _xlpm.idx, (ROW()-3)*16 + G$1,
  _xlpm.r, MOD(_xlpm.idx, SpriteCount),
  INDEX(
    sprite_data.asm!$C$3:$R$156,
    INT(_xlpm.idx / SpriteCount) * 7 + INT(_xlpm.r / 16) + 1,
    MOD(_xlpm.r, 16) + 1
  )
)</f>
        <v>00</v>
      </c>
      <c r="H106" t="str" cm="1">
        <f t="array" ref="H106">_xlfn.LET(
  _xlpm.idx, (ROW()-3)*16 + H$1,
  _xlpm.r, MOD(_xlpm.idx, SpriteCount),
  INDEX(
    sprite_data.asm!$C$3:$R$156,
    INT(_xlpm.idx / SpriteCount) * 7 + INT(_xlpm.r / 16) + 1,
    MOD(_xlpm.r, 16) + 1
  )
)</f>
        <v>00</v>
      </c>
      <c r="I106" t="str" cm="1">
        <f t="array" ref="I106">_xlfn.LET(
  _xlpm.idx, (ROW()-3)*16 + I$1,
  _xlpm.r, MOD(_xlpm.idx, SpriteCount),
  INDEX(
    sprite_data.asm!$C$3:$R$156,
    INT(_xlpm.idx / SpriteCount) * 7 + INT(_xlpm.r / 16) + 1,
    MOD(_xlpm.r, 16) + 1
  )
)</f>
        <v>00</v>
      </c>
      <c r="J106" t="str" cm="1">
        <f t="array" ref="J106">_xlfn.LET(
  _xlpm.idx, (ROW()-3)*16 + J$1,
  _xlpm.r, MOD(_xlpm.idx, SpriteCount),
  INDEX(
    sprite_data.asm!$C$3:$R$156,
    INT(_xlpm.idx / SpriteCount) * 7 + INT(_xlpm.r / 16) + 1,
    MOD(_xlpm.r, 16) + 1
  )
)</f>
        <v>00</v>
      </c>
      <c r="K106" t="str" cm="1">
        <f t="array" ref="K106">_xlfn.LET(
  _xlpm.idx, (ROW()-3)*16 + K$1,
  _xlpm.r, MOD(_xlpm.idx, SpriteCount),
  INDEX(
    sprite_data.asm!$C$3:$R$156,
    INT(_xlpm.idx / SpriteCount) * 7 + INT(_xlpm.r / 16) + 1,
    MOD(_xlpm.r, 16) + 1
  )
)</f>
        <v>00</v>
      </c>
      <c r="L106" t="str" cm="1">
        <f t="array" ref="L106">_xlfn.LET(
  _xlpm.idx, (ROW()-3)*16 + L$1,
  _xlpm.r, MOD(_xlpm.idx, SpriteCount),
  INDEX(
    sprite_data.asm!$C$3:$R$156,
    INT(_xlpm.idx / SpriteCount) * 7 + INT(_xlpm.r / 16) + 1,
    MOD(_xlpm.r, 16) + 1
  )
)</f>
        <v>00</v>
      </c>
      <c r="M106" t="str" cm="1">
        <f t="array" ref="M106">_xlfn.LET(
  _xlpm.idx, (ROW()-3)*16 + M$1,
  _xlpm.r, MOD(_xlpm.idx, SpriteCount),
  INDEX(
    sprite_data.asm!$C$3:$R$156,
    INT(_xlpm.idx / SpriteCount) * 7 + INT(_xlpm.r / 16) + 1,
    MOD(_xlpm.r, 16) + 1
  )
)</f>
        <v>00</v>
      </c>
      <c r="N106" t="str" cm="1">
        <f t="array" ref="N106">_xlfn.LET(
  _xlpm.idx, (ROW()-3)*16 + N$1,
  _xlpm.r, MOD(_xlpm.idx, SpriteCount),
  INDEX(
    sprite_data.asm!$C$3:$R$156,
    INT(_xlpm.idx / SpriteCount) * 7 + INT(_xlpm.r / 16) + 1,
    MOD(_xlpm.r, 16) + 1
  )
)</f>
        <v>02</v>
      </c>
      <c r="O106" t="str" cm="1">
        <f t="array" ref="O106">_xlfn.LET(
  _xlpm.idx, (ROW()-3)*16 + O$1,
  _xlpm.r, MOD(_xlpm.idx, SpriteCount),
  INDEX(
    sprite_data.asm!$C$3:$R$156,
    INT(_xlpm.idx / SpriteCount) * 7 + INT(_xlpm.r / 16) + 1,
    MOD(_xlpm.r, 16) + 1
  )
)</f>
        <v>00</v>
      </c>
      <c r="P106" t="str" cm="1">
        <f t="array" ref="P106">_xlfn.LET(
  _xlpm.idx, (ROW()-3)*16 + P$1,
  _xlpm.r, MOD(_xlpm.idx, SpriteCount),
  INDEX(
    sprite_data.asm!$C$3:$R$156,
    INT(_xlpm.idx / SpriteCount) * 7 + INT(_xlpm.r / 16) + 1,
    MOD(_xlpm.r, 16) + 1
  )
)</f>
        <v>00</v>
      </c>
      <c r="Q106" t="str" cm="1">
        <f t="array" ref="Q106">_xlfn.LET(
  _xlpm.idx, (ROW()-3)*16 + Q$1,
  _xlpm.r, MOD(_xlpm.idx, SpriteCount),
  INDEX(
    sprite_data.asm!$C$3:$R$156,
    INT(_xlpm.idx / SpriteCount) * 7 + INT(_xlpm.r / 16) + 1,
    MOD(_xlpm.r, 16) + 1
  )
)</f>
        <v>00</v>
      </c>
    </row>
    <row r="107" spans="1:17" x14ac:dyDescent="0.3">
      <c r="A107" s="2" t="str">
        <f t="shared" si="5"/>
        <v>B380</v>
      </c>
      <c r="B107" t="str" cm="1">
        <f t="array" ref="B107">_xlfn.LET(
  _xlpm.idx, (ROW()-3)*16 + B$1,
  _xlpm.r, MOD(_xlpm.idx, SpriteCount),
  INDEX(
    sprite_data.asm!$C$3:$R$156,
    INT(_xlpm.idx / SpriteCount) * 7 + INT(_xlpm.r / 16) + 1,
    MOD(_xlpm.r, 16) + 1
  )
)</f>
        <v>00</v>
      </c>
      <c r="C107" t="str" cm="1">
        <f t="array" ref="C107">_xlfn.LET(
  _xlpm.idx, (ROW()-3)*16 + C$1,
  _xlpm.r, MOD(_xlpm.idx, SpriteCount),
  INDEX(
    sprite_data.asm!$C$3:$R$156,
    INT(_xlpm.idx / SpriteCount) * 7 + INT(_xlpm.r / 16) + 1,
    MOD(_xlpm.r, 16) + 1
  )
)</f>
        <v>51</v>
      </c>
      <c r="D107" t="str" cm="1">
        <f t="array" ref="D107">_xlfn.LET(
  _xlpm.idx, (ROW()-3)*16 + D$1,
  _xlpm.r, MOD(_xlpm.idx, SpriteCount),
  INDEX(
    sprite_data.asm!$C$3:$R$156,
    INT(_xlpm.idx / SpriteCount) * 7 + INT(_xlpm.r / 16) + 1,
    MOD(_xlpm.r, 16) + 1
  )
)</f>
        <v>55</v>
      </c>
      <c r="E107" t="str" cm="1">
        <f t="array" ref="E107">_xlfn.LET(
  _xlpm.idx, (ROW()-3)*16 + E$1,
  _xlpm.r, MOD(_xlpm.idx, SpriteCount),
  INDEX(
    sprite_data.asm!$C$3:$R$156,
    INT(_xlpm.idx / SpriteCount) * 7 + INT(_xlpm.r / 16) + 1,
    MOD(_xlpm.r, 16) + 1
  )
)</f>
        <v>06</v>
      </c>
      <c r="F107" t="str" cm="1">
        <f t="array" ref="F107">_xlfn.LET(
  _xlpm.idx, (ROW()-3)*16 + F$1,
  _xlpm.r, MOD(_xlpm.idx, SpriteCount),
  INDEX(
    sprite_data.asm!$C$3:$R$156,
    INT(_xlpm.idx / SpriteCount) * 7 + INT(_xlpm.r / 16) + 1,
    MOD(_xlpm.r, 16) + 1
  )
)</f>
        <v>00</v>
      </c>
      <c r="G107" t="str" cm="1">
        <f t="array" ref="G107">_xlfn.LET(
  _xlpm.idx, (ROW()-3)*16 + G$1,
  _xlpm.r, MOD(_xlpm.idx, SpriteCount),
  INDEX(
    sprite_data.asm!$C$3:$R$156,
    INT(_xlpm.idx / SpriteCount) * 7 + INT(_xlpm.r / 16) + 1,
    MOD(_xlpm.r, 16) + 1
  )
)</f>
        <v>55</v>
      </c>
      <c r="H107" t="str" cm="1">
        <f t="array" ref="H107">_xlfn.LET(
  _xlpm.idx, (ROW()-3)*16 + H$1,
  _xlpm.r, MOD(_xlpm.idx, SpriteCount),
  INDEX(
    sprite_data.asm!$C$3:$R$156,
    INT(_xlpm.idx / SpriteCount) * 7 + INT(_xlpm.r / 16) + 1,
    MOD(_xlpm.r, 16) + 1
  )
)</f>
        <v>7E</v>
      </c>
      <c r="I107" t="str" cm="1">
        <f t="array" ref="I107">_xlfn.LET(
  _xlpm.idx, (ROW()-3)*16 + I$1,
  _xlpm.r, MOD(_xlpm.idx, SpriteCount),
  INDEX(
    sprite_data.asm!$C$3:$R$156,
    INT(_xlpm.idx / SpriteCount) * 7 + INT(_xlpm.r / 16) + 1,
    MOD(_xlpm.r, 16) + 1
  )
)</f>
        <v>28</v>
      </c>
      <c r="J107" t="str" cm="1">
        <f t="array" ref="J107">_xlfn.LET(
  _xlpm.idx, (ROW()-3)*16 + J$1,
  _xlpm.r, MOD(_xlpm.idx, SpriteCount),
  INDEX(
    sprite_data.asm!$C$3:$R$156,
    INT(_xlpm.idx / SpriteCount) * 7 + INT(_xlpm.r / 16) + 1,
    MOD(_xlpm.r, 16) + 1
  )
)</f>
        <v>58</v>
      </c>
      <c r="K107" t="str" cm="1">
        <f t="array" ref="K107">_xlfn.LET(
  _xlpm.idx, (ROW()-3)*16 + K$1,
  _xlpm.r, MOD(_xlpm.idx, SpriteCount),
  INDEX(
    sprite_data.asm!$C$3:$R$156,
    INT(_xlpm.idx / SpriteCount) * 7 + INT(_xlpm.r / 16) + 1,
    MOD(_xlpm.r, 16) + 1
  )
)</f>
        <v>5E</v>
      </c>
      <c r="L107" t="str" cm="1">
        <f t="array" ref="L107">_xlfn.LET(
  _xlpm.idx, (ROW()-3)*16 + L$1,
  _xlpm.r, MOD(_xlpm.idx, SpriteCount),
  INDEX(
    sprite_data.asm!$C$3:$R$156,
    INT(_xlpm.idx / SpriteCount) * 7 + INT(_xlpm.r / 16) + 1,
    MOD(_xlpm.r, 16) + 1
  )
)</f>
        <v>7F</v>
      </c>
      <c r="M107" t="str" cm="1">
        <f t="array" ref="M107">_xlfn.LET(
  _xlpm.idx, (ROW()-3)*16 + M$1,
  _xlpm.r, MOD(_xlpm.idx, SpriteCount),
  INDEX(
    sprite_data.asm!$C$3:$R$156,
    INT(_xlpm.idx / SpriteCount) * 7 + INT(_xlpm.r / 16) + 1,
    MOD(_xlpm.r, 16) + 1
  )
)</f>
        <v>6C</v>
      </c>
      <c r="N107" t="str" cm="1">
        <f t="array" ref="N107">_xlfn.LET(
  _xlpm.idx, (ROW()-3)*16 + N$1,
  _xlpm.r, MOD(_xlpm.idx, SpriteCount),
  INDEX(
    sprite_data.asm!$C$3:$R$156,
    INT(_xlpm.idx / SpriteCount) * 7 + INT(_xlpm.r / 16) + 1,
    MOD(_xlpm.r, 16) + 1
  )
)</f>
        <v>3C</v>
      </c>
      <c r="O107" t="str" cm="1">
        <f t="array" ref="O107">_xlfn.LET(
  _xlpm.idx, (ROW()-3)*16 + O$1,
  _xlpm.r, MOD(_xlpm.idx, SpriteCount),
  INDEX(
    sprite_data.asm!$C$3:$R$156,
    INT(_xlpm.idx / SpriteCount) * 7 + INT(_xlpm.r / 16) + 1,
    MOD(_xlpm.r, 16) + 1
  )
)</f>
        <v>66</v>
      </c>
      <c r="P107" t="str" cm="1">
        <f t="array" ref="P107">_xlfn.LET(
  _xlpm.idx, (ROW()-3)*16 + P$1,
  _xlpm.r, MOD(_xlpm.idx, SpriteCount),
  INDEX(
    sprite_data.asm!$C$3:$R$156,
    INT(_xlpm.idx / SpriteCount) * 7 + INT(_xlpm.r / 16) + 1,
    MOD(_xlpm.r, 16) + 1
  )
)</f>
        <v>58</v>
      </c>
      <c r="Q107" t="str" cm="1">
        <f t="array" ref="Q107">_xlfn.LET(
  _xlpm.idx, (ROW()-3)*16 + Q$1,
  _xlpm.r, MOD(_xlpm.idx, SpriteCount),
  INDEX(
    sprite_data.asm!$C$3:$R$156,
    INT(_xlpm.idx / SpriteCount) * 7 + INT(_xlpm.r / 16) + 1,
    MOD(_xlpm.r, 16) + 1
  )
)</f>
        <v>30</v>
      </c>
    </row>
    <row r="108" spans="1:17" x14ac:dyDescent="0.3">
      <c r="A108" s="2" t="str">
        <f t="shared" si="5"/>
        <v>B390</v>
      </c>
      <c r="B108" t="str" cm="1">
        <f t="array" ref="B108">_xlfn.LET(
  _xlpm.idx, (ROW()-3)*16 + B$1,
  _xlpm.r, MOD(_xlpm.idx, SpriteCount),
  INDEX(
    sprite_data.asm!$C$3:$R$156,
    INT(_xlpm.idx / SpriteCount) * 7 + INT(_xlpm.r / 16) + 1,
    MOD(_xlpm.r, 16) + 1
  )
)</f>
        <v>70</v>
      </c>
      <c r="C108" t="str" cm="1">
        <f t="array" ref="C108">_xlfn.LET(
  _xlpm.idx, (ROW()-3)*16 + C$1,
  _xlpm.r, MOD(_xlpm.idx, SpriteCount),
  INDEX(
    sprite_data.asm!$C$3:$R$156,
    INT(_xlpm.idx / SpriteCount) * 7 + INT(_xlpm.r / 16) + 1,
    MOD(_xlpm.r, 16) + 1
  )
)</f>
        <v>18</v>
      </c>
      <c r="D108" t="str" cm="1">
        <f t="array" ref="D108">_xlfn.LET(
  _xlpm.idx, (ROW()-3)*16 + D$1,
  _xlpm.r, MOD(_xlpm.idx, SpriteCount),
  INDEX(
    sprite_data.asm!$C$3:$R$156,
    INT(_xlpm.idx / SpriteCount) * 7 + INT(_xlpm.r / 16) + 1,
    MOD(_xlpm.r, 16) + 1
  )
)</f>
        <v>6E</v>
      </c>
      <c r="E108" t="str" cm="1">
        <f t="array" ref="E108">_xlfn.LET(
  _xlpm.idx, (ROW()-3)*16 + E$1,
  _xlpm.r, MOD(_xlpm.idx, SpriteCount),
  INDEX(
    sprite_data.asm!$C$3:$R$156,
    INT(_xlpm.idx / SpriteCount) * 7 + INT(_xlpm.r / 16) + 1,
    MOD(_xlpm.r, 16) + 1
  )
)</f>
        <v>6C</v>
      </c>
      <c r="F108" t="str" cm="1">
        <f t="array" ref="F108">_xlfn.LET(
  _xlpm.idx, (ROW()-3)*16 + F$1,
  _xlpm.r, MOD(_xlpm.idx, SpriteCount),
  INDEX(
    sprite_data.asm!$C$3:$R$156,
    INT(_xlpm.idx / SpriteCount) * 7 + INT(_xlpm.r / 16) + 1,
    MOD(_xlpm.r, 16) + 1
  )
)</f>
        <v>58</v>
      </c>
      <c r="G108" t="str" cm="1">
        <f t="array" ref="G108">_xlfn.LET(
  _xlpm.idx, (ROW()-3)*16 + G$1,
  _xlpm.r, MOD(_xlpm.idx, SpriteCount),
  INDEX(
    sprite_data.asm!$C$3:$R$156,
    INT(_xlpm.idx / SpriteCount) * 7 + INT(_xlpm.r / 16) + 1,
    MOD(_xlpm.r, 16) + 1
  )
)</f>
        <v>13</v>
      </c>
      <c r="H108" t="str" cm="1">
        <f t="array" ref="H108">_xlfn.LET(
  _xlpm.idx, (ROW()-3)*16 + H$1,
  _xlpm.r, MOD(_xlpm.idx, SpriteCount),
  INDEX(
    sprite_data.asm!$C$3:$R$156,
    INT(_xlpm.idx / SpriteCount) * 7 + INT(_xlpm.r / 16) + 1,
    MOD(_xlpm.r, 16) + 1
  )
)</f>
        <v>36</v>
      </c>
      <c r="I108" t="str" cm="1">
        <f t="array" ref="I108">_xlfn.LET(
  _xlpm.idx, (ROW()-3)*16 + I$1,
  _xlpm.r, MOD(_xlpm.idx, SpriteCount),
  INDEX(
    sprite_data.asm!$C$3:$R$156,
    INT(_xlpm.idx / SpriteCount) * 7 + INT(_xlpm.r / 16) + 1,
    MOD(_xlpm.r, 16) + 1
  )
)</f>
        <v>58</v>
      </c>
      <c r="J108" t="str" cm="1">
        <f t="array" ref="J108">_xlfn.LET(
  _xlpm.idx, (ROW()-3)*16 + J$1,
  _xlpm.r, MOD(_xlpm.idx, SpriteCount),
  INDEX(
    sprite_data.asm!$C$3:$R$156,
    INT(_xlpm.idx / SpriteCount) * 7 + INT(_xlpm.r / 16) + 1,
    MOD(_xlpm.r, 16) + 1
  )
)</f>
        <v>20</v>
      </c>
      <c r="K108" t="str" cm="1">
        <f t="array" ref="K108">_xlfn.LET(
  _xlpm.idx, (ROW()-3)*16 + K$1,
  _xlpm.r, MOD(_xlpm.idx, SpriteCount),
  INDEX(
    sprite_data.asm!$C$3:$R$156,
    INT(_xlpm.idx / SpriteCount) * 7 + INT(_xlpm.r / 16) + 1,
    MOD(_xlpm.r, 16) + 1
  )
)</f>
        <v>30</v>
      </c>
      <c r="L108" t="str" cm="1">
        <f t="array" ref="L108">_xlfn.LET(
  _xlpm.idx, (ROW()-3)*16 + L$1,
  _xlpm.r, MOD(_xlpm.idx, SpriteCount),
  INDEX(
    sprite_data.asm!$C$3:$R$156,
    INT(_xlpm.idx / SpriteCount) * 7 + INT(_xlpm.r / 16) + 1,
    MOD(_xlpm.r, 16) + 1
  )
)</f>
        <v>6C</v>
      </c>
      <c r="M108" t="str" cm="1">
        <f t="array" ref="M108">_xlfn.LET(
  _xlpm.idx, (ROW()-3)*16 + M$1,
  _xlpm.r, MOD(_xlpm.idx, SpriteCount),
  INDEX(
    sprite_data.asm!$C$3:$R$156,
    INT(_xlpm.idx / SpriteCount) * 7 + INT(_xlpm.r / 16) + 1,
    MOD(_xlpm.r, 16) + 1
  )
)</f>
        <v>04</v>
      </c>
      <c r="N108" t="str" cm="1">
        <f t="array" ref="N108">_xlfn.LET(
  _xlpm.idx, (ROW()-3)*16 + N$1,
  _xlpm.r, MOD(_xlpm.idx, SpriteCount),
  INDEX(
    sprite_data.asm!$C$3:$R$156,
    INT(_xlpm.idx / SpriteCount) * 7 + INT(_xlpm.r / 16) + 1,
    MOD(_xlpm.r, 16) + 1
  )
)</f>
        <v>50</v>
      </c>
      <c r="O108" t="str" cm="1">
        <f t="array" ref="O108">_xlfn.LET(
  _xlpm.idx, (ROW()-3)*16 + O$1,
  _xlpm.r, MOD(_xlpm.idx, SpriteCount),
  INDEX(
    sprite_data.asm!$C$3:$R$156,
    INT(_xlpm.idx / SpriteCount) * 7 + INT(_xlpm.r / 16) + 1,
    MOD(_xlpm.r, 16) + 1
  )
)</f>
        <v>04</v>
      </c>
      <c r="P108" t="str" cm="1">
        <f t="array" ref="P108">_xlfn.LET(
  _xlpm.idx, (ROW()-3)*16 + P$1,
  _xlpm.r, MOD(_xlpm.idx, SpriteCount),
  INDEX(
    sprite_data.asm!$C$3:$R$156,
    INT(_xlpm.idx / SpriteCount) * 7 + INT(_xlpm.r / 16) + 1,
    MOD(_xlpm.r, 16) + 1
  )
)</f>
        <v>00</v>
      </c>
      <c r="Q108" t="str" cm="1">
        <f t="array" ref="Q108">_xlfn.LET(
  _xlpm.idx, (ROW()-3)*16 + Q$1,
  _xlpm.r, MOD(_xlpm.idx, SpriteCount),
  INDEX(
    sprite_data.asm!$C$3:$R$156,
    INT(_xlpm.idx / SpriteCount) * 7 + INT(_xlpm.r / 16) + 1,
    MOD(_xlpm.r, 16) + 1
  )
)</f>
        <v>51</v>
      </c>
    </row>
    <row r="109" spans="1:17" x14ac:dyDescent="0.3">
      <c r="A109" s="2" t="str">
        <f t="shared" si="5"/>
        <v>B3A0</v>
      </c>
      <c r="B109" t="str" cm="1">
        <f t="array" ref="B109">_xlfn.LET(
  _xlpm.idx, (ROW()-3)*16 + B$1,
  _xlpm.r, MOD(_xlpm.idx, SpriteCount),
  INDEX(
    sprite_data.asm!$C$3:$R$156,
    INT(_xlpm.idx / SpriteCount) * 7 + INT(_xlpm.r / 16) + 1,
    MOD(_xlpm.r, 16) + 1
  )
)</f>
        <v>51</v>
      </c>
      <c r="C109" t="str" cm="1">
        <f t="array" ref="C109">_xlfn.LET(
  _xlpm.idx, (ROW()-3)*16 + C$1,
  _xlpm.r, MOD(_xlpm.idx, SpriteCount),
  INDEX(
    sprite_data.asm!$C$3:$R$156,
    INT(_xlpm.idx / SpriteCount) * 7 + INT(_xlpm.r / 16) + 1,
    MOD(_xlpm.r, 16) + 1
  )
)</f>
        <v>51</v>
      </c>
      <c r="D109" t="str" cm="1">
        <f t="array" ref="D109">_xlfn.LET(
  _xlpm.idx, (ROW()-3)*16 + D$1,
  _xlpm.r, MOD(_xlpm.idx, SpriteCount),
  INDEX(
    sprite_data.asm!$C$3:$R$156,
    INT(_xlpm.idx / SpriteCount) * 7 + INT(_xlpm.r / 16) + 1,
    MOD(_xlpm.r, 16) + 1
  )
)</f>
        <v>51</v>
      </c>
      <c r="E109" t="str" cm="1">
        <f t="array" ref="E109">_xlfn.LET(
  _xlpm.idx, (ROW()-3)*16 + E$1,
  _xlpm.r, MOD(_xlpm.idx, SpriteCount),
  INDEX(
    sprite_data.asm!$C$3:$R$156,
    INT(_xlpm.idx / SpriteCount) * 7 + INT(_xlpm.r / 16) + 1,
    MOD(_xlpm.r, 16) + 1
  )
)</f>
        <v>01</v>
      </c>
      <c r="F109" t="str" cm="1">
        <f t="array" ref="F109">_xlfn.LET(
  _xlpm.idx, (ROW()-3)*16 + F$1,
  _xlpm.r, MOD(_xlpm.idx, SpriteCount),
  INDEX(
    sprite_data.asm!$C$3:$R$156,
    INT(_xlpm.idx / SpriteCount) * 7 + INT(_xlpm.r / 16) + 1,
    MOD(_xlpm.r, 16) + 1
  )
)</f>
        <v>28</v>
      </c>
      <c r="G109" t="str" cm="1">
        <f t="array" ref="G109">_xlfn.LET(
  _xlpm.idx, (ROW()-3)*16 + G$1,
  _xlpm.r, MOD(_xlpm.idx, SpriteCount),
  INDEX(
    sprite_data.asm!$C$3:$R$156,
    INT(_xlpm.idx / SpriteCount) * 7 + INT(_xlpm.r / 16) + 1,
    MOD(_xlpm.r, 16) + 1
  )
)</f>
        <v>6C</v>
      </c>
      <c r="H109" t="str" cm="1">
        <f t="array" ref="H109">_xlfn.LET(
  _xlpm.idx, (ROW()-3)*16 + H$1,
  _xlpm.r, MOD(_xlpm.idx, SpriteCount),
  INDEX(
    sprite_data.asm!$C$3:$R$156,
    INT(_xlpm.idx / SpriteCount) * 7 + INT(_xlpm.r / 16) + 1,
    MOD(_xlpm.r, 16) + 1
  )
)</f>
        <v>12</v>
      </c>
      <c r="I109" t="str" cm="1">
        <f t="array" ref="I109">_xlfn.LET(
  _xlpm.idx, (ROW()-3)*16 + I$1,
  _xlpm.r, MOD(_xlpm.idx, SpriteCount),
  INDEX(
    sprite_data.asm!$C$3:$R$156,
    INT(_xlpm.idx / SpriteCount) * 7 + INT(_xlpm.r / 16) + 1,
    MOD(_xlpm.r, 16) + 1
  )
)</f>
        <v>52</v>
      </c>
      <c r="J109" t="str" cm="1">
        <f t="array" ref="J109">_xlfn.LET(
  _xlpm.idx, (ROW()-3)*16 + J$1,
  _xlpm.r, MOD(_xlpm.idx, SpriteCount),
  INDEX(
    sprite_data.asm!$C$3:$R$156,
    INT(_xlpm.idx / SpriteCount) * 7 + INT(_xlpm.r / 16) + 1,
    MOD(_xlpm.r, 16) + 1
  )
)</f>
        <v>5E</v>
      </c>
      <c r="K109" t="str" cm="1">
        <f t="array" ref="K109">_xlfn.LET(
  _xlpm.idx, (ROW()-3)*16 + K$1,
  _xlpm.r, MOD(_xlpm.idx, SpriteCount),
  INDEX(
    sprite_data.asm!$C$3:$R$156,
    INT(_xlpm.idx / SpriteCount) * 7 + INT(_xlpm.r / 16) + 1,
    MOD(_xlpm.r, 16) + 1
  )
)</f>
        <v>70</v>
      </c>
      <c r="L109" t="str" cm="1">
        <f t="array" ref="L109">_xlfn.LET(
  _xlpm.idx, (ROW()-3)*16 + L$1,
  _xlpm.r, MOD(_xlpm.idx, SpriteCount),
  INDEX(
    sprite_data.asm!$C$3:$R$156,
    INT(_xlpm.idx / SpriteCount) * 7 + INT(_xlpm.r / 16) + 1,
    MOD(_xlpm.r, 16) + 1
  )
)</f>
        <v>18</v>
      </c>
      <c r="M109" t="str" cm="1">
        <f t="array" ref="M109">_xlfn.LET(
  _xlpm.idx, (ROW()-3)*16 + M$1,
  _xlpm.r, MOD(_xlpm.idx, SpriteCount),
  INDEX(
    sprite_data.asm!$C$3:$R$156,
    INT(_xlpm.idx / SpriteCount) * 7 + INT(_xlpm.r / 16) + 1,
    MOD(_xlpm.r, 16) + 1
  )
)</f>
        <v>78</v>
      </c>
      <c r="N109" t="str" cm="1">
        <f t="array" ref="N109">_xlfn.LET(
  _xlpm.idx, (ROW()-3)*16 + N$1,
  _xlpm.r, MOD(_xlpm.idx, SpriteCount),
  INDEX(
    sprite_data.asm!$C$3:$R$156,
    INT(_xlpm.idx / SpriteCount) * 7 + INT(_xlpm.r / 16) + 1,
    MOD(_xlpm.r, 16) + 1
  )
)</f>
        <v>4C</v>
      </c>
      <c r="O109" t="str" cm="1">
        <f t="array" ref="O109">_xlfn.LET(
  _xlpm.idx, (ROW()-3)*16 + O$1,
  _xlpm.r, MOD(_xlpm.idx, SpriteCount),
  INDEX(
    sprite_data.asm!$C$3:$R$156,
    INT(_xlpm.idx / SpriteCount) * 7 + INT(_xlpm.r / 16) + 1,
    MOD(_xlpm.r, 16) + 1
  )
)</f>
        <v>13</v>
      </c>
      <c r="P109" t="str" cm="1">
        <f t="array" ref="P109">_xlfn.LET(
  _xlpm.idx, (ROW()-3)*16 + P$1,
  _xlpm.r, MOD(_xlpm.idx, SpriteCount),
  INDEX(
    sprite_data.asm!$C$3:$R$156,
    INT(_xlpm.idx / SpriteCount) * 7 + INT(_xlpm.r / 16) + 1,
    MOD(_xlpm.r, 16) + 1
  )
)</f>
        <v>36</v>
      </c>
      <c r="Q109" t="str" cm="1">
        <f t="array" ref="Q109">_xlfn.LET(
  _xlpm.idx, (ROW()-3)*16 + Q$1,
  _xlpm.r, MOD(_xlpm.idx, SpriteCount),
  INDEX(
    sprite_data.asm!$C$3:$R$156,
    INT(_xlpm.idx / SpriteCount) * 7 + INT(_xlpm.r / 16) + 1,
    MOD(_xlpm.r, 16) + 1
  )
)</f>
        <v>58</v>
      </c>
    </row>
    <row r="110" spans="1:17" x14ac:dyDescent="0.3">
      <c r="A110" s="2" t="str">
        <f t="shared" si="5"/>
        <v>B3B0</v>
      </c>
      <c r="B110" t="str" cm="1">
        <f t="array" ref="B110">_xlfn.LET(
  _xlpm.idx, (ROW()-3)*16 + B$1,
  _xlpm.r, MOD(_xlpm.idx, SpriteCount),
  INDEX(
    sprite_data.asm!$C$3:$R$156,
    INT(_xlpm.idx / SpriteCount) * 7 + INT(_xlpm.r / 16) + 1,
    MOD(_xlpm.r, 16) + 1
  )
)</f>
        <v>10</v>
      </c>
      <c r="C110" t="str" cm="1">
        <f t="array" ref="C110">_xlfn.LET(
  _xlpm.idx, (ROW()-3)*16 + C$1,
  _xlpm.r, MOD(_xlpm.idx, SpriteCount),
  INDEX(
    sprite_data.asm!$C$3:$R$156,
    INT(_xlpm.idx / SpriteCount) * 7 + INT(_xlpm.r / 16) + 1,
    MOD(_xlpm.r, 16) + 1
  )
)</f>
        <v>58</v>
      </c>
      <c r="D110" t="str" cm="1">
        <f t="array" ref="D110">_xlfn.LET(
  _xlpm.idx, (ROW()-3)*16 + D$1,
  _xlpm.r, MOD(_xlpm.idx, SpriteCount),
  INDEX(
    sprite_data.asm!$C$3:$R$156,
    INT(_xlpm.idx / SpriteCount) * 7 + INT(_xlpm.r / 16) + 1,
    MOD(_xlpm.r, 16) + 1
  )
)</f>
        <v>36</v>
      </c>
      <c r="E110" t="str" cm="1">
        <f t="array" ref="E110">_xlfn.LET(
  _xlpm.idx, (ROW()-3)*16 + E$1,
  _xlpm.r, MOD(_xlpm.idx, SpriteCount),
  INDEX(
    sprite_data.asm!$C$3:$R$156,
    INT(_xlpm.idx / SpriteCount) * 7 + INT(_xlpm.r / 16) + 1,
    MOD(_xlpm.r, 16) + 1
  )
)</f>
        <v>58</v>
      </c>
      <c r="F110" t="str" cm="1">
        <f t="array" ref="F110">_xlfn.LET(
  _xlpm.idx, (ROW()-3)*16 + F$1,
  _xlpm.r, MOD(_xlpm.idx, SpriteCount),
  INDEX(
    sprite_data.asm!$C$3:$R$156,
    INT(_xlpm.idx / SpriteCount) * 7 + INT(_xlpm.r / 16) + 1,
    MOD(_xlpm.r, 16) + 1
  )
)</f>
        <v>6E</v>
      </c>
      <c r="G110" t="str" cm="1">
        <f t="array" ref="G110">_xlfn.LET(
  _xlpm.idx, (ROW()-3)*16 + G$1,
  _xlpm.r, MOD(_xlpm.idx, SpriteCount),
  INDEX(
    sprite_data.asm!$C$3:$R$156,
    INT(_xlpm.idx / SpriteCount) * 7 + INT(_xlpm.r / 16) + 1,
    MOD(_xlpm.r, 16) + 1
  )
)</f>
        <v>30</v>
      </c>
      <c r="H110" t="str" cm="1">
        <f t="array" ref="H110">_xlfn.LET(
  _xlpm.idx, (ROW()-3)*16 + H$1,
  _xlpm.r, MOD(_xlpm.idx, SpriteCount),
  INDEX(
    sprite_data.asm!$C$3:$R$156,
    INT(_xlpm.idx / SpriteCount) * 7 + INT(_xlpm.r / 16) + 1,
    MOD(_xlpm.r, 16) + 1
  )
)</f>
        <v>6C</v>
      </c>
      <c r="I110" t="str" cm="1">
        <f t="array" ref="I110">_xlfn.LET(
  _xlpm.idx, (ROW()-3)*16 + I$1,
  _xlpm.r, MOD(_xlpm.idx, SpriteCount),
  INDEX(
    sprite_data.asm!$C$3:$R$156,
    INT(_xlpm.idx / SpriteCount) * 7 + INT(_xlpm.r / 16) + 1,
    MOD(_xlpm.r, 16) + 1
  )
)</f>
        <v>01</v>
      </c>
      <c r="J110" t="str" cm="1">
        <f t="array" ref="J110">_xlfn.LET(
  _xlpm.idx, (ROW()-3)*16 + J$1,
  _xlpm.r, MOD(_xlpm.idx, SpriteCount),
  INDEX(
    sprite_data.asm!$C$3:$R$156,
    INT(_xlpm.idx / SpriteCount) * 7 + INT(_xlpm.r / 16) + 1,
    MOD(_xlpm.r, 16) + 1
  )
)</f>
        <v>01</v>
      </c>
      <c r="K110" t="str" cm="1">
        <f t="array" ref="K110">_xlfn.LET(
  _xlpm.idx, (ROW()-3)*16 + K$1,
  _xlpm.r, MOD(_xlpm.idx, SpriteCount),
  INDEX(
    sprite_data.asm!$C$3:$R$156,
    INT(_xlpm.idx / SpriteCount) * 7 + INT(_xlpm.r / 16) + 1,
    MOD(_xlpm.r, 16) + 1
  )
)</f>
        <v>00</v>
      </c>
      <c r="L110" t="str" cm="1">
        <f t="array" ref="L110">_xlfn.LET(
  _xlpm.idx, (ROW()-3)*16 + L$1,
  _xlpm.r, MOD(_xlpm.idx, SpriteCount),
  INDEX(
    sprite_data.asm!$C$3:$R$156,
    INT(_xlpm.idx / SpriteCount) * 7 + INT(_xlpm.r / 16) + 1,
    MOD(_xlpm.r, 16) + 1
  )
)</f>
        <v>28</v>
      </c>
      <c r="M110" t="str" cm="1">
        <f t="array" ref="M110">_xlfn.LET(
  _xlpm.idx, (ROW()-3)*16 + M$1,
  _xlpm.r, MOD(_xlpm.idx, SpriteCount),
  INDEX(
    sprite_data.asm!$C$3:$R$156,
    INT(_xlpm.idx / SpriteCount) * 7 + INT(_xlpm.r / 16) + 1,
    MOD(_xlpm.r, 16) + 1
  )
)</f>
        <v>22</v>
      </c>
      <c r="N110" t="str" cm="1">
        <f t="array" ref="N110">_xlfn.LET(
  _xlpm.idx, (ROW()-3)*16 + N$1,
  _xlpm.r, MOD(_xlpm.idx, SpriteCount),
  INDEX(
    sprite_data.asm!$C$3:$R$156,
    INT(_xlpm.idx / SpriteCount) * 7 + INT(_xlpm.r / 16) + 1,
    MOD(_xlpm.r, 16) + 1
  )
)</f>
        <v>20</v>
      </c>
      <c r="O110" t="str" cm="1">
        <f t="array" ref="O110">_xlfn.LET(
  _xlpm.idx, (ROW()-3)*16 + O$1,
  _xlpm.r, MOD(_xlpm.idx, SpriteCount),
  INDEX(
    sprite_data.asm!$C$3:$R$156,
    INT(_xlpm.idx / SpriteCount) * 7 + INT(_xlpm.r / 16) + 1,
    MOD(_xlpm.r, 16) + 1
  )
)</f>
        <v>02</v>
      </c>
      <c r="P110" t="str" cm="1">
        <f t="array" ref="P110">_xlfn.LET(
  _xlpm.idx, (ROW()-3)*16 + P$1,
  _xlpm.r, MOD(_xlpm.idx, SpriteCount),
  INDEX(
    sprite_data.asm!$C$3:$R$156,
    INT(_xlpm.idx / SpriteCount) * 7 + INT(_xlpm.r / 16) + 1,
    MOD(_xlpm.r, 16) + 1
  )
)</f>
        <v>00</v>
      </c>
      <c r="Q110" t="str" cm="1">
        <f t="array" ref="Q1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1" spans="1:17" x14ac:dyDescent="0.3">
      <c r="A111" s="2" t="str">
        <f t="shared" si="5"/>
        <v>B3C0</v>
      </c>
      <c r="B111" t="str" cm="1">
        <f t="array" ref="B111">_xlfn.LET(
  _xlpm.idx, (ROW()-3)*16 + B$1,
  _xlpm.r, MOD(_xlpm.idx, SpriteCount),
  INDEX(
    sprite_data.asm!$C$3:$R$156,
    INT(_xlpm.idx / SpriteCount) * 7 + INT(_xlpm.r / 16) + 1,
    MOD(_xlpm.r, 16) + 1
  )
)</f>
        <v>20</v>
      </c>
      <c r="C111" t="str" cm="1">
        <f t="array" ref="C111">_xlfn.LET(
  _xlpm.idx, (ROW()-3)*16 + C$1,
  _xlpm.r, MOD(_xlpm.idx, SpriteCount),
  INDEX(
    sprite_data.asm!$C$3:$R$156,
    INT(_xlpm.idx / SpriteCount) * 7 + INT(_xlpm.r / 16) + 1,
    MOD(_xlpm.r, 16) + 1
  )
)</f>
        <v>22</v>
      </c>
      <c r="D111" t="str" cm="1">
        <f t="array" ref="D111">_xlfn.LET(
  _xlpm.idx, (ROW()-3)*16 + D$1,
  _xlpm.r, MOD(_xlpm.idx, SpriteCount),
  INDEX(
    sprite_data.asm!$C$3:$R$156,
    INT(_xlpm.idx / SpriteCount) * 7 + INT(_xlpm.r / 16) + 1,
    MOD(_xlpm.r, 16) + 1
  )
)</f>
        <v>08</v>
      </c>
      <c r="E111" t="str" cm="1">
        <f t="array" ref="E111">_xlfn.LET(
  _xlpm.idx, (ROW()-3)*16 + E$1,
  _xlpm.r, MOD(_xlpm.idx, SpriteCount),
  INDEX(
    sprite_data.asm!$C$3:$R$156,
    INT(_xlpm.idx / SpriteCount) * 7 + INT(_xlpm.r / 16) + 1,
    MOD(_xlpm.r, 16) + 1
  )
)</f>
        <v>02</v>
      </c>
      <c r="F111" t="str" cm="1">
        <f t="array" ref="F111">_xlfn.LET(
  _xlpm.idx, (ROW()-3)*16 + F$1,
  _xlpm.r, MOD(_xlpm.idx, SpriteCount),
  INDEX(
    sprite_data.asm!$C$3:$R$156,
    INT(_xlpm.idx / SpriteCount) * 7 + INT(_xlpm.r / 16) + 1,
    MOD(_xlpm.r, 16) + 1
  )
)</f>
        <v>20</v>
      </c>
      <c r="G111" t="str" cm="1">
        <f t="array" ref="G111">_xlfn.LET(
  _xlpm.idx, (ROW()-3)*16 + G$1,
  _xlpm.r, MOD(_xlpm.idx, SpriteCount),
  INDEX(
    sprite_data.asm!$C$3:$R$156,
    INT(_xlpm.idx / SpriteCount) * 7 + INT(_xlpm.r / 16) + 1,
    MOD(_xlpm.r, 16) + 1
  )
)</f>
        <v>41</v>
      </c>
      <c r="H111" t="str" cm="1">
        <f t="array" ref="H111">_xlfn.LET(
  _xlpm.idx, (ROW()-3)*16 + H$1,
  _xlpm.r, MOD(_xlpm.idx, SpriteCount),
  INDEX(
    sprite_data.asm!$C$3:$R$156,
    INT(_xlpm.idx / SpriteCount) * 7 + INT(_xlpm.r / 16) + 1,
    MOD(_xlpm.r, 16) + 1
  )
)</f>
        <v>41</v>
      </c>
      <c r="I111" t="str" cm="1">
        <f t="array" ref="I111">_xlfn.LET(
  _xlpm.idx, (ROW()-3)*16 + I$1,
  _xlpm.r, MOD(_xlpm.idx, SpriteCount),
  INDEX(
    sprite_data.asm!$C$3:$R$156,
    INT(_xlpm.idx / SpriteCount) * 7 + INT(_xlpm.r / 16) + 1,
    MOD(_xlpm.r, 16) + 1
  )
)</f>
        <v>05</v>
      </c>
      <c r="J111" t="str" cm="1">
        <f t="array" ref="J111">_xlfn.LET(
  _xlpm.idx, (ROW()-3)*16 + J$1,
  _xlpm.r, MOD(_xlpm.idx, SpriteCount),
  INDEX(
    sprite_data.asm!$C$3:$R$156,
    INT(_xlpm.idx / SpriteCount) * 7 + INT(_xlpm.r / 16) + 1,
    MOD(_xlpm.r, 16) + 1
  )
)</f>
        <v>45</v>
      </c>
      <c r="K111" t="str" cm="1">
        <f t="array" ref="K111">_xlfn.LET(
  _xlpm.idx, (ROW()-3)*16 + K$1,
  _xlpm.r, MOD(_xlpm.idx, SpriteCount),
  INDEX(
    sprite_data.asm!$C$3:$R$156,
    INT(_xlpm.idx / SpriteCount) * 7 + INT(_xlpm.r / 16) + 1,
    MOD(_xlpm.r, 16) + 1
  )
)</f>
        <v>01</v>
      </c>
      <c r="L111" t="str" cm="1">
        <f t="array" ref="L111">_xlfn.LET(
  _xlpm.idx, (ROW()-3)*16 + L$1,
  _xlpm.r, MOD(_xlpm.idx, SpriteCount),
  INDEX(
    sprite_data.asm!$C$3:$R$156,
    INT(_xlpm.idx / SpriteCount) * 7 + INT(_xlpm.r / 16) + 1,
    MOD(_xlpm.r, 16) + 1
  )
)</f>
        <v>01</v>
      </c>
      <c r="M111" t="str" cm="1">
        <f t="array" ref="M111">_xlfn.LET(
  _xlpm.idx, (ROW()-3)*16 + M$1,
  _xlpm.r, MOD(_xlpm.idx, SpriteCount),
  INDEX(
    sprite_data.asm!$C$3:$R$156,
    INT(_xlpm.idx / SpriteCount) * 7 + INT(_xlpm.r / 16) + 1,
    MOD(_xlpm.r, 16) + 1
  )
)</f>
        <v>51</v>
      </c>
      <c r="N111" t="str" cm="1">
        <f t="array" ref="N111">_xlfn.LET(
  _xlpm.idx, (ROW()-3)*16 + N$1,
  _xlpm.r, MOD(_xlpm.idx, SpriteCount),
  INDEX(
    sprite_data.asm!$C$3:$R$156,
    INT(_xlpm.idx / SpriteCount) * 7 + INT(_xlpm.r / 16) + 1,
    MOD(_xlpm.r, 16) + 1
  )
)</f>
        <v>45</v>
      </c>
      <c r="O111" t="str" cm="1">
        <f t="array" ref="O111">_xlfn.LET(
  _xlpm.idx, (ROW()-3)*16 + O$1,
  _xlpm.r, MOD(_xlpm.idx, SpriteCount),
  INDEX(
    sprite_data.asm!$C$3:$R$156,
    INT(_xlpm.idx / SpriteCount) * 7 + INT(_xlpm.r / 16) + 1,
    MOD(_xlpm.r, 16) + 1
  )
)</f>
        <v>14</v>
      </c>
      <c r="P111" t="str" cm="1">
        <f t="array" ref="P111">_xlfn.LET(
  _xlpm.idx, (ROW()-3)*16 + P$1,
  _xlpm.r, MOD(_xlpm.idx, SpriteCount),
  INDEX(
    sprite_data.asm!$C$3:$R$156,
    INT(_xlpm.idx / SpriteCount) * 7 + INT(_xlpm.r / 16) + 1,
    MOD(_xlpm.r, 16) + 1
  )
)</f>
        <v>50</v>
      </c>
      <c r="Q111" t="str" cm="1">
        <f t="array" ref="Q111">_xlfn.LET(
  _xlpm.idx, (ROW()-3)*16 + Q$1,
  _xlpm.r, MOD(_xlpm.idx, SpriteCount),
  INDEX(
    sprite_data.asm!$C$3:$R$156,
    INT(_xlpm.idx / SpriteCount) * 7 + INT(_xlpm.r / 16) + 1,
    MOD(_xlpm.r, 16) + 1
  )
)</f>
        <v>45</v>
      </c>
    </row>
    <row r="112" spans="1:17" x14ac:dyDescent="0.3">
      <c r="A112" s="2" t="str">
        <f t="shared" si="5"/>
        <v>B3D0</v>
      </c>
      <c r="B112" t="str" cm="1">
        <f t="array" ref="B112">_xlfn.LET(
  _xlpm.idx, (ROW()-3)*16 + B$1,
  _xlpm.r, MOD(_xlpm.idx, SpriteCount),
  INDEX(
    sprite_data.asm!$C$3:$R$156,
    INT(_xlpm.idx / SpriteCount) * 7 + INT(_xlpm.r / 16) + 1,
    MOD(_xlpm.r, 16) + 1
  )
)</f>
        <v>05</v>
      </c>
      <c r="C112" t="str" cm="1">
        <f t="array" ref="C112">_xlfn.LET(
  _xlpm.idx, (ROW()-3)*16 + C$1,
  _xlpm.r, MOD(_xlpm.idx, SpriteCount),
  INDEX(
    sprite_data.asm!$C$3:$R$156,
    INT(_xlpm.idx / SpriteCount) * 7 + INT(_xlpm.r / 16) + 1,
    MOD(_xlpm.r, 16) + 1
  )
)</f>
        <v>41</v>
      </c>
      <c r="D112" t="str" cm="1">
        <f t="array" ref="D112">_xlfn.LET(
  _xlpm.idx, (ROW()-3)*16 + D$1,
  _xlpm.r, MOD(_xlpm.idx, SpriteCount),
  INDEX(
    sprite_data.asm!$C$3:$R$156,
    INT(_xlpm.idx / SpriteCount) * 7 + INT(_xlpm.r / 16) + 1,
    MOD(_xlpm.r, 16) + 1
  )
)</f>
        <v>51</v>
      </c>
      <c r="E112" t="str" cm="1">
        <f t="array" ref="E112">_xlfn.LET(
  _xlpm.idx, (ROW()-3)*16 + E$1,
  _xlpm.r, MOD(_xlpm.idx, SpriteCount),
  INDEX(
    sprite_data.asm!$C$3:$R$156,
    INT(_xlpm.idx / SpriteCount) * 7 + INT(_xlpm.r / 16) + 1,
    MOD(_xlpm.r, 16) + 1
  )
)</f>
        <v>41</v>
      </c>
      <c r="F112" t="str" cm="1">
        <f t="array" ref="F112">_xlfn.LET(
  _xlpm.idx, (ROW()-3)*16 + F$1,
  _xlpm.r, MOD(_xlpm.idx, SpriteCount),
  INDEX(
    sprite_data.asm!$C$3:$R$156,
    INT(_xlpm.idx / SpriteCount) * 7 + INT(_xlpm.r / 16) + 1,
    MOD(_xlpm.r, 16) + 1
  )
)</f>
        <v>05</v>
      </c>
      <c r="G112" t="str" cm="1">
        <f t="array" ref="G112">_xlfn.LET(
  _xlpm.idx, (ROW()-3)*16 + G$1,
  _xlpm.r, MOD(_xlpm.idx, SpriteCount),
  INDEX(
    sprite_data.asm!$C$3:$R$156,
    INT(_xlpm.idx / SpriteCount) * 7 + INT(_xlpm.r / 16) + 1,
    MOD(_xlpm.r, 16) + 1
  )
)</f>
        <v>41</v>
      </c>
      <c r="H112" t="str" cm="1">
        <f t="array" ref="H112">_xlfn.LET(
  _xlpm.idx, (ROW()-3)*16 + H$1,
  _xlpm.r, MOD(_xlpm.idx, SpriteCount),
  INDEX(
    sprite_data.asm!$C$3:$R$156,
    INT(_xlpm.idx / SpriteCount) * 7 + INT(_xlpm.r / 16) + 1,
    MOD(_xlpm.r, 16) + 1
  )
)</f>
        <v>15</v>
      </c>
      <c r="I112" t="str" cm="1">
        <f t="array" ref="I112">_xlfn.LET(
  _xlpm.idx, (ROW()-3)*16 + I$1,
  _xlpm.r, MOD(_xlpm.idx, SpriteCount),
  INDEX(
    sprite_data.asm!$C$3:$R$156,
    INT(_xlpm.idx / SpriteCount) * 7 + INT(_xlpm.r / 16) + 1,
    MOD(_xlpm.r, 16) + 1
  )
)</f>
        <v>50</v>
      </c>
      <c r="J112" t="str" cm="1">
        <f t="array" ref="J112">_xlfn.LET(
  _xlpm.idx, (ROW()-3)*16 + J$1,
  _xlpm.r, MOD(_xlpm.idx, SpriteCount),
  INDEX(
    sprite_data.asm!$C$3:$R$156,
    INT(_xlpm.idx / SpriteCount) * 7 + INT(_xlpm.r / 16) + 1,
    MOD(_xlpm.r, 16) + 1
  )
)</f>
        <v>14</v>
      </c>
      <c r="K112" t="str" cm="1">
        <f t="array" ref="K112">_xlfn.LET(
  _xlpm.idx, (ROW()-3)*16 + K$1,
  _xlpm.r, MOD(_xlpm.idx, SpriteCount),
  INDEX(
    sprite_data.asm!$C$3:$R$156,
    INT(_xlpm.idx / SpriteCount) * 7 + INT(_xlpm.r / 16) + 1,
    MOD(_xlpm.r, 16) + 1
  )
)</f>
        <v>45</v>
      </c>
      <c r="L112" t="str" cm="1">
        <f t="array" ref="L112">_xlfn.LET(
  _xlpm.idx, (ROW()-3)*16 + L$1,
  _xlpm.r, MOD(_xlpm.idx, SpriteCount),
  INDEX(
    sprite_data.asm!$C$3:$R$156,
    INT(_xlpm.idx / SpriteCount) * 7 + INT(_xlpm.r / 16) + 1,
    MOD(_xlpm.r, 16) + 1
  )
)</f>
        <v>55</v>
      </c>
      <c r="M112" t="str" cm="1">
        <f t="array" ref="M112">_xlfn.LET(
  _xlpm.idx, (ROW()-3)*16 + M$1,
  _xlpm.r, MOD(_xlpm.idx, SpriteCount),
  INDEX(
    sprite_data.asm!$C$3:$R$156,
    INT(_xlpm.idx / SpriteCount) * 7 + INT(_xlpm.r / 16) + 1,
    MOD(_xlpm.r, 16) + 1
  )
)</f>
        <v>55</v>
      </c>
      <c r="N112" t="str" cm="1">
        <f t="array" ref="N112">_xlfn.LET(
  _xlpm.idx, (ROW()-3)*16 + N$1,
  _xlpm.r, MOD(_xlpm.idx, SpriteCount),
  INDEX(
    sprite_data.asm!$C$3:$R$156,
    INT(_xlpm.idx / SpriteCount) * 7 + INT(_xlpm.r / 16) + 1,
    MOD(_xlpm.r, 16) + 1
  )
)</f>
        <v>41</v>
      </c>
      <c r="O112" t="str" cm="1">
        <f t="array" ref="O112">_xlfn.LET(
  _xlpm.idx, (ROW()-3)*16 + O$1,
  _xlpm.r, MOD(_xlpm.idx, SpriteCount),
  INDEX(
    sprite_data.asm!$C$3:$R$156,
    INT(_xlpm.idx / SpriteCount) * 7 + INT(_xlpm.r / 16) + 1,
    MOD(_xlpm.r, 16) + 1
  )
)</f>
        <v>14</v>
      </c>
      <c r="P112" t="str" cm="1">
        <f t="array" ref="P112">_xlfn.LET(
  _xlpm.idx, (ROW()-3)*16 + P$1,
  _xlpm.r, MOD(_xlpm.idx, SpriteCount),
  INDEX(
    sprite_data.asm!$C$3:$R$156,
    INT(_xlpm.idx / SpriteCount) * 7 + INT(_xlpm.r / 16) + 1,
    MOD(_xlpm.r, 16) + 1
  )
)</f>
        <v>01</v>
      </c>
      <c r="Q112" t="str" cm="1">
        <f t="array" ref="Q112">_xlfn.LET(
  _xlpm.idx, (ROW()-3)*16 + Q$1,
  _xlpm.r, MOD(_xlpm.idx, SpriteCount),
  INDEX(
    sprite_data.asm!$C$3:$R$156,
    INT(_xlpm.idx / SpriteCount) * 7 + INT(_xlpm.r / 16) + 1,
    MOD(_xlpm.r, 16) + 1
  )
)</f>
        <v>14</v>
      </c>
    </row>
    <row r="113" spans="1:17" x14ac:dyDescent="0.3">
      <c r="A113" s="2" t="str">
        <f t="shared" ref="A113:A128" si="6">DEC2HEX(HEX2DEC(A112)+16)</f>
        <v>B3E0</v>
      </c>
      <c r="B113" t="str" cm="1">
        <f t="array" ref="B113">_xlfn.LET(
  _xlpm.idx, (ROW()-3)*16 + B$1,
  _xlpm.r, MOD(_xlpm.idx, SpriteCount),
  INDEX(
    sprite_data.asm!$C$3:$R$156,
    INT(_xlpm.idx / SpriteCount) * 7 + INT(_xlpm.r / 16) + 1,
    MOD(_xlpm.r, 16) + 1
  )
)</f>
        <v>14</v>
      </c>
      <c r="C113" t="str" cm="1">
        <f t="array" ref="C113">_xlfn.LET(
  _xlpm.idx, (ROW()-3)*16 + C$1,
  _xlpm.r, MOD(_xlpm.idx, SpriteCount),
  INDEX(
    sprite_data.asm!$C$3:$R$156,
    INT(_xlpm.idx / SpriteCount) * 7 + INT(_xlpm.r / 16) + 1,
    MOD(_xlpm.r, 16) + 1
  )
)</f>
        <v>05</v>
      </c>
      <c r="D113" t="str" cm="1">
        <f t="array" ref="D113">_xlfn.LET(
  _xlpm.idx, (ROW()-3)*16 + D$1,
  _xlpm.r, MOD(_xlpm.idx, SpriteCount),
  INDEX(
    sprite_data.asm!$C$3:$R$156,
    INT(_xlpm.idx / SpriteCount) * 7 + INT(_xlpm.r / 16) + 1,
    MOD(_xlpm.r, 16) + 1
  )
)</f>
        <v>50</v>
      </c>
      <c r="E113" t="str" cm="1">
        <f t="array" ref="E113">_xlfn.LET(
  _xlpm.idx, (ROW()-3)*16 + E$1,
  _xlpm.r, MOD(_xlpm.idx, SpriteCount),
  INDEX(
    sprite_data.asm!$C$3:$R$156,
    INT(_xlpm.idx / SpriteCount) * 7 + INT(_xlpm.r / 16) + 1,
    MOD(_xlpm.r, 16) + 1
  )
)</f>
        <v>04</v>
      </c>
      <c r="F113" t="str" cm="1">
        <f t="array" ref="F113">_xlfn.LET(
  _xlpm.idx, (ROW()-3)*16 + F$1,
  _xlpm.r, MOD(_xlpm.idx, SpriteCount),
  INDEX(
    sprite_data.asm!$C$3:$R$156,
    INT(_xlpm.idx / SpriteCount) * 7 + INT(_xlpm.r / 16) + 1,
    MOD(_xlpm.r, 16) + 1
  )
)</f>
        <v>55</v>
      </c>
      <c r="G113" t="str" cm="1">
        <f t="array" ref="G113">_xlfn.LET(
  _xlpm.idx, (ROW()-3)*16 + G$1,
  _xlpm.r, MOD(_xlpm.idx, SpriteCount),
  INDEX(
    sprite_data.asm!$C$3:$R$156,
    INT(_xlpm.idx / SpriteCount) * 7 + INT(_xlpm.r / 16) + 1,
    MOD(_xlpm.r, 16) + 1
  )
)</f>
        <v>14</v>
      </c>
      <c r="H113" t="str" cm="1">
        <f t="array" ref="H113">_xlfn.LET(
  _xlpm.idx, (ROW()-3)*16 + H$1,
  _xlpm.r, MOD(_xlpm.idx, SpriteCount),
  INDEX(
    sprite_data.asm!$C$3:$R$156,
    INT(_xlpm.idx / SpriteCount) * 7 + INT(_xlpm.r / 16) + 1,
    MOD(_xlpm.r, 16) + 1
  )
)</f>
        <v>00</v>
      </c>
      <c r="I113" t="str" cm="1">
        <f t="array" ref="I113">_xlfn.LET(
  _xlpm.idx, (ROW()-3)*16 + I$1,
  _xlpm.r, MOD(_xlpm.idx, SpriteCount),
  INDEX(
    sprite_data.asm!$C$3:$R$156,
    INT(_xlpm.idx / SpriteCount) * 7 + INT(_xlpm.r / 16) + 1,
    MOD(_xlpm.r, 16) + 1
  )
)</f>
        <v>01</v>
      </c>
      <c r="J113" t="str" cm="1">
        <f t="array" ref="J113">_xlfn.LET(
  _xlpm.idx, (ROW()-3)*16 + J$1,
  _xlpm.r, MOD(_xlpm.idx, SpriteCount),
  INDEX(
    sprite_data.asm!$C$3:$R$156,
    INT(_xlpm.idx / SpriteCount) * 7 + INT(_xlpm.r / 16) + 1,
    MOD(_xlpm.r, 16) + 1
  )
)</f>
        <v>00</v>
      </c>
      <c r="K113" t="str" cm="1">
        <f t="array" ref="K113">_xlfn.LET(
  _xlpm.idx, (ROW()-3)*16 + K$1,
  _xlpm.r, MOD(_xlpm.idx, SpriteCount),
  INDEX(
    sprite_data.asm!$C$3:$R$156,
    INT(_xlpm.idx / SpriteCount) * 7 + INT(_xlpm.r / 16) + 1,
    MOD(_xlpm.r, 16) + 1
  )
)</f>
        <v>02</v>
      </c>
      <c r="L113" t="str" cm="1">
        <f t="array" ref="L113">_xlfn.LET(
  _xlpm.idx, (ROW()-3)*16 + L$1,
  _xlpm.r, MOD(_xlpm.idx, SpriteCount),
  INDEX(
    sprite_data.asm!$C$3:$R$156,
    INT(_xlpm.idx / SpriteCount) * 7 + INT(_xlpm.r / 16) + 1,
    MOD(_xlpm.r, 16) + 1
  )
)</f>
        <v>02</v>
      </c>
      <c r="M113" t="str" cm="1">
        <f t="array" ref="M113">_xlfn.LET(
  _xlpm.idx, (ROW()-3)*16 + M$1,
  _xlpm.r, MOD(_xlpm.idx, SpriteCount),
  INDEX(
    sprite_data.asm!$C$3:$R$156,
    INT(_xlpm.idx / SpriteCount) * 7 + INT(_xlpm.r / 16) + 1,
    MOD(_xlpm.r, 16) + 1
  )
)</f>
        <v>03</v>
      </c>
      <c r="N113" t="str" cm="1">
        <f t="array" ref="N113">_xlfn.LET(
  _xlpm.idx, (ROW()-3)*16 + N$1,
  _xlpm.r, MOD(_xlpm.idx, SpriteCount),
  INDEX(
    sprite_data.asm!$C$3:$R$156,
    INT(_xlpm.idx / SpriteCount) * 7 + INT(_xlpm.r / 16) + 1,
    MOD(_xlpm.r, 16) + 1
  )
)</f>
        <v>00</v>
      </c>
      <c r="O113" t="str" cm="1">
        <f t="array" ref="O113">_xlfn.LET(
  _xlpm.idx, (ROW()-3)*16 + O$1,
  _xlpm.r, MOD(_xlpm.idx, SpriteCount),
  INDEX(
    sprite_data.asm!$C$3:$R$156,
    INT(_xlpm.idx / SpriteCount) * 7 + INT(_xlpm.r / 16) + 1,
    MOD(_xlpm.r, 16) + 1
  )
)</f>
        <v>02</v>
      </c>
      <c r="P113" t="str" cm="1">
        <f t="array" ref="P113">_xlfn.LET(
  _xlpm.idx, (ROW()-3)*16 + P$1,
  _xlpm.r, MOD(_xlpm.idx, SpriteCount),
  INDEX(
    sprite_data.asm!$C$3:$R$156,
    INT(_xlpm.idx / SpriteCount) * 7 + INT(_xlpm.r / 16) + 1,
    MOD(_xlpm.r, 16) + 1
  )
)</f>
        <v>03</v>
      </c>
      <c r="Q113" t="str" cm="1">
        <f t="array" ref="Q113">_xlfn.LET(
  _xlpm.idx, (ROW()-3)*16 + Q$1,
  _xlpm.r, MOD(_xlpm.idx, SpriteCount),
  INDEX(
    sprite_data.asm!$C$3:$R$156,
    INT(_xlpm.idx / SpriteCount) * 7 + INT(_xlpm.r / 16) + 1,
    MOD(_xlpm.r, 16) + 1
  )
)</f>
        <v>01</v>
      </c>
    </row>
    <row r="114" spans="1:17" x14ac:dyDescent="0.3">
      <c r="A114" s="2" t="str">
        <f t="shared" si="6"/>
        <v>B3F0</v>
      </c>
      <c r="B114" t="str" cm="1">
        <f t="array" ref="B114">_xlfn.LET(
  _xlpm.idx, (ROW()-3)*16 + B$1,
  _xlpm.r, MOD(_xlpm.idx, SpriteCount),
  INDEX(
    sprite_data.asm!$C$3:$R$156,
    INT(_xlpm.idx / SpriteCount) * 7 + INT(_xlpm.r / 16) + 1,
    MOD(_xlpm.r, 16) + 1
  )
)</f>
        <v>07</v>
      </c>
      <c r="C114" t="str" cm="1">
        <f t="array" ref="C114">_xlfn.LET(
  _xlpm.idx, (ROW()-3)*16 + C$1,
  _xlpm.r, MOD(_xlpm.idx, SpriteCount),
  INDEX(
    sprite_data.asm!$C$3:$R$156,
    INT(_xlpm.idx / SpriteCount) * 7 + INT(_xlpm.r / 16) + 1,
    MOD(_xlpm.r, 16) + 1
  )
)</f>
        <v>01</v>
      </c>
      <c r="D114" t="str" cm="1">
        <f t="array" ref="D114">_xlfn.LET(
  _xlpm.idx, (ROW()-3)*16 + D$1,
  _xlpm.r, MOD(_xlpm.idx, SpriteCount),
  INDEX(
    sprite_data.asm!$C$3:$R$156,
    INT(_xlpm.idx / SpriteCount) * 7 + INT(_xlpm.r / 16) + 1,
    MOD(_xlpm.r, 16) + 1
  )
)</f>
        <v>07</v>
      </c>
      <c r="E114" t="str" cm="1">
        <f t="array" ref="E114">_xlfn.LET(
  _xlpm.idx, (ROW()-3)*16 + E$1,
  _xlpm.r, MOD(_xlpm.idx, SpriteCount),
  INDEX(
    sprite_data.asm!$C$3:$R$156,
    INT(_xlpm.idx / SpriteCount) * 7 + INT(_xlpm.r / 16) + 1,
    MOD(_xlpm.r, 16) + 1
  )
)</f>
        <v>03</v>
      </c>
      <c r="F114" t="str" cm="1">
        <f t="array" ref="F114">_xlfn.LET(
  _xlpm.idx, (ROW()-3)*16 + F$1,
  _xlpm.r, MOD(_xlpm.idx, SpriteCount),
  INDEX(
    sprite_data.asm!$C$3:$R$156,
    INT(_xlpm.idx / SpriteCount) * 7 + INT(_xlpm.r / 16) + 1,
    MOD(_xlpm.r, 16) + 1
  )
)</f>
        <v>00</v>
      </c>
      <c r="G114" t="str" cm="1">
        <f t="array" ref="G114">_xlfn.LET(
  _xlpm.idx, (ROW()-3)*16 + G$1,
  _xlpm.r, MOD(_xlpm.idx, SpriteCount),
  INDEX(
    sprite_data.asm!$C$3:$R$156,
    INT(_xlpm.idx / SpriteCount) * 7 + INT(_xlpm.r / 16) + 1,
    MOD(_xlpm.r, 16) + 1
  )
)</f>
        <v>00</v>
      </c>
      <c r="H114" t="str" cm="1">
        <f t="array" ref="H114">_xlfn.LET(
  _xlpm.idx, (ROW()-3)*16 + H$1,
  _xlpm.r, MOD(_xlpm.idx, SpriteCount),
  INDEX(
    sprite_data.asm!$C$3:$R$156,
    INT(_xlpm.idx / SpriteCount) * 7 + INT(_xlpm.r / 16) + 1,
    MOD(_xlpm.r, 16) + 1
  )
)</f>
        <v>03</v>
      </c>
      <c r="I114" t="str" cm="1">
        <f t="array" ref="I114">_xlfn.LET(
  _xlpm.idx, (ROW()-3)*16 + I$1,
  _xlpm.r, MOD(_xlpm.idx, SpriteCount),
  INDEX(
    sprite_data.asm!$C$3:$R$156,
    INT(_xlpm.idx / SpriteCount) * 7 + INT(_xlpm.r / 16) + 1,
    MOD(_xlpm.r, 16) + 1
  )
)</f>
        <v>03</v>
      </c>
      <c r="J114" t="str" cm="1">
        <f t="array" ref="J114">_xlfn.LET(
  _xlpm.idx, (ROW()-3)*16 + J$1,
  _xlpm.r, MOD(_xlpm.idx, SpriteCount),
  INDEX(
    sprite_data.asm!$C$3:$R$156,
    INT(_xlpm.idx / SpriteCount) * 7 + INT(_xlpm.r / 16) + 1,
    MOD(_xlpm.r, 16) + 1
  )
)</f>
        <v>01</v>
      </c>
      <c r="K114" t="str" cm="1">
        <f t="array" ref="K114">_xlfn.LET(
  _xlpm.idx, (ROW()-3)*16 + K$1,
  _xlpm.r, MOD(_xlpm.idx, SpriteCount),
  INDEX(
    sprite_data.asm!$C$3:$R$156,
    INT(_xlpm.idx / SpriteCount) * 7 + INT(_xlpm.r / 16) + 1,
    MOD(_xlpm.r, 16) + 1
  )
)</f>
        <v>03</v>
      </c>
      <c r="L114" t="str" cm="1">
        <f t="array" ref="L114">_xlfn.LET(
  _xlpm.idx, (ROW()-3)*16 + L$1,
  _xlpm.r, MOD(_xlpm.idx, SpriteCount),
  INDEX(
    sprite_data.asm!$C$3:$R$156,
    INT(_xlpm.idx / SpriteCount) * 7 + INT(_xlpm.r / 16) + 1,
    MOD(_xlpm.r, 16) + 1
  )
)</f>
        <v>00</v>
      </c>
      <c r="M114" t="str" cm="1">
        <f t="array" ref="M114">_xlfn.LET(
  _xlpm.idx, (ROW()-3)*16 + M$1,
  _xlpm.r, MOD(_xlpm.idx, SpriteCount),
  INDEX(
    sprite_data.asm!$C$3:$R$156,
    INT(_xlpm.idx / SpriteCount) * 7 + INT(_xlpm.r / 16) + 1,
    MOD(_xlpm.r, 16) + 1
  )
)</f>
        <v>00</v>
      </c>
      <c r="N114" t="str" cm="1">
        <f t="array" ref="N114">_xlfn.LET(
  _xlpm.idx, (ROW()-3)*16 + N$1,
  _xlpm.r, MOD(_xlpm.idx, SpriteCount),
  INDEX(
    sprite_data.asm!$C$3:$R$156,
    INT(_xlpm.idx / SpriteCount) * 7 + INT(_xlpm.r / 16) + 1,
    MOD(_xlpm.r, 16) + 1
  )
)</f>
        <v>01</v>
      </c>
      <c r="O114" t="str" cm="1">
        <f t="array" ref="O114">_xlfn.LET(
  _xlpm.idx, (ROW()-3)*16 + O$1,
  _xlpm.r, MOD(_xlpm.idx, SpriteCount),
  INDEX(
    sprite_data.asm!$C$3:$R$156,
    INT(_xlpm.idx / SpriteCount) * 7 + INT(_xlpm.r / 16) + 1,
    MOD(_xlpm.r, 16) + 1
  )
)</f>
        <v>00</v>
      </c>
      <c r="P114" t="str" cm="1">
        <f t="array" ref="P114">_xlfn.LET(
  _xlpm.idx, (ROW()-3)*16 + P$1,
  _xlpm.r, MOD(_xlpm.idx, SpriteCount),
  INDEX(
    sprite_data.asm!$C$3:$R$156,
    INT(_xlpm.idx / SpriteCount) * 7 + INT(_xlpm.r / 16) + 1,
    MOD(_xlpm.r, 16) + 1
  )
)</f>
        <v>00</v>
      </c>
      <c r="Q114" t="str" cm="1">
        <f t="array" ref="Q114">_xlfn.LET(
  _xlpm.idx, (ROW()-3)*16 + Q$1,
  _xlpm.r, MOD(_xlpm.idx, SpriteCount),
  INDEX(
    sprite_data.asm!$C$3:$R$156,
    INT(_xlpm.idx / SpriteCount) * 7 + INT(_xlpm.r / 16) + 1,
    MOD(_xlpm.r, 16) + 1
  )
)</f>
        <v>01</v>
      </c>
    </row>
    <row r="115" spans="1:17" x14ac:dyDescent="0.3">
      <c r="A115" s="2" t="str">
        <f t="shared" si="6"/>
        <v>B400</v>
      </c>
      <c r="B115" t="str" cm="1">
        <f t="array" ref="B115">_xlfn.LET(
  _xlpm.idx, (ROW()-3)*16 + B$1,
  _xlpm.r, MOD(_xlpm.idx, SpriteCount),
  INDEX(
    sprite_data.asm!$C$3:$R$156,
    INT(_xlpm.idx / SpriteCount) * 7 + INT(_xlpm.r / 16) + 1,
    MOD(_xlpm.r, 16) + 1
  )
)</f>
        <v>06</v>
      </c>
      <c r="C115" t="str" cm="1">
        <f t="array" ref="C115">_xlfn.LET(
  _xlpm.idx, (ROW()-3)*16 + C$1,
  _xlpm.r, MOD(_xlpm.idx, SpriteCount),
  INDEX(
    sprite_data.asm!$C$3:$R$156,
    INT(_xlpm.idx / SpriteCount) * 7 + INT(_xlpm.r / 16) + 1,
    MOD(_xlpm.r, 16) + 1
  )
)</f>
        <v>03</v>
      </c>
      <c r="D115" t="str" cm="1">
        <f t="array" ref="D115">_xlfn.LET(
  _xlpm.idx, (ROW()-3)*16 + D$1,
  _xlpm.r, MOD(_xlpm.idx, SpriteCount),
  INDEX(
    sprite_data.asm!$C$3:$R$156,
    INT(_xlpm.idx / SpriteCount) * 7 + INT(_xlpm.r / 16) + 1,
    MOD(_xlpm.r, 16) + 1
  )
)</f>
        <v>00</v>
      </c>
      <c r="E115" t="str" cm="1">
        <f t="array" ref="E115">_xlfn.LET(
  _xlpm.idx, (ROW()-3)*16 + E$1,
  _xlpm.r, MOD(_xlpm.idx, SpriteCount),
  INDEX(
    sprite_data.asm!$C$3:$R$156,
    INT(_xlpm.idx / SpriteCount) * 7 + INT(_xlpm.r / 16) + 1,
    MOD(_xlpm.r, 16) + 1
  )
)</f>
        <v>04</v>
      </c>
      <c r="F115" t="str" cm="1">
        <f t="array" ref="F115">_xlfn.LET(
  _xlpm.idx, (ROW()-3)*16 + F$1,
  _xlpm.r, MOD(_xlpm.idx, SpriteCount),
  INDEX(
    sprite_data.asm!$C$3:$R$156,
    INT(_xlpm.idx / SpriteCount) * 7 + INT(_xlpm.r / 16) + 1,
    MOD(_xlpm.r, 16) + 1
  )
)</f>
        <v>04</v>
      </c>
      <c r="G115" t="str" cm="1">
        <f t="array" ref="G115">_xlfn.LET(
  _xlpm.idx, (ROW()-3)*16 + G$1,
  _xlpm.r, MOD(_xlpm.idx, SpriteCount),
  INDEX(
    sprite_data.asm!$C$3:$R$156,
    INT(_xlpm.idx / SpriteCount) * 7 + INT(_xlpm.r / 16) + 1,
    MOD(_xlpm.r, 16) + 1
  )
)</f>
        <v>00</v>
      </c>
      <c r="H115" t="str" cm="1">
        <f t="array" ref="H115">_xlfn.LET(
  _xlpm.idx, (ROW()-3)*16 + H$1,
  _xlpm.r, MOD(_xlpm.idx, SpriteCount),
  INDEX(
    sprite_data.asm!$C$3:$R$156,
    INT(_xlpm.idx / SpriteCount) * 7 + INT(_xlpm.r / 16) + 1,
    MOD(_xlpm.r, 16) + 1
  )
)</f>
        <v>00</v>
      </c>
      <c r="I115" t="str" cm="1">
        <f t="array" ref="I115">_xlfn.LET(
  _xlpm.idx, (ROW()-3)*16 + I$1,
  _xlpm.r, MOD(_xlpm.idx, SpriteCount),
  INDEX(
    sprite_data.asm!$C$3:$R$156,
    INT(_xlpm.idx / SpriteCount) * 7 + INT(_xlpm.r / 16) + 1,
    MOD(_xlpm.r, 16) + 1
  )
)</f>
        <v>02</v>
      </c>
      <c r="J115" t="str" cm="1">
        <f t="array" ref="J115">_xlfn.LET(
  _xlpm.idx, (ROW()-3)*16 + J$1,
  _xlpm.r, MOD(_xlpm.idx, SpriteCount),
  INDEX(
    sprite_data.asm!$C$3:$R$156,
    INT(_xlpm.idx / SpriteCount) * 7 + INT(_xlpm.r / 16) + 1,
    MOD(_xlpm.r, 16) + 1
  )
)</f>
        <v>02</v>
      </c>
      <c r="K115" t="str" cm="1">
        <f t="array" ref="K115">_xlfn.LET(
  _xlpm.idx, (ROW()-3)*16 + K$1,
  _xlpm.r, MOD(_xlpm.idx, SpriteCount),
  INDEX(
    sprite_data.asm!$C$3:$R$156,
    INT(_xlpm.idx / SpriteCount) * 7 + INT(_xlpm.r / 16) + 1,
    MOD(_xlpm.r, 16) + 1
  )
)</f>
        <v>02</v>
      </c>
      <c r="L115" t="str" cm="1">
        <f t="array" ref="L115">_xlfn.LET(
  _xlpm.idx, (ROW()-3)*16 + L$1,
  _xlpm.r, MOD(_xlpm.idx, SpriteCount),
  INDEX(
    sprite_data.asm!$C$3:$R$156,
    INT(_xlpm.idx / SpriteCount) * 7 + INT(_xlpm.r / 16) + 1,
    MOD(_xlpm.r, 16) + 1
  )
)</f>
        <v>02</v>
      </c>
      <c r="M115" t="str" cm="1">
        <f t="array" ref="M115">_xlfn.LET(
  _xlpm.idx, (ROW()-3)*16 + M$1,
  _xlpm.r, MOD(_xlpm.idx, SpriteCount),
  INDEX(
    sprite_data.asm!$C$3:$R$156,
    INT(_xlpm.idx / SpriteCount) * 7 + INT(_xlpm.r / 16) + 1,
    MOD(_xlpm.r, 16) + 1
  )
)</f>
        <v>00</v>
      </c>
      <c r="N115" t="str" cm="1">
        <f t="array" ref="N115">_xlfn.LET(
  _xlpm.idx, (ROW()-3)*16 + N$1,
  _xlpm.r, MOD(_xlpm.idx, SpriteCount),
  INDEX(
    sprite_data.asm!$C$3:$R$156,
    INT(_xlpm.idx / SpriteCount) * 7 + INT(_xlpm.r / 16) + 1,
    MOD(_xlpm.r, 16) + 1
  )
)</f>
        <v>00</v>
      </c>
      <c r="O115" t="str" cm="1">
        <f t="array" ref="O115">_xlfn.LET(
  _xlpm.idx, (ROW()-3)*16 + O$1,
  _xlpm.r, MOD(_xlpm.idx, SpriteCount),
  INDEX(
    sprite_data.asm!$C$3:$R$156,
    INT(_xlpm.idx / SpriteCount) * 7 + INT(_xlpm.r / 16) + 1,
    MOD(_xlpm.r, 16) + 1
  )
)</f>
        <v>00</v>
      </c>
      <c r="P115" t="str" cm="1">
        <f t="array" ref="P115">_xlfn.LET(
  _xlpm.idx, (ROW()-3)*16 + P$1,
  _xlpm.r, MOD(_xlpm.idx, SpriteCount),
  INDEX(
    sprite_data.asm!$C$3:$R$156,
    INT(_xlpm.idx / SpriteCount) * 7 + INT(_xlpm.r / 16) + 1,
    MOD(_xlpm.r, 16) + 1
  )
)</f>
        <v>00</v>
      </c>
      <c r="Q115" t="str" cm="1">
        <f t="array" ref="Q1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16" spans="1:17" x14ac:dyDescent="0.3">
      <c r="A116" s="2" t="str">
        <f t="shared" si="6"/>
        <v>B410</v>
      </c>
      <c r="B116" t="str" cm="1">
        <f t="array" ref="B116">_xlfn.LET(
  _xlpm.idx, (ROW()-3)*16 + B$1,
  _xlpm.r, MOD(_xlpm.idx, SpriteCount),
  INDEX(
    sprite_data.asm!$C$3:$R$156,
    INT(_xlpm.idx / SpriteCount) * 7 + INT(_xlpm.r / 16) + 1,
    MOD(_xlpm.r, 16) + 1
  )
)</f>
        <v>01</v>
      </c>
      <c r="C116" t="str" cm="1">
        <f t="array" ref="C116">_xlfn.LET(
  _xlpm.idx, (ROW()-3)*16 + C$1,
  _xlpm.r, MOD(_xlpm.idx, SpriteCount),
  INDEX(
    sprite_data.asm!$C$3:$R$156,
    INT(_xlpm.idx / SpriteCount) * 7 + INT(_xlpm.r / 16) + 1,
    MOD(_xlpm.r, 16) + 1
  )
)</f>
        <v>01</v>
      </c>
      <c r="D116" t="str" cm="1">
        <f t="array" ref="D116">_xlfn.LET(
  _xlpm.idx, (ROW()-3)*16 + D$1,
  _xlpm.r, MOD(_xlpm.idx, SpriteCount),
  INDEX(
    sprite_data.asm!$C$3:$R$156,
    INT(_xlpm.idx / SpriteCount) * 7 + INT(_xlpm.r / 16) + 1,
    MOD(_xlpm.r, 16) + 1
  )
)</f>
        <v>03</v>
      </c>
      <c r="E116" t="str" cm="1">
        <f t="array" ref="E116">_xlfn.LET(
  _xlpm.idx, (ROW()-3)*16 + E$1,
  _xlpm.r, MOD(_xlpm.idx, SpriteCount),
  INDEX(
    sprite_data.asm!$C$3:$R$156,
    INT(_xlpm.idx / SpriteCount) * 7 + INT(_xlpm.r / 16) + 1,
    MOD(_xlpm.r, 16) + 1
  )
)</f>
        <v>00</v>
      </c>
      <c r="F116" t="str" cm="1">
        <f t="array" ref="F116">_xlfn.LET(
  _xlpm.idx, (ROW()-3)*16 + F$1,
  _xlpm.r, MOD(_xlpm.idx, SpriteCount),
  INDEX(
    sprite_data.asm!$C$3:$R$156,
    INT(_xlpm.idx / SpriteCount) * 7 + INT(_xlpm.r / 16) + 1,
    MOD(_xlpm.r, 16) + 1
  )
)</f>
        <v>01</v>
      </c>
      <c r="G116" t="str" cm="1">
        <f t="array" ref="G116">_xlfn.LET(
  _xlpm.idx, (ROW()-3)*16 + G$1,
  _xlpm.r, MOD(_xlpm.idx, SpriteCount),
  INDEX(
    sprite_data.asm!$C$3:$R$156,
    INT(_xlpm.idx / SpriteCount) * 7 + INT(_xlpm.r / 16) + 1,
    MOD(_xlpm.r, 16) + 1
  )
)</f>
        <v>00</v>
      </c>
      <c r="H116" t="str" cm="1">
        <f t="array" ref="H116">_xlfn.LET(
  _xlpm.idx, (ROW()-3)*16 + H$1,
  _xlpm.r, MOD(_xlpm.idx, SpriteCount),
  INDEX(
    sprite_data.asm!$C$3:$R$156,
    INT(_xlpm.idx / SpriteCount) * 7 + INT(_xlpm.r / 16) + 1,
    MOD(_xlpm.r, 16) + 1
  )
)</f>
        <v>00</v>
      </c>
      <c r="I116" t="str" cm="1">
        <f t="array" ref="I116">_xlfn.LET(
  _xlpm.idx, (ROW()-3)*16 + I$1,
  _xlpm.r, MOD(_xlpm.idx, SpriteCount),
  INDEX(
    sprite_data.asm!$C$3:$R$156,
    INT(_xlpm.idx / SpriteCount) * 7 + INT(_xlpm.r / 16) + 1,
    MOD(_xlpm.r, 16) + 1
  )
)</f>
        <v>01</v>
      </c>
      <c r="J116" t="str" cm="1">
        <f t="array" ref="J116">_xlfn.LET(
  _xlpm.idx, (ROW()-3)*16 + J$1,
  _xlpm.r, MOD(_xlpm.idx, SpriteCount),
  INDEX(
    sprite_data.asm!$C$3:$R$156,
    INT(_xlpm.idx / SpriteCount) * 7 + INT(_xlpm.r / 16) + 1,
    MOD(_xlpm.r, 16) + 1
  )
)</f>
        <v>03</v>
      </c>
      <c r="K116" t="str" cm="1">
        <f t="array" ref="K116">_xlfn.LET(
  _xlpm.idx, (ROW()-3)*16 + K$1,
  _xlpm.r, MOD(_xlpm.idx, SpriteCount),
  INDEX(
    sprite_data.asm!$C$3:$R$156,
    INT(_xlpm.idx / SpriteCount) * 7 + INT(_xlpm.r / 16) + 1,
    MOD(_xlpm.r, 16) + 1
  )
)</f>
        <v>01</v>
      </c>
      <c r="L116" t="str" cm="1">
        <f t="array" ref="L116">_xlfn.LET(
  _xlpm.idx, (ROW()-3)*16 + L$1,
  _xlpm.r, MOD(_xlpm.idx, SpriteCount),
  INDEX(
    sprite_data.asm!$C$3:$R$156,
    INT(_xlpm.idx / SpriteCount) * 7 + INT(_xlpm.r / 16) + 1,
    MOD(_xlpm.r, 16) + 1
  )
)</f>
        <v>00</v>
      </c>
      <c r="M116" t="str" cm="1">
        <f t="array" ref="M116">_xlfn.LET(
  _xlpm.idx, (ROW()-3)*16 + M$1,
  _xlpm.r, MOD(_xlpm.idx, SpriteCount),
  INDEX(
    sprite_data.asm!$C$3:$R$156,
    INT(_xlpm.idx / SpriteCount) * 7 + INT(_xlpm.r / 16) + 1,
    MOD(_xlpm.r, 16) + 1
  )
)</f>
        <v>03</v>
      </c>
      <c r="N116" t="str" cm="1">
        <f t="array" ref="N116">_xlfn.LET(
  _xlpm.idx, (ROW()-3)*16 + N$1,
  _xlpm.r, MOD(_xlpm.idx, SpriteCount),
  INDEX(
    sprite_data.asm!$C$3:$R$156,
    INT(_xlpm.idx / SpriteCount) * 7 + INT(_xlpm.r / 16) + 1,
    MOD(_xlpm.r, 16) + 1
  )
)</f>
        <v>00</v>
      </c>
      <c r="O116" t="str" cm="1">
        <f t="array" ref="O116">_xlfn.LET(
  _xlpm.idx, (ROW()-3)*16 + O$1,
  _xlpm.r, MOD(_xlpm.idx, SpriteCount),
  INDEX(
    sprite_data.asm!$C$3:$R$156,
    INT(_xlpm.idx / SpriteCount) * 7 + INT(_xlpm.r / 16) + 1,
    MOD(_xlpm.r, 16) + 1
  )
)</f>
        <v>03</v>
      </c>
      <c r="P116" t="str" cm="1">
        <f t="array" ref="P116">_xlfn.LET(
  _xlpm.idx, (ROW()-3)*16 + P$1,
  _xlpm.r, MOD(_xlpm.idx, SpriteCount),
  INDEX(
    sprite_data.asm!$C$3:$R$156,
    INT(_xlpm.idx / SpriteCount) * 7 + INT(_xlpm.r / 16) + 1,
    MOD(_xlpm.r, 16) + 1
  )
)</f>
        <v>00</v>
      </c>
      <c r="Q116" t="str" cm="1">
        <f t="array" ref="Q116">_xlfn.LET(
  _xlpm.idx, (ROW()-3)*16 + Q$1,
  _xlpm.r, MOD(_xlpm.idx, SpriteCount),
  INDEX(
    sprite_data.asm!$C$3:$R$156,
    INT(_xlpm.idx / SpriteCount) * 7 + INT(_xlpm.r / 16) + 1,
    MOD(_xlpm.r, 16) + 1
  )
)</f>
        <v>02</v>
      </c>
    </row>
    <row r="117" spans="1:17" x14ac:dyDescent="0.3">
      <c r="A117" s="2" t="str">
        <f t="shared" si="6"/>
        <v>B420</v>
      </c>
      <c r="B117" t="str" cm="1">
        <f t="array" ref="B117">_xlfn.LET(
  _xlpm.idx, (ROW()-3)*16 + B$1,
  _xlpm.r, MOD(_xlpm.idx, SpriteCount),
  INDEX(
    sprite_data.asm!$C$3:$R$156,
    INT(_xlpm.idx / SpriteCount) * 7 + INT(_xlpm.r / 16) + 1,
    MOD(_xlpm.r, 16) + 1
  )
)</f>
        <v>02</v>
      </c>
      <c r="C117" t="str" cm="1">
        <f t="array" ref="C117">_xlfn.LET(
  _xlpm.idx, (ROW()-3)*16 + C$1,
  _xlpm.r, MOD(_xlpm.idx, SpriteCount),
  INDEX(
    sprite_data.asm!$C$3:$R$156,
    INT(_xlpm.idx / SpriteCount) * 7 + INT(_xlpm.r / 16) + 1,
    MOD(_xlpm.r, 16) + 1
  )
)</f>
        <v>00</v>
      </c>
      <c r="D117" t="str" cm="1">
        <f t="array" ref="D117">_xlfn.LET(
  _xlpm.idx, (ROW()-3)*16 + D$1,
  _xlpm.r, MOD(_xlpm.idx, SpriteCount),
  INDEX(
    sprite_data.asm!$C$3:$R$156,
    INT(_xlpm.idx / SpriteCount) * 7 + INT(_xlpm.r / 16) + 1,
    MOD(_xlpm.r, 16) + 1
  )
)</f>
        <v>00</v>
      </c>
      <c r="E117" t="str" cm="1">
        <f t="array" ref="E117">_xlfn.LET(
  _xlpm.idx, (ROW()-3)*16 + E$1,
  _xlpm.r, MOD(_xlpm.idx, SpriteCount),
  INDEX(
    sprite_data.asm!$C$3:$R$156,
    INT(_xlpm.idx / SpriteCount) * 7 + INT(_xlpm.r / 16) + 1,
    MOD(_xlpm.r, 16) + 1
  )
)</f>
        <v>01</v>
      </c>
      <c r="F117" t="str" cm="1">
        <f t="array" ref="F117">_xlfn.LET(
  _xlpm.idx, (ROW()-3)*16 + F$1,
  _xlpm.r, MOD(_xlpm.idx, SpriteCount),
  INDEX(
    sprite_data.asm!$C$3:$R$156,
    INT(_xlpm.idx / SpriteCount) * 7 + INT(_xlpm.r / 16) + 1,
    MOD(_xlpm.r, 16) + 1
  )
)</f>
        <v>00</v>
      </c>
      <c r="G117" t="str" cm="1">
        <f t="array" ref="G117">_xlfn.LET(
  _xlpm.idx, (ROW()-3)*16 + G$1,
  _xlpm.r, MOD(_xlpm.idx, SpriteCount),
  INDEX(
    sprite_data.asm!$C$3:$R$156,
    INT(_xlpm.idx / SpriteCount) * 7 + INT(_xlpm.r / 16) + 1,
    MOD(_xlpm.r, 16) + 1
  )
)</f>
        <v>00</v>
      </c>
      <c r="H117" t="str" cm="1">
        <f t="array" ref="H117">_xlfn.LET(
  _xlpm.idx, (ROW()-3)*16 + H$1,
  _xlpm.r, MOD(_xlpm.idx, SpriteCount),
  INDEX(
    sprite_data.asm!$C$3:$R$156,
    INT(_xlpm.idx / SpriteCount) * 7 + INT(_xlpm.r / 16) + 1,
    MOD(_xlpm.r, 16) + 1
  )
)</f>
        <v>01</v>
      </c>
      <c r="I117" t="str" cm="1">
        <f t="array" ref="I117">_xlfn.LET(
  _xlpm.idx, (ROW()-3)*16 + I$1,
  _xlpm.r, MOD(_xlpm.idx, SpriteCount),
  INDEX(
    sprite_data.asm!$C$3:$R$156,
    INT(_xlpm.idx / SpriteCount) * 7 + INT(_xlpm.r / 16) + 1,
    MOD(_xlpm.r, 16) + 1
  )
)</f>
        <v>01</v>
      </c>
      <c r="J117" t="str" cm="1">
        <f t="array" ref="J117">_xlfn.LET(
  _xlpm.idx, (ROW()-3)*16 + J$1,
  _xlpm.r, MOD(_xlpm.idx, SpriteCount),
  INDEX(
    sprite_data.asm!$C$3:$R$156,
    INT(_xlpm.idx / SpriteCount) * 7 + INT(_xlpm.r / 16) + 1,
    MOD(_xlpm.r, 16) + 1
  )
)</f>
        <v>01</v>
      </c>
      <c r="K117" t="str" cm="1">
        <f t="array" ref="K117">_xlfn.LET(
  _xlpm.idx, (ROW()-3)*16 + K$1,
  _xlpm.r, MOD(_xlpm.idx, SpriteCount),
  INDEX(
    sprite_data.asm!$C$3:$R$156,
    INT(_xlpm.idx / SpriteCount) * 7 + INT(_xlpm.r / 16) + 1,
    MOD(_xlpm.r, 16) + 1
  )
)</f>
        <v>01</v>
      </c>
      <c r="L117" t="str" cm="1">
        <f t="array" ref="L117">_xlfn.LET(
  _xlpm.idx, (ROW()-3)*16 + L$1,
  _xlpm.r, MOD(_xlpm.idx, SpriteCount),
  INDEX(
    sprite_data.asm!$C$3:$R$156,
    INT(_xlpm.idx / SpriteCount) * 7 + INT(_xlpm.r / 16) + 1,
    MOD(_xlpm.r, 16) + 1
  )
)</f>
        <v>00</v>
      </c>
      <c r="M117" t="str" cm="1">
        <f t="array" ref="M117">_xlfn.LET(
  _xlpm.idx, (ROW()-3)*16 + M$1,
  _xlpm.r, MOD(_xlpm.idx, SpriteCount),
  INDEX(
    sprite_data.asm!$C$3:$R$156,
    INT(_xlpm.idx / SpriteCount) * 7 + INT(_xlpm.r / 16) + 1,
    MOD(_xlpm.r, 16) + 1
  )
)</f>
        <v>01</v>
      </c>
      <c r="N117" t="str" cm="1">
        <f t="array" ref="N117">_xlfn.LET(
  _xlpm.idx, (ROW()-3)*16 + N$1,
  _xlpm.r, MOD(_xlpm.idx, SpriteCount),
  INDEX(
    sprite_data.asm!$C$3:$R$156,
    INT(_xlpm.idx / SpriteCount) * 7 + INT(_xlpm.r / 16) + 1,
    MOD(_xlpm.r, 16) + 1
  )
)</f>
        <v>01</v>
      </c>
      <c r="O117" t="str" cm="1">
        <f t="array" ref="O117">_xlfn.LET(
  _xlpm.idx, (ROW()-3)*16 + O$1,
  _xlpm.r, MOD(_xlpm.idx, SpriteCount),
  INDEX(
    sprite_data.asm!$C$3:$R$156,
    INT(_xlpm.idx / SpriteCount) * 7 + INT(_xlpm.r / 16) + 1,
    MOD(_xlpm.r, 16) + 1
  )
)</f>
        <v>00</v>
      </c>
      <c r="P117" t="str" cm="1">
        <f t="array" ref="P117">_xlfn.LET(
  _xlpm.idx, (ROW()-3)*16 + P$1,
  _xlpm.r, MOD(_xlpm.idx, SpriteCount),
  INDEX(
    sprite_data.asm!$C$3:$R$156,
    INT(_xlpm.idx / SpriteCount) * 7 + INT(_xlpm.r / 16) + 1,
    MOD(_xlpm.r, 16) + 1
  )
)</f>
        <v>00</v>
      </c>
      <c r="Q117" t="str" cm="1">
        <f t="array" ref="Q117">_xlfn.LET(
  _xlpm.idx, (ROW()-3)*16 + Q$1,
  _xlpm.r, MOD(_xlpm.idx, SpriteCount),
  INDEX(
    sprite_data.asm!$C$3:$R$156,
    INT(_xlpm.idx / SpriteCount) * 7 + INT(_xlpm.r / 16) + 1,
    MOD(_xlpm.r, 16) + 1
  )
)</f>
        <v>00</v>
      </c>
    </row>
    <row r="118" spans="1:17" x14ac:dyDescent="0.3">
      <c r="A118" s="2" t="str">
        <f t="shared" si="6"/>
        <v>B430</v>
      </c>
      <c r="B118" t="str" cm="1">
        <f t="array" ref="B118">_xlfn.LET(
  _xlpm.idx, (ROW()-3)*16 + B$1,
  _xlpm.r, MOD(_xlpm.idx, SpriteCount),
  INDEX(
    sprite_data.asm!$C$3:$R$156,
    INT(_xlpm.idx / SpriteCount) * 7 + INT(_xlpm.r / 16) + 1,
    MOD(_xlpm.r, 16) + 1
  )
)</f>
        <v>00</v>
      </c>
      <c r="C118" t="str" cm="1">
        <f t="array" ref="C118">_xlfn.LET(
  _xlpm.idx, (ROW()-3)*16 + C$1,
  _xlpm.r, MOD(_xlpm.idx, SpriteCount),
  INDEX(
    sprite_data.asm!$C$3:$R$156,
    INT(_xlpm.idx / SpriteCount) * 7 + INT(_xlpm.r / 16) + 1,
    MOD(_xlpm.r, 16) + 1
  )
)</f>
        <v>00</v>
      </c>
      <c r="D118" t="str" cm="1">
        <f t="array" ref="D118">_xlfn.LET(
  _xlpm.idx, (ROW()-3)*16 + D$1,
  _xlpm.r, MOD(_xlpm.idx, SpriteCount),
  INDEX(
    sprite_data.asm!$C$3:$R$156,
    INT(_xlpm.idx / SpriteCount) * 7 + INT(_xlpm.r / 16) + 1,
    MOD(_xlpm.r, 16) + 1
  )
)</f>
        <v>00</v>
      </c>
      <c r="E118" t="str" cm="1">
        <f t="array" ref="E118">_xlfn.LET(
  _xlpm.idx, (ROW()-3)*16 + E$1,
  _xlpm.r, MOD(_xlpm.idx, SpriteCount),
  INDEX(
    sprite_data.asm!$C$3:$R$156,
    INT(_xlpm.idx / SpriteCount) * 7 + INT(_xlpm.r / 16) + 1,
    MOD(_xlpm.r, 16) + 1
  )
)</f>
        <v>00</v>
      </c>
      <c r="F118" t="str" cm="1">
        <f t="array" ref="F118">_xlfn.LET(
  _xlpm.idx, (ROW()-3)*16 + F$1,
  _xlpm.r, MOD(_xlpm.idx, SpriteCount),
  INDEX(
    sprite_data.asm!$C$3:$R$156,
    INT(_xlpm.idx / SpriteCount) * 7 + INT(_xlpm.r / 16) + 1,
    MOD(_xlpm.r, 16) + 1
  )
)</f>
        <v>00</v>
      </c>
      <c r="G118" t="str" cm="1">
        <f t="array" ref="G118">_xlfn.LET(
  _xlpm.idx, (ROW()-3)*16 + G$1,
  _xlpm.r, MOD(_xlpm.idx, SpriteCount),
  INDEX(
    sprite_data.asm!$C$3:$R$156,
    INT(_xlpm.idx / SpriteCount) * 7 + INT(_xlpm.r / 16) + 1,
    MOD(_xlpm.r, 16) + 1
  )
)</f>
        <v>00</v>
      </c>
      <c r="H118" t="str" cm="1">
        <f t="array" ref="H118">_xlfn.LET(
  _xlpm.idx, (ROW()-3)*16 + H$1,
  _xlpm.r, MOD(_xlpm.idx, SpriteCount),
  INDEX(
    sprite_data.asm!$C$3:$R$156,
    INT(_xlpm.idx / SpriteCount) * 7 + INT(_xlpm.r / 16) + 1,
    MOD(_xlpm.r, 16) + 1
  )
)</f>
        <v>00</v>
      </c>
      <c r="I118" t="str" cm="1">
        <f t="array" ref="I118">_xlfn.LET(
  _xlpm.idx, (ROW()-3)*16 + I$1,
  _xlpm.r, MOD(_xlpm.idx, SpriteCount),
  INDEX(
    sprite_data.asm!$C$3:$R$156,
    INT(_xlpm.idx / SpriteCount) * 7 + INT(_xlpm.r / 16) + 1,
    MOD(_xlpm.r, 16) + 1
  )
)</f>
        <v>00</v>
      </c>
      <c r="J118" t="str" cm="1">
        <f t="array" ref="J118">_xlfn.LET(
  _xlpm.idx, (ROW()-3)*16 + J$1,
  _xlpm.r, MOD(_xlpm.idx, SpriteCount),
  INDEX(
    sprite_data.asm!$C$3:$R$156,
    INT(_xlpm.idx / SpriteCount) * 7 + INT(_xlpm.r / 16) + 1,
    MOD(_xlpm.r, 16) + 1
  )
)</f>
        <v>00</v>
      </c>
      <c r="K118" t="str" cm="1">
        <f t="array" ref="K118">_xlfn.LET(
  _xlpm.idx, (ROW()-3)*16 + K$1,
  _xlpm.r, MOD(_xlpm.idx, SpriteCount),
  INDEX(
    sprite_data.asm!$C$3:$R$156,
    INT(_xlpm.idx / SpriteCount) * 7 + INT(_xlpm.r / 16) + 1,
    MOD(_xlpm.r, 16) + 1
  )
)</f>
        <v>00</v>
      </c>
      <c r="L118" t="str" cm="1">
        <f t="array" ref="L118">_xlfn.LET(
  _xlpm.idx, (ROW()-3)*16 + L$1,
  _xlpm.r, MOD(_xlpm.idx, SpriteCount),
  INDEX(
    sprite_data.asm!$C$3:$R$156,
    INT(_xlpm.idx / SpriteCount) * 7 + INT(_xlpm.r / 16) + 1,
    MOD(_xlpm.r, 16) + 1
  )
)</f>
        <v>00</v>
      </c>
      <c r="M118" t="str" cm="1">
        <f t="array" ref="M118">_xlfn.LET(
  _xlpm.idx, (ROW()-3)*16 + M$1,
  _xlpm.r, MOD(_xlpm.idx, SpriteCount),
  INDEX(
    sprite_data.asm!$C$3:$R$156,
    INT(_xlpm.idx / SpriteCount) * 7 + INT(_xlpm.r / 16) + 1,
    MOD(_xlpm.r, 16) + 1
  )
)</f>
        <v>00</v>
      </c>
      <c r="N118" t="str" cm="1">
        <f t="array" ref="N118">_xlfn.LET(
  _xlpm.idx, (ROW()-3)*16 + N$1,
  _xlpm.r, MOD(_xlpm.idx, SpriteCount),
  INDEX(
    sprite_data.asm!$C$3:$R$156,
    INT(_xlpm.idx / SpriteCount) * 7 + INT(_xlpm.r / 16) + 1,
    MOD(_xlpm.r, 16) + 1
  )
)</f>
        <v>00</v>
      </c>
      <c r="O118" t="str" cm="1">
        <f t="array" ref="O118">_xlfn.LET(
  _xlpm.idx, (ROW()-3)*16 + O$1,
  _xlpm.r, MOD(_xlpm.idx, SpriteCount),
  INDEX(
    sprite_data.asm!$C$3:$R$156,
    INT(_xlpm.idx / SpriteCount) * 7 + INT(_xlpm.r / 16) + 1,
    MOD(_xlpm.r, 16) + 1
  )
)</f>
        <v>00</v>
      </c>
      <c r="P118" t="str" cm="1">
        <f t="array" ref="P118">_xlfn.LET(
  _xlpm.idx, (ROW()-3)*16 + P$1,
  _xlpm.r, MOD(_xlpm.idx, SpriteCount),
  INDEX(
    sprite_data.asm!$C$3:$R$156,
    INT(_xlpm.idx / SpriteCount) * 7 + INT(_xlpm.r / 16) + 1,
    MOD(_xlpm.r, 16) + 1
  )
)</f>
        <v>00</v>
      </c>
      <c r="Q118" t="str" cm="1">
        <f t="array" ref="Q118">_xlfn.LET(
  _xlpm.idx, (ROW()-3)*16 + Q$1,
  _xlpm.r, MOD(_xlpm.idx, SpriteCount),
  INDEX(
    sprite_data.asm!$C$3:$R$156,
    INT(_xlpm.idx / SpriteCount) * 7 + INT(_xlpm.r / 16) + 1,
    MOD(_xlpm.r, 16) + 1
  )
)</f>
        <v>00</v>
      </c>
    </row>
    <row r="119" spans="1:17" x14ac:dyDescent="0.3">
      <c r="A119" s="2" t="str">
        <f t="shared" si="6"/>
        <v>B440</v>
      </c>
      <c r="B119" t="str" cm="1">
        <f t="array" ref="B119">_xlfn.LET(
  _xlpm.idx, (ROW()-3)*16 + B$1,
  _xlpm.r, MOD(_xlpm.idx, SpriteCount),
  INDEX(
    sprite_data.asm!$C$3:$R$156,
    INT(_xlpm.idx / SpriteCount) * 7 + INT(_xlpm.r / 16) + 1,
    MOD(_xlpm.r, 16) + 1
  )
)</f>
        <v>00</v>
      </c>
      <c r="C119" t="str" cm="1">
        <f t="array" ref="C119">_xlfn.LET(
  _xlpm.idx, (ROW()-3)*16 + C$1,
  _xlpm.r, MOD(_xlpm.idx, SpriteCount),
  INDEX(
    sprite_data.asm!$C$3:$R$156,
    INT(_xlpm.idx / SpriteCount) * 7 + INT(_xlpm.r / 16) + 1,
    MOD(_xlpm.r, 16) + 1
  )
)</f>
        <v>00</v>
      </c>
      <c r="D119" t="str" cm="1">
        <f t="array" ref="D119">_xlfn.LET(
  _xlpm.idx, (ROW()-3)*16 + D$1,
  _xlpm.r, MOD(_xlpm.idx, SpriteCount),
  INDEX(
    sprite_data.asm!$C$3:$R$156,
    INT(_xlpm.idx / SpriteCount) * 7 + INT(_xlpm.r / 16) + 1,
    MOD(_xlpm.r, 16) + 1
  )
)</f>
        <v>00</v>
      </c>
      <c r="E119" t="str" cm="1">
        <f t="array" ref="E119">_xlfn.LET(
  _xlpm.idx, (ROW()-3)*16 + E$1,
  _xlpm.r, MOD(_xlpm.idx, SpriteCount),
  INDEX(
    sprite_data.asm!$C$3:$R$156,
    INT(_xlpm.idx / SpriteCount) * 7 + INT(_xlpm.r / 16) + 1,
    MOD(_xlpm.r, 16) + 1
  )
)</f>
        <v>00</v>
      </c>
      <c r="F119" t="str" cm="1">
        <f t="array" ref="F119">_xlfn.LET(
  _xlpm.idx, (ROW()-3)*16 + F$1,
  _xlpm.r, MOD(_xlpm.idx, SpriteCount),
  INDEX(
    sprite_data.asm!$C$3:$R$156,
    INT(_xlpm.idx / SpriteCount) * 7 + INT(_xlpm.r / 16) + 1,
    MOD(_xlpm.r, 16) + 1
  )
)</f>
        <v>00</v>
      </c>
      <c r="G119" t="str" cm="1">
        <f t="array" ref="G119">_xlfn.LET(
  _xlpm.idx, (ROW()-3)*16 + G$1,
  _xlpm.r, MOD(_xlpm.idx, SpriteCount),
  INDEX(
    sprite_data.asm!$C$3:$R$156,
    INT(_xlpm.idx / SpriteCount) * 7 + INT(_xlpm.r / 16) + 1,
    MOD(_xlpm.r, 16) + 1
  )
)</f>
        <v>00</v>
      </c>
      <c r="H119" t="str" cm="1">
        <f t="array" ref="H119">_xlfn.LET(
  _xlpm.idx, (ROW()-3)*16 + H$1,
  _xlpm.r, MOD(_xlpm.idx, SpriteCount),
  INDEX(
    sprite_data.asm!$C$3:$R$156,
    INT(_xlpm.idx / SpriteCount) * 7 + INT(_xlpm.r / 16) + 1,
    MOD(_xlpm.r, 16) + 1
  )
)</f>
        <v>00</v>
      </c>
      <c r="I119" t="str" cm="1">
        <f t="array" ref="I119">_xlfn.LET(
  _xlpm.idx, (ROW()-3)*16 + I$1,
  _xlpm.r, MOD(_xlpm.idx, SpriteCount),
  INDEX(
    sprite_data.asm!$C$3:$R$156,
    INT(_xlpm.idx / SpriteCount) * 7 + INT(_xlpm.r / 16) + 1,
    MOD(_xlpm.r, 16) + 1
  )
)</f>
        <v>00</v>
      </c>
      <c r="J119" t="str" cm="1">
        <f t="array" ref="J119">_xlfn.LET(
  _xlpm.idx, (ROW()-3)*16 + J$1,
  _xlpm.r, MOD(_xlpm.idx, SpriteCount),
  INDEX(
    sprite_data.asm!$C$3:$R$156,
    INT(_xlpm.idx / SpriteCount) * 7 + INT(_xlpm.r / 16) + 1,
    MOD(_xlpm.r, 16) + 1
  )
)</f>
        <v>00</v>
      </c>
      <c r="K119" t="str" cm="1">
        <f t="array" ref="K119">_xlfn.LET(
  _xlpm.idx, (ROW()-3)*16 + K$1,
  _xlpm.r, MOD(_xlpm.idx, SpriteCount),
  INDEX(
    sprite_data.asm!$C$3:$R$156,
    INT(_xlpm.idx / SpriteCount) * 7 + INT(_xlpm.r / 16) + 1,
    MOD(_xlpm.r, 16) + 1
  )
)</f>
        <v>00</v>
      </c>
      <c r="L119" t="str" cm="1">
        <f t="array" ref="L119">_xlfn.LET(
  _xlpm.idx, (ROW()-3)*16 + L$1,
  _xlpm.r, MOD(_xlpm.idx, SpriteCount),
  INDEX(
    sprite_data.asm!$C$3:$R$156,
    INT(_xlpm.idx / SpriteCount) * 7 + INT(_xlpm.r / 16) + 1,
    MOD(_xlpm.r, 16) + 1
  )
)</f>
        <v>00</v>
      </c>
      <c r="M119" t="str" cm="1">
        <f t="array" ref="M119">_xlfn.LET(
  _xlpm.idx, (ROW()-3)*16 + M$1,
  _xlpm.r, MOD(_xlpm.idx, SpriteCount),
  INDEX(
    sprite_data.asm!$C$3:$R$156,
    INT(_xlpm.idx / SpriteCount) * 7 + INT(_xlpm.r / 16) + 1,
    MOD(_xlpm.r, 16) + 1
  )
)</f>
        <v>00</v>
      </c>
      <c r="N119" t="str" cm="1">
        <f t="array" ref="N119">_xlfn.LET(
  _xlpm.idx, (ROW()-3)*16 + N$1,
  _xlpm.r, MOD(_xlpm.idx, SpriteCount),
  INDEX(
    sprite_data.asm!$C$3:$R$156,
    INT(_xlpm.idx / SpriteCount) * 7 + INT(_xlpm.r / 16) + 1,
    MOD(_xlpm.r, 16) + 1
  )
)</f>
        <v>02</v>
      </c>
      <c r="O119" t="str" cm="1">
        <f t="array" ref="O119">_xlfn.LET(
  _xlpm.idx, (ROW()-3)*16 + O$1,
  _xlpm.r, MOD(_xlpm.idx, SpriteCount),
  INDEX(
    sprite_data.asm!$C$3:$R$156,
    INT(_xlpm.idx / SpriteCount) * 7 + INT(_xlpm.r / 16) + 1,
    MOD(_xlpm.r, 16) + 1
  )
)</f>
        <v>00</v>
      </c>
      <c r="P119" t="str" cm="1">
        <f t="array" ref="P119">_xlfn.LET(
  _xlpm.idx, (ROW()-3)*16 + P$1,
  _xlpm.r, MOD(_xlpm.idx, SpriteCount),
  INDEX(
    sprite_data.asm!$C$3:$R$156,
    INT(_xlpm.idx / SpriteCount) * 7 + INT(_xlpm.r / 16) + 1,
    MOD(_xlpm.r, 16) + 1
  )
)</f>
        <v>41</v>
      </c>
      <c r="Q119" t="str" cm="1">
        <f t="array" ref="Q119">_xlfn.LET(
  _xlpm.idx, (ROW()-3)*16 + Q$1,
  _xlpm.r, MOD(_xlpm.idx, SpriteCount),
  INDEX(
    sprite_data.asm!$C$3:$R$156,
    INT(_xlpm.idx / SpriteCount) * 7 + INT(_xlpm.r / 16) + 1,
    MOD(_xlpm.r, 16) + 1
  )
)</f>
        <v>45</v>
      </c>
    </row>
    <row r="120" spans="1:17" x14ac:dyDescent="0.3">
      <c r="A120" s="2" t="str">
        <f t="shared" si="6"/>
        <v>B450</v>
      </c>
      <c r="B120" t="str" cm="1">
        <f t="array" ref="B120">_xlfn.LET(
  _xlpm.idx, (ROW()-3)*16 + B$1,
  _xlpm.r, MOD(_xlpm.idx, SpriteCount),
  INDEX(
    sprite_data.asm!$C$3:$R$156,
    INT(_xlpm.idx / SpriteCount) * 7 + INT(_xlpm.r / 16) + 1,
    MOD(_xlpm.r, 16) + 1
  )
)</f>
        <v>00</v>
      </c>
      <c r="C120" t="str" cm="1">
        <f t="array" ref="C120">_xlfn.LET(
  _xlpm.idx, (ROW()-3)*16 + C$1,
  _xlpm.r, MOD(_xlpm.idx, SpriteCount),
  INDEX(
    sprite_data.asm!$C$3:$R$156,
    INT(_xlpm.idx / SpriteCount) * 7 + INT(_xlpm.r / 16) + 1,
    MOD(_xlpm.r, 16) + 1
  )
)</f>
        <v>51</v>
      </c>
      <c r="D120" t="str" cm="1">
        <f t="array" ref="D120">_xlfn.LET(
  _xlpm.idx, (ROW()-3)*16 + D$1,
  _xlpm.r, MOD(_xlpm.idx, SpriteCount),
  INDEX(
    sprite_data.asm!$C$3:$R$156,
    INT(_xlpm.idx / SpriteCount) * 7 + INT(_xlpm.r / 16) + 1,
    MOD(_xlpm.r, 16) + 1
  )
)</f>
        <v>55</v>
      </c>
      <c r="E120" t="str" cm="1">
        <f t="array" ref="E120">_xlfn.LET(
  _xlpm.idx, (ROW()-3)*16 + E$1,
  _xlpm.r, MOD(_xlpm.idx, SpriteCount),
  INDEX(
    sprite_data.asm!$C$3:$R$156,
    INT(_xlpm.idx / SpriteCount) * 7 + INT(_xlpm.r / 16) + 1,
    MOD(_xlpm.r, 16) + 1
  )
)</f>
        <v>06</v>
      </c>
      <c r="F120" t="str" cm="1">
        <f t="array" ref="F120">_xlfn.LET(
  _xlpm.idx, (ROW()-3)*16 + F$1,
  _xlpm.r, MOD(_xlpm.idx, SpriteCount),
  INDEX(
    sprite_data.asm!$C$3:$R$156,
    INT(_xlpm.idx / SpriteCount) * 7 + INT(_xlpm.r / 16) + 1,
    MOD(_xlpm.r, 16) + 1
  )
)</f>
        <v>00</v>
      </c>
      <c r="G120" t="str" cm="1">
        <f t="array" ref="G120">_xlfn.LET(
  _xlpm.idx, (ROW()-3)*16 + G$1,
  _xlpm.r, MOD(_xlpm.idx, SpriteCount),
  INDEX(
    sprite_data.asm!$C$3:$R$156,
    INT(_xlpm.idx / SpriteCount) * 7 + INT(_xlpm.r / 16) + 1,
    MOD(_xlpm.r, 16) + 1
  )
)</f>
        <v>55</v>
      </c>
      <c r="H120" t="str" cm="1">
        <f t="array" ref="H120">_xlfn.LET(
  _xlpm.idx, (ROW()-3)*16 + H$1,
  _xlpm.r, MOD(_xlpm.idx, SpriteCount),
  INDEX(
    sprite_data.asm!$C$3:$R$156,
    INT(_xlpm.idx / SpriteCount) * 7 + INT(_xlpm.r / 16) + 1,
    MOD(_xlpm.r, 16) + 1
  )
)</f>
        <v>06</v>
      </c>
      <c r="I120" t="str" cm="1">
        <f t="array" ref="I120">_xlfn.LET(
  _xlpm.idx, (ROW()-3)*16 + I$1,
  _xlpm.r, MOD(_xlpm.idx, SpriteCount),
  INDEX(
    sprite_data.asm!$C$3:$R$156,
    INT(_xlpm.idx / SpriteCount) * 7 + INT(_xlpm.r / 16) + 1,
    MOD(_xlpm.r, 16) + 1
  )
)</f>
        <v>78</v>
      </c>
      <c r="J120" t="str" cm="1">
        <f t="array" ref="J120">_xlfn.LET(
  _xlpm.idx, (ROW()-3)*16 + J$1,
  _xlpm.r, MOD(_xlpm.idx, SpriteCount),
  INDEX(
    sprite_data.asm!$C$3:$R$156,
    INT(_xlpm.idx / SpriteCount) * 7 + INT(_xlpm.r / 16) + 1,
    MOD(_xlpm.r, 16) + 1
  )
)</f>
        <v>18</v>
      </c>
      <c r="K120" t="str" cm="1">
        <f t="array" ref="K120">_xlfn.LET(
  _xlpm.idx, (ROW()-3)*16 + K$1,
  _xlpm.r, MOD(_xlpm.idx, SpriteCount),
  INDEX(
    sprite_data.asm!$C$3:$R$156,
    INT(_xlpm.idx / SpriteCount) * 7 + INT(_xlpm.r / 16) + 1,
    MOD(_xlpm.r, 16) + 1
  )
)</f>
        <v>40</v>
      </c>
      <c r="L120" t="str" cm="1">
        <f t="array" ref="L120">_xlfn.LET(
  _xlpm.idx, (ROW()-3)*16 + L$1,
  _xlpm.r, MOD(_xlpm.idx, SpriteCount),
  INDEX(
    sprite_data.asm!$C$3:$R$156,
    INT(_xlpm.idx / SpriteCount) * 7 + INT(_xlpm.r / 16) + 1,
    MOD(_xlpm.r, 16) + 1
  )
)</f>
        <v>7F</v>
      </c>
      <c r="M120" t="str" cm="1">
        <f t="array" ref="M120">_xlfn.LET(
  _xlpm.idx, (ROW()-3)*16 + M$1,
  _xlpm.r, MOD(_xlpm.idx, SpriteCount),
  INDEX(
    sprite_data.asm!$C$3:$R$156,
    INT(_xlpm.idx / SpriteCount) * 7 + INT(_xlpm.r / 16) + 1,
    MOD(_xlpm.r, 16) + 1
  )
)</f>
        <v>0C</v>
      </c>
      <c r="N120" t="str" cm="1">
        <f t="array" ref="N120">_xlfn.LET(
  _xlpm.idx, (ROW()-3)*16 + N$1,
  _xlpm.r, MOD(_xlpm.idx, SpriteCount),
  INDEX(
    sprite_data.asm!$C$3:$R$156,
    INT(_xlpm.idx / SpriteCount) * 7 + INT(_xlpm.r / 16) + 1,
    MOD(_xlpm.r, 16) + 1
  )
)</f>
        <v>70</v>
      </c>
      <c r="O120" t="str" cm="1">
        <f t="array" ref="O120">_xlfn.LET(
  _xlpm.idx, (ROW()-3)*16 + O$1,
  _xlpm.r, MOD(_xlpm.idx, SpriteCount),
  INDEX(
    sprite_data.asm!$C$3:$R$156,
    INT(_xlpm.idx / SpriteCount) * 7 + INT(_xlpm.r / 16) + 1,
    MOD(_xlpm.r, 16) + 1
  )
)</f>
        <v>46</v>
      </c>
      <c r="P120" t="str" cm="1">
        <f t="array" ref="P120">_xlfn.LET(
  _xlpm.idx, (ROW()-3)*16 + P$1,
  _xlpm.r, MOD(_xlpm.idx, SpriteCount),
  INDEX(
    sprite_data.asm!$C$3:$R$156,
    INT(_xlpm.idx / SpriteCount) * 7 + INT(_xlpm.r / 16) + 1,
    MOD(_xlpm.r, 16) + 1
  )
)</f>
        <v>18</v>
      </c>
      <c r="Q120" t="str" cm="1">
        <f t="array" ref="Q120">_xlfn.LET(
  _xlpm.idx, (ROW()-3)*16 + Q$1,
  _xlpm.r, MOD(_xlpm.idx, SpriteCount),
  INDEX(
    sprite_data.asm!$C$3:$R$156,
    INT(_xlpm.idx / SpriteCount) * 7 + INT(_xlpm.r / 16) + 1,
    MOD(_xlpm.r, 16) + 1
  )
)</f>
        <v>30</v>
      </c>
    </row>
    <row r="121" spans="1:17" x14ac:dyDescent="0.3">
      <c r="A121" s="2" t="str">
        <f t="shared" si="6"/>
        <v>B460</v>
      </c>
      <c r="B121" t="str" cm="1">
        <f t="array" ref="B121">_xlfn.LET(
  _xlpm.idx, (ROW()-3)*16 + B$1,
  _xlpm.r, MOD(_xlpm.idx, SpriteCount),
  INDEX(
    sprite_data.asm!$C$3:$R$156,
    INT(_xlpm.idx / SpriteCount) * 7 + INT(_xlpm.r / 16) + 1,
    MOD(_xlpm.r, 16) + 1
  )
)</f>
        <v>38</v>
      </c>
      <c r="C121" t="str" cm="1">
        <f t="array" ref="C121">_xlfn.LET(
  _xlpm.idx, (ROW()-3)*16 + C$1,
  _xlpm.r, MOD(_xlpm.idx, SpriteCount),
  INDEX(
    sprite_data.asm!$C$3:$R$156,
    INT(_xlpm.idx / SpriteCount) * 7 + INT(_xlpm.r / 16) + 1,
    MOD(_xlpm.r, 16) + 1
  )
)</f>
        <v>0C</v>
      </c>
      <c r="D121" t="str" cm="1">
        <f t="array" ref="D121">_xlfn.LET(
  _xlpm.idx, (ROW()-3)*16 + D$1,
  _xlpm.r, MOD(_xlpm.idx, SpriteCount),
  INDEX(
    sprite_data.asm!$C$3:$R$156,
    INT(_xlpm.idx / SpriteCount) * 7 + INT(_xlpm.r / 16) + 1,
    MOD(_xlpm.r, 16) + 1
  )
)</f>
        <v>60</v>
      </c>
      <c r="E121" t="str" cm="1">
        <f t="array" ref="E121">_xlfn.LET(
  _xlpm.idx, (ROW()-3)*16 + E$1,
  _xlpm.r, MOD(_xlpm.idx, SpriteCount),
  INDEX(
    sprite_data.asm!$C$3:$R$156,
    INT(_xlpm.idx / SpriteCount) * 7 + INT(_xlpm.r / 16) + 1,
    MOD(_xlpm.r, 16) + 1
  )
)</f>
        <v>6C</v>
      </c>
      <c r="F121" t="str" cm="1">
        <f t="array" ref="F121">_xlfn.LET(
  _xlpm.idx, (ROW()-3)*16 + F$1,
  _xlpm.r, MOD(_xlpm.idx, SpriteCount),
  INDEX(
    sprite_data.asm!$C$3:$R$156,
    INT(_xlpm.idx / SpriteCount) * 7 + INT(_xlpm.r / 16) + 1,
    MOD(_xlpm.r, 16) + 1
  )
)</f>
        <v>58</v>
      </c>
      <c r="G121" t="str" cm="1">
        <f t="array" ref="G121">_xlfn.LET(
  _xlpm.idx, (ROW()-3)*16 + G$1,
  _xlpm.r, MOD(_xlpm.idx, SpriteCount),
  INDEX(
    sprite_data.asm!$C$3:$R$156,
    INT(_xlpm.idx / SpriteCount) * 7 + INT(_xlpm.r / 16) + 1,
    MOD(_xlpm.r, 16) + 1
  )
)</f>
        <v>1B</v>
      </c>
      <c r="H121" t="str" cm="1">
        <f t="array" ref="H121">_xlfn.LET(
  _xlpm.idx, (ROW()-3)*16 + H$1,
  _xlpm.r, MOD(_xlpm.idx, SpriteCount),
  INDEX(
    sprite_data.asm!$C$3:$R$156,
    INT(_xlpm.idx / SpriteCount) * 7 + INT(_xlpm.r / 16) + 1,
    MOD(_xlpm.r, 16) + 1
  )
)</f>
        <v>36</v>
      </c>
      <c r="I121" t="str" cm="1">
        <f t="array" ref="I121">_xlfn.LET(
  _xlpm.idx, (ROW()-3)*16 + I$1,
  _xlpm.r, MOD(_xlpm.idx, SpriteCount),
  INDEX(
    sprite_data.asm!$C$3:$R$156,
    INT(_xlpm.idx / SpriteCount) * 7 + INT(_xlpm.r / 16) + 1,
    MOD(_xlpm.r, 16) + 1
  )
)</f>
        <v>58</v>
      </c>
      <c r="J121" t="str" cm="1">
        <f t="array" ref="J121">_xlfn.LET(
  _xlpm.idx, (ROW()-3)*16 + J$1,
  _xlpm.r, MOD(_xlpm.idx, SpriteCount),
  INDEX(
    sprite_data.asm!$C$3:$R$156,
    INT(_xlpm.idx / SpriteCount) * 7 + INT(_xlpm.r / 16) + 1,
    MOD(_xlpm.r, 16) + 1
  )
)</f>
        <v>60</v>
      </c>
      <c r="K121" t="str" cm="1">
        <f t="array" ref="K121">_xlfn.LET(
  _xlpm.idx, (ROW()-3)*16 + K$1,
  _xlpm.r, MOD(_xlpm.idx, SpriteCount),
  INDEX(
    sprite_data.asm!$C$3:$R$156,
    INT(_xlpm.idx / SpriteCount) * 7 + INT(_xlpm.r / 16) + 1,
    MOD(_xlpm.r, 16) + 1
  )
)</f>
        <v>30</v>
      </c>
      <c r="L121" t="str" cm="1">
        <f t="array" ref="L121">_xlfn.LET(
  _xlpm.idx, (ROW()-3)*16 + L$1,
  _xlpm.r, MOD(_xlpm.idx, SpriteCount),
  INDEX(
    sprite_data.asm!$C$3:$R$156,
    INT(_xlpm.idx / SpriteCount) * 7 + INT(_xlpm.r / 16) + 1,
    MOD(_xlpm.r, 16) + 1
  )
)</f>
        <v>6C</v>
      </c>
      <c r="M121" t="str" cm="1">
        <f t="array" ref="M121">_xlfn.LET(
  _xlpm.idx, (ROW()-3)*16 + M$1,
  _xlpm.r, MOD(_xlpm.idx, SpriteCount),
  INDEX(
    sprite_data.asm!$C$3:$R$156,
    INT(_xlpm.idx / SpriteCount) * 7 + INT(_xlpm.r / 16) + 1,
    MOD(_xlpm.r, 16) + 1
  )
)</f>
        <v>10</v>
      </c>
      <c r="N121" t="str" cm="1">
        <f t="array" ref="N121">_xlfn.LET(
  _xlpm.idx, (ROW()-3)*16 + N$1,
  _xlpm.r, MOD(_xlpm.idx, SpriteCount),
  INDEX(
    sprite_data.asm!$C$3:$R$156,
    INT(_xlpm.idx / SpriteCount) * 7 + INT(_xlpm.r / 16) + 1,
    MOD(_xlpm.r, 16) + 1
  )
)</f>
        <v>04</v>
      </c>
      <c r="O121" t="str" cm="1">
        <f t="array" ref="O121">_xlfn.LET(
  _xlpm.idx, (ROW()-3)*16 + O$1,
  _xlpm.r, MOD(_xlpm.idx, SpriteCount),
  INDEX(
    sprite_data.asm!$C$3:$R$156,
    INT(_xlpm.idx / SpriteCount) * 7 + INT(_xlpm.r / 16) + 1,
    MOD(_xlpm.r, 16) + 1
  )
)</f>
        <v>40</v>
      </c>
      <c r="P121" t="str" cm="1">
        <f t="array" ref="P121">_xlfn.LET(
  _xlpm.idx, (ROW()-3)*16 + P$1,
  _xlpm.r, MOD(_xlpm.idx, SpriteCount),
  INDEX(
    sprite_data.asm!$C$3:$R$156,
    INT(_xlpm.idx / SpriteCount) * 7 + INT(_xlpm.r / 16) + 1,
    MOD(_xlpm.r, 16) + 1
  )
)</f>
        <v>00</v>
      </c>
      <c r="Q121" t="str" cm="1">
        <f t="array" ref="Q121">_xlfn.LET(
  _xlpm.idx, (ROW()-3)*16 + Q$1,
  _xlpm.r, MOD(_xlpm.idx, SpriteCount),
  INDEX(
    sprite_data.asm!$C$3:$R$156,
    INT(_xlpm.idx / SpriteCount) * 7 + INT(_xlpm.r / 16) + 1,
    MOD(_xlpm.r, 16) + 1
  )
)</f>
        <v>51</v>
      </c>
    </row>
    <row r="122" spans="1:17" x14ac:dyDescent="0.3">
      <c r="A122" s="2" t="str">
        <f t="shared" si="6"/>
        <v>B470</v>
      </c>
      <c r="B122" t="str" cm="1">
        <f t="array" ref="B122">_xlfn.LET(
  _xlpm.idx, (ROW()-3)*16 + B$1,
  _xlpm.r, MOD(_xlpm.idx, SpriteCount),
  INDEX(
    sprite_data.asm!$C$3:$R$156,
    INT(_xlpm.idx / SpriteCount) * 7 + INT(_xlpm.r / 16) + 1,
    MOD(_xlpm.r, 16) + 1
  )
)</f>
        <v>51</v>
      </c>
      <c r="C122" t="str" cm="1">
        <f t="array" ref="C122">_xlfn.LET(
  _xlpm.idx, (ROW()-3)*16 + C$1,
  _xlpm.r, MOD(_xlpm.idx, SpriteCount),
  INDEX(
    sprite_data.asm!$C$3:$R$156,
    INT(_xlpm.idx / SpriteCount) * 7 + INT(_xlpm.r / 16) + 1,
    MOD(_xlpm.r, 16) + 1
  )
)</f>
        <v>51</v>
      </c>
      <c r="D122" t="str" cm="1">
        <f t="array" ref="D122">_xlfn.LET(
  _xlpm.idx, (ROW()-3)*16 + D$1,
  _xlpm.r, MOD(_xlpm.idx, SpriteCount),
  INDEX(
    sprite_data.asm!$C$3:$R$156,
    INT(_xlpm.idx / SpriteCount) * 7 + INT(_xlpm.r / 16) + 1,
    MOD(_xlpm.r, 16) + 1
  )
)</f>
        <v>51</v>
      </c>
      <c r="E122" t="str" cm="1">
        <f t="array" ref="E122">_xlfn.LET(
  _xlpm.idx, (ROW()-3)*16 + E$1,
  _xlpm.r, MOD(_xlpm.idx, SpriteCount),
  INDEX(
    sprite_data.asm!$C$3:$R$156,
    INT(_xlpm.idx / SpriteCount) * 7 + INT(_xlpm.r / 16) + 1,
    MOD(_xlpm.r, 16) + 1
  )
)</f>
        <v>51</v>
      </c>
      <c r="F122" t="str" cm="1">
        <f t="array" ref="F122">_xlfn.LET(
  _xlpm.idx, (ROW()-3)*16 + F$1,
  _xlpm.r, MOD(_xlpm.idx, SpriteCount),
  INDEX(
    sprite_data.asm!$C$3:$R$156,
    INT(_xlpm.idx / SpriteCount) * 7 + INT(_xlpm.r / 16) + 1,
    MOD(_xlpm.r, 16) + 1
  )
)</f>
        <v>28</v>
      </c>
      <c r="G122" t="str" cm="1">
        <f t="array" ref="G122">_xlfn.LET(
  _xlpm.idx, (ROW()-3)*16 + G$1,
  _xlpm.r, MOD(_xlpm.idx, SpriteCount),
  INDEX(
    sprite_data.asm!$C$3:$R$156,
    INT(_xlpm.idx / SpriteCount) * 7 + INT(_xlpm.r / 16) + 1,
    MOD(_xlpm.r, 16) + 1
  )
)</f>
        <v>6C</v>
      </c>
      <c r="H122" t="str" cm="1">
        <f t="array" ref="H122">_xlfn.LET(
  _xlpm.idx, (ROW()-3)*16 + H$1,
  _xlpm.r, MOD(_xlpm.idx, SpriteCount),
  INDEX(
    sprite_data.asm!$C$3:$R$156,
    INT(_xlpm.idx / SpriteCount) * 7 + INT(_xlpm.r / 16) + 1,
    MOD(_xlpm.r, 16) + 1
  )
)</f>
        <v>0A</v>
      </c>
      <c r="I122" t="str" cm="1">
        <f t="array" ref="I122">_xlfn.LET(
  _xlpm.idx, (ROW()-3)*16 + I$1,
  _xlpm.r, MOD(_xlpm.idx, SpriteCount),
  INDEX(
    sprite_data.asm!$C$3:$R$156,
    INT(_xlpm.idx / SpriteCount) * 7 + INT(_xlpm.r / 16) + 1,
    MOD(_xlpm.r, 16) + 1
  )
)</f>
        <v>08</v>
      </c>
      <c r="J122" t="str" cm="1">
        <f t="array" ref="J122">_xlfn.LET(
  _xlpm.idx, (ROW()-3)*16 + J$1,
  _xlpm.r, MOD(_xlpm.idx, SpriteCount),
  INDEX(
    sprite_data.asm!$C$3:$R$156,
    INT(_xlpm.idx / SpriteCount) * 7 + INT(_xlpm.r / 16) + 1,
    MOD(_xlpm.r, 16) + 1
  )
)</f>
        <v>40</v>
      </c>
      <c r="K122" t="str" cm="1">
        <f t="array" ref="K122">_xlfn.LET(
  _xlpm.idx, (ROW()-3)*16 + K$1,
  _xlpm.r, MOD(_xlpm.idx, SpriteCount),
  INDEX(
    sprite_data.asm!$C$3:$R$156,
    INT(_xlpm.idx / SpriteCount) * 7 + INT(_xlpm.r / 16) + 1,
    MOD(_xlpm.r, 16) + 1
  )
)</f>
        <v>38</v>
      </c>
      <c r="L122" t="str" cm="1">
        <f t="array" ref="L122">_xlfn.LET(
  _xlpm.idx, (ROW()-3)*16 + L$1,
  _xlpm.r, MOD(_xlpm.idx, SpriteCount),
  INDEX(
    sprite_data.asm!$C$3:$R$156,
    INT(_xlpm.idx / SpriteCount) * 7 + INT(_xlpm.r / 16) + 1,
    MOD(_xlpm.r, 16) + 1
  )
)</f>
        <v>0C</v>
      </c>
      <c r="M122" t="str" cm="1">
        <f t="array" ref="M122">_xlfn.LET(
  _xlpm.idx, (ROW()-3)*16 + M$1,
  _xlpm.r, MOD(_xlpm.idx, SpriteCount),
  INDEX(
    sprite_data.asm!$C$3:$R$156,
    INT(_xlpm.idx / SpriteCount) * 7 + INT(_xlpm.r / 16) + 1,
    MOD(_xlpm.r, 16) + 1
  )
)</f>
        <v>60</v>
      </c>
      <c r="N122" t="str" cm="1">
        <f t="array" ref="N122">_xlfn.LET(
  _xlpm.idx, (ROW()-3)*16 + N$1,
  _xlpm.r, MOD(_xlpm.idx, SpriteCount),
  INDEX(
    sprite_data.asm!$C$3:$R$156,
    INT(_xlpm.idx / SpriteCount) * 7 + INT(_xlpm.r / 16) + 1,
    MOD(_xlpm.r, 16) + 1
  )
)</f>
        <v>0C</v>
      </c>
      <c r="O122" t="str" cm="1">
        <f t="array" ref="O122">_xlfn.LET(
  _xlpm.idx, (ROW()-3)*16 + O$1,
  _xlpm.r, MOD(_xlpm.idx, SpriteCount),
  INDEX(
    sprite_data.asm!$C$3:$R$156,
    INT(_xlpm.idx / SpriteCount) * 7 + INT(_xlpm.r / 16) + 1,
    MOD(_xlpm.r, 16) + 1
  )
)</f>
        <v>1B</v>
      </c>
      <c r="P122" t="str" cm="1">
        <f t="array" ref="P122">_xlfn.LET(
  _xlpm.idx, (ROW()-3)*16 + P$1,
  _xlpm.r, MOD(_xlpm.idx, SpriteCount),
  INDEX(
    sprite_data.asm!$C$3:$R$156,
    INT(_xlpm.idx / SpriteCount) * 7 + INT(_xlpm.r / 16) + 1,
    MOD(_xlpm.r, 16) + 1
  )
)</f>
        <v>36</v>
      </c>
      <c r="Q122" t="str" cm="1">
        <f t="array" ref="Q122">_xlfn.LET(
  _xlpm.idx, (ROW()-3)*16 + Q$1,
  _xlpm.r, MOD(_xlpm.idx, SpriteCount),
  INDEX(
    sprite_data.asm!$C$3:$R$156,
    INT(_xlpm.idx / SpriteCount) * 7 + INT(_xlpm.r / 16) + 1,
    MOD(_xlpm.r, 16) + 1
  )
)</f>
        <v>58</v>
      </c>
    </row>
    <row r="123" spans="1:17" x14ac:dyDescent="0.3">
      <c r="A123" s="2" t="str">
        <f t="shared" si="6"/>
        <v>B480</v>
      </c>
      <c r="B123" t="str" cm="1">
        <f t="array" ref="B123">_xlfn.LET(
  _xlpm.idx, (ROW()-3)*16 + B$1,
  _xlpm.r, MOD(_xlpm.idx, SpriteCount),
  INDEX(
    sprite_data.asm!$C$3:$R$156,
    INT(_xlpm.idx / SpriteCount) * 7 + INT(_xlpm.r / 16) + 1,
    MOD(_xlpm.r, 16) + 1
  )
)</f>
        <v>30</v>
      </c>
      <c r="C123" t="str" cm="1">
        <f t="array" ref="C123">_xlfn.LET(
  _xlpm.idx, (ROW()-3)*16 + C$1,
  _xlpm.r, MOD(_xlpm.idx, SpriteCount),
  INDEX(
    sprite_data.asm!$C$3:$R$156,
    INT(_xlpm.idx / SpriteCount) * 7 + INT(_xlpm.r / 16) + 1,
    MOD(_xlpm.r, 16) + 1
  )
)</f>
        <v>58</v>
      </c>
      <c r="D123" t="str" cm="1">
        <f t="array" ref="D123">_xlfn.LET(
  _xlpm.idx, (ROW()-3)*16 + D$1,
  _xlpm.r, MOD(_xlpm.idx, SpriteCount),
  INDEX(
    sprite_data.asm!$C$3:$R$156,
    INT(_xlpm.idx / SpriteCount) * 7 + INT(_xlpm.r / 16) + 1,
    MOD(_xlpm.r, 16) + 1
  )
)</f>
        <v>36</v>
      </c>
      <c r="E123" t="str" cm="1">
        <f t="array" ref="E123">_xlfn.LET(
  _xlpm.idx, (ROW()-3)*16 + E$1,
  _xlpm.r, MOD(_xlpm.idx, SpriteCount),
  INDEX(
    sprite_data.asm!$C$3:$R$156,
    INT(_xlpm.idx / SpriteCount) * 7 + INT(_xlpm.r / 16) + 1,
    MOD(_xlpm.r, 16) + 1
  )
)</f>
        <v>18</v>
      </c>
      <c r="F123" t="str" cm="1">
        <f t="array" ref="F123">_xlfn.LET(
  _xlpm.idx, (ROW()-3)*16 + F$1,
  _xlpm.r, MOD(_xlpm.idx, SpriteCount),
  INDEX(
    sprite_data.asm!$C$3:$R$156,
    INT(_xlpm.idx / SpriteCount) * 7 + INT(_xlpm.r / 16) + 1,
    MOD(_xlpm.r, 16) + 1
  )
)</f>
        <v>60</v>
      </c>
      <c r="G123" t="str" cm="1">
        <f t="array" ref="G123">_xlfn.LET(
  _xlpm.idx, (ROW()-3)*16 + G$1,
  _xlpm.r, MOD(_xlpm.idx, SpriteCount),
  INDEX(
    sprite_data.asm!$C$3:$R$156,
    INT(_xlpm.idx / SpriteCount) * 7 + INT(_xlpm.r / 16) + 1,
    MOD(_xlpm.r, 16) + 1
  )
)</f>
        <v>30</v>
      </c>
      <c r="H123" t="str" cm="1">
        <f t="array" ref="H123">_xlfn.LET(
  _xlpm.idx, (ROW()-3)*16 + H$1,
  _xlpm.r, MOD(_xlpm.idx, SpriteCount),
  INDEX(
    sprite_data.asm!$C$3:$R$156,
    INT(_xlpm.idx / SpriteCount) * 7 + INT(_xlpm.r / 16) + 1,
    MOD(_xlpm.r, 16) + 1
  )
)</f>
        <v>6C</v>
      </c>
      <c r="I123" t="str" cm="1">
        <f t="array" ref="I123">_xlfn.LET(
  _xlpm.idx, (ROW()-3)*16 + I$1,
  _xlpm.r, MOD(_xlpm.idx, SpriteCount),
  INDEX(
    sprite_data.asm!$C$3:$R$156,
    INT(_xlpm.idx / SpriteCount) * 7 + INT(_xlpm.r / 16) + 1,
    MOD(_xlpm.r, 16) + 1
  )
)</f>
        <v>01</v>
      </c>
      <c r="J123" t="str" cm="1">
        <f t="array" ref="J123">_xlfn.LET(
  _xlpm.idx, (ROW()-3)*16 + J$1,
  _xlpm.r, MOD(_xlpm.idx, SpriteCount),
  INDEX(
    sprite_data.asm!$C$3:$R$156,
    INT(_xlpm.idx / SpriteCount) * 7 + INT(_xlpm.r / 16) + 1,
    MOD(_xlpm.r, 16) + 1
  )
)</f>
        <v>01</v>
      </c>
      <c r="K123" t="str" cm="1">
        <f t="array" ref="K123">_xlfn.LET(
  _xlpm.idx, (ROW()-3)*16 + K$1,
  _xlpm.r, MOD(_xlpm.idx, SpriteCount),
  INDEX(
    sprite_data.asm!$C$3:$R$156,
    INT(_xlpm.idx / SpriteCount) * 7 + INT(_xlpm.r / 16) + 1,
    MOD(_xlpm.r, 16) + 1
  )
)</f>
        <v>28</v>
      </c>
      <c r="L123" t="str" cm="1">
        <f t="array" ref="L123">_xlfn.LET(
  _xlpm.idx, (ROW()-3)*16 + L$1,
  _xlpm.r, MOD(_xlpm.idx, SpriteCount),
  INDEX(
    sprite_data.asm!$C$3:$R$156,
    INT(_xlpm.idx / SpriteCount) * 7 + INT(_xlpm.r / 16) + 1,
    MOD(_xlpm.r, 16) + 1
  )
)</f>
        <v>2A</v>
      </c>
      <c r="M123" t="str" cm="1">
        <f t="array" ref="M123">_xlfn.LET(
  _xlpm.idx, (ROW()-3)*16 + M$1,
  _xlpm.r, MOD(_xlpm.idx, SpriteCount),
  INDEX(
    sprite_data.asm!$C$3:$R$156,
    INT(_xlpm.idx / SpriteCount) * 7 + INT(_xlpm.r / 16) + 1,
    MOD(_xlpm.r, 16) + 1
  )
)</f>
        <v>22</v>
      </c>
      <c r="N123" t="str" cm="1">
        <f t="array" ref="N123">_xlfn.LET(
  _xlpm.idx, (ROW()-3)*16 + N$1,
  _xlpm.r, MOD(_xlpm.idx, SpriteCount),
  INDEX(
    sprite_data.asm!$C$3:$R$156,
    INT(_xlpm.idx / SpriteCount) * 7 + INT(_xlpm.r / 16) + 1,
    MOD(_xlpm.r, 16) + 1
  )
)</f>
        <v>28</v>
      </c>
      <c r="O123" t="str" cm="1">
        <f t="array" ref="O123">_xlfn.LET(
  _xlpm.idx, (ROW()-3)*16 + O$1,
  _xlpm.r, MOD(_xlpm.idx, SpriteCount),
  INDEX(
    sprite_data.asm!$C$3:$R$156,
    INT(_xlpm.idx / SpriteCount) * 7 + INT(_xlpm.r / 16) + 1,
    MOD(_xlpm.r, 16) + 1
  )
)</f>
        <v>22</v>
      </c>
      <c r="P123" t="str" cm="1">
        <f t="array" ref="P123">_xlfn.LET(
  _xlpm.idx, (ROW()-3)*16 + P$1,
  _xlpm.r, MOD(_xlpm.idx, SpriteCount),
  INDEX(
    sprite_data.asm!$C$3:$R$156,
    INT(_xlpm.idx / SpriteCount) * 7 + INT(_xlpm.r / 16) + 1,
    MOD(_xlpm.r, 16) + 1
  )
)</f>
        <v>02</v>
      </c>
      <c r="Q123" t="str" cm="1">
        <f t="array" ref="Q123">_xlfn.LET(
  _xlpm.idx, (ROW()-3)*16 + Q$1,
  _xlpm.r, MOD(_xlpm.idx, SpriteCount),
  INDEX(
    sprite_data.asm!$C$3:$R$156,
    INT(_xlpm.idx / SpriteCount) * 7 + INT(_xlpm.r / 16) + 1,
    MOD(_xlpm.r, 16) + 1
  )
)</f>
        <v>00</v>
      </c>
    </row>
    <row r="124" spans="1:17" x14ac:dyDescent="0.3">
      <c r="A124" s="2" t="str">
        <f t="shared" si="6"/>
        <v>B490</v>
      </c>
      <c r="B124" t="str" cm="1">
        <f t="array" ref="B124">_xlfn.LET(
  _xlpm.idx, (ROW()-3)*16 + B$1,
  _xlpm.r, MOD(_xlpm.idx, SpriteCount),
  INDEX(
    sprite_data.asm!$C$3:$R$156,
    INT(_xlpm.idx / SpriteCount) * 7 + INT(_xlpm.r / 16) + 1,
    MOD(_xlpm.r, 16) + 1
  )
)</f>
        <v>20</v>
      </c>
      <c r="C124" t="str" cm="1">
        <f t="array" ref="C124">_xlfn.LET(
  _xlpm.idx, (ROW()-3)*16 + C$1,
  _xlpm.r, MOD(_xlpm.idx, SpriteCount),
  INDEX(
    sprite_data.asm!$C$3:$R$156,
    INT(_xlpm.idx / SpriteCount) * 7 + INT(_xlpm.r / 16) + 1,
    MOD(_xlpm.r, 16) + 1
  )
)</f>
        <v>22</v>
      </c>
      <c r="D124" t="str" cm="1">
        <f t="array" ref="D124">_xlfn.LET(
  _xlpm.idx, (ROW()-3)*16 + D$1,
  _xlpm.r, MOD(_xlpm.idx, SpriteCount),
  INDEX(
    sprite_data.asm!$C$3:$R$156,
    INT(_xlpm.idx / SpriteCount) * 7 + INT(_xlpm.r / 16) + 1,
    MOD(_xlpm.r, 16) + 1
  )
)</f>
        <v>08</v>
      </c>
      <c r="E124" t="str" cm="1">
        <f t="array" ref="E124">_xlfn.LET(
  _xlpm.idx, (ROW()-3)*16 + E$1,
  _xlpm.r, MOD(_xlpm.idx, SpriteCount),
  INDEX(
    sprite_data.asm!$C$3:$R$156,
    INT(_xlpm.idx / SpriteCount) * 7 + INT(_xlpm.r / 16) + 1,
    MOD(_xlpm.r, 16) + 1
  )
)</f>
        <v>02</v>
      </c>
      <c r="F124" t="str" cm="1">
        <f t="array" ref="F124">_xlfn.LET(
  _xlpm.idx, (ROW()-3)*16 + F$1,
  _xlpm.r, MOD(_xlpm.idx, SpriteCount),
  INDEX(
    sprite_data.asm!$C$3:$R$156,
    INT(_xlpm.idx / SpriteCount) * 7 + INT(_xlpm.r / 16) + 1,
    MOD(_xlpm.r, 16) + 1
  )
)</f>
        <v>20</v>
      </c>
      <c r="G124" t="str" cm="1">
        <f t="array" ref="G124">_xlfn.LET(
  _xlpm.idx, (ROW()-3)*16 + G$1,
  _xlpm.r, MOD(_xlpm.idx, SpriteCount),
  INDEX(
    sprite_data.asm!$C$3:$R$156,
    INT(_xlpm.idx / SpriteCount) * 7 + INT(_xlpm.r / 16) + 1,
    MOD(_xlpm.r, 16) + 1
  )
)</f>
        <v>51</v>
      </c>
      <c r="H124" t="str" cm="1">
        <f t="array" ref="H124">_xlfn.LET(
  _xlpm.idx, (ROW()-3)*16 + H$1,
  _xlpm.r, MOD(_xlpm.idx, SpriteCount),
  INDEX(
    sprite_data.asm!$C$3:$R$156,
    INT(_xlpm.idx / SpriteCount) * 7 + INT(_xlpm.r / 16) + 1,
    MOD(_xlpm.r, 16) + 1
  )
)</f>
        <v>41</v>
      </c>
      <c r="I124" t="str" cm="1">
        <f t="array" ref="I124">_xlfn.LET(
  _xlpm.idx, (ROW()-3)*16 + I$1,
  _xlpm.r, MOD(_xlpm.idx, SpriteCount),
  INDEX(
    sprite_data.asm!$C$3:$R$156,
    INT(_xlpm.idx / SpriteCount) * 7 + INT(_xlpm.r / 16) + 1,
    MOD(_xlpm.r, 16) + 1
  )
)</f>
        <v>45</v>
      </c>
      <c r="J124" t="str" cm="1">
        <f t="array" ref="J124">_xlfn.LET(
  _xlpm.idx, (ROW()-3)*16 + J$1,
  _xlpm.r, MOD(_xlpm.idx, SpriteCount),
  INDEX(
    sprite_data.asm!$C$3:$R$156,
    INT(_xlpm.idx / SpriteCount) * 7 + INT(_xlpm.r / 16) + 1,
    MOD(_xlpm.r, 16) + 1
  )
)</f>
        <v>45</v>
      </c>
      <c r="K124" t="str" cm="1">
        <f t="array" ref="K124">_xlfn.LET(
  _xlpm.idx, (ROW()-3)*16 + K$1,
  _xlpm.r, MOD(_xlpm.idx, SpriteCount),
  INDEX(
    sprite_data.asm!$C$3:$R$156,
    INT(_xlpm.idx / SpriteCount) * 7 + INT(_xlpm.r / 16) + 1,
    MOD(_xlpm.r, 16) + 1
  )
)</f>
        <v>01</v>
      </c>
      <c r="L124" t="str" cm="1">
        <f t="array" ref="L124">_xlfn.LET(
  _xlpm.idx, (ROW()-3)*16 + L$1,
  _xlpm.r, MOD(_xlpm.idx, SpriteCount),
  INDEX(
    sprite_data.asm!$C$3:$R$156,
    INT(_xlpm.idx / SpriteCount) * 7 + INT(_xlpm.r / 16) + 1,
    MOD(_xlpm.r, 16) + 1
  )
)</f>
        <v>01</v>
      </c>
      <c r="M124" t="str" cm="1">
        <f t="array" ref="M124">_xlfn.LET(
  _xlpm.idx, (ROW()-3)*16 + M$1,
  _xlpm.r, MOD(_xlpm.idx, SpriteCount),
  INDEX(
    sprite_data.asm!$C$3:$R$156,
    INT(_xlpm.idx / SpriteCount) * 7 + INT(_xlpm.r / 16) + 1,
    MOD(_xlpm.r, 16) + 1
  )
)</f>
        <v>41</v>
      </c>
      <c r="N124" t="str" cm="1">
        <f t="array" ref="N124">_xlfn.LET(
  _xlpm.idx, (ROW()-3)*16 + N$1,
  _xlpm.r, MOD(_xlpm.idx, SpriteCount),
  INDEX(
    sprite_data.asm!$C$3:$R$156,
    INT(_xlpm.idx / SpriteCount) * 7 + INT(_xlpm.r / 16) + 1,
    MOD(_xlpm.r, 16) + 1
  )
)</f>
        <v>45</v>
      </c>
      <c r="O124" t="str" cm="1">
        <f t="array" ref="O124">_xlfn.LET(
  _xlpm.idx, (ROW()-3)*16 + O$1,
  _xlpm.r, MOD(_xlpm.idx, SpriteCount),
  INDEX(
    sprite_data.asm!$C$3:$R$156,
    INT(_xlpm.idx / SpriteCount) * 7 + INT(_xlpm.r / 16) + 1,
    MOD(_xlpm.r, 16) + 1
  )
)</f>
        <v>14</v>
      </c>
      <c r="P124" t="str" cm="1">
        <f t="array" ref="P124">_xlfn.LET(
  _xlpm.idx, (ROW()-3)*16 + P$1,
  _xlpm.r, MOD(_xlpm.idx, SpriteCount),
  INDEX(
    sprite_data.asm!$C$3:$R$156,
    INT(_xlpm.idx / SpriteCount) * 7 + INT(_xlpm.r / 16) + 1,
    MOD(_xlpm.r, 16) + 1
  )
)</f>
        <v>51</v>
      </c>
      <c r="Q124" t="str" cm="1">
        <f t="array" ref="Q124">_xlfn.LET(
  _xlpm.idx, (ROW()-3)*16 + Q$1,
  _xlpm.r, MOD(_xlpm.idx, SpriteCount),
  INDEX(
    sprite_data.asm!$C$3:$R$156,
    INT(_xlpm.idx / SpriteCount) * 7 + INT(_xlpm.r / 16) + 1,
    MOD(_xlpm.r, 16) + 1
  )
)</f>
        <v>45</v>
      </c>
    </row>
    <row r="125" spans="1:17" x14ac:dyDescent="0.3">
      <c r="A125" s="2" t="str">
        <f t="shared" si="6"/>
        <v>B4A0</v>
      </c>
      <c r="B125" t="str" cm="1">
        <f t="array" ref="B125">_xlfn.LET(
  _xlpm.idx, (ROW()-3)*16 + B$1,
  _xlpm.r, MOD(_xlpm.idx, SpriteCount),
  INDEX(
    sprite_data.asm!$C$3:$R$156,
    INT(_xlpm.idx / SpriteCount) * 7 + INT(_xlpm.r / 16) + 1,
    MOD(_xlpm.r, 16) + 1
  )
)</f>
        <v>05</v>
      </c>
      <c r="C125" t="str" cm="1">
        <f t="array" ref="C125">_xlfn.LET(
  _xlpm.idx, (ROW()-3)*16 + C$1,
  _xlpm.r, MOD(_xlpm.idx, SpriteCount),
  INDEX(
    sprite_data.asm!$C$3:$R$156,
    INT(_xlpm.idx / SpriteCount) * 7 + INT(_xlpm.r / 16) + 1,
    MOD(_xlpm.r, 16) + 1
  )
)</f>
        <v>41</v>
      </c>
      <c r="D125" t="str" cm="1">
        <f t="array" ref="D125">_xlfn.LET(
  _xlpm.idx, (ROW()-3)*16 + D$1,
  _xlpm.r, MOD(_xlpm.idx, SpriteCount),
  INDEX(
    sprite_data.asm!$C$3:$R$156,
    INT(_xlpm.idx / SpriteCount) * 7 + INT(_xlpm.r / 16) + 1,
    MOD(_xlpm.r, 16) + 1
  )
)</f>
        <v>41</v>
      </c>
      <c r="E125" t="str" cm="1">
        <f t="array" ref="E125">_xlfn.LET(
  _xlpm.idx, (ROW()-3)*16 + E$1,
  _xlpm.r, MOD(_xlpm.idx, SpriteCount),
  INDEX(
    sprite_data.asm!$C$3:$R$156,
    INT(_xlpm.idx / SpriteCount) * 7 + INT(_xlpm.r / 16) + 1,
    MOD(_xlpm.r, 16) + 1
  )
)</f>
        <v>41</v>
      </c>
      <c r="F125" t="str" cm="1">
        <f t="array" ref="F125">_xlfn.LET(
  _xlpm.idx, (ROW()-3)*16 + F$1,
  _xlpm.r, MOD(_xlpm.idx, SpriteCount),
  INDEX(
    sprite_data.asm!$C$3:$R$156,
    INT(_xlpm.idx / SpriteCount) * 7 + INT(_xlpm.r / 16) + 1,
    MOD(_xlpm.r, 16) + 1
  )
)</f>
        <v>05</v>
      </c>
      <c r="G125" t="str" cm="1">
        <f t="array" ref="G125">_xlfn.LET(
  _xlpm.idx, (ROW()-3)*16 + G$1,
  _xlpm.r, MOD(_xlpm.idx, SpriteCount),
  INDEX(
    sprite_data.asm!$C$3:$R$156,
    INT(_xlpm.idx / SpriteCount) * 7 + INT(_xlpm.r / 16) + 1,
    MOD(_xlpm.r, 16) + 1
  )
)</f>
        <v>11</v>
      </c>
      <c r="H125" t="str" cm="1">
        <f t="array" ref="H125">_xlfn.LET(
  _xlpm.idx, (ROW()-3)*16 + H$1,
  _xlpm.r, MOD(_xlpm.idx, SpriteCount),
  INDEX(
    sprite_data.asm!$C$3:$R$156,
    INT(_xlpm.idx / SpriteCount) * 7 + INT(_xlpm.r / 16) + 1,
    MOD(_xlpm.r, 16) + 1
  )
)</f>
        <v>45</v>
      </c>
      <c r="I125" t="str" cm="1">
        <f t="array" ref="I125">_xlfn.LET(
  _xlpm.idx, (ROW()-3)*16 + I$1,
  _xlpm.r, MOD(_xlpm.idx, SpriteCount),
  INDEX(
    sprite_data.asm!$C$3:$R$156,
    INT(_xlpm.idx / SpriteCount) * 7 + INT(_xlpm.r / 16) + 1,
    MOD(_xlpm.r, 16) + 1
  )
)</f>
        <v>51</v>
      </c>
      <c r="J125" t="str" cm="1">
        <f t="array" ref="J125">_xlfn.LET(
  _xlpm.idx, (ROW()-3)*16 + J$1,
  _xlpm.r, MOD(_xlpm.idx, SpriteCount),
  INDEX(
    sprite_data.asm!$C$3:$R$156,
    INT(_xlpm.idx / SpriteCount) * 7 + INT(_xlpm.r / 16) + 1,
    MOD(_xlpm.r, 16) + 1
  )
)</f>
        <v>14</v>
      </c>
      <c r="K125" t="str" cm="1">
        <f t="array" ref="K125">_xlfn.LET(
  _xlpm.idx, (ROW()-3)*16 + K$1,
  _xlpm.r, MOD(_xlpm.idx, SpriteCount),
  INDEX(
    sprite_data.asm!$C$3:$R$156,
    INT(_xlpm.idx / SpriteCount) * 7 + INT(_xlpm.r / 16) + 1,
    MOD(_xlpm.r, 16) + 1
  )
)</f>
        <v>45</v>
      </c>
      <c r="L125" t="str" cm="1">
        <f t="array" ref="L125">_xlfn.LET(
  _xlpm.idx, (ROW()-3)*16 + L$1,
  _xlpm.r, MOD(_xlpm.idx, SpriteCount),
  INDEX(
    sprite_data.asm!$C$3:$R$156,
    INT(_xlpm.idx / SpriteCount) * 7 + INT(_xlpm.r / 16) + 1,
    MOD(_xlpm.r, 16) + 1
  )
)</f>
        <v>14</v>
      </c>
      <c r="M125" t="str" cm="1">
        <f t="array" ref="M125">_xlfn.LET(
  _xlpm.idx, (ROW()-3)*16 + M$1,
  _xlpm.r, MOD(_xlpm.idx, SpriteCount),
  INDEX(
    sprite_data.asm!$C$3:$R$156,
    INT(_xlpm.idx / SpriteCount) * 7 + INT(_xlpm.r / 16) + 1,
    MOD(_xlpm.r, 16) + 1
  )
)</f>
        <v>45</v>
      </c>
      <c r="N125" t="str" cm="1">
        <f t="array" ref="N125">_xlfn.LET(
  _xlpm.idx, (ROW()-3)*16 + N$1,
  _xlpm.r, MOD(_xlpm.idx, SpriteCount),
  INDEX(
    sprite_data.asm!$C$3:$R$156,
    INT(_xlpm.idx / SpriteCount) * 7 + INT(_xlpm.r / 16) + 1,
    MOD(_xlpm.r, 16) + 1
  )
)</f>
        <v>41</v>
      </c>
      <c r="O125" t="str" cm="1">
        <f t="array" ref="O125">_xlfn.LET(
  _xlpm.idx, (ROW()-3)*16 + O$1,
  _xlpm.r, MOD(_xlpm.idx, SpriteCount),
  INDEX(
    sprite_data.asm!$C$3:$R$156,
    INT(_xlpm.idx / SpriteCount) * 7 + INT(_xlpm.r / 16) + 1,
    MOD(_xlpm.r, 16) + 1
  )
)</f>
        <v>14</v>
      </c>
      <c r="P125" t="str" cm="1">
        <f t="array" ref="P125">_xlfn.LET(
  _xlpm.idx, (ROW()-3)*16 + P$1,
  _xlpm.r, MOD(_xlpm.idx, SpriteCount),
  INDEX(
    sprite_data.asm!$C$3:$R$156,
    INT(_xlpm.idx / SpriteCount) * 7 + INT(_xlpm.r / 16) + 1,
    MOD(_xlpm.r, 16) + 1
  )
)</f>
        <v>51</v>
      </c>
      <c r="Q125" t="str" cm="1">
        <f t="array" ref="Q125">_xlfn.LET(
  _xlpm.idx, (ROW()-3)*16 + Q$1,
  _xlpm.r, MOD(_xlpm.idx, SpriteCount),
  INDEX(
    sprite_data.asm!$C$3:$R$156,
    INT(_xlpm.idx / SpriteCount) * 7 + INT(_xlpm.r / 16) + 1,
    MOD(_xlpm.r, 16) + 1
  )
)</f>
        <v>05</v>
      </c>
    </row>
    <row r="126" spans="1:17" x14ac:dyDescent="0.3">
      <c r="A126" s="2" t="str">
        <f t="shared" si="6"/>
        <v>B4B0</v>
      </c>
      <c r="B126" t="str" cm="1">
        <f t="array" ref="B126">_xlfn.LET(
  _xlpm.idx, (ROW()-3)*16 + B$1,
  _xlpm.r, MOD(_xlpm.idx, SpriteCount),
  INDEX(
    sprite_data.asm!$C$3:$R$156,
    INT(_xlpm.idx / SpriteCount) * 7 + INT(_xlpm.r / 16) + 1,
    MOD(_xlpm.r, 16) + 1
  )
)</f>
        <v>14</v>
      </c>
      <c r="C126" t="str" cm="1">
        <f t="array" ref="C126">_xlfn.LET(
  _xlpm.idx, (ROW()-3)*16 + C$1,
  _xlpm.r, MOD(_xlpm.idx, SpriteCount),
  INDEX(
    sprite_data.asm!$C$3:$R$156,
    INT(_xlpm.idx / SpriteCount) * 7 + INT(_xlpm.r / 16) + 1,
    MOD(_xlpm.r, 16) + 1
  )
)</f>
        <v>14</v>
      </c>
      <c r="D126" t="str" cm="1">
        <f t="array" ref="D126">_xlfn.LET(
  _xlpm.idx, (ROW()-3)*16 + D$1,
  _xlpm.r, MOD(_xlpm.idx, SpriteCount),
  INDEX(
    sprite_data.asm!$C$3:$R$156,
    INT(_xlpm.idx / SpriteCount) * 7 + INT(_xlpm.r / 16) + 1,
    MOD(_xlpm.r, 16) + 1
  )
)</f>
        <v>14</v>
      </c>
      <c r="E126" t="str" cm="1">
        <f t="array" ref="E126">_xlfn.LET(
  _xlpm.idx, (ROW()-3)*16 + E$1,
  _xlpm.r, MOD(_xlpm.idx, SpriteCount),
  INDEX(
    sprite_data.asm!$C$3:$R$156,
    INT(_xlpm.idx / SpriteCount) * 7 + INT(_xlpm.r / 16) + 1,
    MOD(_xlpm.r, 16) + 1
  )
)</f>
        <v>01</v>
      </c>
      <c r="F126" t="str" cm="1">
        <f t="array" ref="F126">_xlfn.LET(
  _xlpm.idx, (ROW()-3)*16 + F$1,
  _xlpm.r, MOD(_xlpm.idx, SpriteCount),
  INDEX(
    sprite_data.asm!$C$3:$R$156,
    INT(_xlpm.idx / SpriteCount) * 7 + INT(_xlpm.r / 16) + 1,
    MOD(_xlpm.r, 16) + 1
  )
)</f>
        <v>00</v>
      </c>
      <c r="G126" t="str" cm="1">
        <f t="array" ref="G126">_xlfn.LET(
  _xlpm.idx, (ROW()-3)*16 + G$1,
  _xlpm.r, MOD(_xlpm.idx, SpriteCount),
  INDEX(
    sprite_data.asm!$C$3:$R$156,
    INT(_xlpm.idx / SpriteCount) * 7 + INT(_xlpm.r / 16) + 1,
    MOD(_xlpm.r, 16) + 1
  )
)</f>
        <v>50</v>
      </c>
      <c r="H126" t="str" cm="1">
        <f t="array" ref="H126">_xlfn.LET(
  _xlpm.idx, (ROW()-3)*16 + H$1,
  _xlpm.r, MOD(_xlpm.idx, SpriteCount),
  INDEX(
    sprite_data.asm!$C$3:$R$156,
    INT(_xlpm.idx / SpriteCount) * 7 + INT(_xlpm.r / 16) + 1,
    MOD(_xlpm.r, 16) + 1
  )
)</f>
        <v>00</v>
      </c>
      <c r="I126" t="str" cm="1">
        <f t="array" ref="I126">_xlfn.LET(
  _xlpm.idx, (ROW()-3)*16 + I$1,
  _xlpm.r, MOD(_xlpm.idx, SpriteCount),
  INDEX(
    sprite_data.asm!$C$3:$R$156,
    INT(_xlpm.idx / SpriteCount) * 7 + INT(_xlpm.r / 16) + 1,
    MOD(_xlpm.r, 16) + 1
  )
)</f>
        <v>00</v>
      </c>
      <c r="J126" t="str" cm="1">
        <f t="array" ref="J126">_xlfn.LET(
  _xlpm.idx, (ROW()-3)*16 + J$1,
  _xlpm.r, MOD(_xlpm.idx, SpriteCount),
  INDEX(
    sprite_data.asm!$C$3:$R$156,
    INT(_xlpm.idx / SpriteCount) * 7 + INT(_xlpm.r / 16) + 1,
    MOD(_xlpm.r, 16) + 1
  )
)</f>
        <v>00</v>
      </c>
      <c r="K126" t="str" cm="1">
        <f t="array" ref="K126">_xlfn.LET(
  _xlpm.idx, (ROW()-3)*16 + K$1,
  _xlpm.r, MOD(_xlpm.idx, SpriteCount),
  INDEX(
    sprite_data.asm!$C$3:$R$156,
    INT(_xlpm.idx / SpriteCount) * 7 + INT(_xlpm.r / 16) + 1,
    MOD(_xlpm.r, 16) + 1
  )
)</f>
        <v>02</v>
      </c>
      <c r="L126" t="str" cm="1">
        <f t="array" ref="L126">_xlfn.LET(
  _xlpm.idx, (ROW()-3)*16 + L$1,
  _xlpm.r, MOD(_xlpm.idx, SpriteCount),
  INDEX(
    sprite_data.asm!$C$3:$R$156,
    INT(_xlpm.idx / SpriteCount) * 7 + INT(_xlpm.r / 16) + 1,
    MOD(_xlpm.r, 16) + 1
  )
)</f>
        <v>02</v>
      </c>
      <c r="M126" t="str" cm="1">
        <f t="array" ref="M126">_xlfn.LET(
  _xlpm.idx, (ROW()-3)*16 + M$1,
  _xlpm.r, MOD(_xlpm.idx, SpriteCount),
  INDEX(
    sprite_data.asm!$C$3:$R$156,
    INT(_xlpm.idx / SpriteCount) * 7 + INT(_xlpm.r / 16) + 1,
    MOD(_xlpm.r, 16) + 1
  )
)</f>
        <v>03</v>
      </c>
      <c r="N126" t="str" cm="1">
        <f t="array" ref="N126">_xlfn.LET(
  _xlpm.idx, (ROW()-3)*16 + N$1,
  _xlpm.r, MOD(_xlpm.idx, SpriteCount),
  INDEX(
    sprite_data.asm!$C$3:$R$156,
    INT(_xlpm.idx / SpriteCount) * 7 + INT(_xlpm.r / 16) + 1,
    MOD(_xlpm.r, 16) + 1
  )
)</f>
        <v>00</v>
      </c>
      <c r="O126" t="str" cm="1">
        <f t="array" ref="O126">_xlfn.LET(
  _xlpm.idx, (ROW()-3)*16 + O$1,
  _xlpm.r, MOD(_xlpm.idx, SpriteCount),
  INDEX(
    sprite_data.asm!$C$3:$R$156,
    INT(_xlpm.idx / SpriteCount) * 7 + INT(_xlpm.r / 16) + 1,
    MOD(_xlpm.r, 16) + 1
  )
)</f>
        <v>02</v>
      </c>
      <c r="P126" t="str" cm="1">
        <f t="array" ref="P126">_xlfn.LET(
  _xlpm.idx, (ROW()-3)*16 + P$1,
  _xlpm.r, MOD(_xlpm.idx, SpriteCount),
  INDEX(
    sprite_data.asm!$C$3:$R$156,
    INT(_xlpm.idx / SpriteCount) * 7 + INT(_xlpm.r / 16) + 1,
    MOD(_xlpm.r, 16) + 1
  )
)</f>
        <v>00</v>
      </c>
      <c r="Q126" t="str" cm="1">
        <f t="array" ref="Q126">_xlfn.LET(
  _xlpm.idx, (ROW()-3)*16 + Q$1,
  _xlpm.r, MOD(_xlpm.idx, SpriteCount),
  INDEX(
    sprite_data.asm!$C$3:$R$156,
    INT(_xlpm.idx / SpriteCount) * 7 + INT(_xlpm.r / 16) + 1,
    MOD(_xlpm.r, 16) + 1
  )
)</f>
        <v>01</v>
      </c>
    </row>
    <row r="127" spans="1:17" x14ac:dyDescent="0.3">
      <c r="A127" s="2" t="str">
        <f t="shared" si="6"/>
        <v>B4C0</v>
      </c>
      <c r="B127" t="str" cm="1">
        <f t="array" ref="B127">_xlfn.LET(
  _xlpm.idx, (ROW()-3)*16 + B$1,
  _xlpm.r, MOD(_xlpm.idx, SpriteCount),
  INDEX(
    sprite_data.asm!$C$3:$R$156,
    INT(_xlpm.idx / SpriteCount) * 7 + INT(_xlpm.r / 16) + 1,
    MOD(_xlpm.r, 16) + 1
  )
)</f>
        <v>00</v>
      </c>
      <c r="C127" t="str" cm="1">
        <f t="array" ref="C127">_xlfn.LET(
  _xlpm.idx, (ROW()-3)*16 + C$1,
  _xlpm.r, MOD(_xlpm.idx, SpriteCount),
  INDEX(
    sprite_data.asm!$C$3:$R$156,
    INT(_xlpm.idx / SpriteCount) * 7 + INT(_xlpm.r / 16) + 1,
    MOD(_xlpm.r, 16) + 1
  )
)</f>
        <v>01</v>
      </c>
      <c r="D127" t="str" cm="1">
        <f t="array" ref="D127">_xlfn.LET(
  _xlpm.idx, (ROW()-3)*16 + D$1,
  _xlpm.r, MOD(_xlpm.idx, SpriteCount),
  INDEX(
    sprite_data.asm!$C$3:$R$156,
    INT(_xlpm.idx / SpriteCount) * 7 + INT(_xlpm.r / 16) + 1,
    MOD(_xlpm.r, 16) + 1
  )
)</f>
        <v>07</v>
      </c>
      <c r="E127" t="str" cm="1">
        <f t="array" ref="E127">_xlfn.LET(
  _xlpm.idx, (ROW()-3)*16 + E$1,
  _xlpm.r, MOD(_xlpm.idx, SpriteCount),
  INDEX(
    sprite_data.asm!$C$3:$R$156,
    INT(_xlpm.idx / SpriteCount) * 7 + INT(_xlpm.r / 16) + 1,
    MOD(_xlpm.r, 16) + 1
  )
)</f>
        <v>00</v>
      </c>
      <c r="F127" t="str" cm="1">
        <f t="array" ref="F127">_xlfn.LET(
  _xlpm.idx, (ROW()-3)*16 + F$1,
  _xlpm.r, MOD(_xlpm.idx, SpriteCount),
  INDEX(
    sprite_data.asm!$C$3:$R$156,
    INT(_xlpm.idx / SpriteCount) * 7 + INT(_xlpm.r / 16) + 1,
    MOD(_xlpm.r, 16) + 1
  )
)</f>
        <v>00</v>
      </c>
      <c r="G127" t="str" cm="1">
        <f t="array" ref="G127">_xlfn.LET(
  _xlpm.idx, (ROW()-3)*16 + G$1,
  _xlpm.r, MOD(_xlpm.idx, SpriteCount),
  INDEX(
    sprite_data.asm!$C$3:$R$156,
    INT(_xlpm.idx / SpriteCount) * 7 + INT(_xlpm.r / 16) + 1,
    MOD(_xlpm.r, 16) + 1
  )
)</f>
        <v>01</v>
      </c>
      <c r="H127" t="str" cm="1">
        <f t="array" ref="H127">_xlfn.LET(
  _xlpm.idx, (ROW()-3)*16 + H$1,
  _xlpm.r, MOD(_xlpm.idx, SpriteCount),
  INDEX(
    sprite_data.asm!$C$3:$R$156,
    INT(_xlpm.idx / SpriteCount) * 7 + INT(_xlpm.r / 16) + 1,
    MOD(_xlpm.r, 16) + 1
  )
)</f>
        <v>00</v>
      </c>
      <c r="I127" t="str" cm="1">
        <f t="array" ref="I127">_xlfn.LET(
  _xlpm.idx, (ROW()-3)*16 + I$1,
  _xlpm.r, MOD(_xlpm.idx, SpriteCount),
  INDEX(
    sprite_data.asm!$C$3:$R$156,
    INT(_xlpm.idx / SpriteCount) * 7 + INT(_xlpm.r / 16) + 1,
    MOD(_xlpm.r, 16) + 1
  )
)</f>
        <v>03</v>
      </c>
      <c r="J127" t="str" cm="1">
        <f t="array" ref="J127">_xlfn.LET(
  _xlpm.idx, (ROW()-3)*16 + J$1,
  _xlpm.r, MOD(_xlpm.idx, SpriteCount),
  INDEX(
    sprite_data.asm!$C$3:$R$156,
    INT(_xlpm.idx / SpriteCount) * 7 + INT(_xlpm.r / 16) + 1,
    MOD(_xlpm.r, 16) + 1
  )
)</f>
        <v>00</v>
      </c>
      <c r="K127" t="str" cm="1">
        <f t="array" ref="K127">_xlfn.LET(
  _xlpm.idx, (ROW()-3)*16 + K$1,
  _xlpm.r, MOD(_xlpm.idx, SpriteCount),
  INDEX(
    sprite_data.asm!$C$3:$R$156,
    INT(_xlpm.idx / SpriteCount) * 7 + INT(_xlpm.r / 16) + 1,
    MOD(_xlpm.r, 16) + 1
  )
)</f>
        <v>03</v>
      </c>
      <c r="L127" t="str" cm="1">
        <f t="array" ref="L127">_xlfn.LET(
  _xlpm.idx, (ROW()-3)*16 + L$1,
  _xlpm.r, MOD(_xlpm.idx, SpriteCount),
  INDEX(
    sprite_data.asm!$C$3:$R$156,
    INT(_xlpm.idx / SpriteCount) * 7 + INT(_xlpm.r / 16) + 1,
    MOD(_xlpm.r, 16) + 1
  )
)</f>
        <v>00</v>
      </c>
      <c r="M127" t="str" cm="1">
        <f t="array" ref="M127">_xlfn.LET(
  _xlpm.idx, (ROW()-3)*16 + M$1,
  _xlpm.r, MOD(_xlpm.idx, SpriteCount),
  INDEX(
    sprite_data.asm!$C$3:$R$156,
    INT(_xlpm.idx / SpriteCount) * 7 + INT(_xlpm.r / 16) + 1,
    MOD(_xlpm.r, 16) + 1
  )
)</f>
        <v>00</v>
      </c>
      <c r="N127" t="str" cm="1">
        <f t="array" ref="N127">_xlfn.LET(
  _xlpm.idx, (ROW()-3)*16 + N$1,
  _xlpm.r, MOD(_xlpm.idx, SpriteCount),
  INDEX(
    sprite_data.asm!$C$3:$R$156,
    INT(_xlpm.idx / SpriteCount) * 7 + INT(_xlpm.r / 16) + 1,
    MOD(_xlpm.r, 16) + 1
  )
)</f>
        <v>01</v>
      </c>
      <c r="O127" t="str" cm="1">
        <f t="array" ref="O127">_xlfn.LET(
  _xlpm.idx, (ROW()-3)*16 + O$1,
  _xlpm.r, MOD(_xlpm.idx, SpriteCount),
  INDEX(
    sprite_data.asm!$C$3:$R$156,
    INT(_xlpm.idx / SpriteCount) * 7 + INT(_xlpm.r / 16) + 1,
    MOD(_xlpm.r, 16) + 1
  )
)</f>
        <v>00</v>
      </c>
      <c r="P127" t="str" cm="1">
        <f t="array" ref="P127">_xlfn.LET(
  _xlpm.idx, (ROW()-3)*16 + P$1,
  _xlpm.r, MOD(_xlpm.idx, SpriteCount),
  INDEX(
    sprite_data.asm!$C$3:$R$156,
    INT(_xlpm.idx / SpriteCount) * 7 + INT(_xlpm.r / 16) + 1,
    MOD(_xlpm.r, 16) + 1
  )
)</f>
        <v>00</v>
      </c>
      <c r="Q127" t="str" cm="1">
        <f t="array" ref="Q127">_xlfn.LET(
  _xlpm.idx, (ROW()-3)*16 + Q$1,
  _xlpm.r, MOD(_xlpm.idx, SpriteCount),
  INDEX(
    sprite_data.asm!$C$3:$R$156,
    INT(_xlpm.idx / SpriteCount) * 7 + INT(_xlpm.r / 16) + 1,
    MOD(_xlpm.r, 16) + 1
  )
)</f>
        <v>01</v>
      </c>
    </row>
    <row r="128" spans="1:17" x14ac:dyDescent="0.3">
      <c r="A128" s="2" t="str">
        <f t="shared" si="6"/>
        <v>B4D0</v>
      </c>
      <c r="B128" t="str" cm="1">
        <f t="array" ref="B128">_xlfn.LET(
  _xlpm.idx, (ROW()-3)*16 + B$1,
  _xlpm.r, MOD(_xlpm.idx, SpriteCount),
  INDEX(
    sprite_data.asm!$C$3:$R$156,
    INT(_xlpm.idx / SpriteCount) * 7 + INT(_xlpm.r / 16) + 1,
    MOD(_xlpm.r, 16) + 1
  )
)</f>
        <v>06</v>
      </c>
      <c r="C128" t="str" cm="1">
        <f t="array" ref="C128">_xlfn.LET(
  _xlpm.idx, (ROW()-3)*16 + C$1,
  _xlpm.r, MOD(_xlpm.idx, SpriteCount),
  INDEX(
    sprite_data.asm!$C$3:$R$156,
    INT(_xlpm.idx / SpriteCount) * 7 + INT(_xlpm.r / 16) + 1,
    MOD(_xlpm.r, 16) + 1
  )
)</f>
        <v>03</v>
      </c>
      <c r="D128" t="str" cm="1">
        <f t="array" ref="D128">_xlfn.LET(
  _xlpm.idx, (ROW()-3)*16 + D$1,
  _xlpm.r, MOD(_xlpm.idx, SpriteCount),
  INDEX(
    sprite_data.asm!$C$3:$R$156,
    INT(_xlpm.idx / SpriteCount) * 7 + INT(_xlpm.r / 16) + 1,
    MOD(_xlpm.r, 16) + 1
  )
)</f>
        <v>00</v>
      </c>
      <c r="E128" t="str" cm="1">
        <f t="array" ref="E128">_xlfn.LET(
  _xlpm.idx, (ROW()-3)*16 + E$1,
  _xlpm.r, MOD(_xlpm.idx, SpriteCount),
  INDEX(
    sprite_data.asm!$C$3:$R$156,
    INT(_xlpm.idx / SpriteCount) * 7 + INT(_xlpm.r / 16) + 1,
    MOD(_xlpm.r, 16) + 1
  )
)</f>
        <v>01</v>
      </c>
      <c r="F128" t="str" cm="1">
        <f t="array" ref="F128">_xlfn.LET(
  _xlpm.idx, (ROW()-3)*16 + F$1,
  _xlpm.r, MOD(_xlpm.idx, SpriteCount),
  INDEX(
    sprite_data.asm!$C$3:$R$156,
    INT(_xlpm.idx / SpriteCount) * 7 + INT(_xlpm.r / 16) + 1,
    MOD(_xlpm.r, 16) + 1
  )
)</f>
        <v>05</v>
      </c>
      <c r="G128" t="str" cm="1">
        <f t="array" ref="G128">_xlfn.LET(
  _xlpm.idx, (ROW()-3)*16 + G$1,
  _xlpm.r, MOD(_xlpm.idx, SpriteCount),
  INDEX(
    sprite_data.asm!$C$3:$R$156,
    INT(_xlpm.idx / SpriteCount) * 7 + INT(_xlpm.r / 16) + 1,
    MOD(_xlpm.r, 16) + 1
  )
)</f>
        <v>00</v>
      </c>
      <c r="H128" t="str" cm="1">
        <f t="array" ref="H128">_xlfn.LET(
  _xlpm.idx, (ROW()-3)*16 + H$1,
  _xlpm.r, MOD(_xlpm.idx, SpriteCount),
  INDEX(
    sprite_data.asm!$C$3:$R$156,
    INT(_xlpm.idx / SpriteCount) * 7 + INT(_xlpm.r / 16) + 1,
    MOD(_xlpm.r, 16) + 1
  )
)</f>
        <v>00</v>
      </c>
      <c r="I128" t="str" cm="1">
        <f t="array" ref="I128">_xlfn.LET(
  _xlpm.idx, (ROW()-3)*16 + I$1,
  _xlpm.r, MOD(_xlpm.idx, SpriteCount),
  INDEX(
    sprite_data.asm!$C$3:$R$156,
    INT(_xlpm.idx / SpriteCount) * 7 + INT(_xlpm.r / 16) + 1,
    MOD(_xlpm.r, 16) + 1
  )
)</f>
        <v>02</v>
      </c>
      <c r="J128" t="str" cm="1">
        <f t="array" ref="J128">_xlfn.LET(
  _xlpm.idx, (ROW()-3)*16 + J$1,
  _xlpm.r, MOD(_xlpm.idx, SpriteCount),
  INDEX(
    sprite_data.asm!$C$3:$R$156,
    INT(_xlpm.idx / SpriteCount) * 7 + INT(_xlpm.r / 16) + 1,
    MOD(_xlpm.r, 16) + 1
  )
)</f>
        <v>02</v>
      </c>
      <c r="K128" t="str" cm="1">
        <f t="array" ref="K128">_xlfn.LET(
  _xlpm.idx, (ROW()-3)*16 + K$1,
  _xlpm.r, MOD(_xlpm.idx, SpriteCount),
  INDEX(
    sprite_data.asm!$C$3:$R$156,
    INT(_xlpm.idx / SpriteCount) * 7 + INT(_xlpm.r / 16) + 1,
    MOD(_xlpm.r, 16) + 1
  )
)</f>
        <v>02</v>
      </c>
      <c r="L128" t="str" cm="1">
        <f t="array" ref="L128">_xlfn.LET(
  _xlpm.idx, (ROW()-3)*16 + L$1,
  _xlpm.r, MOD(_xlpm.idx, SpriteCount),
  INDEX(
    sprite_data.asm!$C$3:$R$156,
    INT(_xlpm.idx / SpriteCount) * 7 + INT(_xlpm.r / 16) + 1,
    MOD(_xlpm.r, 16) + 1
  )
)</f>
        <v>02</v>
      </c>
      <c r="M128" t="str" cm="1">
        <f t="array" ref="M128">_xlfn.LET(
  _xlpm.idx, (ROW()-3)*16 + M$1,
  _xlpm.r, MOD(_xlpm.idx, SpriteCount),
  INDEX(
    sprite_data.asm!$C$3:$R$156,
    INT(_xlpm.idx / SpriteCount) * 7 + INT(_xlpm.r / 16) + 1,
    MOD(_xlpm.r, 16) + 1
  )
)</f>
        <v>02</v>
      </c>
      <c r="N128" t="str" cm="1">
        <f t="array" ref="N128">_xlfn.LET(
  _xlpm.idx, (ROW()-3)*16 + N$1,
  _xlpm.r, MOD(_xlpm.idx, SpriteCount),
  INDEX(
    sprite_data.asm!$C$3:$R$156,
    INT(_xlpm.idx / SpriteCount) * 7 + INT(_xlpm.r / 16) + 1,
    MOD(_xlpm.r, 16) + 1
  )
)</f>
        <v>01</v>
      </c>
      <c r="O128" t="str" cm="1">
        <f t="array" ref="O128">_xlfn.LET(
  _xlpm.idx, (ROW()-3)*16 + O$1,
  _xlpm.r, MOD(_xlpm.idx, SpriteCount),
  INDEX(
    sprite_data.asm!$C$3:$R$156,
    INT(_xlpm.idx / SpriteCount) * 7 + INT(_xlpm.r / 16) + 1,
    MOD(_xlpm.r, 16) + 1
  )
)</f>
        <v>00</v>
      </c>
      <c r="P128" t="str" cm="1">
        <f t="array" ref="P128">_xlfn.LET(
  _xlpm.idx, (ROW()-3)*16 + P$1,
  _xlpm.r, MOD(_xlpm.idx, SpriteCount),
  INDEX(
    sprite_data.asm!$C$3:$R$156,
    INT(_xlpm.idx / SpriteCount) * 7 + INT(_xlpm.r / 16) + 1,
    MOD(_xlpm.r, 16) + 1
  )
)</f>
        <v>02</v>
      </c>
      <c r="Q128" t="str" cm="1">
        <f t="array" ref="Q128">_xlfn.LET(
  _xlpm.idx, (ROW()-3)*16 + Q$1,
  _xlpm.r, MOD(_xlpm.idx, SpriteCount),
  INDEX(
    sprite_data.asm!$C$3:$R$156,
    INT(_xlpm.idx / SpriteCount) * 7 + INT(_xlpm.r / 16) + 1,
    MOD(_xlpm.r, 16) + 1
  )
)</f>
        <v>01</v>
      </c>
    </row>
    <row r="129" spans="1:17" x14ac:dyDescent="0.3">
      <c r="A129" s="2" t="str">
        <f t="shared" ref="A129:A133" si="7">DEC2HEX(HEX2DEC(A128)+16)</f>
        <v>B4E0</v>
      </c>
      <c r="B129" t="str" cm="1">
        <f t="array" ref="B129">_xlfn.LET(
  _xlpm.idx, (ROW()-3)*16 + B$1,
  _xlpm.r, MOD(_xlpm.idx, SpriteCount),
  INDEX(
    sprite_data.asm!$C$3:$R$156,
    INT(_xlpm.idx / SpriteCount) * 7 + INT(_xlpm.r / 16) + 1,
    MOD(_xlpm.r, 16) + 1
  )
)</f>
        <v>01</v>
      </c>
      <c r="C129" t="str" cm="1">
        <f t="array" ref="C129">_xlfn.LET(
  _xlpm.idx, (ROW()-3)*16 + C$1,
  _xlpm.r, MOD(_xlpm.idx, SpriteCount),
  INDEX(
    sprite_data.asm!$C$3:$R$156,
    INT(_xlpm.idx / SpriteCount) * 7 + INT(_xlpm.r / 16) + 1,
    MOD(_xlpm.r, 16) + 1
  )
)</f>
        <v>00</v>
      </c>
      <c r="D129" t="str" cm="1">
        <f t="array" ref="D129">_xlfn.LET(
  _xlpm.idx, (ROW()-3)*16 + D$1,
  _xlpm.r, MOD(_xlpm.idx, SpriteCount),
  INDEX(
    sprite_data.asm!$C$3:$R$156,
    INT(_xlpm.idx / SpriteCount) * 7 + INT(_xlpm.r / 16) + 1,
    MOD(_xlpm.r, 16) + 1
  )
)</f>
        <v>03</v>
      </c>
      <c r="E129" t="str" cm="1">
        <f t="array" ref="E129">_xlfn.LET(
  _xlpm.idx, (ROW()-3)*16 + E$1,
  _xlpm.r, MOD(_xlpm.idx, SpriteCount),
  INDEX(
    sprite_data.asm!$C$3:$R$156,
    INT(_xlpm.idx / SpriteCount) * 7 + INT(_xlpm.r / 16) + 1,
    MOD(_xlpm.r, 16) + 1
  )
)</f>
        <v>01</v>
      </c>
      <c r="F129" t="str" cm="1">
        <f t="array" ref="F129">_xlfn.LET(
  _xlpm.idx, (ROW()-3)*16 + F$1,
  _xlpm.r, MOD(_xlpm.idx, SpriteCount),
  INDEX(
    sprite_data.asm!$C$3:$R$156,
    INT(_xlpm.idx / SpriteCount) * 7 + INT(_xlpm.r / 16) + 1,
    MOD(_xlpm.r, 16) + 1
  )
)</f>
        <v>03</v>
      </c>
      <c r="G129" t="str" cm="1">
        <f t="array" ref="G129">_xlfn.LET(
  _xlpm.idx, (ROW()-3)*16 + G$1,
  _xlpm.r, MOD(_xlpm.idx, SpriteCount),
  INDEX(
    sprite_data.asm!$C$3:$R$156,
    INT(_xlpm.idx / SpriteCount) * 7 + INT(_xlpm.r / 16) + 1,
    MOD(_xlpm.r, 16) + 1
  )
)</f>
        <v>00</v>
      </c>
      <c r="H129" t="str" cm="1">
        <f t="array" ref="H129">_xlfn.LET(
  _xlpm.idx, (ROW()-3)*16 + H$1,
  _xlpm.r, MOD(_xlpm.idx, SpriteCount),
  INDEX(
    sprite_data.asm!$C$3:$R$156,
    INT(_xlpm.idx / SpriteCount) * 7 + INT(_xlpm.r / 16) + 1,
    MOD(_xlpm.r, 16) + 1
  )
)</f>
        <v>00</v>
      </c>
      <c r="I129" t="str" cm="1">
        <f t="array" ref="I129">_xlfn.LET(
  _xlpm.idx, (ROW()-3)*16 + I$1,
  _xlpm.r, MOD(_xlpm.idx, SpriteCount),
  INDEX(
    sprite_data.asm!$C$3:$R$156,
    INT(_xlpm.idx / SpriteCount) * 7 + INT(_xlpm.r / 16) + 1,
    MOD(_xlpm.r, 16) + 1
  )
)</f>
        <v>01</v>
      </c>
      <c r="J129" t="str" cm="1">
        <f t="array" ref="J129">_xlfn.LET(
  _xlpm.idx, (ROW()-3)*16 + J$1,
  _xlpm.r, MOD(_xlpm.idx, SpriteCount),
  INDEX(
    sprite_data.asm!$C$3:$R$156,
    INT(_xlpm.idx / SpriteCount) * 7 + INT(_xlpm.r / 16) + 1,
    MOD(_xlpm.r, 16) + 1
  )
)</f>
        <v>03</v>
      </c>
      <c r="K129" t="str" cm="1">
        <f t="array" ref="K129">_xlfn.LET(
  _xlpm.idx, (ROW()-3)*16 + K$1,
  _xlpm.r, MOD(_xlpm.idx, SpriteCount),
  INDEX(
    sprite_data.asm!$C$3:$R$156,
    INT(_xlpm.idx / SpriteCount) * 7 + INT(_xlpm.r / 16) + 1,
    MOD(_xlpm.r, 16) + 1
  )
)</f>
        <v>01</v>
      </c>
      <c r="L129" t="str" cm="1">
        <f t="array" ref="L129">_xlfn.LET(
  _xlpm.idx, (ROW()-3)*16 + L$1,
  _xlpm.r, MOD(_xlpm.idx, SpriteCount),
  INDEX(
    sprite_data.asm!$C$3:$R$156,
    INT(_xlpm.idx / SpriteCount) * 7 + INT(_xlpm.r / 16) + 1,
    MOD(_xlpm.r, 16) + 1
  )
)</f>
        <v>00</v>
      </c>
      <c r="M129" t="str" cm="1">
        <f t="array" ref="M129">_xlfn.LET(
  _xlpm.idx, (ROW()-3)*16 + M$1,
  _xlpm.r, MOD(_xlpm.idx, SpriteCount),
  INDEX(
    sprite_data.asm!$C$3:$R$156,
    INT(_xlpm.idx / SpriteCount) * 7 + INT(_xlpm.r / 16) + 1,
    MOD(_xlpm.r, 16) + 1
  )
)</f>
        <v>00</v>
      </c>
      <c r="N129" t="str" cm="1">
        <f t="array" ref="N129">_xlfn.LET(
  _xlpm.idx, (ROW()-3)*16 + N$1,
  _xlpm.r, MOD(_xlpm.idx, SpriteCount),
  INDEX(
    sprite_data.asm!$C$3:$R$156,
    INT(_xlpm.idx / SpriteCount) * 7 + INT(_xlpm.r / 16) + 1,
    MOD(_xlpm.r, 16) + 1
  )
)</f>
        <v>00</v>
      </c>
      <c r="O129" t="str" cm="1">
        <f t="array" ref="O129">_xlfn.LET(
  _xlpm.idx, (ROW()-3)*16 + O$1,
  _xlpm.r, MOD(_xlpm.idx, SpriteCount),
  INDEX(
    sprite_data.asm!$C$3:$R$156,
    INT(_xlpm.idx / SpriteCount) * 7 + INT(_xlpm.r / 16) + 1,
    MOD(_xlpm.r, 16) + 1
  )
)</f>
        <v>03</v>
      </c>
      <c r="P129" t="str" cm="1">
        <f t="array" ref="P129">_xlfn.LET(
  _xlpm.idx, (ROW()-3)*16 + P$1,
  _xlpm.r, MOD(_xlpm.idx, SpriteCount),
  INDEX(
    sprite_data.asm!$C$3:$R$156,
    INT(_xlpm.idx / SpriteCount) * 7 + INT(_xlpm.r / 16) + 1,
    MOD(_xlpm.r, 16) + 1
  )
)</f>
        <v>00</v>
      </c>
      <c r="Q129" t="str" cm="1">
        <f t="array" ref="Q129">_xlfn.LET(
  _xlpm.idx, (ROW()-3)*16 + Q$1,
  _xlpm.r, MOD(_xlpm.idx, SpriteCount),
  INDEX(
    sprite_data.asm!$C$3:$R$156,
    INT(_xlpm.idx / SpriteCount) * 7 + INT(_xlpm.r / 16) + 1,
    MOD(_xlpm.r, 16) + 1
  )
)</f>
        <v>02</v>
      </c>
    </row>
    <row r="130" spans="1:17" x14ac:dyDescent="0.3">
      <c r="A130" s="2" t="str">
        <f t="shared" si="7"/>
        <v>B4F0</v>
      </c>
      <c r="B130" t="str" cm="1">
        <f t="array" ref="B130">_xlfn.LET(
  _xlpm.idx, (ROW()-3)*16 + B$1,
  _xlpm.r, MOD(_xlpm.idx, SpriteCount),
  INDEX(
    sprite_data.asm!$C$3:$R$156,
    INT(_xlpm.idx / SpriteCount) * 7 + INT(_xlpm.r / 16) + 1,
    MOD(_xlpm.r, 16) + 1
  )
)</f>
        <v>02</v>
      </c>
      <c r="C130" t="str" cm="1">
        <f t="array" ref="C130">_xlfn.LET(
  _xlpm.idx, (ROW()-3)*16 + C$1,
  _xlpm.r, MOD(_xlpm.idx, SpriteCount),
  INDEX(
    sprite_data.asm!$C$3:$R$156,
    INT(_xlpm.idx / SpriteCount) * 7 + INT(_xlpm.r / 16) + 1,
    MOD(_xlpm.r, 16) + 1
  )
)</f>
        <v>00</v>
      </c>
      <c r="D130" t="str" cm="1">
        <f t="array" ref="D130">_xlfn.LET(
  _xlpm.idx, (ROW()-3)*16 + D$1,
  _xlpm.r, MOD(_xlpm.idx, SpriteCount),
  INDEX(
    sprite_data.asm!$C$3:$R$156,
    INT(_xlpm.idx / SpriteCount) * 7 + INT(_xlpm.r / 16) + 1,
    MOD(_xlpm.r, 16) + 1
  )
)</f>
        <v>01</v>
      </c>
      <c r="E130" t="str" cm="1">
        <f t="array" ref="E130">_xlfn.LET(
  _xlpm.idx, (ROW()-3)*16 + E$1,
  _xlpm.r, MOD(_xlpm.idx, SpriteCount),
  INDEX(
    sprite_data.asm!$C$3:$R$156,
    INT(_xlpm.idx / SpriteCount) * 7 + INT(_xlpm.r / 16) + 1,
    MOD(_xlpm.r, 16) + 1
  )
)</f>
        <v>01</v>
      </c>
      <c r="F130" t="str" cm="1">
        <f t="array" ref="F130">_xlfn.LET(
  _xlpm.idx, (ROW()-3)*16 + F$1,
  _xlpm.r, MOD(_xlpm.idx, SpriteCount),
  INDEX(
    sprite_data.asm!$C$3:$R$156,
    INT(_xlpm.idx / SpriteCount) * 7 + INT(_xlpm.r / 16) + 1,
    MOD(_xlpm.r, 16) + 1
  )
)</f>
        <v>01</v>
      </c>
      <c r="G130" t="str" cm="1">
        <f t="array" ref="G130">_xlfn.LET(
  _xlpm.idx, (ROW()-3)*16 + G$1,
  _xlpm.r, MOD(_xlpm.idx, SpriteCount),
  INDEX(
    sprite_data.asm!$C$3:$R$156,
    INT(_xlpm.idx / SpriteCount) * 7 + INT(_xlpm.r / 16) + 1,
    MOD(_xlpm.r, 16) + 1
  )
)</f>
        <v>01</v>
      </c>
      <c r="H130" t="str" cm="1">
        <f t="array" ref="H130">_xlfn.LET(
  _xlpm.idx, (ROW()-3)*16 + H$1,
  _xlpm.r, MOD(_xlpm.idx, SpriteCount),
  INDEX(
    sprite_data.asm!$C$3:$R$156,
    INT(_xlpm.idx / SpriteCount) * 7 + INT(_xlpm.r / 16) + 1,
    MOD(_xlpm.r, 16) + 1
  )
)</f>
        <v>01</v>
      </c>
      <c r="I130" t="str" cm="1">
        <f t="array" ref="I130">_xlfn.LET(
  _xlpm.idx, (ROW()-3)*16 + I$1,
  _xlpm.r, MOD(_xlpm.idx, SpriteCount),
  INDEX(
    sprite_data.asm!$C$3:$R$156,
    INT(_xlpm.idx / SpriteCount) * 7 + INT(_xlpm.r / 16) + 1,
    MOD(_xlpm.r, 16) + 1
  )
)</f>
        <v>01</v>
      </c>
      <c r="J130" t="str" cm="1">
        <f t="array" ref="J130">_xlfn.LET(
  _xlpm.idx, (ROW()-3)*16 + J$1,
  _xlpm.r, MOD(_xlpm.idx, SpriteCount),
  INDEX(
    sprite_data.asm!$C$3:$R$156,
    INT(_xlpm.idx / SpriteCount) * 7 + INT(_xlpm.r / 16) + 1,
    MOD(_xlpm.r, 16) + 1
  )
)</f>
        <v>01</v>
      </c>
      <c r="K130" t="str" cm="1">
        <f t="array" ref="K130">_xlfn.LET(
  _xlpm.idx, (ROW()-3)*16 + K$1,
  _xlpm.r, MOD(_xlpm.idx, SpriteCount),
  INDEX(
    sprite_data.asm!$C$3:$R$156,
    INT(_xlpm.idx / SpriteCount) * 7 + INT(_xlpm.r / 16) + 1,
    MOD(_xlpm.r, 16) + 1
  )
)</f>
        <v>01</v>
      </c>
      <c r="L130" t="str" cm="1">
        <f t="array" ref="L130">_xlfn.LET(
  _xlpm.idx, (ROW()-3)*16 + L$1,
  _xlpm.r, MOD(_xlpm.idx, SpriteCount),
  INDEX(
    sprite_data.asm!$C$3:$R$156,
    INT(_xlpm.idx / SpriteCount) * 7 + INT(_xlpm.r / 16) + 1,
    MOD(_xlpm.r, 16) + 1
  )
)</f>
        <v>00</v>
      </c>
      <c r="M130" t="str" cm="1">
        <f t="array" ref="M130">_xlfn.LET(
  _xlpm.idx, (ROW()-3)*16 + M$1,
  _xlpm.r, MOD(_xlpm.idx, SpriteCount),
  INDEX(
    sprite_data.asm!$C$3:$R$156,
    INT(_xlpm.idx / SpriteCount) * 7 + INT(_xlpm.r / 16) + 1,
    MOD(_xlpm.r, 16) + 1
  )
)</f>
        <v>01</v>
      </c>
      <c r="N130" t="str" cm="1">
        <f t="array" ref="N130">_xlfn.LET(
  _xlpm.idx, (ROW()-3)*16 + N$1,
  _xlpm.r, MOD(_xlpm.idx, SpriteCount),
  INDEX(
    sprite_data.asm!$C$3:$R$156,
    INT(_xlpm.idx / SpriteCount) * 7 + INT(_xlpm.r / 16) + 1,
    MOD(_xlpm.r, 16) + 1
  )
)</f>
        <v>01</v>
      </c>
      <c r="O130" t="str" cm="1">
        <f t="array" ref="O130">_xlfn.LET(
  _xlpm.idx, (ROW()-3)*16 + O$1,
  _xlpm.r, MOD(_xlpm.idx, SpriteCount),
  INDEX(
    sprite_data.asm!$C$3:$R$156,
    INT(_xlpm.idx / SpriteCount) * 7 + INT(_xlpm.r / 16) + 1,
    MOD(_xlpm.r, 16) + 1
  )
)</f>
        <v>00</v>
      </c>
      <c r="P130" t="str" cm="1">
        <f t="array" ref="P130">_xlfn.LET(
  _xlpm.idx, (ROW()-3)*16 + P$1,
  _xlpm.r, MOD(_xlpm.idx, SpriteCount),
  INDEX(
    sprite_data.asm!$C$3:$R$156,
    INT(_xlpm.idx / SpriteCount) * 7 + INT(_xlpm.r / 16) + 1,
    MOD(_xlpm.r, 16) + 1
  )
)</f>
        <v>00</v>
      </c>
      <c r="Q130" t="str" cm="1">
        <f t="array" ref="Q130">_xlfn.LET(
  _xlpm.idx, (ROW()-3)*16 + Q$1,
  _xlpm.r, MOD(_xlpm.idx, SpriteCount),
  INDEX(
    sprite_data.asm!$C$3:$R$156,
    INT(_xlpm.idx / SpriteCount) * 7 + INT(_xlpm.r / 16) + 1,
    MOD(_xlpm.r, 16) + 1
  )
)</f>
        <v>00</v>
      </c>
    </row>
    <row r="131" spans="1:17" x14ac:dyDescent="0.3">
      <c r="A131" s="2" t="str">
        <f t="shared" si="7"/>
        <v>B500</v>
      </c>
      <c r="B131" t="str" cm="1">
        <f t="array" ref="B131">_xlfn.LET(
  _xlpm.idx, (ROW()-3)*16 + B$1,
  _xlpm.r, MOD(_xlpm.idx, SpriteCount),
  INDEX(
    sprite_data.asm!$C$3:$R$156,
    INT(_xlpm.idx / SpriteCount) * 7 + INT(_xlpm.r / 16) + 1,
    MOD(_xlpm.r, 16) + 1
  )
)</f>
        <v>00</v>
      </c>
      <c r="C131" t="str" cm="1">
        <f t="array" ref="C131">_xlfn.LET(
  _xlpm.idx, (ROW()-3)*16 + C$1,
  _xlpm.r, MOD(_xlpm.idx, SpriteCount),
  INDEX(
    sprite_data.asm!$C$3:$R$156,
    INT(_xlpm.idx / SpriteCount) * 7 + INT(_xlpm.r / 16) + 1,
    MOD(_xlpm.r, 16) + 1
  )
)</f>
        <v>00</v>
      </c>
      <c r="D131" t="str" cm="1">
        <f t="array" ref="D131">_xlfn.LET(
  _xlpm.idx, (ROW()-3)*16 + D$1,
  _xlpm.r, MOD(_xlpm.idx, SpriteCount),
  INDEX(
    sprite_data.asm!$C$3:$R$156,
    INT(_xlpm.idx / SpriteCount) * 7 + INT(_xlpm.r / 16) + 1,
    MOD(_xlpm.r, 16) + 1
  )
)</f>
        <v>00</v>
      </c>
      <c r="E131" t="str" cm="1">
        <f t="array" ref="E131">_xlfn.LET(
  _xlpm.idx, (ROW()-3)*16 + E$1,
  _xlpm.r, MOD(_xlpm.idx, SpriteCount),
  INDEX(
    sprite_data.asm!$C$3:$R$156,
    INT(_xlpm.idx / SpriteCount) * 7 + INT(_xlpm.r / 16) + 1,
    MOD(_xlpm.r, 16) + 1
  )
)</f>
        <v>00</v>
      </c>
      <c r="F131" t="str" cm="1">
        <f t="array" ref="F131">_xlfn.LET(
  _xlpm.idx, (ROW()-3)*16 + F$1,
  _xlpm.r, MOD(_xlpm.idx, SpriteCount),
  INDEX(
    sprite_data.asm!$C$3:$R$156,
    INT(_xlpm.idx / SpriteCount) * 7 + INT(_xlpm.r / 16) + 1,
    MOD(_xlpm.r, 16) + 1
  )
)</f>
        <v>00</v>
      </c>
      <c r="G131" t="str" cm="1">
        <f t="array" ref="G131">_xlfn.LET(
  _xlpm.idx, (ROW()-3)*16 + G$1,
  _xlpm.r, MOD(_xlpm.idx, SpriteCount),
  INDEX(
    sprite_data.asm!$C$3:$R$156,
    INT(_xlpm.idx / SpriteCount) * 7 + INT(_xlpm.r / 16) + 1,
    MOD(_xlpm.r, 16) + 1
  )
)</f>
        <v>00</v>
      </c>
      <c r="H131" t="str" cm="1">
        <f t="array" ref="H131">_xlfn.LET(
  _xlpm.idx, (ROW()-3)*16 + H$1,
  _xlpm.r, MOD(_xlpm.idx, SpriteCount),
  INDEX(
    sprite_data.asm!$C$3:$R$156,
    INT(_xlpm.idx / SpriteCount) * 7 + INT(_xlpm.r / 16) + 1,
    MOD(_xlpm.r, 16) + 1
  )
)</f>
        <v>00</v>
      </c>
      <c r="I131" t="str" cm="1">
        <f t="array" ref="I131">_xlfn.LET(
  _xlpm.idx, (ROW()-3)*16 + I$1,
  _xlpm.r, MOD(_xlpm.idx, SpriteCount),
  INDEX(
    sprite_data.asm!$C$3:$R$156,
    INT(_xlpm.idx / SpriteCount) * 7 + INT(_xlpm.r / 16) + 1,
    MOD(_xlpm.r, 16) + 1
  )
)</f>
        <v>00</v>
      </c>
      <c r="J131" t="str" cm="1">
        <f t="array" ref="J131">_xlfn.LET(
  _xlpm.idx, (ROW()-3)*16 + J$1,
  _xlpm.r, MOD(_xlpm.idx, SpriteCount),
  INDEX(
    sprite_data.asm!$C$3:$R$156,
    INT(_xlpm.idx / SpriteCount) * 7 + INT(_xlpm.r / 16) + 1,
    MOD(_xlpm.r, 16) + 1
  )
)</f>
        <v>00</v>
      </c>
      <c r="K131" t="str" cm="1">
        <f t="array" ref="K131">_xlfn.LET(
  _xlpm.idx, (ROW()-3)*16 + K$1,
  _xlpm.r, MOD(_xlpm.idx, SpriteCount),
  INDEX(
    sprite_data.asm!$C$3:$R$156,
    INT(_xlpm.idx / SpriteCount) * 7 + INT(_xlpm.r / 16) + 1,
    MOD(_xlpm.r, 16) + 1
  )
)</f>
        <v>00</v>
      </c>
      <c r="L131" t="str" cm="1">
        <f t="array" ref="L131">_xlfn.LET(
  _xlpm.idx, (ROW()-3)*16 + L$1,
  _xlpm.r, MOD(_xlpm.idx, SpriteCount),
  INDEX(
    sprite_data.asm!$C$3:$R$156,
    INT(_xlpm.idx / SpriteCount) * 7 + INT(_xlpm.r / 16) + 1,
    MOD(_xlpm.r, 16) + 1
  )
)</f>
        <v>00</v>
      </c>
      <c r="M131" t="str" cm="1">
        <f t="array" ref="M131">_xlfn.LET(
  _xlpm.idx, (ROW()-3)*16 + M$1,
  _xlpm.r, MOD(_xlpm.idx, SpriteCount),
  INDEX(
    sprite_data.asm!$C$3:$R$156,
    INT(_xlpm.idx / SpriteCount) * 7 + INT(_xlpm.r / 16) + 1,
    MOD(_xlpm.r, 16) + 1
  )
)</f>
        <v>00</v>
      </c>
      <c r="N131" t="str" cm="1">
        <f t="array" ref="N131">_xlfn.LET(
  _xlpm.idx, (ROW()-3)*16 + N$1,
  _xlpm.r, MOD(_xlpm.idx, SpriteCount),
  INDEX(
    sprite_data.asm!$C$3:$R$156,
    INT(_xlpm.idx / SpriteCount) * 7 + INT(_xlpm.r / 16) + 1,
    MOD(_xlpm.r, 16) + 1
  )
)</f>
        <v>00</v>
      </c>
      <c r="O131" t="str" cm="1">
        <f t="array" ref="O131">_xlfn.LET(
  _xlpm.idx, (ROW()-3)*16 + O$1,
  _xlpm.r, MOD(_xlpm.idx, SpriteCount),
  INDEX(
    sprite_data.asm!$C$3:$R$156,
    INT(_xlpm.idx / SpriteCount) * 7 + INT(_xlpm.r / 16) + 1,
    MOD(_xlpm.r, 16) + 1
  )
)</f>
        <v>00</v>
      </c>
      <c r="P131" t="str" cm="1">
        <f t="array" ref="P131">_xlfn.LET(
  _xlpm.idx, (ROW()-3)*16 + P$1,
  _xlpm.r, MOD(_xlpm.idx, SpriteCount),
  INDEX(
    sprite_data.asm!$C$3:$R$156,
    INT(_xlpm.idx / SpriteCount) * 7 + INT(_xlpm.r / 16) + 1,
    MOD(_xlpm.r, 16) + 1
  )
)</f>
        <v>00</v>
      </c>
      <c r="Q131" t="str" cm="1">
        <f t="array" ref="Q131">_xlfn.LET(
  _xlpm.idx, (ROW()-3)*16 + Q$1,
  _xlpm.r, MOD(_xlpm.idx, SpriteCount),
  INDEX(
    sprite_data.asm!$C$3:$R$156,
    INT(_xlpm.idx / SpriteCount) * 7 + INT(_xlpm.r / 16) + 1,
    MOD(_xlpm.r, 16) + 1
  )
)</f>
        <v>00</v>
      </c>
    </row>
    <row r="132" spans="1:17" x14ac:dyDescent="0.3">
      <c r="A132" s="2" t="str">
        <f t="shared" si="7"/>
        <v>B510</v>
      </c>
      <c r="B132" t="str" cm="1">
        <f t="array" ref="B132">_xlfn.LET(
  _xlpm.idx, (ROW()-3)*16 + B$1,
  _xlpm.r, MOD(_xlpm.idx, SpriteCount),
  INDEX(
    sprite_data.asm!$C$3:$R$156,
    INT(_xlpm.idx / SpriteCount) * 7 + INT(_xlpm.r / 16) + 1,
    MOD(_xlpm.r, 16) + 1
  )
)</f>
        <v>00</v>
      </c>
      <c r="C132" t="str" cm="1">
        <f t="array" ref="C132">_xlfn.LET(
  _xlpm.idx, (ROW()-3)*16 + C$1,
  _xlpm.r, MOD(_xlpm.idx, SpriteCount),
  INDEX(
    sprite_data.asm!$C$3:$R$156,
    INT(_xlpm.idx / SpriteCount) * 7 + INT(_xlpm.r / 16) + 1,
    MOD(_xlpm.r, 16) + 1
  )
)</f>
        <v>00</v>
      </c>
      <c r="D132" t="str" cm="1">
        <f t="array" ref="D132">_xlfn.LET(
  _xlpm.idx, (ROW()-3)*16 + D$1,
  _xlpm.r, MOD(_xlpm.idx, SpriteCount),
  INDEX(
    sprite_data.asm!$C$3:$R$156,
    INT(_xlpm.idx / SpriteCount) * 7 + INT(_xlpm.r / 16) + 1,
    MOD(_xlpm.r, 16) + 1
  )
)</f>
        <v>00</v>
      </c>
      <c r="E132" t="str" cm="1">
        <f t="array" ref="E132">_xlfn.LET(
  _xlpm.idx, (ROW()-3)*16 + E$1,
  _xlpm.r, MOD(_xlpm.idx, SpriteCount),
  INDEX(
    sprite_data.asm!$C$3:$R$156,
    INT(_xlpm.idx / SpriteCount) * 7 + INT(_xlpm.r / 16) + 1,
    MOD(_xlpm.r, 16) + 1
  )
)</f>
        <v>00</v>
      </c>
      <c r="F132" t="str" cm="1">
        <f t="array" ref="F132">_xlfn.LET(
  _xlpm.idx, (ROW()-3)*16 + F$1,
  _xlpm.r, MOD(_xlpm.idx, SpriteCount),
  INDEX(
    sprite_data.asm!$C$3:$R$156,
    INT(_xlpm.idx / SpriteCount) * 7 + INT(_xlpm.r / 16) + 1,
    MOD(_xlpm.r, 16) + 1
  )
)</f>
        <v>00</v>
      </c>
      <c r="G132" t="str" cm="1">
        <f t="array" ref="G132">_xlfn.LET(
  _xlpm.idx, (ROW()-3)*16 + G$1,
  _xlpm.r, MOD(_xlpm.idx, SpriteCount),
  INDEX(
    sprite_data.asm!$C$3:$R$156,
    INT(_xlpm.idx / SpriteCount) * 7 + INT(_xlpm.r / 16) + 1,
    MOD(_xlpm.r, 16) + 1
  )
)</f>
        <v>00</v>
      </c>
      <c r="H132" t="str" cm="1">
        <f t="array" ref="H132">_xlfn.LET(
  _xlpm.idx, (ROW()-3)*16 + H$1,
  _xlpm.r, MOD(_xlpm.idx, SpriteCount),
  INDEX(
    sprite_data.asm!$C$3:$R$156,
    INT(_xlpm.idx / SpriteCount) * 7 + INT(_xlpm.r / 16) + 1,
    MOD(_xlpm.r, 16) + 1
  )
)</f>
        <v>00</v>
      </c>
      <c r="I132" t="str" cm="1">
        <f t="array" ref="I132">_xlfn.LET(
  _xlpm.idx, (ROW()-3)*16 + I$1,
  _xlpm.r, MOD(_xlpm.idx, SpriteCount),
  INDEX(
    sprite_data.asm!$C$3:$R$156,
    INT(_xlpm.idx / SpriteCount) * 7 + INT(_xlpm.r / 16) + 1,
    MOD(_xlpm.r, 16) + 1
  )
)</f>
        <v>00</v>
      </c>
      <c r="J132" t="str" cm="1">
        <f t="array" ref="J132">_xlfn.LET(
  _xlpm.idx, (ROW()-3)*16 + J$1,
  _xlpm.r, MOD(_xlpm.idx, SpriteCount),
  INDEX(
    sprite_data.asm!$C$3:$R$156,
    INT(_xlpm.idx / SpriteCount) * 7 + INT(_xlpm.r / 16) + 1,
    MOD(_xlpm.r, 16) + 1
  )
)</f>
        <v>00</v>
      </c>
      <c r="K132" t="str" cm="1">
        <f t="array" ref="K132">_xlfn.LET(
  _xlpm.idx, (ROW()-3)*16 + K$1,
  _xlpm.r, MOD(_xlpm.idx, SpriteCount),
  INDEX(
    sprite_data.asm!$C$3:$R$156,
    INT(_xlpm.idx / SpriteCount) * 7 + INT(_xlpm.r / 16) + 1,
    MOD(_xlpm.r, 16) + 1
  )
)</f>
        <v>00</v>
      </c>
      <c r="L132" t="str" cm="1">
        <f t="array" ref="L132">_xlfn.LET(
  _xlpm.idx, (ROW()-3)*16 + L$1,
  _xlpm.r, MOD(_xlpm.idx, SpriteCount),
  INDEX(
    sprite_data.asm!$C$3:$R$156,
    INT(_xlpm.idx / SpriteCount) * 7 + INT(_xlpm.r / 16) + 1,
    MOD(_xlpm.r, 16) + 1
  )
)</f>
        <v>00</v>
      </c>
      <c r="M132" t="str" cm="1">
        <f t="array" ref="M132">_xlfn.LET(
  _xlpm.idx, (ROW()-3)*16 + M$1,
  _xlpm.r, MOD(_xlpm.idx, SpriteCount),
  INDEX(
    sprite_data.asm!$C$3:$R$156,
    INT(_xlpm.idx / SpriteCount) * 7 + INT(_xlpm.r / 16) + 1,
    MOD(_xlpm.r, 16) + 1
  )
)</f>
        <v>00</v>
      </c>
      <c r="N132" t="str" cm="1">
        <f t="array" ref="N132">_xlfn.LET(
  _xlpm.idx, (ROW()-3)*16 + N$1,
  _xlpm.r, MOD(_xlpm.idx, SpriteCount),
  INDEX(
    sprite_data.asm!$C$3:$R$156,
    INT(_xlpm.idx / SpriteCount) * 7 + INT(_xlpm.r / 16) + 1,
    MOD(_xlpm.r, 16) + 1
  )
)</f>
        <v>00</v>
      </c>
      <c r="O132" t="str" cm="1">
        <f t="array" ref="O132">_xlfn.LET(
  _xlpm.idx, (ROW()-3)*16 + O$1,
  _xlpm.r, MOD(_xlpm.idx, SpriteCount),
  INDEX(
    sprite_data.asm!$C$3:$R$156,
    INT(_xlpm.idx / SpriteCount) * 7 + INT(_xlpm.r / 16) + 1,
    MOD(_xlpm.r, 16) + 1
  )
)</f>
        <v>00</v>
      </c>
      <c r="P132" t="str" cm="1">
        <f t="array" ref="P132">_xlfn.LET(
  _xlpm.idx, (ROW()-3)*16 + P$1,
  _xlpm.r, MOD(_xlpm.idx, SpriteCount),
  INDEX(
    sprite_data.asm!$C$3:$R$156,
    INT(_xlpm.idx / SpriteCount) * 7 + INT(_xlpm.r / 16) + 1,
    MOD(_xlpm.r, 16) + 1
  )
)</f>
        <v>55</v>
      </c>
      <c r="Q132" t="str" cm="1">
        <f t="array" ref="Q132">_xlfn.LET(
  _xlpm.idx, (ROW()-3)*16 + Q$1,
  _xlpm.r, MOD(_xlpm.idx, SpriteCount),
  INDEX(
    sprite_data.asm!$C$3:$R$156,
    INT(_xlpm.idx / SpriteCount) * 7 + INT(_xlpm.r / 16) + 1,
    MOD(_xlpm.r, 16) + 1
  )
)</f>
        <v>45</v>
      </c>
    </row>
    <row r="133" spans="1:17" x14ac:dyDescent="0.3">
      <c r="A133" s="2" t="str">
        <f t="shared" si="7"/>
        <v>B520</v>
      </c>
      <c r="B133" t="str" cm="1">
        <f t="array" ref="B133">_xlfn.LET(
  _xlpm.idx, (ROW()-3)*16 + B$1,
  _xlpm.r, MOD(_xlpm.idx, SpriteCount),
  INDEX(
    sprite_data.asm!$C$3:$R$156,
    INT(_xlpm.idx / SpriteCount) * 7 + INT(_xlpm.r / 16) + 1,
    MOD(_xlpm.r, 16) + 1
  )
)</f>
        <v>00</v>
      </c>
      <c r="C133" t="str" cm="1">
        <f t="array" ref="C133">_xlfn.LET(
  _xlpm.idx, (ROW()-3)*16 + C$1,
  _xlpm.r, MOD(_xlpm.idx, SpriteCount),
  INDEX(
    sprite_data.asm!$C$3:$R$156,
    INT(_xlpm.idx / SpriteCount) * 7 + INT(_xlpm.r / 16) + 1,
    MOD(_xlpm.r, 16) + 1
  )
)</f>
        <v>00</v>
      </c>
      <c r="D133" t="str" cm="1">
        <f t="array" ref="D133">_xlfn.LET(
  _xlpm.idx, (ROW()-3)*16 + D$1,
  _xlpm.r, MOD(_xlpm.idx, SpriteCount),
  INDEX(
    sprite_data.asm!$C$3:$R$156,
    INT(_xlpm.idx / SpriteCount) * 7 + INT(_xlpm.r / 16) + 1,
    MOD(_xlpm.r, 16) + 1
  )
)</f>
        <v>00</v>
      </c>
      <c r="E133" t="str" cm="1">
        <f t="array" ref="E133">_xlfn.LET(
  _xlpm.idx, (ROW()-3)*16 + E$1,
  _xlpm.r, MOD(_xlpm.idx, SpriteCount),
  INDEX(
    sprite_data.asm!$C$3:$R$156,
    INT(_xlpm.idx / SpriteCount) * 7 + INT(_xlpm.r / 16) + 1,
    MOD(_xlpm.r, 16) + 1
  )
)</f>
        <v>06</v>
      </c>
      <c r="F133" t="str" cm="1">
        <f t="array" ref="F133">_xlfn.LET(
  _xlpm.idx, (ROW()-3)*16 + F$1,
  _xlpm.r, MOD(_xlpm.idx, SpriteCount),
  INDEX(
    sprite_data.asm!$C$3:$R$156,
    INT(_xlpm.idx / SpriteCount) * 7 + INT(_xlpm.r / 16) + 1,
    MOD(_xlpm.r, 16) + 1
  )
)</f>
        <v>00</v>
      </c>
      <c r="G133" t="str" cm="1">
        <f t="array" ref="G133">_xlfn.LET(
  _xlpm.idx, (ROW()-3)*16 + G$1,
  _xlpm.r, MOD(_xlpm.idx, SpriteCount),
  INDEX(
    sprite_data.asm!$C$3:$R$156,
    INT(_xlpm.idx / SpriteCount) * 7 + INT(_xlpm.r / 16) + 1,
    MOD(_xlpm.r, 16) + 1
  )
)</f>
        <v>00</v>
      </c>
      <c r="H133" t="str" cm="1">
        <f t="array" ref="H133">_xlfn.LET(
  _xlpm.idx, (ROW()-3)*16 + H$1,
  _xlpm.r, MOD(_xlpm.idx, SpriteCount),
  INDEX(
    sprite_data.asm!$C$3:$R$156,
    INT(_xlpm.idx / SpriteCount) * 7 + INT(_xlpm.r / 16) + 1,
    MOD(_xlpm.r, 16) + 1
  )
)</f>
        <v>06</v>
      </c>
      <c r="I133" t="str" cm="1">
        <f t="array" ref="I133">_xlfn.LET(
  _xlpm.idx, (ROW()-3)*16 + I$1,
  _xlpm.r, MOD(_xlpm.idx, SpriteCount),
  INDEX(
    sprite_data.asm!$C$3:$R$156,
    INT(_xlpm.idx / SpriteCount) * 7 + INT(_xlpm.r / 16) + 1,
    MOD(_xlpm.r, 16) + 1
  )
)</f>
        <v>00</v>
      </c>
      <c r="J133" t="str" cm="1">
        <f t="array" ref="J133">_xlfn.LET(
  _xlpm.idx, (ROW()-3)*16 + J$1,
  _xlpm.r, MOD(_xlpm.idx, SpriteCount),
  INDEX(
    sprite_data.asm!$C$3:$R$156,
    INT(_xlpm.idx / SpriteCount) * 7 + INT(_xlpm.r / 16) + 1,
    MOD(_xlpm.r, 16) + 1
  )
)</f>
        <v>18</v>
      </c>
      <c r="K133" t="str" cm="1">
        <f t="array" ref="K133">_xlfn.LET(
  _xlpm.idx, (ROW()-3)*16 + K$1,
  _xlpm.r, MOD(_xlpm.idx, SpriteCount),
  INDEX(
    sprite_data.asm!$C$3:$R$156,
    INT(_xlpm.idx / SpriteCount) * 7 + INT(_xlpm.r / 16) + 1,
    MOD(_xlpm.r, 16) + 1
  )
)</f>
        <v>40</v>
      </c>
      <c r="L133" t="str" cm="1">
        <f t="array" ref="L133">_xlfn.LET(
  _xlpm.idx, (ROW()-3)*16 + L$1,
  _xlpm.r, MOD(_xlpm.idx, SpriteCount),
  INDEX(
    sprite_data.asm!$C$3:$R$156,
    INT(_xlpm.idx / SpriteCount) * 7 + INT(_xlpm.r / 16) + 1,
    MOD(_xlpm.r, 16) + 1
  )
)</f>
        <v>7F</v>
      </c>
      <c r="M133" t="str" cm="1">
        <f t="array" ref="M133">_xlfn.LET(
  _xlpm.idx, (ROW()-3)*16 + M$1,
  _xlpm.r, MOD(_xlpm.idx, SpriteCount),
  INDEX(
    sprite_data.asm!$C$3:$R$156,
    INT(_xlpm.idx / SpriteCount) * 7 + INT(_xlpm.r / 16) + 1,
    MOD(_xlpm.r, 16) + 1
  )
)</f>
        <v>0C</v>
      </c>
      <c r="N133" t="str" cm="1">
        <f t="array" ref="N133">_xlfn.LET(
  _xlpm.idx, (ROW()-3)*16 + N$1,
  _xlpm.r, MOD(_xlpm.idx, SpriteCount),
  INDEX(
    sprite_data.asm!$C$3:$R$156,
    INT(_xlpm.idx / SpriteCount) * 7 + INT(_xlpm.r / 16) + 1,
    MOD(_xlpm.r, 16) + 1
  )
)</f>
        <v>30</v>
      </c>
      <c r="O133" t="str" cm="1">
        <f t="array" ref="O133">_xlfn.LET(
  _xlpm.idx, (ROW()-3)*16 + O$1,
  _xlpm.r, MOD(_xlpm.idx, SpriteCount),
  INDEX(
    sprite_data.asm!$C$3:$R$156,
    INT(_xlpm.idx / SpriteCount) * 7 + INT(_xlpm.r / 16) + 1,
    MOD(_xlpm.r, 16) + 1
  )
)</f>
        <v>40</v>
      </c>
      <c r="P133" t="str" cm="1">
        <f t="array" ref="P133">_xlfn.LET(
  _xlpm.idx, (ROW()-3)*16 + P$1,
  _xlpm.r, MOD(_xlpm.idx, SpriteCount),
  INDEX(
    sprite_data.asm!$C$3:$R$156,
    INT(_xlpm.idx / SpriteCount) * 7 + INT(_xlpm.r / 16) + 1,
    MOD(_xlpm.r, 16) + 1
  )
)</f>
        <v>1C</v>
      </c>
      <c r="Q133" t="str" cm="1">
        <f t="array" ref="Q133">_xlfn.LET(
  _xlpm.idx, (ROW()-3)*16 + Q$1,
  _xlpm.r, MOD(_xlpm.idx, SpriteCount),
  INDEX(
    sprite_data.asm!$C$3:$R$156,
    INT(_xlpm.idx / SpriteCount) * 7 + INT(_xlpm.r / 16) + 1,
    MOD(_xlpm.r, 16) + 1
  )
)</f>
        <v>30</v>
      </c>
    </row>
    <row r="134" spans="1:17" x14ac:dyDescent="0.3">
      <c r="A134" s="2" t="str">
        <f t="shared" ref="A134:A144" si="8">DEC2HEX(HEX2DEC(A133)+16)</f>
        <v>B530</v>
      </c>
      <c r="B134" t="str" cm="1">
        <f t="array" ref="B134">_xlfn.LET(
  _xlpm.idx, (ROW()-3)*16 + B$1,
  _xlpm.r, MOD(_xlpm.idx, SpriteCount),
  INDEX(
    sprite_data.asm!$C$3:$R$156,
    INT(_xlpm.idx / SpriteCount) * 7 + INT(_xlpm.r / 16) + 1,
    MOD(_xlpm.r, 16) + 1
  )
)</f>
        <v>30</v>
      </c>
      <c r="C134" t="str" cm="1">
        <f t="array" ref="C134">_xlfn.LET(
  _xlpm.idx, (ROW()-3)*16 + C$1,
  _xlpm.r, MOD(_xlpm.idx, SpriteCount),
  INDEX(
    sprite_data.asm!$C$3:$R$156,
    INT(_xlpm.idx / SpriteCount) * 7 + INT(_xlpm.r / 16) + 1,
    MOD(_xlpm.r, 16) + 1
  )
)</f>
        <v>0C</v>
      </c>
      <c r="D134" t="str" cm="1">
        <f t="array" ref="D134">_xlfn.LET(
  _xlpm.idx, (ROW()-3)*16 + D$1,
  _xlpm.r, MOD(_xlpm.idx, SpriteCount),
  INDEX(
    sprite_data.asm!$C$3:$R$156,
    INT(_xlpm.idx / SpriteCount) * 7 + INT(_xlpm.r / 16) + 1,
    MOD(_xlpm.r, 16) + 1
  )
)</f>
        <v>60</v>
      </c>
      <c r="E134" t="str" cm="1">
        <f t="array" ref="E134">_xlfn.LET(
  _xlpm.idx, (ROW()-3)*16 + E$1,
  _xlpm.r, MOD(_xlpm.idx, SpriteCount),
  INDEX(
    sprite_data.asm!$C$3:$R$156,
    INT(_xlpm.idx / SpriteCount) * 7 + INT(_xlpm.r / 16) + 1,
    MOD(_xlpm.r, 16) + 1
  )
)</f>
        <v>60</v>
      </c>
      <c r="F134" t="str" cm="1">
        <f t="array" ref="F134">_xlfn.LET(
  _xlpm.idx, (ROW()-3)*16 + F$1,
  _xlpm.r, MOD(_xlpm.idx, SpriteCount),
  INDEX(
    sprite_data.asm!$C$3:$R$156,
    INT(_xlpm.idx / SpriteCount) * 7 + INT(_xlpm.r / 16) + 1,
    MOD(_xlpm.r, 16) + 1
  )
)</f>
        <v>18</v>
      </c>
      <c r="G134" t="str" cm="1">
        <f t="array" ref="G134">_xlfn.LET(
  _xlpm.idx, (ROW()-3)*16 + G$1,
  _xlpm.r, MOD(_xlpm.idx, SpriteCount),
  INDEX(
    sprite_data.asm!$C$3:$R$156,
    INT(_xlpm.idx / SpriteCount) * 7 + INT(_xlpm.r / 16) + 1,
    MOD(_xlpm.r, 16) + 1
  )
)</f>
        <v>0D</v>
      </c>
      <c r="H134" t="str" cm="1">
        <f t="array" ref="H134">_xlfn.LET(
  _xlpm.idx, (ROW()-3)*16 + H$1,
  _xlpm.r, MOD(_xlpm.idx, SpriteCount),
  INDEX(
    sprite_data.asm!$C$3:$R$156,
    INT(_xlpm.idx / SpriteCount) * 7 + INT(_xlpm.r / 16) + 1,
    MOD(_xlpm.r, 16) + 1
  )
)</f>
        <v>36</v>
      </c>
      <c r="I134" t="str" cm="1">
        <f t="array" ref="I134">_xlfn.LET(
  _xlpm.idx, (ROW()-3)*16 + I$1,
  _xlpm.r, MOD(_xlpm.idx, SpriteCount),
  INDEX(
    sprite_data.asm!$C$3:$R$156,
    INT(_xlpm.idx / SpriteCount) * 7 + INT(_xlpm.r / 16) + 1,
    MOD(_xlpm.r, 16) + 1
  )
)</f>
        <v>58</v>
      </c>
      <c r="J134" t="str" cm="1">
        <f t="array" ref="J134">_xlfn.LET(
  _xlpm.idx, (ROW()-3)*16 + J$1,
  _xlpm.r, MOD(_xlpm.idx, SpriteCount),
  INDEX(
    sprite_data.asm!$C$3:$R$156,
    INT(_xlpm.idx / SpriteCount) * 7 + INT(_xlpm.r / 16) + 1,
    MOD(_xlpm.r, 16) + 1
  )
)</f>
        <v>40</v>
      </c>
      <c r="K134" t="str" cm="1">
        <f t="array" ref="K134">_xlfn.LET(
  _xlpm.idx, (ROW()-3)*16 + K$1,
  _xlpm.r, MOD(_xlpm.idx, SpriteCount),
  INDEX(
    sprite_data.asm!$C$3:$R$156,
    INT(_xlpm.idx / SpriteCount) * 7 + INT(_xlpm.r / 16) + 1,
    MOD(_xlpm.r, 16) + 1
  )
)</f>
        <v>30</v>
      </c>
      <c r="L134" t="str" cm="1">
        <f t="array" ref="L134">_xlfn.LET(
  _xlpm.idx, (ROW()-3)*16 + L$1,
  _xlpm.r, MOD(_xlpm.idx, SpriteCount),
  INDEX(
    sprite_data.asm!$C$3:$R$156,
    INT(_xlpm.idx / SpriteCount) * 7 + INT(_xlpm.r / 16) + 1,
    MOD(_xlpm.r, 16) + 1
  )
)</f>
        <v>6C</v>
      </c>
      <c r="M134" t="str" cm="1">
        <f t="array" ref="M134">_xlfn.LET(
  _xlpm.idx, (ROW()-3)*16 + M$1,
  _xlpm.r, MOD(_xlpm.idx, SpriteCount),
  INDEX(
    sprite_data.asm!$C$3:$R$156,
    INT(_xlpm.idx / SpriteCount) * 7 + INT(_xlpm.r / 16) + 1,
    MOD(_xlpm.r, 16) + 1
  )
)</f>
        <v>00</v>
      </c>
      <c r="N134" t="str" cm="1">
        <f t="array" ref="N134">_xlfn.LET(
  _xlpm.idx, (ROW()-3)*16 + N$1,
  _xlpm.r, MOD(_xlpm.idx, SpriteCount),
  INDEX(
    sprite_data.asm!$C$3:$R$156,
    INT(_xlpm.idx / SpriteCount) * 7 + INT(_xlpm.r / 16) + 1,
    MOD(_xlpm.r, 16) + 1
  )
)</f>
        <v>10</v>
      </c>
      <c r="O134" t="str" cm="1">
        <f t="array" ref="O134">_xlfn.LET(
  _xlpm.idx, (ROW()-3)*16 + O$1,
  _xlpm.r, MOD(_xlpm.idx, SpriteCount),
  INDEX(
    sprite_data.asm!$C$3:$R$156,
    INT(_xlpm.idx / SpriteCount) * 7 + INT(_xlpm.r / 16) + 1,
    MOD(_xlpm.r, 16) + 1
  )
)</f>
        <v>00</v>
      </c>
      <c r="P134" t="str" cm="1">
        <f t="array" ref="P134">_xlfn.LET(
  _xlpm.idx, (ROW()-3)*16 + P$1,
  _xlpm.r, MOD(_xlpm.idx, SpriteCount),
  INDEX(
    sprite_data.asm!$C$3:$R$156,
    INT(_xlpm.idx / SpriteCount) * 7 + INT(_xlpm.r / 16) + 1,
    MOD(_xlpm.r, 16) + 1
  )
)</f>
        <v>00</v>
      </c>
      <c r="Q134" t="str" cm="1">
        <f t="array" ref="Q134">_xlfn.LET(
  _xlpm.idx, (ROW()-3)*16 + Q$1,
  _xlpm.r, MOD(_xlpm.idx, SpriteCount),
  INDEX(
    sprite_data.asm!$C$3:$R$156,
    INT(_xlpm.idx / SpriteCount) * 7 + INT(_xlpm.r / 16) + 1,
    MOD(_xlpm.r, 16) + 1
  )
)</f>
        <v>00</v>
      </c>
    </row>
    <row r="135" spans="1:17" x14ac:dyDescent="0.3">
      <c r="A135" s="2" t="str">
        <f t="shared" si="8"/>
        <v>B540</v>
      </c>
      <c r="B135" t="str" cm="1">
        <f t="array" ref="B135">_xlfn.LET(
  _xlpm.idx, (ROW()-3)*16 + B$1,
  _xlpm.r, MOD(_xlpm.idx, SpriteCount),
  INDEX(
    sprite_data.asm!$C$3:$R$156,
    INT(_xlpm.idx / SpriteCount) * 7 + INT(_xlpm.r / 16) + 1,
    MOD(_xlpm.r, 16) + 1
  )
)</f>
        <v>00</v>
      </c>
      <c r="C135" t="str" cm="1">
        <f t="array" ref="C135">_xlfn.LET(
  _xlpm.idx, (ROW()-3)*16 + C$1,
  _xlpm.r, MOD(_xlpm.idx, SpriteCount),
  INDEX(
    sprite_data.asm!$C$3:$R$156,
    INT(_xlpm.idx / SpriteCount) * 7 + INT(_xlpm.r / 16) + 1,
    MOD(_xlpm.r, 16) + 1
  )
)</f>
        <v>00</v>
      </c>
      <c r="D135" t="str" cm="1">
        <f t="array" ref="D135">_xlfn.LET(
  _xlpm.idx, (ROW()-3)*16 + D$1,
  _xlpm.r, MOD(_xlpm.idx, SpriteCount),
  INDEX(
    sprite_data.asm!$C$3:$R$156,
    INT(_xlpm.idx / SpriteCount) * 7 + INT(_xlpm.r / 16) + 1,
    MOD(_xlpm.r, 16) + 1
  )
)</f>
        <v>00</v>
      </c>
      <c r="E135" t="str" cm="1">
        <f t="array" ref="E135">_xlfn.LET(
  _xlpm.idx, (ROW()-3)*16 + E$1,
  _xlpm.r, MOD(_xlpm.idx, SpriteCount),
  INDEX(
    sprite_data.asm!$C$3:$R$156,
    INT(_xlpm.idx / SpriteCount) * 7 + INT(_xlpm.r / 16) + 1,
    MOD(_xlpm.r, 16) + 1
  )
)</f>
        <v>00</v>
      </c>
      <c r="F135" t="str" cm="1">
        <f t="array" ref="F135">_xlfn.LET(
  _xlpm.idx, (ROW()-3)*16 + F$1,
  _xlpm.r, MOD(_xlpm.idx, SpriteCount),
  INDEX(
    sprite_data.asm!$C$3:$R$156,
    INT(_xlpm.idx / SpriteCount) * 7 + INT(_xlpm.r / 16) + 1,
    MOD(_xlpm.r, 16) + 1
  )
)</f>
        <v>00</v>
      </c>
      <c r="G135" t="str" cm="1">
        <f t="array" ref="G135">_xlfn.LET(
  _xlpm.idx, (ROW()-3)*16 + G$1,
  _xlpm.r, MOD(_xlpm.idx, SpriteCount),
  INDEX(
    sprite_data.asm!$C$3:$R$156,
    INT(_xlpm.idx / SpriteCount) * 7 + INT(_xlpm.r / 16) + 1,
    MOD(_xlpm.r, 16) + 1
  )
)</f>
        <v>6C</v>
      </c>
      <c r="H135" t="str" cm="1">
        <f t="array" ref="H135">_xlfn.LET(
  _xlpm.idx, (ROW()-3)*16 + H$1,
  _xlpm.r, MOD(_xlpm.idx, SpriteCount),
  INDEX(
    sprite_data.asm!$C$3:$R$156,
    INT(_xlpm.idx / SpriteCount) * 7 + INT(_xlpm.r / 16) + 1,
    MOD(_xlpm.r, 16) + 1
  )
)</f>
        <v>08</v>
      </c>
      <c r="I135" t="str" cm="1">
        <f t="array" ref="I135">_xlfn.LET(
  _xlpm.idx, (ROW()-3)*16 + I$1,
  _xlpm.r, MOD(_xlpm.idx, SpriteCount),
  INDEX(
    sprite_data.asm!$C$3:$R$156,
    INT(_xlpm.idx / SpriteCount) * 7 + INT(_xlpm.r / 16) + 1,
    MOD(_xlpm.r, 16) + 1
  )
)</f>
        <v>08</v>
      </c>
      <c r="J135" t="str" cm="1">
        <f t="array" ref="J135">_xlfn.LET(
  _xlpm.idx, (ROW()-3)*16 + J$1,
  _xlpm.r, MOD(_xlpm.idx, SpriteCount),
  INDEX(
    sprite_data.asm!$C$3:$R$156,
    INT(_xlpm.idx / SpriteCount) * 7 + INT(_xlpm.r / 16) + 1,
    MOD(_xlpm.r, 16) + 1
  )
)</f>
        <v>40</v>
      </c>
      <c r="K135" t="str" cm="1">
        <f t="array" ref="K135">_xlfn.LET(
  _xlpm.idx, (ROW()-3)*16 + K$1,
  _xlpm.r, MOD(_xlpm.idx, SpriteCount),
  INDEX(
    sprite_data.asm!$C$3:$R$156,
    INT(_xlpm.idx / SpriteCount) * 7 + INT(_xlpm.r / 16) + 1,
    MOD(_xlpm.r, 16) + 1
  )
)</f>
        <v>30</v>
      </c>
      <c r="L135" t="str" cm="1">
        <f t="array" ref="L135">_xlfn.LET(
  _xlpm.idx, (ROW()-3)*16 + L$1,
  _xlpm.r, MOD(_xlpm.idx, SpriteCount),
  INDEX(
    sprite_data.asm!$C$3:$R$156,
    INT(_xlpm.idx / SpriteCount) * 7 + INT(_xlpm.r / 16) + 1,
    MOD(_xlpm.r, 16) + 1
  )
)</f>
        <v>0C</v>
      </c>
      <c r="M135" t="str" cm="1">
        <f t="array" ref="M135">_xlfn.LET(
  _xlpm.idx, (ROW()-3)*16 + M$1,
  _xlpm.r, MOD(_xlpm.idx, SpriteCount),
  INDEX(
    sprite_data.asm!$C$3:$R$156,
    INT(_xlpm.idx / SpriteCount) * 7 + INT(_xlpm.r / 16) + 1,
    MOD(_xlpm.r, 16) + 1
  )
)</f>
        <v>60</v>
      </c>
      <c r="N135" t="str" cm="1">
        <f t="array" ref="N135">_xlfn.LET(
  _xlpm.idx, (ROW()-3)*16 + N$1,
  _xlpm.r, MOD(_xlpm.idx, SpriteCount),
  INDEX(
    sprite_data.asm!$C$3:$R$156,
    INT(_xlpm.idx / SpriteCount) * 7 + INT(_xlpm.r / 16) + 1,
    MOD(_xlpm.r, 16) + 1
  )
)</f>
        <v>00</v>
      </c>
      <c r="O135" t="str" cm="1">
        <f t="array" ref="O135">_xlfn.LET(
  _xlpm.idx, (ROW()-3)*16 + O$1,
  _xlpm.r, MOD(_xlpm.idx, SpriteCount),
  INDEX(
    sprite_data.asm!$C$3:$R$156,
    INT(_xlpm.idx / SpriteCount) * 7 + INT(_xlpm.r / 16) + 1,
    MOD(_xlpm.r, 16) + 1
  )
)</f>
        <v>0D</v>
      </c>
      <c r="P135" t="str" cm="1">
        <f t="array" ref="P135">_xlfn.LET(
  _xlpm.idx, (ROW()-3)*16 + P$1,
  _xlpm.r, MOD(_xlpm.idx, SpriteCount),
  INDEX(
    sprite_data.asm!$C$3:$R$156,
    INT(_xlpm.idx / SpriteCount) * 7 + INT(_xlpm.r / 16) + 1,
    MOD(_xlpm.r, 16) + 1
  )
)</f>
        <v>30</v>
      </c>
      <c r="Q135" t="str" cm="1">
        <f t="array" ref="Q135">_xlfn.LET(
  _xlpm.idx, (ROW()-3)*16 + Q$1,
  _xlpm.r, MOD(_xlpm.idx, SpriteCount),
  INDEX(
    sprite_data.asm!$C$3:$R$156,
    INT(_xlpm.idx / SpriteCount) * 7 + INT(_xlpm.r / 16) + 1,
    MOD(_xlpm.r, 16) + 1
  )
)</f>
        <v>58</v>
      </c>
    </row>
    <row r="136" spans="1:17" x14ac:dyDescent="0.3">
      <c r="A136" s="2" t="str">
        <f t="shared" si="8"/>
        <v>B550</v>
      </c>
      <c r="B136" t="str" cm="1">
        <f t="array" ref="B136">_xlfn.LET(
  _xlpm.idx, (ROW()-3)*16 + B$1,
  _xlpm.r, MOD(_xlpm.idx, SpriteCount),
  INDEX(
    sprite_data.asm!$C$3:$R$156,
    INT(_xlpm.idx / SpriteCount) * 7 + INT(_xlpm.r / 16) + 1,
    MOD(_xlpm.r, 16) + 1
  )
)</f>
        <v>60</v>
      </c>
      <c r="C136" t="str" cm="1">
        <f t="array" ref="C136">_xlfn.LET(
  _xlpm.idx, (ROW()-3)*16 + C$1,
  _xlpm.r, MOD(_xlpm.idx, SpriteCount),
  INDEX(
    sprite_data.asm!$C$3:$R$156,
    INT(_xlpm.idx / SpriteCount) * 7 + INT(_xlpm.r / 16) + 1,
    MOD(_xlpm.r, 16) + 1
  )
)</f>
        <v>58</v>
      </c>
      <c r="D136" t="str" cm="1">
        <f t="array" ref="D136">_xlfn.LET(
  _xlpm.idx, (ROW()-3)*16 + D$1,
  _xlpm.r, MOD(_xlpm.idx, SpriteCount),
  INDEX(
    sprite_data.asm!$C$3:$R$156,
    INT(_xlpm.idx / SpriteCount) * 7 + INT(_xlpm.r / 16) + 1,
    MOD(_xlpm.r, 16) + 1
  )
)</f>
        <v>36</v>
      </c>
      <c r="E136" t="str" cm="1">
        <f t="array" ref="E136">_xlfn.LET(
  _xlpm.idx, (ROW()-3)*16 + E$1,
  _xlpm.r, MOD(_xlpm.idx, SpriteCount),
  INDEX(
    sprite_data.asm!$C$3:$R$156,
    INT(_xlpm.idx / SpriteCount) * 7 + INT(_xlpm.r / 16) + 1,
    MOD(_xlpm.r, 16) + 1
  )
)</f>
        <v>1C</v>
      </c>
      <c r="F136" t="str" cm="1">
        <f t="array" ref="F136">_xlfn.LET(
  _xlpm.idx, (ROW()-3)*16 + F$1,
  _xlpm.r, MOD(_xlpm.idx, SpriteCount),
  INDEX(
    sprite_data.asm!$C$3:$R$156,
    INT(_xlpm.idx / SpriteCount) * 7 + INT(_xlpm.r / 16) + 1,
    MOD(_xlpm.r, 16) + 1
  )
)</f>
        <v>60</v>
      </c>
      <c r="G136" t="str" cm="1">
        <f t="array" ref="G136">_xlfn.LET(
  _xlpm.idx, (ROW()-3)*16 + G$1,
  _xlpm.r, MOD(_xlpm.idx, SpriteCount),
  INDEX(
    sprite_data.asm!$C$3:$R$156,
    INT(_xlpm.idx / SpriteCount) * 7 + INT(_xlpm.r / 16) + 1,
    MOD(_xlpm.r, 16) + 1
  )
)</f>
        <v>30</v>
      </c>
      <c r="H136" t="str" cm="1">
        <f t="array" ref="H136">_xlfn.LET(
  _xlpm.idx, (ROW()-3)*16 + H$1,
  _xlpm.r, MOD(_xlpm.idx, SpriteCount),
  INDEX(
    sprite_data.asm!$C$3:$R$156,
    INT(_xlpm.idx / SpriteCount) * 7 + INT(_xlpm.r / 16) + 1,
    MOD(_xlpm.r, 16) + 1
  )
)</f>
        <v>60</v>
      </c>
      <c r="I136" t="str" cm="1">
        <f t="array" ref="I136">_xlfn.LET(
  _xlpm.idx, (ROW()-3)*16 + I$1,
  _xlpm.r, MOD(_xlpm.idx, SpriteCount),
  INDEX(
    sprite_data.asm!$C$3:$R$156,
    INT(_xlpm.idx / SpriteCount) * 7 + INT(_xlpm.r / 16) + 1,
    MOD(_xlpm.r, 16) + 1
  )
)</f>
        <v>00</v>
      </c>
      <c r="J136" t="str" cm="1">
        <f t="array" ref="J136">_xlfn.LET(
  _xlpm.idx, (ROW()-3)*16 + J$1,
  _xlpm.r, MOD(_xlpm.idx, SpriteCount),
  INDEX(
    sprite_data.asm!$C$3:$R$156,
    INT(_xlpm.idx / SpriteCount) * 7 + INT(_xlpm.r / 16) + 1,
    MOD(_xlpm.r, 16) + 1
  )
)</f>
        <v>00</v>
      </c>
      <c r="K136" t="str" cm="1">
        <f t="array" ref="K136">_xlfn.LET(
  _xlpm.idx, (ROW()-3)*16 + K$1,
  _xlpm.r, MOD(_xlpm.idx, SpriteCount),
  INDEX(
    sprite_data.asm!$C$3:$R$156,
    INT(_xlpm.idx / SpriteCount) * 7 + INT(_xlpm.r / 16) + 1,
    MOD(_xlpm.r, 16) + 1
  )
)</f>
        <v>2A</v>
      </c>
      <c r="L136" t="str" cm="1">
        <f t="array" ref="L136">_xlfn.LET(
  _xlpm.idx, (ROW()-3)*16 + L$1,
  _xlpm.r, MOD(_xlpm.idx, SpriteCount),
  INDEX(
    sprite_data.asm!$C$3:$R$156,
    INT(_xlpm.idx / SpriteCount) * 7 + INT(_xlpm.r / 16) + 1,
    MOD(_xlpm.r, 16) + 1
  )
)</f>
        <v>2A</v>
      </c>
      <c r="M136" t="str" cm="1">
        <f t="array" ref="M136">_xlfn.LET(
  _xlpm.idx, (ROW()-3)*16 + M$1,
  _xlpm.r, MOD(_xlpm.idx, SpriteCount),
  INDEX(
    sprite_data.asm!$C$3:$R$156,
    INT(_xlpm.idx / SpriteCount) * 7 + INT(_xlpm.r / 16) + 1,
    MOD(_xlpm.r, 16) + 1
  )
)</f>
        <v>2A</v>
      </c>
      <c r="N136" t="str" cm="1">
        <f t="array" ref="N136">_xlfn.LET(
  _xlpm.idx, (ROW()-3)*16 + N$1,
  _xlpm.r, MOD(_xlpm.idx, SpriteCount),
  INDEX(
    sprite_data.asm!$C$3:$R$156,
    INT(_xlpm.idx / SpriteCount) * 7 + INT(_xlpm.r / 16) + 1,
    MOD(_xlpm.r, 16) + 1
  )
)</f>
        <v>28</v>
      </c>
      <c r="O136" t="str" cm="1">
        <f t="array" ref="O136">_xlfn.LET(
  _xlpm.idx, (ROW()-3)*16 + O$1,
  _xlpm.r, MOD(_xlpm.idx, SpriteCount),
  INDEX(
    sprite_data.asm!$C$3:$R$156,
    INT(_xlpm.idx / SpriteCount) * 7 + INT(_xlpm.r / 16) + 1,
    MOD(_xlpm.r, 16) + 1
  )
)</f>
        <v>2A</v>
      </c>
      <c r="P136" t="str" cm="1">
        <f t="array" ref="P136">_xlfn.LET(
  _xlpm.idx, (ROW()-3)*16 + P$1,
  _xlpm.r, MOD(_xlpm.idx, SpriteCount),
  INDEX(
    sprite_data.asm!$C$3:$R$156,
    INT(_xlpm.idx / SpriteCount) * 7 + INT(_xlpm.r / 16) + 1,
    MOD(_xlpm.r, 16) + 1
  )
)</f>
        <v>2A</v>
      </c>
      <c r="Q136" t="str" cm="1">
        <f t="array" ref="Q136">_xlfn.LET(
  _xlpm.idx, (ROW()-3)*16 + Q$1,
  _xlpm.r, MOD(_xlpm.idx, SpriteCount),
  INDEX(
    sprite_data.asm!$C$3:$R$156,
    INT(_xlpm.idx / SpriteCount) * 7 + INT(_xlpm.r / 16) + 1,
    MOD(_xlpm.r, 16) + 1
  )
)</f>
        <v>00</v>
      </c>
    </row>
    <row r="137" spans="1:17" x14ac:dyDescent="0.3">
      <c r="A137" s="2" t="str">
        <f t="shared" si="8"/>
        <v>B560</v>
      </c>
      <c r="B137" t="str" cm="1">
        <f t="array" ref="B137">_xlfn.LET(
  _xlpm.idx, (ROW()-3)*16 + B$1,
  _xlpm.r, MOD(_xlpm.idx, SpriteCount),
  INDEX(
    sprite_data.asm!$C$3:$R$156,
    INT(_xlpm.idx / SpriteCount) * 7 + INT(_xlpm.r / 16) + 1,
    MOD(_xlpm.r, 16) + 1
  )
)</f>
        <v>2A</v>
      </c>
      <c r="C137" t="str" cm="1">
        <f t="array" ref="C137">_xlfn.LET(
  _xlpm.idx, (ROW()-3)*16 + C$1,
  _xlpm.r, MOD(_xlpm.idx, SpriteCount),
  INDEX(
    sprite_data.asm!$C$3:$R$156,
    INT(_xlpm.idx / SpriteCount) * 7 + INT(_xlpm.r / 16) + 1,
    MOD(_xlpm.r, 16) + 1
  )
)</f>
        <v>2A</v>
      </c>
      <c r="D137" t="str" cm="1">
        <f t="array" ref="D137">_xlfn.LET(
  _xlpm.idx, (ROW()-3)*16 + D$1,
  _xlpm.r, MOD(_xlpm.idx, SpriteCount),
  INDEX(
    sprite_data.asm!$C$3:$R$156,
    INT(_xlpm.idx / SpriteCount) * 7 + INT(_xlpm.r / 16) + 1,
    MOD(_xlpm.r, 16) + 1
  )
)</f>
        <v>08</v>
      </c>
      <c r="E137" t="str" cm="1">
        <f t="array" ref="E137">_xlfn.LET(
  _xlpm.idx, (ROW()-3)*16 + E$1,
  _xlpm.r, MOD(_xlpm.idx, SpriteCount),
  INDEX(
    sprite_data.asm!$C$3:$R$156,
    INT(_xlpm.idx / SpriteCount) * 7 + INT(_xlpm.r / 16) + 1,
    MOD(_xlpm.r, 16) + 1
  )
)</f>
        <v>2A</v>
      </c>
      <c r="F137" t="str" cm="1">
        <f t="array" ref="F137">_xlfn.LET(
  _xlpm.idx, (ROW()-3)*16 + F$1,
  _xlpm.r, MOD(_xlpm.idx, SpriteCount),
  INDEX(
    sprite_data.asm!$C$3:$R$156,
    INT(_xlpm.idx / SpriteCount) * 7 + INT(_xlpm.r / 16) + 1,
    MOD(_xlpm.r, 16) + 1
  )
)</f>
        <v>20</v>
      </c>
      <c r="G137" t="str" cm="1">
        <f t="array" ref="G137">_xlfn.LET(
  _xlpm.idx, (ROW()-3)*16 + G$1,
  _xlpm.r, MOD(_xlpm.idx, SpriteCount),
  INDEX(
    sprite_data.asm!$C$3:$R$156,
    INT(_xlpm.idx / SpriteCount) * 7 + INT(_xlpm.r / 16) + 1,
    MOD(_xlpm.r, 16) + 1
  )
)</f>
        <v>51</v>
      </c>
      <c r="H137" t="str" cm="1">
        <f t="array" ref="H137">_xlfn.LET(
  _xlpm.idx, (ROW()-3)*16 + H$1,
  _xlpm.r, MOD(_xlpm.idx, SpriteCount),
  INDEX(
    sprite_data.asm!$C$3:$R$156,
    INT(_xlpm.idx / SpriteCount) * 7 + INT(_xlpm.r / 16) + 1,
    MOD(_xlpm.r, 16) + 1
  )
)</f>
        <v>55</v>
      </c>
      <c r="I137" t="str" cm="1">
        <f t="array" ref="I137">_xlfn.LET(
  _xlpm.idx, (ROW()-3)*16 + I$1,
  _xlpm.r, MOD(_xlpm.idx, SpriteCount),
  INDEX(
    sprite_data.asm!$C$3:$R$156,
    INT(_xlpm.idx / SpriteCount) * 7 + INT(_xlpm.r / 16) + 1,
    MOD(_xlpm.r, 16) + 1
  )
)</f>
        <v>55</v>
      </c>
      <c r="J137" t="str" cm="1">
        <f t="array" ref="J137">_xlfn.LET(
  _xlpm.idx, (ROW()-3)*16 + J$1,
  _xlpm.r, MOD(_xlpm.idx, SpriteCount),
  INDEX(
    sprite_data.asm!$C$3:$R$156,
    INT(_xlpm.idx / SpriteCount) * 7 + INT(_xlpm.r / 16) + 1,
    MOD(_xlpm.r, 16) + 1
  )
)</f>
        <v>15</v>
      </c>
      <c r="K137" t="str" cm="1">
        <f t="array" ref="K137">_xlfn.LET(
  _xlpm.idx, (ROW()-3)*16 + K$1,
  _xlpm.r, MOD(_xlpm.idx, SpriteCount),
  INDEX(
    sprite_data.asm!$C$3:$R$156,
    INT(_xlpm.idx / SpriteCount) * 7 + INT(_xlpm.r / 16) + 1,
    MOD(_xlpm.r, 16) + 1
  )
)</f>
        <v>55</v>
      </c>
      <c r="L137" t="str" cm="1">
        <f t="array" ref="L137">_xlfn.LET(
  _xlpm.idx, (ROW()-3)*16 + L$1,
  _xlpm.r, MOD(_xlpm.idx, SpriteCount),
  INDEX(
    sprite_data.asm!$C$3:$R$156,
    INT(_xlpm.idx / SpriteCount) * 7 + INT(_xlpm.r / 16) + 1,
    MOD(_xlpm.r, 16) + 1
  )
)</f>
        <v>01</v>
      </c>
      <c r="M137" t="str" cm="1">
        <f t="array" ref="M137">_xlfn.LET(
  _xlpm.idx, (ROW()-3)*16 + M$1,
  _xlpm.r, MOD(_xlpm.idx, SpriteCount),
  INDEX(
    sprite_data.asm!$C$3:$R$156,
    INT(_xlpm.idx / SpriteCount) * 7 + INT(_xlpm.r / 16) + 1,
    MOD(_xlpm.r, 16) + 1
  )
)</f>
        <v>55</v>
      </c>
      <c r="N137" t="str" cm="1">
        <f t="array" ref="N137">_xlfn.LET(
  _xlpm.idx, (ROW()-3)*16 + N$1,
  _xlpm.r, MOD(_xlpm.idx, SpriteCount),
  INDEX(
    sprite_data.asm!$C$3:$R$156,
    INT(_xlpm.idx / SpriteCount) * 7 + INT(_xlpm.r / 16) + 1,
    MOD(_xlpm.r, 16) + 1
  )
)</f>
        <v>45</v>
      </c>
      <c r="O137" t="str" cm="1">
        <f t="array" ref="O137">_xlfn.LET(
  _xlpm.idx, (ROW()-3)*16 + O$1,
  _xlpm.r, MOD(_xlpm.idx, SpriteCount),
  INDEX(
    sprite_data.asm!$C$3:$R$156,
    INT(_xlpm.idx / SpriteCount) * 7 + INT(_xlpm.r / 16) + 1,
    MOD(_xlpm.r, 16) + 1
  )
)</f>
        <v>14</v>
      </c>
      <c r="P137" t="str" cm="1">
        <f t="array" ref="P137">_xlfn.LET(
  _xlpm.idx, (ROW()-3)*16 + P$1,
  _xlpm.r, MOD(_xlpm.idx, SpriteCount),
  INDEX(
    sprite_data.asm!$C$3:$R$156,
    INT(_xlpm.idx / SpriteCount) * 7 + INT(_xlpm.r / 16) + 1,
    MOD(_xlpm.r, 16) + 1
  )
)</f>
        <v>55</v>
      </c>
      <c r="Q137" t="str" cm="1">
        <f t="array" ref="Q137">_xlfn.LET(
  _xlpm.idx, (ROW()-3)*16 + Q$1,
  _xlpm.r, MOD(_xlpm.idx, SpriteCount),
  INDEX(
    sprite_data.asm!$C$3:$R$156,
    INT(_xlpm.idx / SpriteCount) * 7 + INT(_xlpm.r / 16) + 1,
    MOD(_xlpm.r, 16) + 1
  )
)</f>
        <v>45</v>
      </c>
    </row>
    <row r="138" spans="1:17" x14ac:dyDescent="0.3">
      <c r="A138" s="2" t="str">
        <f t="shared" si="8"/>
        <v>B570</v>
      </c>
      <c r="B138" t="str" cm="1">
        <f t="array" ref="B138">_xlfn.LET(
  _xlpm.idx, (ROW()-3)*16 + B$1,
  _xlpm.r, MOD(_xlpm.idx, SpriteCount),
  INDEX(
    sprite_data.asm!$C$3:$R$156,
    INT(_xlpm.idx / SpriteCount) * 7 + INT(_xlpm.r / 16) + 1,
    MOD(_xlpm.r, 16) + 1
  )
)</f>
        <v>55</v>
      </c>
      <c r="C138" t="str" cm="1">
        <f t="array" ref="C138">_xlfn.LET(
  _xlpm.idx, (ROW()-3)*16 + C$1,
  _xlpm.r, MOD(_xlpm.idx, SpriteCount),
  INDEX(
    sprite_data.asm!$C$3:$R$156,
    INT(_xlpm.idx / SpriteCount) * 7 + INT(_xlpm.r / 16) + 1,
    MOD(_xlpm.r, 16) + 1
  )
)</f>
        <v>41</v>
      </c>
      <c r="D138" t="str" cm="1">
        <f t="array" ref="D138">_xlfn.LET(
  _xlpm.idx, (ROW()-3)*16 + D$1,
  _xlpm.r, MOD(_xlpm.idx, SpriteCount),
  INDEX(
    sprite_data.asm!$C$3:$R$156,
    INT(_xlpm.idx / SpriteCount) * 7 + INT(_xlpm.r / 16) + 1,
    MOD(_xlpm.r, 16) + 1
  )
)</f>
        <v>41</v>
      </c>
      <c r="E138" t="str" cm="1">
        <f t="array" ref="E138">_xlfn.LET(
  _xlpm.idx, (ROW()-3)*16 + E$1,
  _xlpm.r, MOD(_xlpm.idx, SpriteCount),
  INDEX(
    sprite_data.asm!$C$3:$R$156,
    INT(_xlpm.idx / SpriteCount) * 7 + INT(_xlpm.r / 16) + 1,
    MOD(_xlpm.r, 16) + 1
  )
)</f>
        <v>55</v>
      </c>
      <c r="F138" t="str" cm="1">
        <f t="array" ref="F138">_xlfn.LET(
  _xlpm.idx, (ROW()-3)*16 + F$1,
  _xlpm.r, MOD(_xlpm.idx, SpriteCount),
  INDEX(
    sprite_data.asm!$C$3:$R$156,
    INT(_xlpm.idx / SpriteCount) * 7 + INT(_xlpm.r / 16) + 1,
    MOD(_xlpm.r, 16) + 1
  )
)</f>
        <v>05</v>
      </c>
      <c r="G138" t="str" cm="1">
        <f t="array" ref="G138">_xlfn.LET(
  _xlpm.idx, (ROW()-3)*16 + G$1,
  _xlpm.r, MOD(_xlpm.idx, SpriteCount),
  INDEX(
    sprite_data.asm!$C$3:$R$156,
    INT(_xlpm.idx / SpriteCount) * 7 + INT(_xlpm.r / 16) + 1,
    MOD(_xlpm.r, 16) + 1
  )
)</f>
        <v>45</v>
      </c>
      <c r="H138" t="str" cm="1">
        <f t="array" ref="H138">_xlfn.LET(
  _xlpm.idx, (ROW()-3)*16 + H$1,
  _xlpm.r, MOD(_xlpm.idx, SpriteCount),
  INDEX(
    sprite_data.asm!$C$3:$R$156,
    INT(_xlpm.idx / SpriteCount) * 7 + INT(_xlpm.r / 16) + 1,
    MOD(_xlpm.r, 16) + 1
  )
)</f>
        <v>45</v>
      </c>
      <c r="I138" t="str" cm="1">
        <f t="array" ref="I138">_xlfn.LET(
  _xlpm.idx, (ROW()-3)*16 + I$1,
  _xlpm.r, MOD(_xlpm.idx, SpriteCount),
  INDEX(
    sprite_data.asm!$C$3:$R$156,
    INT(_xlpm.idx / SpriteCount) * 7 + INT(_xlpm.r / 16) + 1,
    MOD(_xlpm.r, 16) + 1
  )
)</f>
        <v>55</v>
      </c>
      <c r="J138" t="str" cm="1">
        <f t="array" ref="J138">_xlfn.LET(
  _xlpm.idx, (ROW()-3)*16 + J$1,
  _xlpm.r, MOD(_xlpm.idx, SpriteCount),
  INDEX(
    sprite_data.asm!$C$3:$R$156,
    INT(_xlpm.idx / SpriteCount) * 7 + INT(_xlpm.r / 16) + 1,
    MOD(_xlpm.r, 16) + 1
  )
)</f>
        <v>14</v>
      </c>
      <c r="K138" t="str" cm="1">
        <f t="array" ref="K138">_xlfn.LET(
  _xlpm.idx, (ROW()-3)*16 + K$1,
  _xlpm.r, MOD(_xlpm.idx, SpriteCount),
  INDEX(
    sprite_data.asm!$C$3:$R$156,
    INT(_xlpm.idx / SpriteCount) * 7 + INT(_xlpm.r / 16) + 1,
    MOD(_xlpm.r, 16) + 1
  )
)</f>
        <v>55</v>
      </c>
      <c r="L138" t="str" cm="1">
        <f t="array" ref="L138">_xlfn.LET(
  _xlpm.idx, (ROW()-3)*16 + L$1,
  _xlpm.r, MOD(_xlpm.idx, SpriteCount),
  INDEX(
    sprite_data.asm!$C$3:$R$156,
    INT(_xlpm.idx / SpriteCount) * 7 + INT(_xlpm.r / 16) + 1,
    MOD(_xlpm.r, 16) + 1
  )
)</f>
        <v>04</v>
      </c>
      <c r="M138" t="str" cm="1">
        <f t="array" ref="M138">_xlfn.LET(
  _xlpm.idx, (ROW()-3)*16 + M$1,
  _xlpm.r, MOD(_xlpm.idx, SpriteCount),
  INDEX(
    sprite_data.asm!$C$3:$R$156,
    INT(_xlpm.idx / SpriteCount) * 7 + INT(_xlpm.r / 16) + 1,
    MOD(_xlpm.r, 16) + 1
  )
)</f>
        <v>41</v>
      </c>
      <c r="N138" t="str" cm="1">
        <f t="array" ref="N138">_xlfn.LET(
  _xlpm.idx, (ROW()-3)*16 + N$1,
  _xlpm.r, MOD(_xlpm.idx, SpriteCount),
  INDEX(
    sprite_data.asm!$C$3:$R$156,
    INT(_xlpm.idx / SpriteCount) * 7 + INT(_xlpm.r / 16) + 1,
    MOD(_xlpm.r, 16) + 1
  )
)</f>
        <v>41</v>
      </c>
      <c r="O138" t="str" cm="1">
        <f t="array" ref="O138">_xlfn.LET(
  _xlpm.idx, (ROW()-3)*16 + O$1,
  _xlpm.r, MOD(_xlpm.idx, SpriteCount),
  INDEX(
    sprite_data.asm!$C$3:$R$156,
    INT(_xlpm.idx / SpriteCount) * 7 + INT(_xlpm.r / 16) + 1,
    MOD(_xlpm.r, 16) + 1
  )
)</f>
        <v>14</v>
      </c>
      <c r="P138" t="str" cm="1">
        <f t="array" ref="P138">_xlfn.LET(
  _xlpm.idx, (ROW()-3)*16 + P$1,
  _xlpm.r, MOD(_xlpm.idx, SpriteCount),
  INDEX(
    sprite_data.asm!$C$3:$R$156,
    INT(_xlpm.idx / SpriteCount) * 7 + INT(_xlpm.r / 16) + 1,
    MOD(_xlpm.r, 16) + 1
  )
)</f>
        <v>55</v>
      </c>
      <c r="Q138" t="str" cm="1">
        <f t="array" ref="Q138">_xlfn.LET(
  _xlpm.idx, (ROW()-3)*16 + Q$1,
  _xlpm.r, MOD(_xlpm.idx, SpriteCount),
  INDEX(
    sprite_data.asm!$C$3:$R$156,
    INT(_xlpm.idx / SpriteCount) * 7 + INT(_xlpm.r / 16) + 1,
    MOD(_xlpm.r, 16) + 1
  )
)</f>
        <v>01</v>
      </c>
    </row>
    <row r="139" spans="1:17" x14ac:dyDescent="0.3">
      <c r="A139" s="2" t="str">
        <f t="shared" si="8"/>
        <v>B580</v>
      </c>
      <c r="B139" t="str" cm="1">
        <f t="array" ref="B139">_xlfn.LET(
  _xlpm.idx, (ROW()-3)*16 + B$1,
  _xlpm.r, MOD(_xlpm.idx, SpriteCount),
  INDEX(
    sprite_data.asm!$C$3:$R$156,
    INT(_xlpm.idx / SpriteCount) * 7 + INT(_xlpm.r / 16) + 1,
    MOD(_xlpm.r, 16) + 1
  )
)</f>
        <v>14</v>
      </c>
      <c r="C139" t="str" cm="1">
        <f t="array" ref="C139">_xlfn.LET(
  _xlpm.idx, (ROW()-3)*16 + C$1,
  _xlpm.r, MOD(_xlpm.idx, SpriteCount),
  INDEX(
    sprite_data.asm!$C$3:$R$156,
    INT(_xlpm.idx / SpriteCount) * 7 + INT(_xlpm.r / 16) + 1,
    MOD(_xlpm.r, 16) + 1
  )
)</f>
        <v>14</v>
      </c>
      <c r="D139" t="str" cm="1">
        <f t="array" ref="D139">_xlfn.LET(
  _xlpm.idx, (ROW()-3)*16 + D$1,
  _xlpm.r, MOD(_xlpm.idx, SpriteCount),
  INDEX(
    sprite_data.asm!$C$3:$R$156,
    INT(_xlpm.idx / SpriteCount) * 7 + INT(_xlpm.r / 16) + 1,
    MOD(_xlpm.r, 16) + 1
  )
)</f>
        <v>14</v>
      </c>
      <c r="E139" t="str" cm="1">
        <f t="array" ref="E139">_xlfn.LET(
  _xlpm.idx, (ROW()-3)*16 + E$1,
  _xlpm.r, MOD(_xlpm.idx, SpriteCount),
  INDEX(
    sprite_data.asm!$C$3:$R$156,
    INT(_xlpm.idx / SpriteCount) * 7 + INT(_xlpm.r / 16) + 1,
    MOD(_xlpm.r, 16) + 1
  )
)</f>
        <v>01</v>
      </c>
      <c r="F139" t="str" cm="1">
        <f t="array" ref="F139">_xlfn.LET(
  _xlpm.idx, (ROW()-3)*16 + F$1,
  _xlpm.r, MOD(_xlpm.idx, SpriteCount),
  INDEX(
    sprite_data.asm!$C$3:$R$156,
    INT(_xlpm.idx / SpriteCount) * 7 + INT(_xlpm.r / 16) + 1,
    MOD(_xlpm.r, 16) + 1
  )
)</f>
        <v>00</v>
      </c>
      <c r="G139" t="str" cm="1">
        <f t="array" ref="G139">_xlfn.LET(
  _xlpm.idx, (ROW()-3)*16 + G$1,
  _xlpm.r, MOD(_xlpm.idx, SpriteCount),
  INDEX(
    sprite_data.asm!$C$3:$R$156,
    INT(_xlpm.idx / SpriteCount) * 7 + INT(_xlpm.r / 16) + 1,
    MOD(_xlpm.r, 16) + 1
  )
)</f>
        <v>40</v>
      </c>
      <c r="H139" t="str" cm="1">
        <f t="array" ref="H139">_xlfn.LET(
  _xlpm.idx, (ROW()-3)*16 + H$1,
  _xlpm.r, MOD(_xlpm.idx, SpriteCount),
  INDEX(
    sprite_data.asm!$C$3:$R$156,
    INT(_xlpm.idx / SpriteCount) * 7 + INT(_xlpm.r / 16) + 1,
    MOD(_xlpm.r, 16) + 1
  )
)</f>
        <v>00</v>
      </c>
      <c r="I139" t="str" cm="1">
        <f t="array" ref="I139">_xlfn.LET(
  _xlpm.idx, (ROW()-3)*16 + I$1,
  _xlpm.r, MOD(_xlpm.idx, SpriteCount),
  INDEX(
    sprite_data.asm!$C$3:$R$156,
    INT(_xlpm.idx / SpriteCount) * 7 + INT(_xlpm.r / 16) + 1,
    MOD(_xlpm.r, 16) + 1
  )
)</f>
        <v>00</v>
      </c>
      <c r="J139" t="str" cm="1">
        <f t="array" ref="J139">_xlfn.LET(
  _xlpm.idx, (ROW()-3)*16 + J$1,
  _xlpm.r, MOD(_xlpm.idx, SpriteCount),
  INDEX(
    sprite_data.asm!$C$3:$R$156,
    INT(_xlpm.idx / SpriteCount) * 7 + INT(_xlpm.r / 16) + 1,
    MOD(_xlpm.r, 16) + 1
  )
)</f>
        <v>00</v>
      </c>
      <c r="K139" t="str" cm="1">
        <f t="array" ref="K139">_xlfn.LET(
  _xlpm.idx, (ROW()-3)*16 + K$1,
  _xlpm.r, MOD(_xlpm.idx, SpriteCount),
  INDEX(
    sprite_data.asm!$C$3:$R$156,
    INT(_xlpm.idx / SpriteCount) * 7 + INT(_xlpm.r / 16) + 1,
    MOD(_xlpm.r, 16) + 1
  )
)</f>
        <v>00</v>
      </c>
      <c r="L139" t="str" cm="1">
        <f t="array" ref="L139">_xlfn.LET(
  _xlpm.idx, (ROW()-3)*16 + L$1,
  _xlpm.r, MOD(_xlpm.idx, SpriteCount),
  INDEX(
    sprite_data.asm!$C$3:$R$156,
    INT(_xlpm.idx / SpriteCount) * 7 + INT(_xlpm.r / 16) + 1,
    MOD(_xlpm.r, 16) + 1
  )
)</f>
        <v>00</v>
      </c>
      <c r="M139" t="str" cm="1">
        <f t="array" ref="M139">_xlfn.LET(
  _xlpm.idx, (ROW()-3)*16 + M$1,
  _xlpm.r, MOD(_xlpm.idx, SpriteCount),
  INDEX(
    sprite_data.asm!$C$3:$R$156,
    INT(_xlpm.idx / SpriteCount) * 7 + INT(_xlpm.r / 16) + 1,
    MOD(_xlpm.r, 16) + 1
  )
)</f>
        <v>03</v>
      </c>
      <c r="N139" t="str" cm="1">
        <f t="array" ref="N139">_xlfn.LET(
  _xlpm.idx, (ROW()-3)*16 + N$1,
  _xlpm.r, MOD(_xlpm.idx, SpriteCount),
  INDEX(
    sprite_data.asm!$C$3:$R$156,
    INT(_xlpm.idx / SpriteCount) * 7 + INT(_xlpm.r / 16) + 1,
    MOD(_xlpm.r, 16) + 1
  )
)</f>
        <v>00</v>
      </c>
      <c r="O139" t="str" cm="1">
        <f t="array" ref="O139">_xlfn.LET(
  _xlpm.idx, (ROW()-3)*16 + O$1,
  _xlpm.r, MOD(_xlpm.idx, SpriteCount),
  INDEX(
    sprite_data.asm!$C$3:$R$156,
    INT(_xlpm.idx / SpriteCount) * 7 + INT(_xlpm.r / 16) + 1,
    MOD(_xlpm.r, 16) + 1
  )
)</f>
        <v>00</v>
      </c>
      <c r="P139" t="str" cm="1">
        <f t="array" ref="P139">_xlfn.LET(
  _xlpm.idx, (ROW()-3)*16 + P$1,
  _xlpm.r, MOD(_xlpm.idx, SpriteCount),
  INDEX(
    sprite_data.asm!$C$3:$R$156,
    INT(_xlpm.idx / SpriteCount) * 7 + INT(_xlpm.r / 16) + 1,
    MOD(_xlpm.r, 16) + 1
  )
)</f>
        <v>00</v>
      </c>
      <c r="Q139" t="str" cm="1">
        <f t="array" ref="Q139">_xlfn.LET(
  _xlpm.idx, (ROW()-3)*16 + Q$1,
  _xlpm.r, MOD(_xlpm.idx, SpriteCount),
  INDEX(
    sprite_data.asm!$C$3:$R$156,
    INT(_xlpm.idx / SpriteCount) * 7 + INT(_xlpm.r / 16) + 1,
    MOD(_xlpm.r, 16) + 1
  )
)</f>
        <v>00</v>
      </c>
    </row>
    <row r="140" spans="1:17" x14ac:dyDescent="0.3">
      <c r="A140" s="2" t="str">
        <f t="shared" si="8"/>
        <v>B590</v>
      </c>
      <c r="B140" t="str" cm="1">
        <f t="array" ref="B140">_xlfn.LET(
  _xlpm.idx, (ROW()-3)*16 + B$1,
  _xlpm.r, MOD(_xlpm.idx, SpriteCount),
  INDEX(
    sprite_data.asm!$C$3:$R$156,
    INT(_xlpm.idx / SpriteCount) * 7 + INT(_xlpm.r / 16) + 1,
    MOD(_xlpm.r, 16) + 1
  )
)</f>
        <v>00</v>
      </c>
      <c r="C140" t="str" cm="1">
        <f t="array" ref="C140">_xlfn.LET(
  _xlpm.idx, (ROW()-3)*16 + C$1,
  _xlpm.r, MOD(_xlpm.idx, SpriteCount),
  INDEX(
    sprite_data.asm!$C$3:$R$156,
    INT(_xlpm.idx / SpriteCount) * 7 + INT(_xlpm.r / 16) + 1,
    MOD(_xlpm.r, 16) + 1
  )
)</f>
        <v>01</v>
      </c>
      <c r="D140" t="str" cm="1">
        <f t="array" ref="D140">_xlfn.LET(
  _xlpm.idx, (ROW()-3)*16 + D$1,
  _xlpm.r, MOD(_xlpm.idx, SpriteCount),
  INDEX(
    sprite_data.asm!$C$3:$R$156,
    INT(_xlpm.idx / SpriteCount) * 7 + INT(_xlpm.r / 16) + 1,
    MOD(_xlpm.r, 16) + 1
  )
)</f>
        <v>07</v>
      </c>
      <c r="E140" t="str" cm="1">
        <f t="array" ref="E140">_xlfn.LET(
  _xlpm.idx, (ROW()-3)*16 + E$1,
  _xlpm.r, MOD(_xlpm.idx, SpriteCount),
  INDEX(
    sprite_data.asm!$C$3:$R$156,
    INT(_xlpm.idx / SpriteCount) * 7 + INT(_xlpm.r / 16) + 1,
    MOD(_xlpm.r, 16) + 1
  )
)</f>
        <v>00</v>
      </c>
      <c r="F140" t="str" cm="1">
        <f t="array" ref="F140">_xlfn.LET(
  _xlpm.idx, (ROW()-3)*16 + F$1,
  _xlpm.r, MOD(_xlpm.idx, SpriteCount),
  INDEX(
    sprite_data.asm!$C$3:$R$156,
    INT(_xlpm.idx / SpriteCount) * 7 + INT(_xlpm.r / 16) + 1,
    MOD(_xlpm.r, 16) + 1
  )
)</f>
        <v>00</v>
      </c>
      <c r="G140" t="str" cm="1">
        <f t="array" ref="G140">_xlfn.LET(
  _xlpm.idx, (ROW()-3)*16 + G$1,
  _xlpm.r, MOD(_xlpm.idx, SpriteCount),
  INDEX(
    sprite_data.asm!$C$3:$R$156,
    INT(_xlpm.idx / SpriteCount) * 7 + INT(_xlpm.r / 16) + 1,
    MOD(_xlpm.r, 16) + 1
  )
)</f>
        <v>01</v>
      </c>
      <c r="H140" t="str" cm="1">
        <f t="array" ref="H140">_xlfn.LET(
  _xlpm.idx, (ROW()-3)*16 + H$1,
  _xlpm.r, MOD(_xlpm.idx, SpriteCount),
  INDEX(
    sprite_data.asm!$C$3:$R$156,
    INT(_xlpm.idx / SpriteCount) * 7 + INT(_xlpm.r / 16) + 1,
    MOD(_xlpm.r, 16) + 1
  )
)</f>
        <v>00</v>
      </c>
      <c r="I140" t="str" cm="1">
        <f t="array" ref="I140">_xlfn.LET(
  _xlpm.idx, (ROW()-3)*16 + I$1,
  _xlpm.r, MOD(_xlpm.idx, SpriteCount),
  INDEX(
    sprite_data.asm!$C$3:$R$156,
    INT(_xlpm.idx / SpriteCount) * 7 + INT(_xlpm.r / 16) + 1,
    MOD(_xlpm.r, 16) + 1
  )
)</f>
        <v>03</v>
      </c>
      <c r="J140" t="str" cm="1">
        <f t="array" ref="J140">_xlfn.LET(
  _xlpm.idx, (ROW()-3)*16 + J$1,
  _xlpm.r, MOD(_xlpm.idx, SpriteCount),
  INDEX(
    sprite_data.asm!$C$3:$R$156,
    INT(_xlpm.idx / SpriteCount) * 7 + INT(_xlpm.r / 16) + 1,
    MOD(_xlpm.r, 16) + 1
  )
)</f>
        <v>00</v>
      </c>
      <c r="K140" t="str" cm="1">
        <f t="array" ref="K140">_xlfn.LET(
  _xlpm.idx, (ROW()-3)*16 + K$1,
  _xlpm.r, MOD(_xlpm.idx, SpriteCount),
  INDEX(
    sprite_data.asm!$C$3:$R$156,
    INT(_xlpm.idx / SpriteCount) * 7 + INT(_xlpm.r / 16) + 1,
    MOD(_xlpm.r, 16) + 1
  )
)</f>
        <v>00</v>
      </c>
      <c r="L140" t="str" cm="1">
        <f t="array" ref="L140">_xlfn.LET(
  _xlpm.idx, (ROW()-3)*16 + L$1,
  _xlpm.r, MOD(_xlpm.idx, SpriteCount),
  INDEX(
    sprite_data.asm!$C$3:$R$156,
    INT(_xlpm.idx / SpriteCount) * 7 + INT(_xlpm.r / 16) + 1,
    MOD(_xlpm.r, 16) + 1
  )
)</f>
        <v>01</v>
      </c>
      <c r="M140" t="str" cm="1">
        <f t="array" ref="M140">_xlfn.LET(
  _xlpm.idx, (ROW()-3)*16 + M$1,
  _xlpm.r, MOD(_xlpm.idx, SpriteCount),
  INDEX(
    sprite_data.asm!$C$3:$R$156,
    INT(_xlpm.idx / SpriteCount) * 7 + INT(_xlpm.r / 16) + 1,
    MOD(_xlpm.r, 16) + 1
  )
)</f>
        <v>00</v>
      </c>
      <c r="N140" t="str" cm="1">
        <f t="array" ref="N140">_xlfn.LET(
  _xlpm.idx, (ROW()-3)*16 + N$1,
  _xlpm.r, MOD(_xlpm.idx, SpriteCount),
  INDEX(
    sprite_data.asm!$C$3:$R$156,
    INT(_xlpm.idx / SpriteCount) * 7 + INT(_xlpm.r / 16) + 1,
    MOD(_xlpm.r, 16) + 1
  )
)</f>
        <v>00</v>
      </c>
      <c r="O140" t="str" cm="1">
        <f t="array" ref="O140">_xlfn.LET(
  _xlpm.idx, (ROW()-3)*16 + O$1,
  _xlpm.r, MOD(_xlpm.idx, SpriteCount),
  INDEX(
    sprite_data.asm!$C$3:$R$156,
    INT(_xlpm.idx / SpriteCount) * 7 + INT(_xlpm.r / 16) + 1,
    MOD(_xlpm.r, 16) + 1
  )
)</f>
        <v>00</v>
      </c>
      <c r="P140" t="str" cm="1">
        <f t="array" ref="P140">_xlfn.LET(
  _xlpm.idx, (ROW()-3)*16 + P$1,
  _xlpm.r, MOD(_xlpm.idx, SpriteCount),
  INDEX(
    sprite_data.asm!$C$3:$R$156,
    INT(_xlpm.idx / SpriteCount) * 7 + INT(_xlpm.r / 16) + 1,
    MOD(_xlpm.r, 16) + 1
  )
)</f>
        <v>00</v>
      </c>
      <c r="Q140" t="str" cm="1">
        <f t="array" ref="Q140">_xlfn.LET(
  _xlpm.idx, (ROW()-3)*16 + Q$1,
  _xlpm.r, MOD(_xlpm.idx, SpriteCount),
  INDEX(
    sprite_data.asm!$C$3:$R$156,
    INT(_xlpm.idx / SpriteCount) * 7 + INT(_xlpm.r / 16) + 1,
    MOD(_xlpm.r, 16) + 1
  )
)</f>
        <v>01</v>
      </c>
    </row>
    <row r="141" spans="1:17" x14ac:dyDescent="0.3">
      <c r="A141" s="2" t="str">
        <f t="shared" si="8"/>
        <v>B5A0</v>
      </c>
      <c r="B141" t="str" cm="1">
        <f t="array" ref="B141">_xlfn.LET(
  _xlpm.idx, (ROW()-3)*16 + B$1,
  _xlpm.r, MOD(_xlpm.idx, SpriteCount),
  INDEX(
    sprite_data.asm!$C$3:$R$156,
    INT(_xlpm.idx / SpriteCount) * 7 + INT(_xlpm.r / 16) + 1,
    MOD(_xlpm.r, 16) + 1
  )
)</f>
        <v>05</v>
      </c>
      <c r="C141" t="str" cm="1">
        <f t="array" ref="C141">_xlfn.LET(
  _xlpm.idx, (ROW()-3)*16 + C$1,
  _xlpm.r, MOD(_xlpm.idx, SpriteCount),
  INDEX(
    sprite_data.asm!$C$3:$R$156,
    INT(_xlpm.idx / SpriteCount) * 7 + INT(_xlpm.r / 16) + 1,
    MOD(_xlpm.r, 16) + 1
  )
)</f>
        <v>03</v>
      </c>
      <c r="D141" t="str" cm="1">
        <f t="array" ref="D141">_xlfn.LET(
  _xlpm.idx, (ROW()-3)*16 + D$1,
  _xlpm.r, MOD(_xlpm.idx, SpriteCount),
  INDEX(
    sprite_data.asm!$C$3:$R$156,
    INT(_xlpm.idx / SpriteCount) * 7 + INT(_xlpm.r / 16) + 1,
    MOD(_xlpm.r, 16) + 1
  )
)</f>
        <v>00</v>
      </c>
      <c r="E141" t="str" cm="1">
        <f t="array" ref="E141">_xlfn.LET(
  _xlpm.idx, (ROW()-3)*16 + E$1,
  _xlpm.r, MOD(_xlpm.idx, SpriteCount),
  INDEX(
    sprite_data.asm!$C$3:$R$156,
    INT(_xlpm.idx / SpriteCount) * 7 + INT(_xlpm.r / 16) + 1,
    MOD(_xlpm.r, 16) + 1
  )
)</f>
        <v>01</v>
      </c>
      <c r="F141" t="str" cm="1">
        <f t="array" ref="F141">_xlfn.LET(
  _xlpm.idx, (ROW()-3)*16 + F$1,
  _xlpm.r, MOD(_xlpm.idx, SpriteCount),
  INDEX(
    sprite_data.asm!$C$3:$R$156,
    INT(_xlpm.idx / SpriteCount) * 7 + INT(_xlpm.r / 16) + 1,
    MOD(_xlpm.r, 16) + 1
  )
)</f>
        <v>01</v>
      </c>
      <c r="G141" t="str" cm="1">
        <f t="array" ref="G141">_xlfn.LET(
  _xlpm.idx, (ROW()-3)*16 + G$1,
  _xlpm.r, MOD(_xlpm.idx, SpriteCount),
  INDEX(
    sprite_data.asm!$C$3:$R$156,
    INT(_xlpm.idx / SpriteCount) * 7 + INT(_xlpm.r / 16) + 1,
    MOD(_xlpm.r, 16) + 1
  )
)</f>
        <v>00</v>
      </c>
      <c r="H141" t="str" cm="1">
        <f t="array" ref="H141">_xlfn.LET(
  _xlpm.idx, (ROW()-3)*16 + H$1,
  _xlpm.r, MOD(_xlpm.idx, SpriteCount),
  INDEX(
    sprite_data.asm!$C$3:$R$156,
    INT(_xlpm.idx / SpriteCount) * 7 + INT(_xlpm.r / 16) + 1,
    MOD(_xlpm.r, 16) + 1
  )
)</f>
        <v>00</v>
      </c>
      <c r="I141" t="str" cm="1">
        <f t="array" ref="I141">_xlfn.LET(
  _xlpm.idx, (ROW()-3)*16 + I$1,
  _xlpm.r, MOD(_xlpm.idx, SpriteCount),
  INDEX(
    sprite_data.asm!$C$3:$R$156,
    INT(_xlpm.idx / SpriteCount) * 7 + INT(_xlpm.r / 16) + 1,
    MOD(_xlpm.r, 16) + 1
  )
)</f>
        <v>00</v>
      </c>
      <c r="J141" t="str" cm="1">
        <f t="array" ref="J141">_xlfn.LET(
  _xlpm.idx, (ROW()-3)*16 + J$1,
  _xlpm.r, MOD(_xlpm.idx, SpriteCount),
  INDEX(
    sprite_data.asm!$C$3:$R$156,
    INT(_xlpm.idx / SpriteCount) * 7 + INT(_xlpm.r / 16) + 1,
    MOD(_xlpm.r, 16) + 1
  )
)</f>
        <v>00</v>
      </c>
      <c r="K141" t="str" cm="1">
        <f t="array" ref="K141">_xlfn.LET(
  _xlpm.idx, (ROW()-3)*16 + K$1,
  _xlpm.r, MOD(_xlpm.idx, SpriteCount),
  INDEX(
    sprite_data.asm!$C$3:$R$156,
    INT(_xlpm.idx / SpriteCount) * 7 + INT(_xlpm.r / 16) + 1,
    MOD(_xlpm.r, 16) + 1
  )
)</f>
        <v>00</v>
      </c>
      <c r="L141" t="str" cm="1">
        <f t="array" ref="L141">_xlfn.LET(
  _xlpm.idx, (ROW()-3)*16 + L$1,
  _xlpm.r, MOD(_xlpm.idx, SpriteCount),
  INDEX(
    sprite_data.asm!$C$3:$R$156,
    INT(_xlpm.idx / SpriteCount) * 7 + INT(_xlpm.r / 16) + 1,
    MOD(_xlpm.r, 16) + 1
  )
)</f>
        <v>00</v>
      </c>
      <c r="M141" t="str" cm="1">
        <f t="array" ref="M141">_xlfn.LET(
  _xlpm.idx, (ROW()-3)*16 + M$1,
  _xlpm.r, MOD(_xlpm.idx, SpriteCount),
  INDEX(
    sprite_data.asm!$C$3:$R$156,
    INT(_xlpm.idx / SpriteCount) * 7 + INT(_xlpm.r / 16) + 1,
    MOD(_xlpm.r, 16) + 1
  )
)</f>
        <v>00</v>
      </c>
      <c r="N141" t="str" cm="1">
        <f t="array" ref="N141">_xlfn.LET(
  _xlpm.idx, (ROW()-3)*16 + N$1,
  _xlpm.r, MOD(_xlpm.idx, SpriteCount),
  INDEX(
    sprite_data.asm!$C$3:$R$156,
    INT(_xlpm.idx / SpriteCount) * 7 + INT(_xlpm.r / 16) + 1,
    MOD(_xlpm.r, 16) + 1
  )
)</f>
        <v>00</v>
      </c>
      <c r="O141" t="str" cm="1">
        <f t="array" ref="O141">_xlfn.LET(
  _xlpm.idx, (ROW()-3)*16 + O$1,
  _xlpm.r, MOD(_xlpm.idx, SpriteCount),
  INDEX(
    sprite_data.asm!$C$3:$R$156,
    INT(_xlpm.idx / SpriteCount) * 7 + INT(_xlpm.r / 16) + 1,
    MOD(_xlpm.r, 16) + 1
  )
)</f>
        <v>00</v>
      </c>
      <c r="P141" t="str" cm="1">
        <f t="array" ref="P141">_xlfn.LET(
  _xlpm.idx, (ROW()-3)*16 + P$1,
  _xlpm.r, MOD(_xlpm.idx, SpriteCount),
  INDEX(
    sprite_data.asm!$C$3:$R$156,
    INT(_xlpm.idx / SpriteCount) * 7 + INT(_xlpm.r / 16) + 1,
    MOD(_xlpm.r, 16) + 1
  )
)</f>
        <v>00</v>
      </c>
      <c r="Q141" t="str" cm="1">
        <f t="array" ref="Q141">_xlfn.LET(
  _xlpm.idx, (ROW()-3)*16 + Q$1,
  _xlpm.r, MOD(_xlpm.idx, SpriteCount),
  INDEX(
    sprite_data.asm!$C$3:$R$156,
    INT(_xlpm.idx / SpriteCount) * 7 + INT(_xlpm.r / 16) + 1,
    MOD(_xlpm.r, 16) + 1
  )
)</f>
        <v>01</v>
      </c>
    </row>
    <row r="142" spans="1:17" x14ac:dyDescent="0.3">
      <c r="A142" s="2" t="str">
        <f t="shared" si="8"/>
        <v>B5B0</v>
      </c>
      <c r="B142" t="str" cm="1">
        <f t="array" ref="B142">_xlfn.LET(
  _xlpm.idx, (ROW()-3)*16 + B$1,
  _xlpm.r, MOD(_xlpm.idx, SpriteCount),
  INDEX(
    sprite_data.asm!$C$3:$R$156,
    INT(_xlpm.idx / SpriteCount) * 7 + INT(_xlpm.r / 16) + 1,
    MOD(_xlpm.r, 16) + 1
  )
)</f>
        <v>01</v>
      </c>
      <c r="C142" t="str" cm="1">
        <f t="array" ref="C142">_xlfn.LET(
  _xlpm.idx, (ROW()-3)*16 + C$1,
  _xlpm.r, MOD(_xlpm.idx, SpriteCount),
  INDEX(
    sprite_data.asm!$C$3:$R$156,
    INT(_xlpm.idx / SpriteCount) * 7 + INT(_xlpm.r / 16) + 1,
    MOD(_xlpm.r, 16) + 1
  )
)</f>
        <v>00</v>
      </c>
      <c r="D142" t="str" cm="1">
        <f t="array" ref="D142">_xlfn.LET(
  _xlpm.idx, (ROW()-3)*16 + D$1,
  _xlpm.r, MOD(_xlpm.idx, SpriteCount),
  INDEX(
    sprite_data.asm!$C$3:$R$156,
    INT(_xlpm.idx / SpriteCount) * 7 + INT(_xlpm.r / 16) + 1,
    MOD(_xlpm.r, 16) + 1
  )
)</f>
        <v>00</v>
      </c>
      <c r="E142" t="str" cm="1">
        <f t="array" ref="E142">_xlfn.LET(
  _xlpm.idx, (ROW()-3)*16 + E$1,
  _xlpm.r, MOD(_xlpm.idx, SpriteCount),
  INDEX(
    sprite_data.asm!$C$3:$R$156,
    INT(_xlpm.idx / SpriteCount) * 7 + INT(_xlpm.r / 16) + 1,
    MOD(_xlpm.r, 16) + 1
  )
)</f>
        <v>00</v>
      </c>
      <c r="F142" t="str" cm="1">
        <f t="array" ref="F142">_xlfn.LET(
  _xlpm.idx, (ROW()-3)*16 + F$1,
  _xlpm.r, MOD(_xlpm.idx, SpriteCount),
  INDEX(
    sprite_data.asm!$C$3:$R$156,
    INT(_xlpm.idx / SpriteCount) * 7 + INT(_xlpm.r / 16) + 1,
    MOD(_xlpm.r, 16) + 1
  )
)</f>
        <v>03</v>
      </c>
      <c r="G142" t="str" cm="1">
        <f t="array" ref="G142">_xlfn.LET(
  _xlpm.idx, (ROW()-3)*16 + G$1,
  _xlpm.r, MOD(_xlpm.idx, SpriteCount),
  INDEX(
    sprite_data.asm!$C$3:$R$156,
    INT(_xlpm.idx / SpriteCount) * 7 + INT(_xlpm.r / 16) + 1,
    MOD(_xlpm.r, 16) + 1
  )
)</f>
        <v>00</v>
      </c>
      <c r="H142" t="str" cm="1">
        <f t="array" ref="H142">_xlfn.LET(
  _xlpm.idx, (ROW()-3)*16 + H$1,
  _xlpm.r, MOD(_xlpm.idx, SpriteCount),
  INDEX(
    sprite_data.asm!$C$3:$R$156,
    INT(_xlpm.idx / SpriteCount) * 7 + INT(_xlpm.r / 16) + 1,
    MOD(_xlpm.r, 16) + 1
  )
)</f>
        <v>00</v>
      </c>
      <c r="I142" t="str" cm="1">
        <f t="array" ref="I142">_xlfn.LET(
  _xlpm.idx, (ROW()-3)*16 + I$1,
  _xlpm.r, MOD(_xlpm.idx, SpriteCount),
  INDEX(
    sprite_data.asm!$C$3:$R$156,
    INT(_xlpm.idx / SpriteCount) * 7 + INT(_xlpm.r / 16) + 1,
    MOD(_xlpm.r, 16) + 1
  )
)</f>
        <v>01</v>
      </c>
      <c r="J142" t="str" cm="1">
        <f t="array" ref="J142">_xlfn.LET(
  _xlpm.idx, (ROW()-3)*16 + J$1,
  _xlpm.r, MOD(_xlpm.idx, SpriteCount),
  INDEX(
    sprite_data.asm!$C$3:$R$156,
    INT(_xlpm.idx / SpriteCount) * 7 + INT(_xlpm.r / 16) + 1,
    MOD(_xlpm.r, 16) + 1
  )
)</f>
        <v>02</v>
      </c>
      <c r="K142" t="str" cm="1">
        <f t="array" ref="K142">_xlfn.LET(
  _xlpm.idx, (ROW()-3)*16 + K$1,
  _xlpm.r, MOD(_xlpm.idx, SpriteCount),
  INDEX(
    sprite_data.asm!$C$3:$R$156,
    INT(_xlpm.idx / SpriteCount) * 7 + INT(_xlpm.r / 16) + 1,
    MOD(_xlpm.r, 16) + 1
  )
)</f>
        <v>01</v>
      </c>
      <c r="L142" t="str" cm="1">
        <f t="array" ref="L142">_xlfn.LET(
  _xlpm.idx, (ROW()-3)*16 + L$1,
  _xlpm.r, MOD(_xlpm.idx, SpriteCount),
  INDEX(
    sprite_data.asm!$C$3:$R$156,
    INT(_xlpm.idx / SpriteCount) * 7 + INT(_xlpm.r / 16) + 1,
    MOD(_xlpm.r, 16) + 1
  )
)</f>
        <v>00</v>
      </c>
      <c r="M142" t="str" cm="1">
        <f t="array" ref="M142">_xlfn.LET(
  _xlpm.idx, (ROW()-3)*16 + M$1,
  _xlpm.r, MOD(_xlpm.idx, SpriteCount),
  INDEX(
    sprite_data.asm!$C$3:$R$156,
    INT(_xlpm.idx / SpriteCount) * 7 + INT(_xlpm.r / 16) + 1,
    MOD(_xlpm.r, 16) + 1
  )
)</f>
        <v>00</v>
      </c>
      <c r="N142" t="str" cm="1">
        <f t="array" ref="N142">_xlfn.LET(
  _xlpm.idx, (ROW()-3)*16 + N$1,
  _xlpm.r, MOD(_xlpm.idx, SpriteCount),
  INDEX(
    sprite_data.asm!$C$3:$R$156,
    INT(_xlpm.idx / SpriteCount) * 7 + INT(_xlpm.r / 16) + 1,
    MOD(_xlpm.r, 16) + 1
  )
)</f>
        <v>01</v>
      </c>
      <c r="O142" t="str" cm="1">
        <f t="array" ref="O142">_xlfn.LET(
  _xlpm.idx, (ROW()-3)*16 + O$1,
  _xlpm.r, MOD(_xlpm.idx, SpriteCount),
  INDEX(
    sprite_data.asm!$C$3:$R$156,
    INT(_xlpm.idx / SpriteCount) * 7 + INT(_xlpm.r / 16) + 1,
    MOD(_xlpm.r, 16) + 1
  )
)</f>
        <v>00</v>
      </c>
      <c r="P142" t="str" cm="1">
        <f t="array" ref="P142">_xlfn.LET(
  _xlpm.idx, (ROW()-3)*16 + P$1,
  _xlpm.r, MOD(_xlpm.idx, SpriteCount),
  INDEX(
    sprite_data.asm!$C$3:$R$156,
    INT(_xlpm.idx / SpriteCount) * 7 + INT(_xlpm.r / 16) + 1,
    MOD(_xlpm.r, 16) + 1
  )
)</f>
        <v>00</v>
      </c>
      <c r="Q142" t="str" cm="1">
        <f t="array" ref="Q142">_xlfn.LET(
  _xlpm.idx, (ROW()-3)*16 + Q$1,
  _xlpm.r, MOD(_xlpm.idx, SpriteCount),
  INDEX(
    sprite_data.asm!$C$3:$R$156,
    INT(_xlpm.idx / SpriteCount) * 7 + INT(_xlpm.r / 16) + 1,
    MOD(_xlpm.r, 16) + 1
  )
)</f>
        <v>00</v>
      </c>
    </row>
    <row r="143" spans="1:17" x14ac:dyDescent="0.3">
      <c r="A143" s="2" t="str">
        <f t="shared" si="8"/>
        <v>B5C0</v>
      </c>
      <c r="B143" t="str" cm="1">
        <f t="array" ref="B143">_xlfn.LET(
  _xlpm.idx, (ROW()-3)*16 + B$1,
  _xlpm.r, MOD(_xlpm.idx, SpriteCount),
  INDEX(
    sprite_data.asm!$C$3:$R$156,
    INT(_xlpm.idx / SpriteCount) * 7 + INT(_xlpm.r / 16) + 1,
    MOD(_xlpm.r, 16) + 1
  )
)</f>
        <v>00</v>
      </c>
      <c r="C143" t="str" cm="1">
        <f t="array" ref="C143">_xlfn.LET(
  _xlpm.idx, (ROW()-3)*16 + C$1,
  _xlpm.r, MOD(_xlpm.idx, SpriteCount),
  INDEX(
    sprite_data.asm!$C$3:$R$156,
    INT(_xlpm.idx / SpriteCount) * 7 + INT(_xlpm.r / 16) + 1,
    MOD(_xlpm.r, 16) + 1
  )
)</f>
        <v>01</v>
      </c>
      <c r="D143" t="str" cm="1">
        <f t="array" ref="D143">_xlfn.LET(
  _xlpm.idx, (ROW()-3)*16 + D$1,
  _xlpm.r, MOD(_xlpm.idx, SpriteCount),
  INDEX(
    sprite_data.asm!$C$3:$R$156,
    INT(_xlpm.idx / SpriteCount) * 7 + INT(_xlpm.r / 16) + 1,
    MOD(_xlpm.r, 16) + 1
  )
)</f>
        <v>01</v>
      </c>
      <c r="E143" t="str" cm="1">
        <f t="array" ref="E143">_xlfn.LET(
  _xlpm.idx, (ROW()-3)*16 + E$1,
  _xlpm.r, MOD(_xlpm.idx, SpriteCount),
  INDEX(
    sprite_data.asm!$C$3:$R$156,
    INT(_xlpm.idx / SpriteCount) * 7 + INT(_xlpm.r / 16) + 1,
    MOD(_xlpm.r, 16) + 1
  )
)</f>
        <v>01</v>
      </c>
      <c r="F143" t="str" cm="1">
        <f t="array" ref="F143">_xlfn.LET(
  _xlpm.idx, (ROW()-3)*16 + F$1,
  _xlpm.r, MOD(_xlpm.idx, SpriteCount),
  INDEX(
    sprite_data.asm!$C$3:$R$156,
    INT(_xlpm.idx / SpriteCount) * 7 + INT(_xlpm.r / 16) + 1,
    MOD(_xlpm.r, 16) + 1
  )
)</f>
        <v>01</v>
      </c>
      <c r="G143" t="str" cm="1">
        <f t="array" ref="G143">_xlfn.LET(
  _xlpm.idx, (ROW()-3)*16 + G$1,
  _xlpm.r, MOD(_xlpm.idx, SpriteCount),
  INDEX(
    sprite_data.asm!$C$3:$R$156,
    INT(_xlpm.idx / SpriteCount) * 7 + INT(_xlpm.r / 16) + 1,
    MOD(_xlpm.r, 16) + 1
  )
)</f>
        <v>01</v>
      </c>
      <c r="H143" t="str" cm="1">
        <f t="array" ref="H143">_xlfn.LET(
  _xlpm.idx, (ROW()-3)*16 + H$1,
  _xlpm.r, MOD(_xlpm.idx, SpriteCount),
  INDEX(
    sprite_data.asm!$C$3:$R$156,
    INT(_xlpm.idx / SpriteCount) * 7 + INT(_xlpm.r / 16) + 1,
    MOD(_xlpm.r, 16) + 1
  )
)</f>
        <v>01</v>
      </c>
      <c r="I143" t="str" cm="1">
        <f t="array" ref="I143">_xlfn.LET(
  _xlpm.idx, (ROW()-3)*16 + I$1,
  _xlpm.r, MOD(_xlpm.idx, SpriteCount),
  INDEX(
    sprite_data.asm!$C$3:$R$156,
    INT(_xlpm.idx / SpriteCount) * 7 + INT(_xlpm.r / 16) + 1,
    MOD(_xlpm.r, 16) + 1
  )
)</f>
        <v>01</v>
      </c>
      <c r="J143" t="str" cm="1">
        <f t="array" ref="J143">_xlfn.LET(
  _xlpm.idx, (ROW()-3)*16 + J$1,
  _xlpm.r, MOD(_xlpm.idx, SpriteCount),
  INDEX(
    sprite_data.asm!$C$3:$R$156,
    INT(_xlpm.idx / SpriteCount) * 7 + INT(_xlpm.r / 16) + 1,
    MOD(_xlpm.r, 16) + 1
  )
)</f>
        <v>01</v>
      </c>
      <c r="K143" t="str" cm="1">
        <f t="array" ref="K143">_xlfn.LET(
  _xlpm.idx, (ROW()-3)*16 + K$1,
  _xlpm.r, MOD(_xlpm.idx, SpriteCount),
  INDEX(
    sprite_data.asm!$C$3:$R$156,
    INT(_xlpm.idx / SpriteCount) * 7 + INT(_xlpm.r / 16) + 1,
    MOD(_xlpm.r, 16) + 1
  )
)</f>
        <v>01</v>
      </c>
      <c r="L143" t="str" cm="1">
        <f t="array" ref="L143">_xlfn.LET(
  _xlpm.idx, (ROW()-3)*16 + L$1,
  _xlpm.r, MOD(_xlpm.idx, SpriteCount),
  INDEX(
    sprite_data.asm!$C$3:$R$156,
    INT(_xlpm.idx / SpriteCount) * 7 + INT(_xlpm.r / 16) + 1,
    MOD(_xlpm.r, 16) + 1
  )
)</f>
        <v>00</v>
      </c>
      <c r="M143" t="str" cm="1">
        <f t="array" ref="M143">_xlfn.LET(
  _xlpm.idx, (ROW()-3)*16 + M$1,
  _xlpm.r, MOD(_xlpm.idx, SpriteCount),
  INDEX(
    sprite_data.asm!$C$3:$R$156,
    INT(_xlpm.idx / SpriteCount) * 7 + INT(_xlpm.r / 16) + 1,
    MOD(_xlpm.r, 16) + 1
  )
)</f>
        <v>01</v>
      </c>
      <c r="N143" t="str" cm="1">
        <f t="array" ref="N143">_xlfn.LET(
  _xlpm.idx, (ROW()-3)*16 + N$1,
  _xlpm.r, MOD(_xlpm.idx, SpriteCount),
  INDEX(
    sprite_data.asm!$C$3:$R$156,
    INT(_xlpm.idx / SpriteCount) * 7 + INT(_xlpm.r / 16) + 1,
    MOD(_xlpm.r, 16) + 1
  )
)</f>
        <v>01</v>
      </c>
      <c r="O143" t="str" cm="1">
        <f t="array" ref="O143">_xlfn.LET(
  _xlpm.idx, (ROW()-3)*16 + O$1,
  _xlpm.r, MOD(_xlpm.idx, SpriteCount),
  INDEX(
    sprite_data.asm!$C$3:$R$156,
    INT(_xlpm.idx / SpriteCount) * 7 + INT(_xlpm.r / 16) + 1,
    MOD(_xlpm.r, 16) + 1
  )
)</f>
        <v>00</v>
      </c>
      <c r="P143" t="str" cm="1">
        <f t="array" ref="P143">_xlfn.LET(
  _xlpm.idx, (ROW()-3)*16 + P$1,
  _xlpm.r, MOD(_xlpm.idx, SpriteCount),
  INDEX(
    sprite_data.asm!$C$3:$R$156,
    INT(_xlpm.idx / SpriteCount) * 7 + INT(_xlpm.r / 16) + 1,
    MOD(_xlpm.r, 16) + 1
  )
)</f>
        <v>00</v>
      </c>
      <c r="Q143" t="str" cm="1">
        <f t="array" ref="Q14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4" spans="1:17" x14ac:dyDescent="0.3">
      <c r="A144" s="2" t="str">
        <f t="shared" si="8"/>
        <v>B5D0</v>
      </c>
      <c r="B144" t="str" cm="1">
        <f t="array" ref="B144">_xlfn.LET(
  _xlpm.idx, (ROW()-3)*16 + B$1,
  _xlpm.r, MOD(_xlpm.idx, SpriteCount),
  INDEX(
    sprite_data.asm!$C$3:$R$156,
    INT(_xlpm.idx / SpriteCount) * 7 + INT(_xlpm.r / 16) + 1,
    MOD(_xlpm.r, 16) + 1
  )
)</f>
        <v>00</v>
      </c>
      <c r="C144" t="str" cm="1">
        <f t="array" ref="C144">_xlfn.LET(
  _xlpm.idx, (ROW()-3)*16 + C$1,
  _xlpm.r, MOD(_xlpm.idx, SpriteCount),
  INDEX(
    sprite_data.asm!$C$3:$R$156,
    INT(_xlpm.idx / SpriteCount) * 7 + INT(_xlpm.r / 16) + 1,
    MOD(_xlpm.r, 16) + 1
  )
)</f>
        <v>00</v>
      </c>
      <c r="D144" t="str" cm="1">
        <f t="array" ref="D144">_xlfn.LET(
  _xlpm.idx, (ROW()-3)*16 + D$1,
  _xlpm.r, MOD(_xlpm.idx, SpriteCount),
  INDEX(
    sprite_data.asm!$C$3:$R$156,
    INT(_xlpm.idx / SpriteCount) * 7 + INT(_xlpm.r / 16) + 1,
    MOD(_xlpm.r, 16) + 1
  )
)</f>
        <v>00</v>
      </c>
      <c r="E144" t="str" cm="1">
        <f t="array" ref="E144">_xlfn.LET(
  _xlpm.idx, (ROW()-3)*16 + E$1,
  _xlpm.r, MOD(_xlpm.idx, SpriteCount),
  INDEX(
    sprite_data.asm!$C$3:$R$156,
    INT(_xlpm.idx / SpriteCount) * 7 + INT(_xlpm.r / 16) + 1,
    MOD(_xlpm.r, 16) + 1
  )
)</f>
        <v>00</v>
      </c>
      <c r="F144" t="str" cm="1">
        <f t="array" ref="F144">_xlfn.LET(
  _xlpm.idx, (ROW()-3)*16 + F$1,
  _xlpm.r, MOD(_xlpm.idx, SpriteCount),
  INDEX(
    sprite_data.asm!$C$3:$R$156,
    INT(_xlpm.idx / SpriteCount) * 7 + INT(_xlpm.r / 16) + 1,
    MOD(_xlpm.r, 16) + 1
  )
)</f>
        <v>00</v>
      </c>
      <c r="G144" t="str" cm="1">
        <f t="array" ref="G144">_xlfn.LET(
  _xlpm.idx, (ROW()-3)*16 + G$1,
  _xlpm.r, MOD(_xlpm.idx, SpriteCount),
  INDEX(
    sprite_data.asm!$C$3:$R$156,
    INT(_xlpm.idx / SpriteCount) * 7 + INT(_xlpm.r / 16) + 1,
    MOD(_xlpm.r, 16) + 1
  )
)</f>
        <v>00</v>
      </c>
      <c r="H144" t="str" cm="1">
        <f t="array" ref="H144">_xlfn.LET(
  _xlpm.idx, (ROW()-3)*16 + H$1,
  _xlpm.r, MOD(_xlpm.idx, SpriteCount),
  INDEX(
    sprite_data.asm!$C$3:$R$156,
    INT(_xlpm.idx / SpriteCount) * 7 + INT(_xlpm.r / 16) + 1,
    MOD(_xlpm.r, 16) + 1
  )
)</f>
        <v>00</v>
      </c>
      <c r="I144" t="str" cm="1">
        <f t="array" ref="I144">_xlfn.LET(
  _xlpm.idx, (ROW()-3)*16 + I$1,
  _xlpm.r, MOD(_xlpm.idx, SpriteCount),
  INDEX(
    sprite_data.asm!$C$3:$R$156,
    INT(_xlpm.idx / SpriteCount) * 7 + INT(_xlpm.r / 16) + 1,
    MOD(_xlpm.r, 16) + 1
  )
)</f>
        <v>00</v>
      </c>
      <c r="J144" t="str" cm="1">
        <f t="array" ref="J144">_xlfn.LET(
  _xlpm.idx, (ROW()-3)*16 + J$1,
  _xlpm.r, MOD(_xlpm.idx, SpriteCount),
  INDEX(
    sprite_data.asm!$C$3:$R$156,
    INT(_xlpm.idx / SpriteCount) * 7 + INT(_xlpm.r / 16) + 1,
    MOD(_xlpm.r, 16) + 1
  )
)</f>
        <v>00</v>
      </c>
      <c r="K144" t="str" cm="1">
        <f t="array" ref="K144">_xlfn.LET(
  _xlpm.idx, (ROW()-3)*16 + K$1,
  _xlpm.r, MOD(_xlpm.idx, SpriteCount),
  INDEX(
    sprite_data.asm!$C$3:$R$156,
    INT(_xlpm.idx / SpriteCount) * 7 + INT(_xlpm.r / 16) + 1,
    MOD(_xlpm.r, 16) + 1
  )
)</f>
        <v>00</v>
      </c>
      <c r="L144" t="str" cm="1">
        <f t="array" ref="L144">_xlfn.LET(
  _xlpm.idx, (ROW()-3)*16 + L$1,
  _xlpm.r, MOD(_xlpm.idx, SpriteCount),
  INDEX(
    sprite_data.asm!$C$3:$R$156,
    INT(_xlpm.idx / SpriteCount) * 7 + INT(_xlpm.r / 16) + 1,
    MOD(_xlpm.r, 16) + 1
  )
)</f>
        <v>00</v>
      </c>
      <c r="M144" t="str" cm="1">
        <f t="array" ref="M144">_xlfn.LET(
  _xlpm.idx, (ROW()-3)*16 + M$1,
  _xlpm.r, MOD(_xlpm.idx, SpriteCount),
  INDEX(
    sprite_data.asm!$C$3:$R$156,
    INT(_xlpm.idx / SpriteCount) * 7 + INT(_xlpm.r / 16) + 1,
    MOD(_xlpm.r, 16) + 1
  )
)</f>
        <v>00</v>
      </c>
      <c r="N144" t="str" cm="1">
        <f t="array" ref="N144">_xlfn.LET(
  _xlpm.idx, (ROW()-3)*16 + N$1,
  _xlpm.r, MOD(_xlpm.idx, SpriteCount),
  INDEX(
    sprite_data.asm!$C$3:$R$156,
    INT(_xlpm.idx / SpriteCount) * 7 + INT(_xlpm.r / 16) + 1,
    MOD(_xlpm.r, 16) + 1
  )
)</f>
        <v>00</v>
      </c>
      <c r="O144" t="str" cm="1">
        <f t="array" ref="O144">_xlfn.LET(
  _xlpm.idx, (ROW()-3)*16 + O$1,
  _xlpm.r, MOD(_xlpm.idx, SpriteCount),
  INDEX(
    sprite_data.asm!$C$3:$R$156,
    INT(_xlpm.idx / SpriteCount) * 7 + INT(_xlpm.r / 16) + 1,
    MOD(_xlpm.r, 16) + 1
  )
)</f>
        <v>00</v>
      </c>
      <c r="P144" t="str" cm="1">
        <f t="array" ref="P144">_xlfn.LET(
  _xlpm.idx, (ROW()-3)*16 + P$1,
  _xlpm.r, MOD(_xlpm.idx, SpriteCount),
  INDEX(
    sprite_data.asm!$C$3:$R$156,
    INT(_xlpm.idx / SpriteCount) * 7 + INT(_xlpm.r / 16) + 1,
    MOD(_xlpm.r, 16) + 1
  )
)</f>
        <v>00</v>
      </c>
      <c r="Q144" t="str" cm="1">
        <f t="array" ref="Q144">_xlfn.LET(
  _xlpm.idx, (ROW()-3)*16 + Q$1,
  _xlpm.r, MOD(_xlpm.idx, SpriteCount),
  INDEX(
    sprite_data.asm!$C$3:$R$156,
    INT(_xlpm.idx / SpriteCount) * 7 + INT(_xlpm.r / 16) + 1,
    MOD(_xlpm.r, 16) + 1
  )
)</f>
        <v>00</v>
      </c>
    </row>
    <row r="145" spans="1:17" x14ac:dyDescent="0.3">
      <c r="A145" s="2" t="str">
        <f t="shared" ref="A145" si="9">DEC2HEX(HEX2DEC(A144)+16)</f>
        <v>B5E0</v>
      </c>
      <c r="B145" t="str" cm="1">
        <f t="array" ref="B145">_xlfn.LET(
  _xlpm.idx, (ROW()-3)*16 + B$1,
  _xlpm.r, MOD(_xlpm.idx, SpriteCount),
  INDEX(
    sprite_data.asm!$C$3:$R$156,
    INT(_xlpm.idx / SpriteCount) * 7 + INT(_xlpm.r / 16) + 1,
    MOD(_xlpm.r, 16) + 1
  )
)</f>
        <v>00</v>
      </c>
      <c r="C145" t="str" cm="1">
        <f t="array" ref="C145">_xlfn.LET(
  _xlpm.idx, (ROW()-3)*16 + C$1,
  _xlpm.r, MOD(_xlpm.idx, SpriteCount),
  INDEX(
    sprite_data.asm!$C$3:$R$156,
    INT(_xlpm.idx / SpriteCount) * 7 + INT(_xlpm.r / 16) + 1,
    MOD(_xlpm.r, 16) + 1
  )
)</f>
        <v>00</v>
      </c>
      <c r="D145" t="str" cm="1">
        <f t="array" ref="D145">_xlfn.LET(
  _xlpm.idx, (ROW()-3)*16 + D$1,
  _xlpm.r, MOD(_xlpm.idx, SpriteCount),
  INDEX(
    sprite_data.asm!$C$3:$R$156,
    INT(_xlpm.idx / SpriteCount) * 7 + INT(_xlpm.r / 16) + 1,
    MOD(_xlpm.r, 16) + 1
  )
)</f>
        <v>00</v>
      </c>
      <c r="E145" t="str" cm="1">
        <f t="array" ref="E145">_xlfn.LET(
  _xlpm.idx, (ROW()-3)*16 + E$1,
  _xlpm.r, MOD(_xlpm.idx, SpriteCount),
  INDEX(
    sprite_data.asm!$C$3:$R$156,
    INT(_xlpm.idx / SpriteCount) * 7 + INT(_xlpm.r / 16) + 1,
    MOD(_xlpm.r, 16) + 1
  )
)</f>
        <v>00</v>
      </c>
      <c r="F145" t="str" cm="1">
        <f t="array" ref="F145">_xlfn.LET(
  _xlpm.idx, (ROW()-3)*16 + F$1,
  _xlpm.r, MOD(_xlpm.idx, SpriteCount),
  INDEX(
    sprite_data.asm!$C$3:$R$156,
    INT(_xlpm.idx / SpriteCount) * 7 + INT(_xlpm.r / 16) + 1,
    MOD(_xlpm.r, 16) + 1
  )
)</f>
        <v>00</v>
      </c>
      <c r="G145" t="str" cm="1">
        <f t="array" ref="G145">_xlfn.LET(
  _xlpm.idx, (ROW()-3)*16 + G$1,
  _xlpm.r, MOD(_xlpm.idx, SpriteCount),
  INDEX(
    sprite_data.asm!$C$3:$R$156,
    INT(_xlpm.idx / SpriteCount) * 7 + INT(_xlpm.r / 16) + 1,
    MOD(_xlpm.r, 16) + 1
  )
)</f>
        <v>00</v>
      </c>
      <c r="H145" t="str" cm="1">
        <f t="array" ref="H145">_xlfn.LET(
  _xlpm.idx, (ROW()-3)*16 + H$1,
  _xlpm.r, MOD(_xlpm.idx, SpriteCount),
  INDEX(
    sprite_data.asm!$C$3:$R$156,
    INT(_xlpm.idx / SpriteCount) * 7 + INT(_xlpm.r / 16) + 1,
    MOD(_xlpm.r, 16) + 1
  )
)</f>
        <v>00</v>
      </c>
      <c r="I145" t="str" cm="1">
        <f t="array" ref="I145">_xlfn.LET(
  _xlpm.idx, (ROW()-3)*16 + I$1,
  _xlpm.r, MOD(_xlpm.idx, SpriteCount),
  INDEX(
    sprite_data.asm!$C$3:$R$156,
    INT(_xlpm.idx / SpriteCount) * 7 + INT(_xlpm.r / 16) + 1,
    MOD(_xlpm.r, 16) + 1
  )
)</f>
        <v>00</v>
      </c>
      <c r="J145" t="str" cm="1">
        <f t="array" ref="J145">_xlfn.LET(
  _xlpm.idx, (ROW()-3)*16 + J$1,
  _xlpm.r, MOD(_xlpm.idx, SpriteCount),
  INDEX(
    sprite_data.asm!$C$3:$R$156,
    INT(_xlpm.idx / SpriteCount) * 7 + INT(_xlpm.r / 16) + 1,
    MOD(_xlpm.r, 16) + 1
  )
)</f>
        <v>00</v>
      </c>
      <c r="K145" t="str" cm="1">
        <f t="array" ref="K145">_xlfn.LET(
  _xlpm.idx, (ROW()-3)*16 + K$1,
  _xlpm.r, MOD(_xlpm.idx, SpriteCount),
  INDEX(
    sprite_data.asm!$C$3:$R$156,
    INT(_xlpm.idx / SpriteCount) * 7 + INT(_xlpm.r / 16) + 1,
    MOD(_xlpm.r, 16) + 1
  )
)</f>
        <v>00</v>
      </c>
      <c r="L145" t="str" cm="1">
        <f t="array" ref="L145">_xlfn.LET(
  _xlpm.idx, (ROW()-3)*16 + L$1,
  _xlpm.r, MOD(_xlpm.idx, SpriteCount),
  INDEX(
    sprite_data.asm!$C$3:$R$156,
    INT(_xlpm.idx / SpriteCount) * 7 + INT(_xlpm.r / 16) + 1,
    MOD(_xlpm.r, 16) + 1
  )
)</f>
        <v>00</v>
      </c>
      <c r="M145" t="str" cm="1">
        <f t="array" ref="M145">_xlfn.LET(
  _xlpm.idx, (ROW()-3)*16 + M$1,
  _xlpm.r, MOD(_xlpm.idx, SpriteCount),
  INDEX(
    sprite_data.asm!$C$3:$R$156,
    INT(_xlpm.idx / SpriteCount) * 7 + INT(_xlpm.r / 16) + 1,
    MOD(_xlpm.r, 16) + 1
  )
)</f>
        <v>00</v>
      </c>
      <c r="N145" t="str" cm="1">
        <f t="array" ref="N145">_xlfn.LET(
  _xlpm.idx, (ROW()-3)*16 + N$1,
  _xlpm.r, MOD(_xlpm.idx, SpriteCount),
  INDEX(
    sprite_data.asm!$C$3:$R$156,
    INT(_xlpm.idx / SpriteCount) * 7 + INT(_xlpm.r / 16) + 1,
    MOD(_xlpm.r, 16) + 1
  )
)</f>
        <v>00</v>
      </c>
      <c r="O145" t="str" cm="1">
        <f t="array" ref="O145">_xlfn.LET(
  _xlpm.idx, (ROW()-3)*16 + O$1,
  _xlpm.r, MOD(_xlpm.idx, SpriteCount),
  INDEX(
    sprite_data.asm!$C$3:$R$156,
    INT(_xlpm.idx / SpriteCount) * 7 + INT(_xlpm.r / 16) + 1,
    MOD(_xlpm.r, 16) + 1
  )
)</f>
        <v>00</v>
      </c>
      <c r="P145" s="42" t="str" cm="1">
        <f t="array" ref="P145">_xlfn.LET(
  _xlpm.idx, (ROW()-3)*16 + P$1,
  _xlpm.r, MOD(_xlpm.idx, SpriteCount),
  INDEX(
    sprite_data.asm!$C$3:$R$156,
    INT(_xlpm.idx / SpriteCount) * 7 + INT(_xlpm.r / 16) + 1,
    MOD(_xlpm.r, 16) + 1
  )
)</f>
        <v>81</v>
      </c>
      <c r="Q145" s="42" t="str" cm="1">
        <f t="array" ref="Q145">_xlfn.LET(
  _xlpm.idx, (ROW()-3)*16 + Q$1,
  _xlpm.r, MOD(_xlpm.idx, SpriteCount),
  INDEX(
    sprite_data.asm!$C$3:$R$156,
    INT(_xlpm.idx / SpriteCount) * 7 + INT(_xlpm.r / 16) + 1,
    MOD(_xlpm.r, 16) + 1
  )
)</f>
        <v>A8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4788-2FF0-4E7F-839C-B14FEB216F7A}">
  <sheetPr codeName="Tabelle5">
    <tabColor theme="0" tint="-0.14999847407452621"/>
  </sheetPr>
  <dimension ref="A1:T1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48.6640625" customWidth="1"/>
    <col min="2" max="2" width="6.58203125" style="5" customWidth="1"/>
    <col min="3" max="7" width="2.83203125" customWidth="1"/>
    <col min="8" max="8" width="2.9140625" customWidth="1"/>
    <col min="9" max="10" width="2.83203125" customWidth="1"/>
    <col min="11" max="11" width="2.75" customWidth="1"/>
    <col min="12" max="14" width="2.83203125" customWidth="1"/>
    <col min="15" max="15" width="2.75" customWidth="1"/>
    <col min="16" max="16" width="2.9140625" customWidth="1"/>
    <col min="17" max="19" width="2.83203125" customWidth="1"/>
    <col min="20" max="20" width="4.75" customWidth="1"/>
  </cols>
  <sheetData>
    <row r="1" spans="1:20" x14ac:dyDescent="0.3">
      <c r="C1" s="40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  <c r="S1" s="5"/>
    </row>
    <row r="2" spans="1:20" s="38" customFormat="1" x14ac:dyDescent="0.3">
      <c r="A2" s="38" t="s">
        <v>167</v>
      </c>
      <c r="B2" s="29"/>
      <c r="C2" s="41">
        <v>0</v>
      </c>
      <c r="D2" s="29">
        <f>C2+1</f>
        <v>1</v>
      </c>
      <c r="E2" s="29">
        <f>D2+1</f>
        <v>2</v>
      </c>
      <c r="F2" s="29">
        <f>E2+1</f>
        <v>3</v>
      </c>
      <c r="G2" s="29">
        <f>F2+1</f>
        <v>4</v>
      </c>
      <c r="H2" s="29">
        <f t="shared" ref="H2:N2" si="1">G2+1</f>
        <v>5</v>
      </c>
      <c r="I2" s="29">
        <f t="shared" si="1"/>
        <v>6</v>
      </c>
      <c r="J2" s="29">
        <f t="shared" si="1"/>
        <v>7</v>
      </c>
      <c r="K2" s="29">
        <f t="shared" si="1"/>
        <v>8</v>
      </c>
      <c r="L2" s="29">
        <f t="shared" si="1"/>
        <v>9</v>
      </c>
      <c r="M2" s="29">
        <f t="shared" si="1"/>
        <v>10</v>
      </c>
      <c r="N2" s="29">
        <f t="shared" si="1"/>
        <v>11</v>
      </c>
      <c r="O2" s="29">
        <f t="shared" ref="O2:R2" si="2">N2+1</f>
        <v>12</v>
      </c>
      <c r="P2" s="29">
        <f t="shared" si="2"/>
        <v>13</v>
      </c>
      <c r="Q2" s="29">
        <f t="shared" si="2"/>
        <v>14</v>
      </c>
      <c r="R2" s="29">
        <f t="shared" si="2"/>
        <v>15</v>
      </c>
      <c r="S2" s="29"/>
      <c r="T2" s="38">
        <f>SUM(T3:T156)</f>
        <v>2288</v>
      </c>
    </row>
    <row r="3" spans="1:20" x14ac:dyDescent="0.3">
      <c r="A3" s="39" t="s">
        <v>37</v>
      </c>
      <c r="B3" s="21" t="str">
        <f>SpriteBaseAddress</f>
        <v>AD00</v>
      </c>
      <c r="C3" s="18" t="str">
        <f>MID($A3,13+C$2*3,2)</f>
        <v>00</v>
      </c>
      <c r="D3" s="1" t="str">
        <f>MID($A3,13+D$2*3,2)</f>
        <v>15</v>
      </c>
      <c r="E3" s="1" t="str">
        <f t="shared" ref="E3:R18" si="3">MID($A3,13+E$2*3,2)</f>
        <v>55</v>
      </c>
      <c r="F3" s="1" t="str">
        <f t="shared" si="3"/>
        <v>06</v>
      </c>
      <c r="G3" s="1" t="str">
        <f t="shared" si="3"/>
        <v>00</v>
      </c>
      <c r="H3" s="1" t="str">
        <f t="shared" si="3"/>
        <v>55</v>
      </c>
      <c r="I3" s="1" t="str">
        <f t="shared" si="3"/>
        <v>06</v>
      </c>
      <c r="J3" s="1" t="str">
        <f t="shared" si="3"/>
        <v>00</v>
      </c>
      <c r="K3" s="1" t="str">
        <f t="shared" si="3"/>
        <v>10</v>
      </c>
      <c r="L3" s="1" t="str">
        <f t="shared" si="3"/>
        <v>40</v>
      </c>
      <c r="M3" s="1" t="str">
        <f t="shared" si="3"/>
        <v>7F</v>
      </c>
      <c r="N3" s="1" t="str">
        <f t="shared" si="3"/>
        <v>08</v>
      </c>
      <c r="O3" s="1" t="str">
        <f t="shared" si="3"/>
        <v>08</v>
      </c>
      <c r="P3" s="1" t="str">
        <f t="shared" si="3"/>
        <v>08</v>
      </c>
      <c r="Q3" s="1" t="str">
        <f t="shared" si="3"/>
        <v>30</v>
      </c>
      <c r="R3" s="1" t="str">
        <f t="shared" si="3"/>
        <v>40</v>
      </c>
      <c r="S3" s="1"/>
      <c r="T3" s="1">
        <f>LEN(_xlfn.CONCAT(C3:R3))/2</f>
        <v>16</v>
      </c>
    </row>
    <row r="4" spans="1:20" x14ac:dyDescent="0.3">
      <c r="A4" s="39" t="s">
        <v>38</v>
      </c>
      <c r="B4" s="5" t="str">
        <f>DEC2HEX(HEX2DEC(B3)+$T3)</f>
        <v>AD10</v>
      </c>
      <c r="C4" s="18" t="str">
        <f t="shared" ref="C4:R33" si="4">MID($A4,13+C$2*3,2)</f>
        <v>40</v>
      </c>
      <c r="D4" s="1" t="str">
        <f t="shared" si="4"/>
        <v>40</v>
      </c>
      <c r="E4" s="1" t="str">
        <f t="shared" si="3"/>
        <v>30</v>
      </c>
      <c r="F4" s="1" t="str">
        <f t="shared" si="3"/>
        <v>26</v>
      </c>
      <c r="G4" s="1" t="str">
        <f t="shared" si="3"/>
        <v>13</v>
      </c>
      <c r="H4" s="1" t="str">
        <f t="shared" si="3"/>
        <v>06</v>
      </c>
      <c r="I4" s="1" t="str">
        <f t="shared" si="3"/>
        <v>60</v>
      </c>
      <c r="J4" s="1" t="str">
        <f t="shared" si="3"/>
        <v>18</v>
      </c>
      <c r="K4" s="1" t="str">
        <f t="shared" si="3"/>
        <v>06</v>
      </c>
      <c r="L4" s="1" t="str">
        <f t="shared" si="3"/>
        <v>18</v>
      </c>
      <c r="M4" s="1" t="str">
        <f t="shared" si="3"/>
        <v>60</v>
      </c>
      <c r="N4" s="1" t="str">
        <f t="shared" si="3"/>
        <v>00</v>
      </c>
      <c r="O4" s="1" t="str">
        <f t="shared" si="3"/>
        <v>00</v>
      </c>
      <c r="P4" s="1" t="str">
        <f t="shared" si="3"/>
        <v>10</v>
      </c>
      <c r="Q4" s="1" t="str">
        <f t="shared" si="3"/>
        <v>00</v>
      </c>
      <c r="R4" s="1" t="str">
        <f t="shared" si="3"/>
        <v>25</v>
      </c>
      <c r="S4" s="1"/>
      <c r="T4" s="1">
        <f t="shared" ref="T4:T67" si="5">LEN(_xlfn.CONCAT(C4:R4))/2</f>
        <v>16</v>
      </c>
    </row>
    <row r="5" spans="1:20" x14ac:dyDescent="0.3">
      <c r="A5" s="39" t="s">
        <v>39</v>
      </c>
      <c r="B5" s="5" t="str">
        <f t="shared" ref="B5:B68" si="6">DEC2HEX(HEX2DEC(B4)+$T4)</f>
        <v>AD20</v>
      </c>
      <c r="C5" s="18" t="str">
        <f t="shared" si="4"/>
        <v>20</v>
      </c>
      <c r="D5" s="1" t="str">
        <f t="shared" si="4"/>
        <v>00</v>
      </c>
      <c r="E5" s="1" t="str">
        <f t="shared" si="3"/>
        <v>00</v>
      </c>
      <c r="F5" s="1" t="str">
        <f t="shared" si="3"/>
        <v>00</v>
      </c>
      <c r="G5" s="1" t="str">
        <f t="shared" si="3"/>
        <v>00</v>
      </c>
      <c r="H5" s="1" t="str">
        <f t="shared" si="3"/>
        <v>10</v>
      </c>
      <c r="I5" s="1" t="str">
        <f t="shared" si="3"/>
        <v>00</v>
      </c>
      <c r="J5" s="1" t="str">
        <f t="shared" si="3"/>
        <v>00</v>
      </c>
      <c r="K5" s="1" t="str">
        <f t="shared" si="3"/>
        <v>40</v>
      </c>
      <c r="L5" s="1" t="str">
        <f t="shared" si="3"/>
        <v>40</v>
      </c>
      <c r="M5" s="1" t="str">
        <f t="shared" si="3"/>
        <v>40</v>
      </c>
      <c r="N5" s="1" t="str">
        <f t="shared" si="3"/>
        <v>10</v>
      </c>
      <c r="O5" s="1" t="str">
        <f t="shared" si="3"/>
        <v>10</v>
      </c>
      <c r="P5" s="1" t="str">
        <f t="shared" si="3"/>
        <v>02</v>
      </c>
      <c r="Q5" s="1" t="str">
        <f t="shared" si="3"/>
        <v>20</v>
      </c>
      <c r="R5" s="1" t="str">
        <f t="shared" si="3"/>
        <v>08</v>
      </c>
      <c r="S5" s="1"/>
      <c r="T5" s="1">
        <f t="shared" si="5"/>
        <v>16</v>
      </c>
    </row>
    <row r="6" spans="1:20" x14ac:dyDescent="0.3">
      <c r="A6" s="39" t="s">
        <v>40</v>
      </c>
      <c r="B6" s="5" t="str">
        <f t="shared" si="6"/>
        <v>AD30</v>
      </c>
      <c r="C6" s="18" t="str">
        <f t="shared" si="4"/>
        <v>02</v>
      </c>
      <c r="D6" s="1" t="str">
        <f t="shared" si="4"/>
        <v>08</v>
      </c>
      <c r="E6" s="1" t="str">
        <f t="shared" si="3"/>
        <v>20</v>
      </c>
      <c r="F6" s="1" t="str">
        <f t="shared" si="3"/>
        <v>20</v>
      </c>
      <c r="G6" s="1" t="str">
        <f t="shared" si="3"/>
        <v>20</v>
      </c>
      <c r="H6" s="1" t="str">
        <f t="shared" si="3"/>
        <v>22</v>
      </c>
      <c r="I6" s="1" t="str">
        <f t="shared" si="3"/>
        <v>22</v>
      </c>
      <c r="J6" s="1" t="str">
        <f t="shared" si="3"/>
        <v>00</v>
      </c>
      <c r="K6" s="1" t="str">
        <f t="shared" si="3"/>
        <v>00</v>
      </c>
      <c r="L6" s="1" t="str">
        <f t="shared" si="3"/>
        <v>00</v>
      </c>
      <c r="M6" s="1" t="str">
        <f t="shared" si="3"/>
        <v>00</v>
      </c>
      <c r="N6" s="1" t="str">
        <f t="shared" si="3"/>
        <v>00</v>
      </c>
      <c r="O6" s="1" t="str">
        <f t="shared" si="3"/>
        <v>00</v>
      </c>
      <c r="P6" s="1" t="str">
        <f t="shared" si="3"/>
        <v>00</v>
      </c>
      <c r="Q6" s="1" t="str">
        <f t="shared" si="3"/>
        <v>00</v>
      </c>
      <c r="R6" s="1" t="str">
        <f t="shared" si="3"/>
        <v>00</v>
      </c>
      <c r="S6" s="1"/>
      <c r="T6" s="1">
        <f t="shared" si="5"/>
        <v>16</v>
      </c>
    </row>
    <row r="7" spans="1:20" x14ac:dyDescent="0.3">
      <c r="A7" s="39" t="s">
        <v>41</v>
      </c>
      <c r="B7" s="5" t="str">
        <f t="shared" si="6"/>
        <v>AD40</v>
      </c>
      <c r="C7" s="18" t="str">
        <f t="shared" si="4"/>
        <v>00</v>
      </c>
      <c r="D7" s="1" t="str">
        <f t="shared" si="4"/>
        <v>00</v>
      </c>
      <c r="E7" s="1" t="str">
        <f t="shared" si="3"/>
        <v>00</v>
      </c>
      <c r="F7" s="1" t="str">
        <f t="shared" si="3"/>
        <v>00</v>
      </c>
      <c r="G7" s="1" t="str">
        <f t="shared" si="3"/>
        <v>00</v>
      </c>
      <c r="H7" s="1" t="str">
        <f t="shared" si="3"/>
        <v>00</v>
      </c>
      <c r="I7" s="1" t="str">
        <f t="shared" si="3"/>
        <v>00</v>
      </c>
      <c r="J7" s="1" t="str">
        <f t="shared" si="3"/>
        <v>00</v>
      </c>
      <c r="K7" s="1" t="str">
        <f t="shared" si="3"/>
        <v>00</v>
      </c>
      <c r="L7" s="1" t="str">
        <f t="shared" si="3"/>
        <v>00</v>
      </c>
      <c r="M7" s="1" t="str">
        <f t="shared" si="3"/>
        <v>00</v>
      </c>
      <c r="N7" s="1" t="str">
        <f t="shared" si="3"/>
        <v>00</v>
      </c>
      <c r="O7" s="1" t="str">
        <f t="shared" si="3"/>
        <v>00</v>
      </c>
      <c r="P7" s="1" t="str">
        <f t="shared" si="3"/>
        <v>00</v>
      </c>
      <c r="Q7" s="1" t="str">
        <f t="shared" si="3"/>
        <v>00</v>
      </c>
      <c r="R7" s="1" t="str">
        <f t="shared" si="3"/>
        <v>00</v>
      </c>
      <c r="S7" s="1"/>
      <c r="T7" s="1">
        <f t="shared" si="5"/>
        <v>16</v>
      </c>
    </row>
    <row r="8" spans="1:20" x14ac:dyDescent="0.3">
      <c r="A8" s="39" t="s">
        <v>41</v>
      </c>
      <c r="B8" s="5" t="str">
        <f t="shared" si="6"/>
        <v>AD50</v>
      </c>
      <c r="C8" s="18" t="str">
        <f t="shared" si="4"/>
        <v>00</v>
      </c>
      <c r="D8" s="1" t="str">
        <f t="shared" si="4"/>
        <v>00</v>
      </c>
      <c r="E8" s="1" t="str">
        <f t="shared" si="3"/>
        <v>00</v>
      </c>
      <c r="F8" s="1" t="str">
        <f t="shared" si="3"/>
        <v>00</v>
      </c>
      <c r="G8" s="1" t="str">
        <f t="shared" si="3"/>
        <v>00</v>
      </c>
      <c r="H8" s="1" t="str">
        <f t="shared" si="3"/>
        <v>00</v>
      </c>
      <c r="I8" s="1" t="str">
        <f t="shared" si="3"/>
        <v>00</v>
      </c>
      <c r="J8" s="1" t="str">
        <f t="shared" si="3"/>
        <v>00</v>
      </c>
      <c r="K8" s="1" t="str">
        <f t="shared" si="3"/>
        <v>00</v>
      </c>
      <c r="L8" s="1" t="str">
        <f t="shared" si="3"/>
        <v>00</v>
      </c>
      <c r="M8" s="1" t="str">
        <f t="shared" si="3"/>
        <v>00</v>
      </c>
      <c r="N8" s="1" t="str">
        <f t="shared" si="3"/>
        <v>00</v>
      </c>
      <c r="O8" s="1" t="str">
        <f t="shared" si="3"/>
        <v>00</v>
      </c>
      <c r="P8" s="1" t="str">
        <f t="shared" si="3"/>
        <v>00</v>
      </c>
      <c r="Q8" s="1" t="str">
        <f t="shared" si="3"/>
        <v>00</v>
      </c>
      <c r="R8" s="1" t="str">
        <f t="shared" si="3"/>
        <v>00</v>
      </c>
      <c r="S8" s="1"/>
      <c r="T8" s="1">
        <f t="shared" si="5"/>
        <v>16</v>
      </c>
    </row>
    <row r="9" spans="1:20" x14ac:dyDescent="0.3">
      <c r="A9" s="39" t="s">
        <v>42</v>
      </c>
      <c r="B9" s="5" t="str">
        <f t="shared" si="6"/>
        <v>AD60</v>
      </c>
      <c r="C9" s="18" t="str">
        <f t="shared" si="4"/>
        <v>00</v>
      </c>
      <c r="D9" s="1" t="str">
        <f t="shared" si="4"/>
        <v>00</v>
      </c>
      <c r="E9" s="1" t="str">
        <f t="shared" si="3"/>
        <v>00</v>
      </c>
      <c r="F9" s="1" t="str">
        <f t="shared" si="3"/>
        <v>00</v>
      </c>
      <c r="G9" s="1" t="str">
        <f t="shared" si="3"/>
        <v>00</v>
      </c>
      <c r="H9" s="1" t="str">
        <f t="shared" si="3"/>
        <v>00</v>
      </c>
      <c r="I9" s="1" t="str">
        <f t="shared" si="3"/>
        <v>02</v>
      </c>
      <c r="J9" s="1" t="str">
        <f t="shared" si="3"/>
        <v>03</v>
      </c>
      <c r="K9" s="1" t="str">
        <f t="shared" si="3"/>
        <v/>
      </c>
      <c r="L9" s="1" t="str">
        <f t="shared" si="3"/>
        <v/>
      </c>
      <c r="M9" s="1" t="str">
        <f t="shared" si="3"/>
        <v/>
      </c>
      <c r="N9" s="1" t="str">
        <f t="shared" si="3"/>
        <v/>
      </c>
      <c r="O9" s="1" t="str">
        <f t="shared" si="3"/>
        <v/>
      </c>
      <c r="P9" s="1" t="str">
        <f t="shared" si="3"/>
        <v/>
      </c>
      <c r="Q9" s="1" t="str">
        <f t="shared" si="3"/>
        <v/>
      </c>
      <c r="R9" s="1" t="str">
        <f t="shared" si="3"/>
        <v/>
      </c>
      <c r="S9" s="1"/>
      <c r="T9" s="1">
        <f t="shared" si="5"/>
        <v>8</v>
      </c>
    </row>
    <row r="10" spans="1:20" x14ac:dyDescent="0.3">
      <c r="A10" s="39" t="s">
        <v>43</v>
      </c>
      <c r="B10" s="5" t="str">
        <f t="shared" si="6"/>
        <v>AD68</v>
      </c>
      <c r="C10" s="18" t="str">
        <f t="shared" si="4"/>
        <v>00</v>
      </c>
      <c r="D10" s="1" t="str">
        <f t="shared" si="4"/>
        <v>02</v>
      </c>
      <c r="E10" s="1" t="str">
        <f t="shared" si="3"/>
        <v>02</v>
      </c>
      <c r="F10" s="1" t="str">
        <f t="shared" si="3"/>
        <v>03</v>
      </c>
      <c r="G10" s="1" t="str">
        <f t="shared" si="3"/>
        <v>00</v>
      </c>
      <c r="H10" s="1" t="str">
        <f t="shared" si="3"/>
        <v>02</v>
      </c>
      <c r="I10" s="1" t="str">
        <f t="shared" si="3"/>
        <v>00</v>
      </c>
      <c r="J10" s="1" t="str">
        <f t="shared" si="3"/>
        <v>00</v>
      </c>
      <c r="K10" s="1" t="str">
        <f t="shared" si="3"/>
        <v>00</v>
      </c>
      <c r="L10" s="1" t="str">
        <f t="shared" si="3"/>
        <v>00</v>
      </c>
      <c r="M10" s="1" t="str">
        <f t="shared" si="3"/>
        <v>07</v>
      </c>
      <c r="N10" s="1" t="str">
        <f t="shared" si="3"/>
        <v>00</v>
      </c>
      <c r="O10" s="1" t="str">
        <f t="shared" si="3"/>
        <v>00</v>
      </c>
      <c r="P10" s="1" t="str">
        <f t="shared" si="3"/>
        <v>00</v>
      </c>
      <c r="Q10" s="1" t="str">
        <f t="shared" si="3"/>
        <v>00</v>
      </c>
      <c r="R10" s="1" t="str">
        <f t="shared" si="3"/>
        <v>00</v>
      </c>
      <c r="S10" s="1"/>
      <c r="T10" s="1">
        <f t="shared" si="5"/>
        <v>16</v>
      </c>
    </row>
    <row r="11" spans="1:20" x14ac:dyDescent="0.3">
      <c r="A11" s="39" t="s">
        <v>44</v>
      </c>
      <c r="B11" s="5" t="str">
        <f t="shared" si="6"/>
        <v>AD78</v>
      </c>
      <c r="C11" s="18" t="str">
        <f t="shared" si="4"/>
        <v>00</v>
      </c>
      <c r="D11" s="1" t="str">
        <f t="shared" si="4"/>
        <v>00</v>
      </c>
      <c r="E11" s="1" t="str">
        <f t="shared" si="3"/>
        <v>00</v>
      </c>
      <c r="F11" s="1" t="str">
        <f t="shared" si="3"/>
        <v>06</v>
      </c>
      <c r="G11" s="1" t="str">
        <f t="shared" si="3"/>
        <v>03</v>
      </c>
      <c r="H11" s="1" t="str">
        <f t="shared" si="3"/>
        <v>03</v>
      </c>
      <c r="I11" s="1" t="str">
        <f t="shared" si="3"/>
        <v>00</v>
      </c>
      <c r="J11" s="1" t="str">
        <f t="shared" si="3"/>
        <v>00</v>
      </c>
      <c r="K11" s="1" t="str">
        <f t="shared" si="3"/>
        <v>03</v>
      </c>
      <c r="L11" s="1" t="str">
        <f t="shared" si="3"/>
        <v>00</v>
      </c>
      <c r="M11" s="1" t="str">
        <f t="shared" si="3"/>
        <v>00</v>
      </c>
      <c r="N11" s="1" t="str">
        <f t="shared" si="3"/>
        <v>00</v>
      </c>
      <c r="O11" s="1" t="str">
        <f t="shared" si="3"/>
        <v>00</v>
      </c>
      <c r="P11" s="1" t="str">
        <f t="shared" si="3"/>
        <v>00</v>
      </c>
      <c r="Q11" s="1" t="str">
        <f t="shared" si="3"/>
        <v>00</v>
      </c>
      <c r="R11" s="1" t="str">
        <f t="shared" si="3"/>
        <v>02</v>
      </c>
      <c r="S11" s="1"/>
      <c r="T11" s="1">
        <f t="shared" si="5"/>
        <v>16</v>
      </c>
    </row>
    <row r="12" spans="1:20" x14ac:dyDescent="0.3">
      <c r="A12" s="39" t="s">
        <v>45</v>
      </c>
      <c r="B12" s="5" t="str">
        <f t="shared" si="6"/>
        <v>AD88</v>
      </c>
      <c r="C12" s="18" t="str">
        <f t="shared" si="4"/>
        <v>00</v>
      </c>
      <c r="D12" s="1" t="str">
        <f t="shared" si="4"/>
        <v>00</v>
      </c>
      <c r="E12" s="1" t="str">
        <f t="shared" si="3"/>
        <v>00</v>
      </c>
      <c r="F12" s="1" t="str">
        <f t="shared" si="3"/>
        <v>00</v>
      </c>
      <c r="G12" s="1" t="str">
        <f t="shared" si="3"/>
        <v>00</v>
      </c>
      <c r="H12" s="1" t="str">
        <f t="shared" si="3"/>
        <v>00</v>
      </c>
      <c r="I12" s="1" t="str">
        <f t="shared" si="3"/>
        <v>00</v>
      </c>
      <c r="J12" s="1" t="str">
        <f t="shared" si="3"/>
        <v>00</v>
      </c>
      <c r="K12" s="1" t="str">
        <f t="shared" si="3"/>
        <v>00</v>
      </c>
      <c r="L12" s="1" t="str">
        <f t="shared" si="3"/>
        <v>00</v>
      </c>
      <c r="M12" s="1" t="str">
        <f t="shared" si="3"/>
        <v>00</v>
      </c>
      <c r="N12" s="1" t="str">
        <f t="shared" si="3"/>
        <v>00</v>
      </c>
      <c r="O12" s="1" t="str">
        <f t="shared" si="3"/>
        <v>00</v>
      </c>
      <c r="P12" s="1" t="str">
        <f t="shared" si="3"/>
        <v>01</v>
      </c>
      <c r="Q12" s="1" t="str">
        <f t="shared" si="3"/>
        <v>00</v>
      </c>
      <c r="R12" s="1" t="str">
        <f t="shared" si="3"/>
        <v>00</v>
      </c>
      <c r="S12" s="1"/>
      <c r="T12" s="1">
        <f t="shared" si="5"/>
        <v>16</v>
      </c>
    </row>
    <row r="13" spans="1:20" x14ac:dyDescent="0.3">
      <c r="A13" s="39" t="s">
        <v>46</v>
      </c>
      <c r="B13" s="5" t="str">
        <f t="shared" si="6"/>
        <v>AD98</v>
      </c>
      <c r="C13" s="18" t="str">
        <f t="shared" si="4"/>
        <v>01</v>
      </c>
      <c r="D13" s="1" t="str">
        <f t="shared" si="4"/>
        <v>00</v>
      </c>
      <c r="E13" s="1" t="str">
        <f t="shared" si="3"/>
        <v>00</v>
      </c>
      <c r="F13" s="1" t="str">
        <f t="shared" si="3"/>
        <v>00</v>
      </c>
      <c r="G13" s="1" t="str">
        <f t="shared" si="3"/>
        <v>00</v>
      </c>
      <c r="H13" s="1" t="str">
        <f t="shared" si="3"/>
        <v>04</v>
      </c>
      <c r="I13" s="1" t="str">
        <f t="shared" si="3"/>
        <v>04</v>
      </c>
      <c r="J13" s="1" t="str">
        <f t="shared" si="3"/>
        <v>00</v>
      </c>
      <c r="K13" s="1" t="str">
        <f t="shared" si="3"/>
        <v>00</v>
      </c>
      <c r="L13" s="1" t="str">
        <f t="shared" si="3"/>
        <v>00</v>
      </c>
      <c r="M13" s="1" t="str">
        <f t="shared" si="3"/>
        <v>00</v>
      </c>
      <c r="N13" s="1" t="str">
        <f t="shared" si="3"/>
        <v>00</v>
      </c>
      <c r="O13" s="1" t="str">
        <f t="shared" si="3"/>
        <v>00</v>
      </c>
      <c r="P13" s="1" t="str">
        <f t="shared" si="3"/>
        <v>00</v>
      </c>
      <c r="Q13" s="1" t="str">
        <f t="shared" si="3"/>
        <v>00</v>
      </c>
      <c r="R13" s="1" t="str">
        <f t="shared" si="3"/>
        <v>00</v>
      </c>
      <c r="S13" s="1"/>
      <c r="T13" s="1">
        <f t="shared" si="5"/>
        <v>16</v>
      </c>
    </row>
    <row r="14" spans="1:20" x14ac:dyDescent="0.3">
      <c r="A14" s="39" t="s">
        <v>41</v>
      </c>
      <c r="B14" s="5" t="str">
        <f t="shared" si="6"/>
        <v>ADA8</v>
      </c>
      <c r="C14" s="18" t="str">
        <f t="shared" si="4"/>
        <v>00</v>
      </c>
      <c r="D14" s="1" t="str">
        <f t="shared" si="4"/>
        <v>00</v>
      </c>
      <c r="E14" s="1" t="str">
        <f t="shared" si="3"/>
        <v>00</v>
      </c>
      <c r="F14" s="1" t="str">
        <f t="shared" si="3"/>
        <v>00</v>
      </c>
      <c r="G14" s="1" t="str">
        <f t="shared" si="3"/>
        <v>00</v>
      </c>
      <c r="H14" s="1" t="str">
        <f t="shared" si="3"/>
        <v>00</v>
      </c>
      <c r="I14" s="1" t="str">
        <f t="shared" si="3"/>
        <v>00</v>
      </c>
      <c r="J14" s="1" t="str">
        <f t="shared" si="3"/>
        <v>00</v>
      </c>
      <c r="K14" s="1" t="str">
        <f t="shared" si="3"/>
        <v>00</v>
      </c>
      <c r="L14" s="1" t="str">
        <f t="shared" si="3"/>
        <v>00</v>
      </c>
      <c r="M14" s="1" t="str">
        <f t="shared" si="3"/>
        <v>00</v>
      </c>
      <c r="N14" s="1" t="str">
        <f t="shared" si="3"/>
        <v>00</v>
      </c>
      <c r="O14" s="1" t="str">
        <f t="shared" si="3"/>
        <v>00</v>
      </c>
      <c r="P14" s="1" t="str">
        <f t="shared" si="3"/>
        <v>00</v>
      </c>
      <c r="Q14" s="1" t="str">
        <f t="shared" si="3"/>
        <v>00</v>
      </c>
      <c r="R14" s="1" t="str">
        <f t="shared" si="3"/>
        <v>00</v>
      </c>
      <c r="S14" s="1"/>
      <c r="T14" s="1">
        <f t="shared" si="5"/>
        <v>16</v>
      </c>
    </row>
    <row r="15" spans="1:20" x14ac:dyDescent="0.3">
      <c r="A15" s="39" t="s">
        <v>41</v>
      </c>
      <c r="B15" s="5" t="str">
        <f t="shared" si="6"/>
        <v>ADB8</v>
      </c>
      <c r="C15" s="18" t="str">
        <f t="shared" si="4"/>
        <v>00</v>
      </c>
      <c r="D15" s="1" t="str">
        <f t="shared" si="4"/>
        <v>00</v>
      </c>
      <c r="E15" s="1" t="str">
        <f t="shared" si="3"/>
        <v>00</v>
      </c>
      <c r="F15" s="1" t="str">
        <f t="shared" si="3"/>
        <v>00</v>
      </c>
      <c r="G15" s="1" t="str">
        <f t="shared" si="3"/>
        <v>00</v>
      </c>
      <c r="H15" s="1" t="str">
        <f t="shared" si="3"/>
        <v>00</v>
      </c>
      <c r="I15" s="1" t="str">
        <f t="shared" si="3"/>
        <v>00</v>
      </c>
      <c r="J15" s="1" t="str">
        <f t="shared" si="3"/>
        <v>00</v>
      </c>
      <c r="K15" s="1" t="str">
        <f t="shared" si="3"/>
        <v>00</v>
      </c>
      <c r="L15" s="1" t="str">
        <f t="shared" si="3"/>
        <v>00</v>
      </c>
      <c r="M15" s="1" t="str">
        <f t="shared" si="3"/>
        <v>00</v>
      </c>
      <c r="N15" s="1" t="str">
        <f t="shared" si="3"/>
        <v>00</v>
      </c>
      <c r="O15" s="1" t="str">
        <f t="shared" si="3"/>
        <v>00</v>
      </c>
      <c r="P15" s="1" t="str">
        <f t="shared" si="3"/>
        <v>00</v>
      </c>
      <c r="Q15" s="1" t="str">
        <f t="shared" si="3"/>
        <v>00</v>
      </c>
      <c r="R15" s="1" t="str">
        <f t="shared" si="3"/>
        <v>00</v>
      </c>
      <c r="S15" s="1"/>
      <c r="T15" s="1">
        <f t="shared" si="5"/>
        <v>16</v>
      </c>
    </row>
    <row r="16" spans="1:20" x14ac:dyDescent="0.3">
      <c r="A16" s="39" t="s">
        <v>47</v>
      </c>
      <c r="B16" s="5" t="str">
        <f t="shared" si="6"/>
        <v>ADC8</v>
      </c>
      <c r="C16" s="18" t="str">
        <f t="shared" si="4"/>
        <v>00</v>
      </c>
      <c r="D16" s="1" t="str">
        <f t="shared" si="4"/>
        <v>00</v>
      </c>
      <c r="E16" s="1" t="str">
        <f t="shared" si="3"/>
        <v>00</v>
      </c>
      <c r="F16" s="1" t="str">
        <f t="shared" si="3"/>
        <v>00</v>
      </c>
      <c r="G16" s="1" t="str">
        <f t="shared" si="3"/>
        <v>00</v>
      </c>
      <c r="H16" s="1" t="str">
        <f t="shared" si="3"/>
        <v>00</v>
      </c>
      <c r="I16" s="1" t="str">
        <f t="shared" si="3"/>
        <v>06</v>
      </c>
      <c r="J16" s="1" t="str">
        <f t="shared" si="3"/>
        <v>00</v>
      </c>
      <c r="K16" s="1" t="str">
        <f t="shared" si="3"/>
        <v/>
      </c>
      <c r="L16" s="1" t="str">
        <f t="shared" si="3"/>
        <v/>
      </c>
      <c r="M16" s="1" t="str">
        <f t="shared" si="3"/>
        <v/>
      </c>
      <c r="N16" s="1" t="str">
        <f t="shared" si="3"/>
        <v/>
      </c>
      <c r="O16" s="1" t="str">
        <f t="shared" si="3"/>
        <v/>
      </c>
      <c r="P16" s="1" t="str">
        <f t="shared" si="3"/>
        <v/>
      </c>
      <c r="Q16" s="1" t="str">
        <f t="shared" si="3"/>
        <v/>
      </c>
      <c r="R16" s="1" t="str">
        <f t="shared" si="3"/>
        <v/>
      </c>
      <c r="S16" s="1"/>
      <c r="T16" s="1">
        <f t="shared" si="5"/>
        <v>8</v>
      </c>
    </row>
    <row r="17" spans="1:20" x14ac:dyDescent="0.3">
      <c r="A17" s="39" t="s">
        <v>48</v>
      </c>
      <c r="B17" s="5" t="str">
        <f t="shared" si="6"/>
        <v>ADD0</v>
      </c>
      <c r="C17" s="18" t="str">
        <f t="shared" si="4"/>
        <v>00</v>
      </c>
      <c r="D17" s="1" t="str">
        <f t="shared" si="4"/>
        <v>15</v>
      </c>
      <c r="E17" s="1" t="str">
        <f t="shared" si="3"/>
        <v>55</v>
      </c>
      <c r="F17" s="1" t="str">
        <f t="shared" si="3"/>
        <v>06</v>
      </c>
      <c r="G17" s="1" t="str">
        <f t="shared" si="3"/>
        <v>7F</v>
      </c>
      <c r="H17" s="1" t="str">
        <f t="shared" si="3"/>
        <v>55</v>
      </c>
      <c r="I17" s="1" t="str">
        <f t="shared" si="3"/>
        <v>06</v>
      </c>
      <c r="J17" s="1" t="str">
        <f t="shared" si="3"/>
        <v>00</v>
      </c>
      <c r="K17" s="1" t="str">
        <f t="shared" si="3"/>
        <v>28</v>
      </c>
      <c r="L17" s="1" t="str">
        <f t="shared" si="3"/>
        <v>60</v>
      </c>
      <c r="M17" s="1" t="str">
        <f t="shared" si="3"/>
        <v>7F</v>
      </c>
      <c r="N17" s="1" t="str">
        <f t="shared" si="3"/>
        <v>1C</v>
      </c>
      <c r="O17" s="1" t="str">
        <f t="shared" si="3"/>
        <v>1C</v>
      </c>
      <c r="P17" s="1" t="str">
        <f t="shared" si="3"/>
        <v>1C</v>
      </c>
      <c r="Q17" s="1" t="str">
        <f t="shared" si="3"/>
        <v>30</v>
      </c>
      <c r="R17" s="1" t="str">
        <f t="shared" si="3"/>
        <v>60</v>
      </c>
      <c r="S17" s="1"/>
      <c r="T17" s="1">
        <f t="shared" si="5"/>
        <v>16</v>
      </c>
    </row>
    <row r="18" spans="1:20" x14ac:dyDescent="0.3">
      <c r="A18" s="39" t="s">
        <v>49</v>
      </c>
      <c r="B18" s="5" t="str">
        <f t="shared" si="6"/>
        <v>ADE0</v>
      </c>
      <c r="C18" s="18" t="str">
        <f t="shared" si="4"/>
        <v>60</v>
      </c>
      <c r="D18" s="1" t="str">
        <f t="shared" si="4"/>
        <v>60</v>
      </c>
      <c r="E18" s="1" t="str">
        <f t="shared" si="3"/>
        <v>31</v>
      </c>
      <c r="F18" s="1" t="str">
        <f t="shared" si="3"/>
        <v>76</v>
      </c>
      <c r="G18" s="1" t="str">
        <f t="shared" si="3"/>
        <v>3B</v>
      </c>
      <c r="H18" s="1" t="str">
        <f t="shared" si="3"/>
        <v>06</v>
      </c>
      <c r="I18" s="1" t="str">
        <f t="shared" si="3"/>
        <v>60</v>
      </c>
      <c r="J18" s="1" t="str">
        <f t="shared" si="3"/>
        <v>18</v>
      </c>
      <c r="K18" s="1" t="str">
        <f t="shared" si="3"/>
        <v>06</v>
      </c>
      <c r="L18" s="1" t="str">
        <f t="shared" si="3"/>
        <v>18</v>
      </c>
      <c r="M18" s="1" t="str">
        <f t="shared" si="3"/>
        <v>60</v>
      </c>
      <c r="N18" s="1" t="str">
        <f t="shared" si="3"/>
        <v>00</v>
      </c>
      <c r="O18" s="1" t="str">
        <f t="shared" si="3"/>
        <v>00</v>
      </c>
      <c r="P18" s="1" t="str">
        <f t="shared" si="3"/>
        <v>00</v>
      </c>
      <c r="Q18" s="1" t="str">
        <f t="shared" si="3"/>
        <v>00</v>
      </c>
      <c r="R18" s="1" t="str">
        <f t="shared" si="3"/>
        <v>15</v>
      </c>
      <c r="S18" s="1"/>
      <c r="T18" s="1">
        <f t="shared" si="5"/>
        <v>16</v>
      </c>
    </row>
    <row r="19" spans="1:20" x14ac:dyDescent="0.3">
      <c r="A19" s="39" t="s">
        <v>50</v>
      </c>
      <c r="B19" s="5" t="str">
        <f t="shared" si="6"/>
        <v>ADF0</v>
      </c>
      <c r="C19" s="18" t="str">
        <f t="shared" si="4"/>
        <v>28</v>
      </c>
      <c r="D19" s="1" t="str">
        <f t="shared" si="4"/>
        <v>20</v>
      </c>
      <c r="E19" s="1" t="str">
        <f t="shared" si="4"/>
        <v>00</v>
      </c>
      <c r="F19" s="1" t="str">
        <f t="shared" si="4"/>
        <v>00</v>
      </c>
      <c r="G19" s="1" t="str">
        <f t="shared" si="4"/>
        <v>00</v>
      </c>
      <c r="H19" s="1" t="str">
        <f t="shared" si="4"/>
        <v>38</v>
      </c>
      <c r="I19" s="1" t="str">
        <f t="shared" si="4"/>
        <v>00</v>
      </c>
      <c r="J19" s="1" t="str">
        <f t="shared" si="4"/>
        <v>00</v>
      </c>
      <c r="K19" s="1" t="str">
        <f t="shared" si="4"/>
        <v>20</v>
      </c>
      <c r="L19" s="1" t="str">
        <f t="shared" si="4"/>
        <v>20</v>
      </c>
      <c r="M19" s="1" t="str">
        <f t="shared" si="4"/>
        <v>20</v>
      </c>
      <c r="N19" s="1" t="str">
        <f t="shared" si="4"/>
        <v>28</v>
      </c>
      <c r="O19" s="1" t="str">
        <f t="shared" si="4"/>
        <v>28</v>
      </c>
      <c r="P19" s="1" t="str">
        <f t="shared" si="4"/>
        <v>02</v>
      </c>
      <c r="Q19" s="1" t="str">
        <f t="shared" si="4"/>
        <v>20</v>
      </c>
      <c r="R19" s="1" t="str">
        <f t="shared" si="4"/>
        <v>08</v>
      </c>
      <c r="S19" s="1"/>
      <c r="T19" s="1">
        <f t="shared" si="5"/>
        <v>16</v>
      </c>
    </row>
    <row r="20" spans="1:20" x14ac:dyDescent="0.3">
      <c r="A20" s="39" t="s">
        <v>51</v>
      </c>
      <c r="B20" s="5" t="str">
        <f t="shared" si="6"/>
        <v>AE00</v>
      </c>
      <c r="C20" s="18" t="str">
        <f t="shared" si="4"/>
        <v>02</v>
      </c>
      <c r="D20" s="1" t="str">
        <f t="shared" si="4"/>
        <v>08</v>
      </c>
      <c r="E20" s="1" t="str">
        <f t="shared" si="4"/>
        <v>20</v>
      </c>
      <c r="F20" s="1" t="str">
        <f t="shared" si="4"/>
        <v>20</v>
      </c>
      <c r="G20" s="1" t="str">
        <f t="shared" si="4"/>
        <v>21</v>
      </c>
      <c r="H20" s="1" t="str">
        <f t="shared" si="4"/>
        <v>22</v>
      </c>
      <c r="I20" s="1" t="str">
        <f t="shared" si="4"/>
        <v>22</v>
      </c>
      <c r="J20" s="1" t="str">
        <f t="shared" si="4"/>
        <v>00</v>
      </c>
      <c r="K20" s="1" t="str">
        <f t="shared" si="4"/>
        <v>00</v>
      </c>
      <c r="L20" s="1" t="str">
        <f t="shared" si="4"/>
        <v>00</v>
      </c>
      <c r="M20" s="1" t="str">
        <f t="shared" si="4"/>
        <v>00</v>
      </c>
      <c r="N20" s="1" t="str">
        <f t="shared" si="4"/>
        <v>00</v>
      </c>
      <c r="O20" s="1" t="str">
        <f t="shared" si="4"/>
        <v>00</v>
      </c>
      <c r="P20" s="1" t="str">
        <f t="shared" si="4"/>
        <v>00</v>
      </c>
      <c r="Q20" s="1" t="str">
        <f t="shared" si="4"/>
        <v>00</v>
      </c>
      <c r="R20" s="1" t="str">
        <f t="shared" si="4"/>
        <v>00</v>
      </c>
      <c r="S20" s="1"/>
      <c r="T20" s="1">
        <f t="shared" si="5"/>
        <v>16</v>
      </c>
    </row>
    <row r="21" spans="1:20" x14ac:dyDescent="0.3">
      <c r="A21" s="39" t="s">
        <v>41</v>
      </c>
      <c r="B21" s="5" t="str">
        <f t="shared" si="6"/>
        <v>AE10</v>
      </c>
      <c r="C21" s="18" t="str">
        <f t="shared" si="4"/>
        <v>00</v>
      </c>
      <c r="D21" s="1" t="str">
        <f t="shared" si="4"/>
        <v>00</v>
      </c>
      <c r="E21" s="1" t="str">
        <f t="shared" si="4"/>
        <v>00</v>
      </c>
      <c r="F21" s="1" t="str">
        <f t="shared" si="4"/>
        <v>00</v>
      </c>
      <c r="G21" s="1" t="str">
        <f t="shared" si="4"/>
        <v>00</v>
      </c>
      <c r="H21" s="1" t="str">
        <f t="shared" si="4"/>
        <v>00</v>
      </c>
      <c r="I21" s="1" t="str">
        <f t="shared" si="4"/>
        <v>00</v>
      </c>
      <c r="J21" s="1" t="str">
        <f t="shared" si="4"/>
        <v>00</v>
      </c>
      <c r="K21" s="1" t="str">
        <f t="shared" si="4"/>
        <v>00</v>
      </c>
      <c r="L21" s="1" t="str">
        <f t="shared" si="4"/>
        <v>00</v>
      </c>
      <c r="M21" s="1" t="str">
        <f t="shared" si="4"/>
        <v>00</v>
      </c>
      <c r="N21" s="1" t="str">
        <f t="shared" si="4"/>
        <v>00</v>
      </c>
      <c r="O21" s="1" t="str">
        <f t="shared" si="4"/>
        <v>00</v>
      </c>
      <c r="P21" s="1" t="str">
        <f t="shared" si="4"/>
        <v>00</v>
      </c>
      <c r="Q21" s="1" t="str">
        <f t="shared" si="4"/>
        <v>00</v>
      </c>
      <c r="R21" s="1" t="str">
        <f t="shared" si="4"/>
        <v>00</v>
      </c>
      <c r="S21" s="1"/>
      <c r="T21" s="1">
        <f t="shared" si="5"/>
        <v>16</v>
      </c>
    </row>
    <row r="22" spans="1:20" x14ac:dyDescent="0.3">
      <c r="A22" s="39" t="s">
        <v>41</v>
      </c>
      <c r="B22" s="5" t="str">
        <f t="shared" si="6"/>
        <v>AE20</v>
      </c>
      <c r="C22" s="18" t="str">
        <f t="shared" si="4"/>
        <v>00</v>
      </c>
      <c r="D22" s="1" t="str">
        <f t="shared" si="4"/>
        <v>00</v>
      </c>
      <c r="E22" s="1" t="str">
        <f t="shared" si="4"/>
        <v>00</v>
      </c>
      <c r="F22" s="1" t="str">
        <f t="shared" si="4"/>
        <v>00</v>
      </c>
      <c r="G22" s="1" t="str">
        <f t="shared" si="4"/>
        <v>00</v>
      </c>
      <c r="H22" s="1" t="str">
        <f t="shared" si="4"/>
        <v>00</v>
      </c>
      <c r="I22" s="1" t="str">
        <f t="shared" si="4"/>
        <v>00</v>
      </c>
      <c r="J22" s="1" t="str">
        <f t="shared" si="4"/>
        <v>00</v>
      </c>
      <c r="K22" s="1" t="str">
        <f t="shared" si="4"/>
        <v>00</v>
      </c>
      <c r="L22" s="1" t="str">
        <f t="shared" si="4"/>
        <v>00</v>
      </c>
      <c r="M22" s="1" t="str">
        <f t="shared" si="4"/>
        <v>00</v>
      </c>
      <c r="N22" s="1" t="str">
        <f t="shared" si="4"/>
        <v>00</v>
      </c>
      <c r="O22" s="1" t="str">
        <f t="shared" si="4"/>
        <v>00</v>
      </c>
      <c r="P22" s="1" t="str">
        <f t="shared" si="4"/>
        <v>00</v>
      </c>
      <c r="Q22" s="1" t="str">
        <f t="shared" si="4"/>
        <v>00</v>
      </c>
      <c r="R22" s="1" t="str">
        <f t="shared" si="4"/>
        <v>00</v>
      </c>
      <c r="S22" s="1"/>
      <c r="T22" s="1">
        <f t="shared" si="5"/>
        <v>16</v>
      </c>
    </row>
    <row r="23" spans="1:20" x14ac:dyDescent="0.3">
      <c r="A23" s="39" t="s">
        <v>52</v>
      </c>
      <c r="B23" s="5" t="str">
        <f t="shared" si="6"/>
        <v>AE30</v>
      </c>
      <c r="C23" s="18" t="str">
        <f t="shared" si="4"/>
        <v>00</v>
      </c>
      <c r="D23" s="1" t="str">
        <f t="shared" si="4"/>
        <v>00</v>
      </c>
      <c r="E23" s="1" t="str">
        <f t="shared" si="4"/>
        <v>00</v>
      </c>
      <c r="F23" s="1" t="str">
        <f t="shared" si="4"/>
        <v>00</v>
      </c>
      <c r="G23" s="1" t="str">
        <f t="shared" si="4"/>
        <v>00</v>
      </c>
      <c r="H23" s="1" t="str">
        <f t="shared" si="4"/>
        <v>00</v>
      </c>
      <c r="I23" s="1" t="str">
        <f t="shared" si="4"/>
        <v>07</v>
      </c>
      <c r="J23" s="1" t="str">
        <f t="shared" si="4"/>
        <v>00</v>
      </c>
      <c r="K23" s="1" t="str">
        <f t="shared" si="4"/>
        <v/>
      </c>
      <c r="L23" s="1" t="str">
        <f t="shared" si="4"/>
        <v/>
      </c>
      <c r="M23" s="1" t="str">
        <f t="shared" si="4"/>
        <v/>
      </c>
      <c r="N23" s="1" t="str">
        <f t="shared" si="4"/>
        <v/>
      </c>
      <c r="O23" s="1" t="str">
        <f t="shared" si="4"/>
        <v/>
      </c>
      <c r="P23" s="1" t="str">
        <f t="shared" si="4"/>
        <v/>
      </c>
      <c r="Q23" s="1" t="str">
        <f t="shared" si="4"/>
        <v/>
      </c>
      <c r="R23" s="1" t="str">
        <f t="shared" si="4"/>
        <v/>
      </c>
      <c r="S23" s="1"/>
      <c r="T23" s="1">
        <f t="shared" si="5"/>
        <v>8</v>
      </c>
    </row>
    <row r="24" spans="1:20" x14ac:dyDescent="0.3">
      <c r="A24" s="39" t="s">
        <v>53</v>
      </c>
      <c r="B24" s="5" t="str">
        <f t="shared" si="6"/>
        <v>AE38</v>
      </c>
      <c r="C24" s="18" t="str">
        <f t="shared" si="4"/>
        <v>00</v>
      </c>
      <c r="D24" s="1" t="str">
        <f t="shared" si="4"/>
        <v>02</v>
      </c>
      <c r="E24" s="1" t="str">
        <f t="shared" si="4"/>
        <v>02</v>
      </c>
      <c r="F24" s="1" t="str">
        <f t="shared" si="4"/>
        <v>03</v>
      </c>
      <c r="G24" s="1" t="str">
        <f t="shared" si="4"/>
        <v>07</v>
      </c>
      <c r="H24" s="1" t="str">
        <f t="shared" si="4"/>
        <v>02</v>
      </c>
      <c r="I24" s="1" t="str">
        <f t="shared" si="4"/>
        <v>00</v>
      </c>
      <c r="J24" s="1" t="str">
        <f t="shared" si="4"/>
        <v>00</v>
      </c>
      <c r="K24" s="1" t="str">
        <f t="shared" si="4"/>
        <v>00</v>
      </c>
      <c r="L24" s="1" t="str">
        <f t="shared" si="4"/>
        <v>01</v>
      </c>
      <c r="M24" s="1" t="str">
        <f t="shared" si="4"/>
        <v>07</v>
      </c>
      <c r="N24" s="1" t="str">
        <f t="shared" si="4"/>
        <v>00</v>
      </c>
      <c r="O24" s="1" t="str">
        <f t="shared" si="4"/>
        <v>00</v>
      </c>
      <c r="P24" s="1" t="str">
        <f t="shared" si="4"/>
        <v>00</v>
      </c>
      <c r="Q24" s="1" t="str">
        <f t="shared" si="4"/>
        <v>04</v>
      </c>
      <c r="R24" s="1" t="str">
        <f t="shared" si="4"/>
        <v>01</v>
      </c>
      <c r="S24" s="1"/>
      <c r="T24" s="1">
        <f t="shared" si="5"/>
        <v>16</v>
      </c>
    </row>
    <row r="25" spans="1:20" x14ac:dyDescent="0.3">
      <c r="A25" s="39" t="s">
        <v>54</v>
      </c>
      <c r="B25" s="5" t="str">
        <f t="shared" si="6"/>
        <v>AE48</v>
      </c>
      <c r="C25" s="18" t="str">
        <f t="shared" si="4"/>
        <v>01</v>
      </c>
      <c r="D25" s="1" t="str">
        <f t="shared" si="4"/>
        <v>01</v>
      </c>
      <c r="E25" s="1" t="str">
        <f t="shared" si="4"/>
        <v>00</v>
      </c>
      <c r="F25" s="1" t="str">
        <f t="shared" si="4"/>
        <v>06</v>
      </c>
      <c r="G25" s="1" t="str">
        <f t="shared" si="4"/>
        <v>03</v>
      </c>
      <c r="H25" s="1" t="str">
        <f t="shared" si="4"/>
        <v>03</v>
      </c>
      <c r="I25" s="1" t="str">
        <f t="shared" si="4"/>
        <v>00</v>
      </c>
      <c r="J25" s="1" t="str">
        <f t="shared" si="4"/>
        <v>00</v>
      </c>
      <c r="K25" s="1" t="str">
        <f t="shared" si="4"/>
        <v>03</v>
      </c>
      <c r="L25" s="1" t="str">
        <f t="shared" si="4"/>
        <v>00</v>
      </c>
      <c r="M25" s="1" t="str">
        <f t="shared" si="4"/>
        <v>00</v>
      </c>
      <c r="N25" s="1" t="str">
        <f t="shared" si="4"/>
        <v>00</v>
      </c>
      <c r="O25" s="1" t="str">
        <f t="shared" si="4"/>
        <v>00</v>
      </c>
      <c r="P25" s="1" t="str">
        <f t="shared" si="4"/>
        <v>00</v>
      </c>
      <c r="Q25" s="1" t="str">
        <f t="shared" si="4"/>
        <v>00</v>
      </c>
      <c r="R25" s="1" t="str">
        <f t="shared" si="4"/>
        <v>02</v>
      </c>
      <c r="S25" s="1"/>
      <c r="T25" s="1">
        <f t="shared" si="5"/>
        <v>16</v>
      </c>
    </row>
    <row r="26" spans="1:20" x14ac:dyDescent="0.3">
      <c r="A26" s="39" t="s">
        <v>55</v>
      </c>
      <c r="B26" s="5" t="str">
        <f t="shared" si="6"/>
        <v>AE58</v>
      </c>
      <c r="C26" s="18" t="str">
        <f t="shared" si="4"/>
        <v>00</v>
      </c>
      <c r="D26" s="1" t="str">
        <f t="shared" si="4"/>
        <v>00</v>
      </c>
      <c r="E26" s="1" t="str">
        <f t="shared" si="4"/>
        <v>00</v>
      </c>
      <c r="F26" s="1" t="str">
        <f t="shared" si="4"/>
        <v>00</v>
      </c>
      <c r="G26" s="1" t="str">
        <f t="shared" si="4"/>
        <v>00</v>
      </c>
      <c r="H26" s="1" t="str">
        <f t="shared" si="4"/>
        <v>00</v>
      </c>
      <c r="I26" s="1" t="str">
        <f t="shared" si="4"/>
        <v>00</v>
      </c>
      <c r="J26" s="1" t="str">
        <f t="shared" si="4"/>
        <v>00</v>
      </c>
      <c r="K26" s="1" t="str">
        <f t="shared" si="4"/>
        <v>01</v>
      </c>
      <c r="L26" s="1" t="str">
        <f t="shared" si="4"/>
        <v>01</v>
      </c>
      <c r="M26" s="1" t="str">
        <f t="shared" si="4"/>
        <v>01</v>
      </c>
      <c r="N26" s="1" t="str">
        <f t="shared" si="4"/>
        <v>00</v>
      </c>
      <c r="O26" s="1" t="str">
        <f t="shared" si="4"/>
        <v>00</v>
      </c>
      <c r="P26" s="1" t="str">
        <f t="shared" si="4"/>
        <v>01</v>
      </c>
      <c r="Q26" s="1" t="str">
        <f t="shared" si="4"/>
        <v>00</v>
      </c>
      <c r="R26" s="1" t="str">
        <f t="shared" si="4"/>
        <v>00</v>
      </c>
      <c r="S26" s="1"/>
      <c r="T26" s="1">
        <f t="shared" si="5"/>
        <v>16</v>
      </c>
    </row>
    <row r="27" spans="1:20" x14ac:dyDescent="0.3">
      <c r="A27" s="39" t="s">
        <v>56</v>
      </c>
      <c r="B27" s="5" t="str">
        <f t="shared" si="6"/>
        <v>AE68</v>
      </c>
      <c r="C27" s="18" t="str">
        <f t="shared" si="4"/>
        <v>01</v>
      </c>
      <c r="D27" s="1" t="str">
        <f t="shared" si="4"/>
        <v>00</v>
      </c>
      <c r="E27" s="1" t="str">
        <f t="shared" si="4"/>
        <v>00</v>
      </c>
      <c r="F27" s="1" t="str">
        <f t="shared" si="4"/>
        <v>04</v>
      </c>
      <c r="G27" s="1" t="str">
        <f t="shared" si="4"/>
        <v>00</v>
      </c>
      <c r="H27" s="1" t="str">
        <f t="shared" si="4"/>
        <v>04</v>
      </c>
      <c r="I27" s="1" t="str">
        <f t="shared" si="4"/>
        <v>04</v>
      </c>
      <c r="J27" s="1" t="str">
        <f t="shared" si="4"/>
        <v>00</v>
      </c>
      <c r="K27" s="1" t="str">
        <f t="shared" si="4"/>
        <v>00</v>
      </c>
      <c r="L27" s="1" t="str">
        <f t="shared" si="4"/>
        <v>00</v>
      </c>
      <c r="M27" s="1" t="str">
        <f t="shared" si="4"/>
        <v>00</v>
      </c>
      <c r="N27" s="1" t="str">
        <f t="shared" si="4"/>
        <v>00</v>
      </c>
      <c r="O27" s="1" t="str">
        <f t="shared" si="4"/>
        <v>00</v>
      </c>
      <c r="P27" s="1" t="str">
        <f t="shared" si="4"/>
        <v>00</v>
      </c>
      <c r="Q27" s="1" t="str">
        <f t="shared" si="4"/>
        <v>00</v>
      </c>
      <c r="R27" s="1" t="str">
        <f t="shared" si="4"/>
        <v>00</v>
      </c>
      <c r="S27" s="1"/>
      <c r="T27" s="1">
        <f t="shared" si="5"/>
        <v>16</v>
      </c>
    </row>
    <row r="28" spans="1:20" x14ac:dyDescent="0.3">
      <c r="A28" s="39" t="s">
        <v>41</v>
      </c>
      <c r="B28" s="5" t="str">
        <f t="shared" si="6"/>
        <v>AE78</v>
      </c>
      <c r="C28" s="18" t="str">
        <f t="shared" si="4"/>
        <v>00</v>
      </c>
      <c r="D28" s="1" t="str">
        <f t="shared" si="4"/>
        <v>00</v>
      </c>
      <c r="E28" s="1" t="str">
        <f t="shared" si="4"/>
        <v>00</v>
      </c>
      <c r="F28" s="1" t="str">
        <f t="shared" si="4"/>
        <v>00</v>
      </c>
      <c r="G28" s="1" t="str">
        <f t="shared" si="4"/>
        <v>00</v>
      </c>
      <c r="H28" s="1" t="str">
        <f t="shared" si="4"/>
        <v>00</v>
      </c>
      <c r="I28" s="1" t="str">
        <f t="shared" si="4"/>
        <v>00</v>
      </c>
      <c r="J28" s="1" t="str">
        <f t="shared" si="4"/>
        <v>00</v>
      </c>
      <c r="K28" s="1" t="str">
        <f t="shared" si="4"/>
        <v>00</v>
      </c>
      <c r="L28" s="1" t="str">
        <f t="shared" si="4"/>
        <v>00</v>
      </c>
      <c r="M28" s="1" t="str">
        <f t="shared" si="4"/>
        <v>00</v>
      </c>
      <c r="N28" s="1" t="str">
        <f t="shared" si="4"/>
        <v>00</v>
      </c>
      <c r="O28" s="1" t="str">
        <f t="shared" si="4"/>
        <v>00</v>
      </c>
      <c r="P28" s="1" t="str">
        <f t="shared" si="4"/>
        <v>00</v>
      </c>
      <c r="Q28" s="1" t="str">
        <f t="shared" si="4"/>
        <v>00</v>
      </c>
      <c r="R28" s="1" t="str">
        <f t="shared" si="4"/>
        <v>00</v>
      </c>
      <c r="S28" s="1"/>
      <c r="T28" s="1">
        <f t="shared" si="5"/>
        <v>16</v>
      </c>
    </row>
    <row r="29" spans="1:20" x14ac:dyDescent="0.3">
      <c r="A29" s="39" t="s">
        <v>41</v>
      </c>
      <c r="B29" s="5" t="str">
        <f t="shared" si="6"/>
        <v>AE88</v>
      </c>
      <c r="C29" s="18" t="str">
        <f t="shared" si="4"/>
        <v>00</v>
      </c>
      <c r="D29" s="1" t="str">
        <f t="shared" si="4"/>
        <v>00</v>
      </c>
      <c r="E29" s="1" t="str">
        <f t="shared" si="4"/>
        <v>00</v>
      </c>
      <c r="F29" s="1" t="str">
        <f t="shared" si="4"/>
        <v>00</v>
      </c>
      <c r="G29" s="1" t="str">
        <f t="shared" si="4"/>
        <v>00</v>
      </c>
      <c r="H29" s="1" t="str">
        <f t="shared" si="4"/>
        <v>00</v>
      </c>
      <c r="I29" s="1" t="str">
        <f t="shared" si="4"/>
        <v>00</v>
      </c>
      <c r="J29" s="1" t="str">
        <f t="shared" si="4"/>
        <v>00</v>
      </c>
      <c r="K29" s="1" t="str">
        <f t="shared" si="4"/>
        <v>00</v>
      </c>
      <c r="L29" s="1" t="str">
        <f t="shared" si="4"/>
        <v>00</v>
      </c>
      <c r="M29" s="1" t="str">
        <f t="shared" si="4"/>
        <v>00</v>
      </c>
      <c r="N29" s="1" t="str">
        <f t="shared" si="4"/>
        <v>00</v>
      </c>
      <c r="O29" s="1" t="str">
        <f t="shared" si="4"/>
        <v>00</v>
      </c>
      <c r="P29" s="1" t="str">
        <f t="shared" si="4"/>
        <v>00</v>
      </c>
      <c r="Q29" s="1" t="str">
        <f t="shared" si="4"/>
        <v>00</v>
      </c>
      <c r="R29" s="1" t="str">
        <f t="shared" si="4"/>
        <v>00</v>
      </c>
      <c r="S29" s="1"/>
      <c r="T29" s="1">
        <f t="shared" si="5"/>
        <v>16</v>
      </c>
    </row>
    <row r="30" spans="1:20" x14ac:dyDescent="0.3">
      <c r="A30" s="39" t="s">
        <v>57</v>
      </c>
      <c r="B30" s="5" t="str">
        <f t="shared" si="6"/>
        <v>AE98</v>
      </c>
      <c r="C30" s="18" t="str">
        <f t="shared" si="4"/>
        <v>00</v>
      </c>
      <c r="D30" s="1" t="str">
        <f t="shared" si="4"/>
        <v>00</v>
      </c>
      <c r="E30" s="1" t="str">
        <f t="shared" si="4"/>
        <v>00</v>
      </c>
      <c r="F30" s="1" t="str">
        <f t="shared" si="4"/>
        <v>00</v>
      </c>
      <c r="G30" s="1" t="str">
        <f t="shared" si="4"/>
        <v>00</v>
      </c>
      <c r="H30" s="1" t="str">
        <f t="shared" si="4"/>
        <v>00</v>
      </c>
      <c r="I30" s="1" t="str">
        <f t="shared" si="4"/>
        <v>70</v>
      </c>
      <c r="J30" s="1" t="str">
        <f t="shared" si="4"/>
        <v>60</v>
      </c>
      <c r="K30" s="1" t="str">
        <f t="shared" si="4"/>
        <v/>
      </c>
      <c r="L30" s="1" t="str">
        <f t="shared" si="4"/>
        <v/>
      </c>
      <c r="M30" s="1" t="str">
        <f t="shared" si="4"/>
        <v/>
      </c>
      <c r="N30" s="1" t="str">
        <f t="shared" si="4"/>
        <v/>
      </c>
      <c r="O30" s="1" t="str">
        <f t="shared" si="4"/>
        <v/>
      </c>
      <c r="P30" s="1" t="str">
        <f t="shared" si="4"/>
        <v/>
      </c>
      <c r="Q30" s="1" t="str">
        <f t="shared" si="4"/>
        <v/>
      </c>
      <c r="R30" s="1" t="str">
        <f t="shared" si="4"/>
        <v/>
      </c>
      <c r="S30" s="1"/>
      <c r="T30" s="1">
        <f t="shared" si="5"/>
        <v>8</v>
      </c>
    </row>
    <row r="31" spans="1:20" x14ac:dyDescent="0.3">
      <c r="A31" s="39" t="s">
        <v>58</v>
      </c>
      <c r="B31" s="5" t="str">
        <f t="shared" si="6"/>
        <v>AEA0</v>
      </c>
      <c r="C31" s="18" t="str">
        <f t="shared" si="4"/>
        <v>00</v>
      </c>
      <c r="D31" s="1" t="str">
        <f t="shared" si="4"/>
        <v>15</v>
      </c>
      <c r="E31" s="1" t="str">
        <f t="shared" si="4"/>
        <v>55</v>
      </c>
      <c r="F31" s="1" t="str">
        <f t="shared" si="4"/>
        <v>7E</v>
      </c>
      <c r="G31" s="1" t="str">
        <f t="shared" si="4"/>
        <v>00</v>
      </c>
      <c r="H31" s="1" t="str">
        <f t="shared" si="4"/>
        <v>00</v>
      </c>
      <c r="I31" s="1" t="str">
        <f t="shared" si="4"/>
        <v>7E</v>
      </c>
      <c r="J31" s="1" t="str">
        <f t="shared" si="4"/>
        <v>00</v>
      </c>
      <c r="K31" s="1" t="str">
        <f t="shared" si="4"/>
        <v>28</v>
      </c>
      <c r="L31" s="1" t="str">
        <f t="shared" si="4"/>
        <v>60</v>
      </c>
      <c r="M31" s="1" t="str">
        <f t="shared" si="4"/>
        <v>7F</v>
      </c>
      <c r="N31" s="1" t="str">
        <f t="shared" si="4"/>
        <v>1C</v>
      </c>
      <c r="O31" s="1" t="str">
        <f t="shared" si="4"/>
        <v>1C</v>
      </c>
      <c r="P31" s="1" t="str">
        <f t="shared" si="4"/>
        <v>1C</v>
      </c>
      <c r="Q31" s="1" t="str">
        <f t="shared" si="4"/>
        <v>70</v>
      </c>
      <c r="R31" s="1" t="str">
        <f t="shared" si="4"/>
        <v>60</v>
      </c>
      <c r="S31" s="1"/>
      <c r="T31" s="1">
        <f t="shared" si="5"/>
        <v>16</v>
      </c>
    </row>
    <row r="32" spans="1:20" x14ac:dyDescent="0.3">
      <c r="A32" s="39" t="s">
        <v>59</v>
      </c>
      <c r="B32" s="5" t="str">
        <f t="shared" si="6"/>
        <v>AEB0</v>
      </c>
      <c r="C32" s="18" t="str">
        <f t="shared" si="4"/>
        <v>60</v>
      </c>
      <c r="D32" s="1" t="str">
        <f t="shared" si="4"/>
        <v>60</v>
      </c>
      <c r="E32" s="1" t="str">
        <f t="shared" si="4"/>
        <v>3F</v>
      </c>
      <c r="F32" s="1" t="str">
        <f t="shared" si="4"/>
        <v>76</v>
      </c>
      <c r="G32" s="1" t="str">
        <f t="shared" si="4"/>
        <v>3B</v>
      </c>
      <c r="H32" s="1" t="str">
        <f t="shared" si="4"/>
        <v>36</v>
      </c>
      <c r="I32" s="1" t="str">
        <f t="shared" si="4"/>
        <v>78</v>
      </c>
      <c r="J32" s="1" t="str">
        <f t="shared" si="4"/>
        <v>78</v>
      </c>
      <c r="K32" s="1" t="str">
        <f t="shared" si="4"/>
        <v>36</v>
      </c>
      <c r="L32" s="1" t="str">
        <f t="shared" si="4"/>
        <v>78</v>
      </c>
      <c r="M32" s="1" t="str">
        <f t="shared" si="4"/>
        <v>78</v>
      </c>
      <c r="N32" s="1" t="str">
        <f t="shared" si="4"/>
        <v>00</v>
      </c>
      <c r="O32" s="1" t="str">
        <f t="shared" si="4"/>
        <v>00</v>
      </c>
      <c r="P32" s="1" t="str">
        <f t="shared" si="4"/>
        <v>00</v>
      </c>
      <c r="Q32" s="1" t="str">
        <f t="shared" si="4"/>
        <v>00</v>
      </c>
      <c r="R32" s="1" t="str">
        <f t="shared" si="4"/>
        <v>15</v>
      </c>
      <c r="S32" s="1"/>
      <c r="T32" s="1">
        <f t="shared" si="5"/>
        <v>16</v>
      </c>
    </row>
    <row r="33" spans="1:20" x14ac:dyDescent="0.3">
      <c r="A33" s="39" t="s">
        <v>60</v>
      </c>
      <c r="B33" s="5" t="str">
        <f t="shared" si="6"/>
        <v>AEC0</v>
      </c>
      <c r="C33" s="18" t="str">
        <f t="shared" si="4"/>
        <v>01</v>
      </c>
      <c r="D33" s="1" t="str">
        <f t="shared" ref="D33:R49" si="7">MID($A33,13+D$2*3,2)</f>
        <v>28</v>
      </c>
      <c r="E33" s="1" t="str">
        <f t="shared" si="7"/>
        <v>00</v>
      </c>
      <c r="F33" s="1" t="str">
        <f t="shared" si="7"/>
        <v>00</v>
      </c>
      <c r="G33" s="1" t="str">
        <f t="shared" si="7"/>
        <v>00</v>
      </c>
      <c r="H33" s="1" t="str">
        <f t="shared" si="7"/>
        <v>38</v>
      </c>
      <c r="I33" s="1" t="str">
        <f t="shared" si="7"/>
        <v>00</v>
      </c>
      <c r="J33" s="1" t="str">
        <f t="shared" si="7"/>
        <v>00</v>
      </c>
      <c r="K33" s="1" t="str">
        <f t="shared" si="7"/>
        <v>20</v>
      </c>
      <c r="L33" s="1" t="str">
        <f t="shared" si="7"/>
        <v>20</v>
      </c>
      <c r="M33" s="1" t="str">
        <f t="shared" si="7"/>
        <v>20</v>
      </c>
      <c r="N33" s="1" t="str">
        <f t="shared" si="7"/>
        <v>28</v>
      </c>
      <c r="O33" s="1" t="str">
        <f t="shared" si="7"/>
        <v>28</v>
      </c>
      <c r="P33" s="1" t="str">
        <f t="shared" si="7"/>
        <v>22</v>
      </c>
      <c r="Q33" s="1" t="str">
        <f t="shared" si="7"/>
        <v>28</v>
      </c>
      <c r="R33" s="1" t="str">
        <f t="shared" si="7"/>
        <v>28</v>
      </c>
      <c r="S33" s="1"/>
      <c r="T33" s="1">
        <f t="shared" si="5"/>
        <v>16</v>
      </c>
    </row>
    <row r="34" spans="1:20" x14ac:dyDescent="0.3">
      <c r="A34" s="39" t="s">
        <v>61</v>
      </c>
      <c r="B34" s="5" t="str">
        <f t="shared" si="6"/>
        <v>AED0</v>
      </c>
      <c r="C34" s="18" t="str">
        <f t="shared" ref="C34:R64" si="8">MID($A34,13+C$2*3,2)</f>
        <v>0A</v>
      </c>
      <c r="D34" s="1" t="str">
        <f t="shared" si="7"/>
        <v>28</v>
      </c>
      <c r="E34" s="1" t="str">
        <f t="shared" si="7"/>
        <v>28</v>
      </c>
      <c r="F34" s="1" t="str">
        <f t="shared" si="7"/>
        <v>20</v>
      </c>
      <c r="G34" s="1" t="str">
        <f t="shared" si="7"/>
        <v>2B</v>
      </c>
      <c r="H34" s="1" t="str">
        <f t="shared" si="7"/>
        <v>22</v>
      </c>
      <c r="I34" s="1" t="str">
        <f t="shared" si="7"/>
        <v>22</v>
      </c>
      <c r="J34" s="1" t="str">
        <f t="shared" si="7"/>
        <v>00</v>
      </c>
      <c r="K34" s="1" t="str">
        <f t="shared" si="7"/>
        <v>00</v>
      </c>
      <c r="L34" s="1" t="str">
        <f t="shared" si="7"/>
        <v>00</v>
      </c>
      <c r="M34" s="1" t="str">
        <f t="shared" si="7"/>
        <v>00</v>
      </c>
      <c r="N34" s="1" t="str">
        <f t="shared" si="7"/>
        <v>00</v>
      </c>
      <c r="O34" s="1" t="str">
        <f t="shared" si="7"/>
        <v>00</v>
      </c>
      <c r="P34" s="1" t="str">
        <f t="shared" si="7"/>
        <v>00</v>
      </c>
      <c r="Q34" s="1" t="str">
        <f t="shared" si="7"/>
        <v>00</v>
      </c>
      <c r="R34" s="1" t="str">
        <f t="shared" si="7"/>
        <v>00</v>
      </c>
      <c r="S34" s="1"/>
      <c r="T34" s="1">
        <f t="shared" si="5"/>
        <v>16</v>
      </c>
    </row>
    <row r="35" spans="1:20" x14ac:dyDescent="0.3">
      <c r="A35" s="39" t="s">
        <v>41</v>
      </c>
      <c r="B35" s="5" t="str">
        <f t="shared" si="6"/>
        <v>AEE0</v>
      </c>
      <c r="C35" s="18" t="str">
        <f t="shared" si="8"/>
        <v>00</v>
      </c>
      <c r="D35" s="1" t="str">
        <f t="shared" si="7"/>
        <v>00</v>
      </c>
      <c r="E35" s="1" t="str">
        <f t="shared" si="7"/>
        <v>00</v>
      </c>
      <c r="F35" s="1" t="str">
        <f t="shared" si="7"/>
        <v>00</v>
      </c>
      <c r="G35" s="1" t="str">
        <f t="shared" si="7"/>
        <v>00</v>
      </c>
      <c r="H35" s="1" t="str">
        <f t="shared" si="7"/>
        <v>00</v>
      </c>
      <c r="I35" s="1" t="str">
        <f t="shared" si="7"/>
        <v>00</v>
      </c>
      <c r="J35" s="1" t="str">
        <f t="shared" si="7"/>
        <v>00</v>
      </c>
      <c r="K35" s="1" t="str">
        <f t="shared" si="7"/>
        <v>00</v>
      </c>
      <c r="L35" s="1" t="str">
        <f t="shared" si="7"/>
        <v>00</v>
      </c>
      <c r="M35" s="1" t="str">
        <f t="shared" si="7"/>
        <v>00</v>
      </c>
      <c r="N35" s="1" t="str">
        <f t="shared" si="7"/>
        <v>00</v>
      </c>
      <c r="O35" s="1" t="str">
        <f t="shared" si="7"/>
        <v>00</v>
      </c>
      <c r="P35" s="1" t="str">
        <f t="shared" si="7"/>
        <v>00</v>
      </c>
      <c r="Q35" s="1" t="str">
        <f t="shared" si="7"/>
        <v>00</v>
      </c>
      <c r="R35" s="1" t="str">
        <f t="shared" si="7"/>
        <v>00</v>
      </c>
      <c r="S35" s="1"/>
      <c r="T35" s="1">
        <f t="shared" si="5"/>
        <v>16</v>
      </c>
    </row>
    <row r="36" spans="1:20" x14ac:dyDescent="0.3">
      <c r="A36" s="39" t="s">
        <v>41</v>
      </c>
      <c r="B36" s="5" t="str">
        <f t="shared" si="6"/>
        <v>AEF0</v>
      </c>
      <c r="C36" s="18" t="str">
        <f t="shared" si="8"/>
        <v>00</v>
      </c>
      <c r="D36" s="1" t="str">
        <f t="shared" si="7"/>
        <v>00</v>
      </c>
      <c r="E36" s="1" t="str">
        <f t="shared" si="7"/>
        <v>00</v>
      </c>
      <c r="F36" s="1" t="str">
        <f t="shared" si="7"/>
        <v>00</v>
      </c>
      <c r="G36" s="1" t="str">
        <f t="shared" si="7"/>
        <v>00</v>
      </c>
      <c r="H36" s="1" t="str">
        <f t="shared" si="7"/>
        <v>00</v>
      </c>
      <c r="I36" s="1" t="str">
        <f t="shared" si="7"/>
        <v>00</v>
      </c>
      <c r="J36" s="1" t="str">
        <f t="shared" si="7"/>
        <v>00</v>
      </c>
      <c r="K36" s="1" t="str">
        <f t="shared" si="7"/>
        <v>00</v>
      </c>
      <c r="L36" s="1" t="str">
        <f t="shared" si="7"/>
        <v>00</v>
      </c>
      <c r="M36" s="1" t="str">
        <f t="shared" si="7"/>
        <v>00</v>
      </c>
      <c r="N36" s="1" t="str">
        <f t="shared" si="7"/>
        <v>00</v>
      </c>
      <c r="O36" s="1" t="str">
        <f t="shared" si="7"/>
        <v>00</v>
      </c>
      <c r="P36" s="1" t="str">
        <f t="shared" si="7"/>
        <v>00</v>
      </c>
      <c r="Q36" s="1" t="str">
        <f t="shared" si="7"/>
        <v>00</v>
      </c>
      <c r="R36" s="1" t="str">
        <f t="shared" si="7"/>
        <v>00</v>
      </c>
      <c r="S36" s="1"/>
      <c r="T36" s="1">
        <f t="shared" si="5"/>
        <v>16</v>
      </c>
    </row>
    <row r="37" spans="1:20" x14ac:dyDescent="0.3">
      <c r="A37" s="39" t="s">
        <v>62</v>
      </c>
      <c r="B37" s="5" t="str">
        <f t="shared" si="6"/>
        <v>AF00</v>
      </c>
      <c r="C37" s="18" t="str">
        <f t="shared" si="8"/>
        <v>00</v>
      </c>
      <c r="D37" s="1" t="str">
        <f t="shared" si="7"/>
        <v>00</v>
      </c>
      <c r="E37" s="1" t="str">
        <f t="shared" si="7"/>
        <v>00</v>
      </c>
      <c r="F37" s="1" t="str">
        <f t="shared" si="7"/>
        <v>00</v>
      </c>
      <c r="G37" s="1" t="str">
        <f t="shared" si="7"/>
        <v>00</v>
      </c>
      <c r="H37" s="1" t="str">
        <f t="shared" si="7"/>
        <v>00</v>
      </c>
      <c r="I37" s="1" t="str">
        <f t="shared" si="7"/>
        <v>00</v>
      </c>
      <c r="J37" s="1" t="str">
        <f t="shared" si="7"/>
        <v>06</v>
      </c>
      <c r="K37" s="1" t="str">
        <f t="shared" si="7"/>
        <v/>
      </c>
      <c r="L37" s="1" t="str">
        <f t="shared" si="7"/>
        <v/>
      </c>
      <c r="M37" s="1" t="str">
        <f t="shared" si="7"/>
        <v/>
      </c>
      <c r="N37" s="1" t="str">
        <f t="shared" si="7"/>
        <v/>
      </c>
      <c r="O37" s="1" t="str">
        <f t="shared" si="7"/>
        <v/>
      </c>
      <c r="P37" s="1" t="str">
        <f t="shared" si="7"/>
        <v/>
      </c>
      <c r="Q37" s="1" t="str">
        <f t="shared" si="7"/>
        <v/>
      </c>
      <c r="R37" s="1" t="str">
        <f t="shared" si="7"/>
        <v/>
      </c>
      <c r="S37" s="1"/>
      <c r="T37" s="1">
        <f t="shared" si="5"/>
        <v>8</v>
      </c>
    </row>
    <row r="38" spans="1:20" x14ac:dyDescent="0.3">
      <c r="A38" s="39" t="s">
        <v>63</v>
      </c>
      <c r="B38" s="5" t="str">
        <f t="shared" si="6"/>
        <v>AF08</v>
      </c>
      <c r="C38" s="18" t="str">
        <f t="shared" si="8"/>
        <v>00</v>
      </c>
      <c r="D38" s="1" t="str">
        <f t="shared" si="7"/>
        <v>02</v>
      </c>
      <c r="E38" s="1" t="str">
        <f t="shared" si="7"/>
        <v>02</v>
      </c>
      <c r="F38" s="1" t="str">
        <f t="shared" si="7"/>
        <v>03</v>
      </c>
      <c r="G38" s="1" t="str">
        <f t="shared" si="7"/>
        <v>00</v>
      </c>
      <c r="H38" s="1" t="str">
        <f t="shared" si="7"/>
        <v>00</v>
      </c>
      <c r="I38" s="1" t="str">
        <f t="shared" si="7"/>
        <v>03</v>
      </c>
      <c r="J38" s="1" t="str">
        <f t="shared" si="7"/>
        <v>00</v>
      </c>
      <c r="K38" s="1" t="str">
        <f t="shared" si="7"/>
        <v>00</v>
      </c>
      <c r="L38" s="1" t="str">
        <f t="shared" si="7"/>
        <v>01</v>
      </c>
      <c r="M38" s="1" t="str">
        <f t="shared" si="7"/>
        <v>07</v>
      </c>
      <c r="N38" s="1" t="str">
        <f t="shared" si="7"/>
        <v>00</v>
      </c>
      <c r="O38" s="1" t="str">
        <f t="shared" si="7"/>
        <v>00</v>
      </c>
      <c r="P38" s="1" t="str">
        <f t="shared" si="7"/>
        <v>00</v>
      </c>
      <c r="Q38" s="1" t="str">
        <f t="shared" si="7"/>
        <v>07</v>
      </c>
      <c r="R38" s="1" t="str">
        <f t="shared" si="7"/>
        <v>01</v>
      </c>
      <c r="S38" s="1"/>
      <c r="T38" s="1">
        <f t="shared" si="5"/>
        <v>16</v>
      </c>
    </row>
    <row r="39" spans="1:20" x14ac:dyDescent="0.3">
      <c r="A39" s="39" t="s">
        <v>54</v>
      </c>
      <c r="B39" s="5" t="str">
        <f t="shared" si="6"/>
        <v>AF18</v>
      </c>
      <c r="C39" s="18" t="str">
        <f t="shared" si="8"/>
        <v>01</v>
      </c>
      <c r="D39" s="1" t="str">
        <f t="shared" si="7"/>
        <v>01</v>
      </c>
      <c r="E39" s="1" t="str">
        <f t="shared" si="7"/>
        <v>00</v>
      </c>
      <c r="F39" s="1" t="str">
        <f t="shared" si="7"/>
        <v>06</v>
      </c>
      <c r="G39" s="1" t="str">
        <f t="shared" si="7"/>
        <v>03</v>
      </c>
      <c r="H39" s="1" t="str">
        <f t="shared" si="7"/>
        <v>03</v>
      </c>
      <c r="I39" s="1" t="str">
        <f t="shared" si="7"/>
        <v>00</v>
      </c>
      <c r="J39" s="1" t="str">
        <f t="shared" si="7"/>
        <v>00</v>
      </c>
      <c r="K39" s="1" t="str">
        <f t="shared" si="7"/>
        <v>03</v>
      </c>
      <c r="L39" s="1" t="str">
        <f t="shared" si="7"/>
        <v>00</v>
      </c>
      <c r="M39" s="1" t="str">
        <f t="shared" si="7"/>
        <v>00</v>
      </c>
      <c r="N39" s="1" t="str">
        <f t="shared" si="7"/>
        <v>00</v>
      </c>
      <c r="O39" s="1" t="str">
        <f t="shared" si="7"/>
        <v>00</v>
      </c>
      <c r="P39" s="1" t="str">
        <f t="shared" si="7"/>
        <v>00</v>
      </c>
      <c r="Q39" s="1" t="str">
        <f t="shared" si="7"/>
        <v>00</v>
      </c>
      <c r="R39" s="1" t="str">
        <f t="shared" si="7"/>
        <v>02</v>
      </c>
      <c r="S39" s="1"/>
      <c r="T39" s="1">
        <f t="shared" si="5"/>
        <v>16</v>
      </c>
    </row>
    <row r="40" spans="1:20" x14ac:dyDescent="0.3">
      <c r="A40" s="39" t="s">
        <v>64</v>
      </c>
      <c r="B40" s="5" t="str">
        <f t="shared" si="6"/>
        <v>AF28</v>
      </c>
      <c r="C40" s="18" t="str">
        <f t="shared" si="8"/>
        <v>02</v>
      </c>
      <c r="D40" s="1" t="str">
        <f t="shared" si="7"/>
        <v>00</v>
      </c>
      <c r="E40" s="1" t="str">
        <f t="shared" si="7"/>
        <v>00</v>
      </c>
      <c r="F40" s="1" t="str">
        <f t="shared" si="7"/>
        <v>00</v>
      </c>
      <c r="G40" s="1" t="str">
        <f t="shared" si="7"/>
        <v>00</v>
      </c>
      <c r="H40" s="1" t="str">
        <f t="shared" si="7"/>
        <v>00</v>
      </c>
      <c r="I40" s="1" t="str">
        <f t="shared" si="7"/>
        <v>00</v>
      </c>
      <c r="J40" s="1" t="str">
        <f t="shared" si="7"/>
        <v>00</v>
      </c>
      <c r="K40" s="1" t="str">
        <f t="shared" si="7"/>
        <v>01</v>
      </c>
      <c r="L40" s="1" t="str">
        <f t="shared" si="7"/>
        <v>01</v>
      </c>
      <c r="M40" s="1" t="str">
        <f t="shared" si="7"/>
        <v>01</v>
      </c>
      <c r="N40" s="1" t="str">
        <f t="shared" si="7"/>
        <v>00</v>
      </c>
      <c r="O40" s="1" t="str">
        <f t="shared" si="7"/>
        <v>00</v>
      </c>
      <c r="P40" s="1" t="str">
        <f t="shared" si="7"/>
        <v>01</v>
      </c>
      <c r="Q40" s="1" t="str">
        <f t="shared" si="7"/>
        <v>00</v>
      </c>
      <c r="R40" s="1" t="str">
        <f t="shared" si="7"/>
        <v>00</v>
      </c>
      <c r="S40" s="1"/>
      <c r="T40" s="1">
        <f t="shared" si="5"/>
        <v>16</v>
      </c>
    </row>
    <row r="41" spans="1:20" x14ac:dyDescent="0.3">
      <c r="A41" s="39" t="s">
        <v>65</v>
      </c>
      <c r="B41" s="5" t="str">
        <f t="shared" si="6"/>
        <v>AF38</v>
      </c>
      <c r="C41" s="18" t="str">
        <f t="shared" si="8"/>
        <v>01</v>
      </c>
      <c r="D41" s="1" t="str">
        <f t="shared" si="7"/>
        <v>00</v>
      </c>
      <c r="E41" s="1" t="str">
        <f t="shared" si="7"/>
        <v>00</v>
      </c>
      <c r="F41" s="1" t="str">
        <f t="shared" si="7"/>
        <v>05</v>
      </c>
      <c r="G41" s="1" t="str">
        <f t="shared" si="7"/>
        <v>00</v>
      </c>
      <c r="H41" s="1" t="str">
        <f t="shared" si="7"/>
        <v>04</v>
      </c>
      <c r="I41" s="1" t="str">
        <f t="shared" si="7"/>
        <v>04</v>
      </c>
      <c r="J41" s="1" t="str">
        <f t="shared" si="7"/>
        <v>00</v>
      </c>
      <c r="K41" s="1" t="str">
        <f t="shared" si="7"/>
        <v>00</v>
      </c>
      <c r="L41" s="1" t="str">
        <f t="shared" si="7"/>
        <v>00</v>
      </c>
      <c r="M41" s="1" t="str">
        <f t="shared" si="7"/>
        <v>00</v>
      </c>
      <c r="N41" s="1" t="str">
        <f t="shared" si="7"/>
        <v>00</v>
      </c>
      <c r="O41" s="1" t="str">
        <f t="shared" si="7"/>
        <v>00</v>
      </c>
      <c r="P41" s="1" t="str">
        <f t="shared" si="7"/>
        <v>00</v>
      </c>
      <c r="Q41" s="1" t="str">
        <f t="shared" si="7"/>
        <v>00</v>
      </c>
      <c r="R41" s="1" t="str">
        <f t="shared" si="7"/>
        <v>00</v>
      </c>
      <c r="S41" s="1"/>
      <c r="T41" s="1">
        <f t="shared" si="5"/>
        <v>16</v>
      </c>
    </row>
    <row r="42" spans="1:20" x14ac:dyDescent="0.3">
      <c r="A42" s="39" t="s">
        <v>41</v>
      </c>
      <c r="B42" s="5" t="str">
        <f t="shared" si="6"/>
        <v>AF48</v>
      </c>
      <c r="C42" s="18" t="str">
        <f t="shared" si="8"/>
        <v>00</v>
      </c>
      <c r="D42" s="1" t="str">
        <f t="shared" si="7"/>
        <v>00</v>
      </c>
      <c r="E42" s="1" t="str">
        <f t="shared" si="7"/>
        <v>00</v>
      </c>
      <c r="F42" s="1" t="str">
        <f t="shared" si="7"/>
        <v>00</v>
      </c>
      <c r="G42" s="1" t="str">
        <f t="shared" si="7"/>
        <v>00</v>
      </c>
      <c r="H42" s="1" t="str">
        <f t="shared" si="7"/>
        <v>00</v>
      </c>
      <c r="I42" s="1" t="str">
        <f t="shared" si="7"/>
        <v>00</v>
      </c>
      <c r="J42" s="1" t="str">
        <f t="shared" si="7"/>
        <v>00</v>
      </c>
      <c r="K42" s="1" t="str">
        <f t="shared" si="7"/>
        <v>00</v>
      </c>
      <c r="L42" s="1" t="str">
        <f t="shared" si="7"/>
        <v>00</v>
      </c>
      <c r="M42" s="1" t="str">
        <f t="shared" si="7"/>
        <v>00</v>
      </c>
      <c r="N42" s="1" t="str">
        <f t="shared" si="7"/>
        <v>00</v>
      </c>
      <c r="O42" s="1" t="str">
        <f t="shared" si="7"/>
        <v>00</v>
      </c>
      <c r="P42" s="1" t="str">
        <f t="shared" si="7"/>
        <v>00</v>
      </c>
      <c r="Q42" s="1" t="str">
        <f t="shared" si="7"/>
        <v>00</v>
      </c>
      <c r="R42" s="1" t="str">
        <f t="shared" si="7"/>
        <v>00</v>
      </c>
      <c r="S42" s="1"/>
      <c r="T42" s="1">
        <f t="shared" si="5"/>
        <v>16</v>
      </c>
    </row>
    <row r="43" spans="1:20" x14ac:dyDescent="0.3">
      <c r="A43" s="39" t="s">
        <v>41</v>
      </c>
      <c r="B43" s="5" t="str">
        <f t="shared" si="6"/>
        <v>AF58</v>
      </c>
      <c r="C43" s="18" t="str">
        <f t="shared" si="8"/>
        <v>00</v>
      </c>
      <c r="D43" s="1" t="str">
        <f t="shared" si="7"/>
        <v>00</v>
      </c>
      <c r="E43" s="1" t="str">
        <f t="shared" si="7"/>
        <v>00</v>
      </c>
      <c r="F43" s="1" t="str">
        <f t="shared" si="7"/>
        <v>00</v>
      </c>
      <c r="G43" s="1" t="str">
        <f t="shared" si="7"/>
        <v>00</v>
      </c>
      <c r="H43" s="1" t="str">
        <f t="shared" si="7"/>
        <v>00</v>
      </c>
      <c r="I43" s="1" t="str">
        <f t="shared" si="7"/>
        <v>00</v>
      </c>
      <c r="J43" s="1" t="str">
        <f t="shared" si="7"/>
        <v>00</v>
      </c>
      <c r="K43" s="1" t="str">
        <f t="shared" si="7"/>
        <v>00</v>
      </c>
      <c r="L43" s="1" t="str">
        <f t="shared" si="7"/>
        <v>00</v>
      </c>
      <c r="M43" s="1" t="str">
        <f t="shared" si="7"/>
        <v>00</v>
      </c>
      <c r="N43" s="1" t="str">
        <f t="shared" si="7"/>
        <v>00</v>
      </c>
      <c r="O43" s="1" t="str">
        <f t="shared" si="7"/>
        <v>00</v>
      </c>
      <c r="P43" s="1" t="str">
        <f t="shared" si="7"/>
        <v>00</v>
      </c>
      <c r="Q43" s="1" t="str">
        <f t="shared" si="7"/>
        <v>00</v>
      </c>
      <c r="R43" s="1" t="str">
        <f t="shared" si="7"/>
        <v>00</v>
      </c>
      <c r="S43" s="1"/>
      <c r="T43" s="1">
        <f t="shared" si="5"/>
        <v>16</v>
      </c>
    </row>
    <row r="44" spans="1:20" x14ac:dyDescent="0.3">
      <c r="A44" s="39" t="s">
        <v>66</v>
      </c>
      <c r="B44" s="5" t="str">
        <f t="shared" si="6"/>
        <v>AF68</v>
      </c>
      <c r="C44" s="18" t="str">
        <f t="shared" si="8"/>
        <v>00</v>
      </c>
      <c r="D44" s="1" t="str">
        <f t="shared" si="7"/>
        <v>00</v>
      </c>
      <c r="E44" s="1" t="str">
        <f t="shared" si="7"/>
        <v>00</v>
      </c>
      <c r="F44" s="1" t="str">
        <f t="shared" si="7"/>
        <v>00</v>
      </c>
      <c r="G44" s="1" t="str">
        <f t="shared" si="7"/>
        <v>00</v>
      </c>
      <c r="H44" s="1" t="str">
        <f t="shared" si="7"/>
        <v>00</v>
      </c>
      <c r="I44" s="1" t="str">
        <f t="shared" si="7"/>
        <v>38</v>
      </c>
      <c r="J44" s="1" t="str">
        <f t="shared" si="7"/>
        <v>70</v>
      </c>
      <c r="K44" s="1" t="str">
        <f t="shared" si="7"/>
        <v/>
      </c>
      <c r="L44" s="1" t="str">
        <f t="shared" si="7"/>
        <v/>
      </c>
      <c r="M44" s="1" t="str">
        <f t="shared" si="7"/>
        <v/>
      </c>
      <c r="N44" s="1" t="str">
        <f t="shared" si="7"/>
        <v/>
      </c>
      <c r="O44" s="1" t="str">
        <f t="shared" si="7"/>
        <v/>
      </c>
      <c r="P44" s="1" t="str">
        <f t="shared" si="7"/>
        <v/>
      </c>
      <c r="Q44" s="1" t="str">
        <f t="shared" si="7"/>
        <v/>
      </c>
      <c r="R44" s="1" t="str">
        <f t="shared" si="7"/>
        <v/>
      </c>
      <c r="S44" s="1"/>
      <c r="T44" s="1">
        <f t="shared" si="5"/>
        <v>8</v>
      </c>
    </row>
    <row r="45" spans="1:20" x14ac:dyDescent="0.3">
      <c r="A45" s="39" t="s">
        <v>67</v>
      </c>
      <c r="B45" s="5" t="str">
        <f t="shared" si="6"/>
        <v>AF70</v>
      </c>
      <c r="C45" s="18" t="str">
        <f t="shared" si="8"/>
        <v>00</v>
      </c>
      <c r="D45" s="1" t="str">
        <f t="shared" si="7"/>
        <v>15</v>
      </c>
      <c r="E45" s="1" t="str">
        <f t="shared" si="7"/>
        <v>55</v>
      </c>
      <c r="F45" s="1" t="str">
        <f t="shared" si="7"/>
        <v>06</v>
      </c>
      <c r="G45" s="1" t="str">
        <f t="shared" si="7"/>
        <v>00</v>
      </c>
      <c r="H45" s="1" t="str">
        <f t="shared" si="7"/>
        <v>7C</v>
      </c>
      <c r="I45" s="1" t="str">
        <f t="shared" si="7"/>
        <v>06</v>
      </c>
      <c r="J45" s="1" t="str">
        <f t="shared" si="7"/>
        <v>00</v>
      </c>
      <c r="K45" s="1" t="str">
        <f t="shared" si="7"/>
        <v>20</v>
      </c>
      <c r="L45" s="1" t="str">
        <f t="shared" si="7"/>
        <v>70</v>
      </c>
      <c r="M45" s="1" t="str">
        <f t="shared" si="7"/>
        <v>7F</v>
      </c>
      <c r="N45" s="1" t="str">
        <f t="shared" si="7"/>
        <v>38</v>
      </c>
      <c r="O45" s="1" t="str">
        <f t="shared" si="7"/>
        <v>18</v>
      </c>
      <c r="P45" s="1" t="str">
        <f t="shared" si="7"/>
        <v>18</v>
      </c>
      <c r="Q45" s="1" t="str">
        <f t="shared" si="7"/>
        <v>72</v>
      </c>
      <c r="R45" s="1" t="str">
        <f t="shared" si="7"/>
        <v>40</v>
      </c>
      <c r="S45" s="1"/>
      <c r="T45" s="1">
        <f t="shared" si="5"/>
        <v>16</v>
      </c>
    </row>
    <row r="46" spans="1:20" x14ac:dyDescent="0.3">
      <c r="A46" s="39" t="s">
        <v>68</v>
      </c>
      <c r="B46" s="5" t="str">
        <f t="shared" si="6"/>
        <v>AF80</v>
      </c>
      <c r="C46" s="18" t="str">
        <f t="shared" si="8"/>
        <v>60</v>
      </c>
      <c r="D46" s="1" t="str">
        <f t="shared" si="7"/>
        <v>60</v>
      </c>
      <c r="E46" s="1" t="str">
        <f t="shared" si="7"/>
        <v>38</v>
      </c>
      <c r="F46" s="1" t="str">
        <f t="shared" si="7"/>
        <v>7C</v>
      </c>
      <c r="G46" s="1" t="str">
        <f t="shared" si="7"/>
        <v>7E</v>
      </c>
      <c r="H46" s="1" t="str">
        <f t="shared" si="7"/>
        <v>76</v>
      </c>
      <c r="I46" s="1" t="str">
        <f t="shared" si="7"/>
        <v>38</v>
      </c>
      <c r="J46" s="1" t="str">
        <f t="shared" si="7"/>
        <v>70</v>
      </c>
      <c r="K46" s="1" t="str">
        <f t="shared" si="7"/>
        <v>3C</v>
      </c>
      <c r="L46" s="1" t="str">
        <f t="shared" si="7"/>
        <v>70</v>
      </c>
      <c r="M46" s="1" t="str">
        <f t="shared" si="7"/>
        <v>3B</v>
      </c>
      <c r="N46" s="1" t="str">
        <f t="shared" si="7"/>
        <v>00</v>
      </c>
      <c r="O46" s="1" t="str">
        <f t="shared" si="7"/>
        <v>10</v>
      </c>
      <c r="P46" s="1" t="str">
        <f t="shared" si="7"/>
        <v>00</v>
      </c>
      <c r="Q46" s="1" t="str">
        <f t="shared" si="7"/>
        <v>10</v>
      </c>
      <c r="R46" s="1" t="str">
        <f t="shared" si="7"/>
        <v>15</v>
      </c>
      <c r="S46" s="1"/>
      <c r="T46" s="1">
        <f t="shared" si="5"/>
        <v>16</v>
      </c>
    </row>
    <row r="47" spans="1:20" x14ac:dyDescent="0.3">
      <c r="A47" s="39" t="s">
        <v>69</v>
      </c>
      <c r="B47" s="5" t="str">
        <f t="shared" si="6"/>
        <v>AF90</v>
      </c>
      <c r="C47" s="18" t="str">
        <f t="shared" si="8"/>
        <v>15</v>
      </c>
      <c r="D47" s="1" t="str">
        <f t="shared" si="7"/>
        <v>29</v>
      </c>
      <c r="E47" s="1" t="str">
        <f t="shared" si="7"/>
        <v>20</v>
      </c>
      <c r="F47" s="1" t="str">
        <f t="shared" si="7"/>
        <v>00</v>
      </c>
      <c r="G47" s="1" t="str">
        <f t="shared" si="7"/>
        <v>00</v>
      </c>
      <c r="H47" s="1" t="str">
        <f t="shared" si="7"/>
        <v>18</v>
      </c>
      <c r="I47" s="1" t="str">
        <f t="shared" si="7"/>
        <v>00</v>
      </c>
      <c r="J47" s="1" t="str">
        <f t="shared" si="7"/>
        <v>10</v>
      </c>
      <c r="K47" s="1" t="str">
        <f t="shared" si="7"/>
        <v>20</v>
      </c>
      <c r="L47" s="1" t="str">
        <f t="shared" si="7"/>
        <v>20</v>
      </c>
      <c r="M47" s="1" t="str">
        <f t="shared" si="7"/>
        <v>20</v>
      </c>
      <c r="N47" s="1" t="str">
        <f t="shared" si="7"/>
        <v>20</v>
      </c>
      <c r="O47" s="1" t="str">
        <f t="shared" si="7"/>
        <v>20</v>
      </c>
      <c r="P47" s="1" t="str">
        <f t="shared" si="7"/>
        <v>22</v>
      </c>
      <c r="Q47" s="1" t="str">
        <f t="shared" si="7"/>
        <v>28</v>
      </c>
      <c r="R47" s="1" t="str">
        <f t="shared" si="7"/>
        <v>20</v>
      </c>
      <c r="S47" s="1"/>
      <c r="T47" s="1">
        <f t="shared" si="5"/>
        <v>16</v>
      </c>
    </row>
    <row r="48" spans="1:20" x14ac:dyDescent="0.3">
      <c r="A48" s="39" t="s">
        <v>70</v>
      </c>
      <c r="B48" s="5" t="str">
        <f t="shared" si="6"/>
        <v>AFA0</v>
      </c>
      <c r="C48" s="18" t="str">
        <f t="shared" si="8"/>
        <v>0A</v>
      </c>
      <c r="D48" s="1" t="str">
        <f t="shared" si="7"/>
        <v>28</v>
      </c>
      <c r="E48" s="1" t="str">
        <f t="shared" si="7"/>
        <v>08</v>
      </c>
      <c r="F48" s="1" t="str">
        <f t="shared" si="7"/>
        <v>22</v>
      </c>
      <c r="G48" s="1" t="str">
        <f t="shared" si="7"/>
        <v>28</v>
      </c>
      <c r="H48" s="1" t="str">
        <f t="shared" si="7"/>
        <v>28</v>
      </c>
      <c r="I48" s="1" t="str">
        <f t="shared" si="7"/>
        <v>28</v>
      </c>
      <c r="J48" s="1" t="str">
        <f t="shared" si="7"/>
        <v>00</v>
      </c>
      <c r="K48" s="1" t="str">
        <f t="shared" si="7"/>
        <v>00</v>
      </c>
      <c r="L48" s="1" t="str">
        <f t="shared" si="7"/>
        <v>00</v>
      </c>
      <c r="M48" s="1" t="str">
        <f t="shared" si="7"/>
        <v>00</v>
      </c>
      <c r="N48" s="1" t="str">
        <f t="shared" si="7"/>
        <v>2A</v>
      </c>
      <c r="O48" s="1" t="str">
        <f t="shared" si="7"/>
        <v>28</v>
      </c>
      <c r="P48" s="1" t="str">
        <f t="shared" si="7"/>
        <v>2A</v>
      </c>
      <c r="Q48" s="1" t="str">
        <f t="shared" si="7"/>
        <v>2A</v>
      </c>
      <c r="R48" s="1" t="str">
        <f t="shared" si="7"/>
        <v>0A</v>
      </c>
      <c r="S48" s="1"/>
      <c r="T48" s="1">
        <f t="shared" si="5"/>
        <v>16</v>
      </c>
    </row>
    <row r="49" spans="1:20" x14ac:dyDescent="0.3">
      <c r="A49" s="39" t="s">
        <v>71</v>
      </c>
      <c r="B49" s="5" t="str">
        <f t="shared" si="6"/>
        <v>AFB0</v>
      </c>
      <c r="C49" s="18" t="str">
        <f t="shared" si="8"/>
        <v>2A</v>
      </c>
      <c r="D49" s="1" t="str">
        <f t="shared" si="7"/>
        <v>2A</v>
      </c>
      <c r="E49" s="1" t="str">
        <f t="shared" si="7"/>
        <v>2A</v>
      </c>
      <c r="F49" s="1" t="str">
        <f t="shared" si="7"/>
        <v>28</v>
      </c>
      <c r="G49" s="1" t="str">
        <f t="shared" si="7"/>
        <v>2A</v>
      </c>
      <c r="H49" s="1" t="str">
        <f t="shared" si="7"/>
        <v>54</v>
      </c>
      <c r="I49" s="1" t="str">
        <f t="shared" si="7"/>
        <v>15</v>
      </c>
      <c r="J49" s="1" t="str">
        <f t="shared" si="7"/>
        <v>55</v>
      </c>
      <c r="K49" s="1" t="str">
        <f t="shared" si="7"/>
        <v>15</v>
      </c>
      <c r="L49" s="1" t="str">
        <f t="shared" si="7"/>
        <v>55</v>
      </c>
      <c r="M49" s="1" t="str">
        <f t="shared" si="7"/>
        <v>55</v>
      </c>
      <c r="N49" s="1" t="str">
        <f t="shared" si="7"/>
        <v>55</v>
      </c>
      <c r="O49" s="1" t="str">
        <f t="shared" si="7"/>
        <v>41</v>
      </c>
      <c r="P49" s="1" t="str">
        <f t="shared" si="7"/>
        <v>04</v>
      </c>
      <c r="Q49" s="1" t="str">
        <f t="shared" si="7"/>
        <v>10</v>
      </c>
      <c r="R49" s="1" t="str">
        <f t="shared" si="7"/>
        <v>41</v>
      </c>
      <c r="S49" s="1"/>
      <c r="T49" s="1">
        <f t="shared" si="5"/>
        <v>16</v>
      </c>
    </row>
    <row r="50" spans="1:20" x14ac:dyDescent="0.3">
      <c r="A50" s="39" t="s">
        <v>72</v>
      </c>
      <c r="B50" s="5" t="str">
        <f t="shared" si="6"/>
        <v>AFC0</v>
      </c>
      <c r="C50" s="18" t="str">
        <f t="shared" si="8"/>
        <v>01</v>
      </c>
      <c r="D50" s="1" t="str">
        <f t="shared" si="8"/>
        <v>41</v>
      </c>
      <c r="E50" s="1" t="str">
        <f t="shared" si="8"/>
        <v>41</v>
      </c>
      <c r="F50" s="1" t="str">
        <f t="shared" si="8"/>
        <v>55</v>
      </c>
      <c r="G50" s="1" t="str">
        <f t="shared" si="8"/>
        <v>55</v>
      </c>
      <c r="H50" s="1" t="str">
        <f t="shared" si="8"/>
        <v>55</v>
      </c>
      <c r="I50" s="1" t="str">
        <f t="shared" si="8"/>
        <v>55</v>
      </c>
      <c r="J50" s="1" t="str">
        <f t="shared" si="8"/>
        <v>55</v>
      </c>
      <c r="K50" s="1" t="str">
        <f t="shared" si="8"/>
        <v>55</v>
      </c>
      <c r="L50" s="1" t="str">
        <f t="shared" si="8"/>
        <v>41</v>
      </c>
      <c r="M50" s="1" t="str">
        <f t="shared" si="8"/>
        <v>45</v>
      </c>
      <c r="N50" s="1" t="str">
        <f t="shared" si="8"/>
        <v>41</v>
      </c>
      <c r="O50" s="1" t="str">
        <f t="shared" si="8"/>
        <v>41</v>
      </c>
      <c r="P50" s="1" t="str">
        <f t="shared" si="8"/>
        <v>51</v>
      </c>
      <c r="Q50" s="1" t="str">
        <f t="shared" si="8"/>
        <v>55</v>
      </c>
      <c r="R50" s="1" t="str">
        <f t="shared" si="8"/>
        <v>01</v>
      </c>
      <c r="S50" s="1"/>
      <c r="T50" s="1">
        <f t="shared" si="5"/>
        <v>16</v>
      </c>
    </row>
    <row r="51" spans="1:20" x14ac:dyDescent="0.3">
      <c r="A51" s="39" t="s">
        <v>73</v>
      </c>
      <c r="B51" s="5" t="str">
        <f t="shared" si="6"/>
        <v>AFD0</v>
      </c>
      <c r="C51" s="18" t="str">
        <f t="shared" si="8"/>
        <v>00</v>
      </c>
      <c r="D51" s="1" t="str">
        <f t="shared" si="8"/>
        <v>14</v>
      </c>
      <c r="E51" s="1" t="str">
        <f t="shared" si="8"/>
        <v>14</v>
      </c>
      <c r="F51" s="1" t="str">
        <f t="shared" si="8"/>
        <v>40</v>
      </c>
      <c r="G51" s="1" t="str">
        <f t="shared" si="8"/>
        <v>00</v>
      </c>
      <c r="H51" s="1" t="str">
        <f t="shared" si="8"/>
        <v>40</v>
      </c>
      <c r="I51" s="1" t="str">
        <f t="shared" si="8"/>
        <v>00</v>
      </c>
      <c r="J51" s="1" t="str">
        <f t="shared" si="8"/>
        <v>00</v>
      </c>
      <c r="K51" s="1" t="str">
        <f t="shared" si="8"/>
        <v/>
      </c>
      <c r="L51" s="1" t="str">
        <f t="shared" si="8"/>
        <v/>
      </c>
      <c r="M51" s="1" t="str">
        <f t="shared" si="8"/>
        <v/>
      </c>
      <c r="N51" s="1" t="str">
        <f t="shared" si="8"/>
        <v/>
      </c>
      <c r="O51" s="1" t="str">
        <f t="shared" si="8"/>
        <v/>
      </c>
      <c r="P51" s="1" t="str">
        <f t="shared" si="8"/>
        <v/>
      </c>
      <c r="Q51" s="1" t="str">
        <f t="shared" si="8"/>
        <v/>
      </c>
      <c r="R51" s="1" t="str">
        <f t="shared" si="8"/>
        <v/>
      </c>
      <c r="S51" s="1"/>
      <c r="T51" s="1">
        <f t="shared" si="5"/>
        <v>8</v>
      </c>
    </row>
    <row r="52" spans="1:20" x14ac:dyDescent="0.3">
      <c r="A52" s="39" t="s">
        <v>74</v>
      </c>
      <c r="B52" s="5" t="str">
        <f t="shared" si="6"/>
        <v>AFD8</v>
      </c>
      <c r="C52" s="18" t="str">
        <f t="shared" si="8"/>
        <v>00</v>
      </c>
      <c r="D52" s="1" t="str">
        <f t="shared" si="8"/>
        <v>02</v>
      </c>
      <c r="E52" s="1" t="str">
        <f t="shared" si="8"/>
        <v>02</v>
      </c>
      <c r="F52" s="1" t="str">
        <f t="shared" si="8"/>
        <v>03</v>
      </c>
      <c r="G52" s="1" t="str">
        <f t="shared" si="8"/>
        <v>00</v>
      </c>
      <c r="H52" s="1" t="str">
        <f t="shared" si="8"/>
        <v>01</v>
      </c>
      <c r="I52" s="1" t="str">
        <f t="shared" si="8"/>
        <v>03</v>
      </c>
      <c r="J52" s="1" t="str">
        <f t="shared" si="8"/>
        <v>00</v>
      </c>
      <c r="K52" s="1" t="str">
        <f t="shared" si="8"/>
        <v>00</v>
      </c>
      <c r="L52" s="1" t="str">
        <f t="shared" si="8"/>
        <v>00</v>
      </c>
      <c r="M52" s="1" t="str">
        <f t="shared" si="8"/>
        <v>07</v>
      </c>
      <c r="N52" s="1" t="str">
        <f t="shared" si="8"/>
        <v>00</v>
      </c>
      <c r="O52" s="1" t="str">
        <f t="shared" si="8"/>
        <v>00</v>
      </c>
      <c r="P52" s="1" t="str">
        <f t="shared" si="8"/>
        <v>00</v>
      </c>
      <c r="Q52" s="1" t="str">
        <f t="shared" si="8"/>
        <v>00</v>
      </c>
      <c r="R52" s="1" t="str">
        <f t="shared" si="8"/>
        <v>01</v>
      </c>
      <c r="S52" s="1"/>
      <c r="T52" s="1">
        <f t="shared" si="5"/>
        <v>16</v>
      </c>
    </row>
    <row r="53" spans="1:20" x14ac:dyDescent="0.3">
      <c r="A53" s="39" t="s">
        <v>75</v>
      </c>
      <c r="B53" s="5" t="str">
        <f t="shared" si="6"/>
        <v>AFE8</v>
      </c>
      <c r="C53" s="18" t="str">
        <f t="shared" si="8"/>
        <v>00</v>
      </c>
      <c r="D53" s="1" t="str">
        <f t="shared" si="8"/>
        <v>00</v>
      </c>
      <c r="E53" s="1" t="str">
        <f t="shared" si="8"/>
        <v>02</v>
      </c>
      <c r="F53" s="1" t="str">
        <f t="shared" si="8"/>
        <v>03</v>
      </c>
      <c r="G53" s="1" t="str">
        <f t="shared" si="8"/>
        <v>01</v>
      </c>
      <c r="H53" s="1" t="str">
        <f t="shared" si="8"/>
        <v>01</v>
      </c>
      <c r="I53" s="1" t="str">
        <f t="shared" si="8"/>
        <v>00</v>
      </c>
      <c r="J53" s="1" t="str">
        <f t="shared" si="8"/>
        <v>06</v>
      </c>
      <c r="K53" s="1" t="str">
        <f t="shared" si="8"/>
        <v>03</v>
      </c>
      <c r="L53" s="1" t="str">
        <f t="shared" si="8"/>
        <v>00</v>
      </c>
      <c r="M53" s="1" t="str">
        <f t="shared" si="8"/>
        <v>00</v>
      </c>
      <c r="N53" s="1" t="str">
        <f t="shared" si="8"/>
        <v>00</v>
      </c>
      <c r="O53" s="1" t="str">
        <f t="shared" si="8"/>
        <v>00</v>
      </c>
      <c r="P53" s="1" t="str">
        <f t="shared" si="8"/>
        <v>00</v>
      </c>
      <c r="Q53" s="1" t="str">
        <f t="shared" si="8"/>
        <v>00</v>
      </c>
      <c r="R53" s="1" t="str">
        <f t="shared" si="8"/>
        <v>02</v>
      </c>
      <c r="S53" s="1"/>
      <c r="T53" s="1">
        <f t="shared" si="5"/>
        <v>16</v>
      </c>
    </row>
    <row r="54" spans="1:20" x14ac:dyDescent="0.3">
      <c r="A54" s="39" t="s">
        <v>76</v>
      </c>
      <c r="B54" s="5" t="str">
        <f t="shared" si="6"/>
        <v>AFF8</v>
      </c>
      <c r="C54" s="18" t="str">
        <f t="shared" si="8"/>
        <v>02</v>
      </c>
      <c r="D54" s="1" t="str">
        <f t="shared" si="8"/>
        <v>02</v>
      </c>
      <c r="E54" s="1" t="str">
        <f t="shared" si="8"/>
        <v>00</v>
      </c>
      <c r="F54" s="1" t="str">
        <f t="shared" si="8"/>
        <v>00</v>
      </c>
      <c r="G54" s="1" t="str">
        <f t="shared" si="8"/>
        <v>00</v>
      </c>
      <c r="H54" s="1" t="str">
        <f t="shared" si="8"/>
        <v>00</v>
      </c>
      <c r="I54" s="1" t="str">
        <f t="shared" si="8"/>
        <v>00</v>
      </c>
      <c r="J54" s="1" t="str">
        <f t="shared" si="8"/>
        <v>00</v>
      </c>
      <c r="K54" s="1" t="str">
        <f t="shared" si="8"/>
        <v>00</v>
      </c>
      <c r="L54" s="1" t="str">
        <f t="shared" si="8"/>
        <v>00</v>
      </c>
      <c r="M54" s="1" t="str">
        <f t="shared" si="8"/>
        <v>00</v>
      </c>
      <c r="N54" s="1" t="str">
        <f t="shared" si="8"/>
        <v>00</v>
      </c>
      <c r="O54" s="1" t="str">
        <f t="shared" si="8"/>
        <v>00</v>
      </c>
      <c r="P54" s="1" t="str">
        <f t="shared" si="8"/>
        <v>01</v>
      </c>
      <c r="Q54" s="1" t="str">
        <f t="shared" si="8"/>
        <v>00</v>
      </c>
      <c r="R54" s="1" t="str">
        <f t="shared" si="8"/>
        <v>04</v>
      </c>
      <c r="S54" s="1"/>
      <c r="T54" s="1">
        <f t="shared" si="5"/>
        <v>16</v>
      </c>
    </row>
    <row r="55" spans="1:20" x14ac:dyDescent="0.3">
      <c r="A55" s="39" t="s">
        <v>77</v>
      </c>
      <c r="B55" s="5" t="str">
        <f t="shared" si="6"/>
        <v>B008</v>
      </c>
      <c r="C55" s="18" t="str">
        <f t="shared" si="8"/>
        <v>01</v>
      </c>
      <c r="D55" s="1" t="str">
        <f t="shared" si="8"/>
        <v>00</v>
      </c>
      <c r="E55" s="1" t="str">
        <f t="shared" si="8"/>
        <v>00</v>
      </c>
      <c r="F55" s="1" t="str">
        <f t="shared" si="8"/>
        <v>00</v>
      </c>
      <c r="G55" s="1" t="str">
        <f t="shared" si="8"/>
        <v>02</v>
      </c>
      <c r="H55" s="1" t="str">
        <f t="shared" si="8"/>
        <v>01</v>
      </c>
      <c r="I55" s="1" t="str">
        <f t="shared" si="8"/>
        <v>01</v>
      </c>
      <c r="J55" s="1" t="str">
        <f t="shared" si="8"/>
        <v>00</v>
      </c>
      <c r="K55" s="1" t="str">
        <f t="shared" si="8"/>
        <v>00</v>
      </c>
      <c r="L55" s="1" t="str">
        <f t="shared" si="8"/>
        <v>00</v>
      </c>
      <c r="M55" s="1" t="str">
        <f t="shared" si="8"/>
        <v>00</v>
      </c>
      <c r="N55" s="1" t="str">
        <f t="shared" si="8"/>
        <v>01</v>
      </c>
      <c r="O55" s="1" t="str">
        <f t="shared" si="8"/>
        <v>00</v>
      </c>
      <c r="P55" s="1" t="str">
        <f t="shared" si="8"/>
        <v>01</v>
      </c>
      <c r="Q55" s="1" t="str">
        <f t="shared" si="8"/>
        <v>01</v>
      </c>
      <c r="R55" s="1" t="str">
        <f t="shared" si="8"/>
        <v>01</v>
      </c>
      <c r="S55" s="1"/>
      <c r="T55" s="1">
        <f t="shared" si="5"/>
        <v>16</v>
      </c>
    </row>
    <row r="56" spans="1:20" x14ac:dyDescent="0.3">
      <c r="A56" s="39" t="s">
        <v>78</v>
      </c>
      <c r="B56" s="5" t="str">
        <f t="shared" si="6"/>
        <v>B018</v>
      </c>
      <c r="C56" s="18" t="str">
        <f t="shared" si="8"/>
        <v>01</v>
      </c>
      <c r="D56" s="1" t="str">
        <f t="shared" si="8"/>
        <v>01</v>
      </c>
      <c r="E56" s="1" t="str">
        <f t="shared" si="8"/>
        <v>01</v>
      </c>
      <c r="F56" s="1" t="str">
        <f t="shared" si="8"/>
        <v>01</v>
      </c>
      <c r="G56" s="1" t="str">
        <f t="shared" si="8"/>
        <v>01</v>
      </c>
      <c r="H56" s="1" t="str">
        <f t="shared" si="8"/>
        <v>00</v>
      </c>
      <c r="I56" s="1" t="str">
        <f t="shared" si="8"/>
        <v>00</v>
      </c>
      <c r="J56" s="1" t="str">
        <f t="shared" si="8"/>
        <v>00</v>
      </c>
      <c r="K56" s="1" t="str">
        <f t="shared" si="8"/>
        <v>00</v>
      </c>
      <c r="L56" s="1" t="str">
        <f t="shared" si="8"/>
        <v>00</v>
      </c>
      <c r="M56" s="1" t="str">
        <f t="shared" si="8"/>
        <v>00</v>
      </c>
      <c r="N56" s="1" t="str">
        <f t="shared" si="8"/>
        <v>00</v>
      </c>
      <c r="O56" s="1" t="str">
        <f t="shared" si="8"/>
        <v>00</v>
      </c>
      <c r="P56" s="1" t="str">
        <f t="shared" si="8"/>
        <v>00</v>
      </c>
      <c r="Q56" s="1" t="str">
        <f t="shared" si="8"/>
        <v>00</v>
      </c>
      <c r="R56" s="1" t="str">
        <f t="shared" si="8"/>
        <v>00</v>
      </c>
      <c r="S56" s="1"/>
      <c r="T56" s="1">
        <f t="shared" si="5"/>
        <v>16</v>
      </c>
    </row>
    <row r="57" spans="1:20" x14ac:dyDescent="0.3">
      <c r="A57" s="39" t="s">
        <v>41</v>
      </c>
      <c r="B57" s="5" t="str">
        <f t="shared" si="6"/>
        <v>B028</v>
      </c>
      <c r="C57" s="18" t="str">
        <f t="shared" si="8"/>
        <v>00</v>
      </c>
      <c r="D57" s="1" t="str">
        <f t="shared" si="8"/>
        <v>00</v>
      </c>
      <c r="E57" s="1" t="str">
        <f t="shared" si="8"/>
        <v>00</v>
      </c>
      <c r="F57" s="1" t="str">
        <f t="shared" si="8"/>
        <v>00</v>
      </c>
      <c r="G57" s="1" t="str">
        <f t="shared" si="8"/>
        <v>00</v>
      </c>
      <c r="H57" s="1" t="str">
        <f t="shared" si="8"/>
        <v>00</v>
      </c>
      <c r="I57" s="1" t="str">
        <f t="shared" si="8"/>
        <v>00</v>
      </c>
      <c r="J57" s="1" t="str">
        <f t="shared" si="8"/>
        <v>00</v>
      </c>
      <c r="K57" s="1" t="str">
        <f t="shared" si="8"/>
        <v>00</v>
      </c>
      <c r="L57" s="1" t="str">
        <f t="shared" si="8"/>
        <v>00</v>
      </c>
      <c r="M57" s="1" t="str">
        <f t="shared" si="8"/>
        <v>00</v>
      </c>
      <c r="N57" s="1" t="str">
        <f t="shared" si="8"/>
        <v>00</v>
      </c>
      <c r="O57" s="1" t="str">
        <f t="shared" si="8"/>
        <v>00</v>
      </c>
      <c r="P57" s="1" t="str">
        <f t="shared" si="8"/>
        <v>00</v>
      </c>
      <c r="Q57" s="1" t="str">
        <f t="shared" si="8"/>
        <v>00</v>
      </c>
      <c r="R57" s="1" t="str">
        <f t="shared" si="8"/>
        <v>00</v>
      </c>
      <c r="S57" s="1"/>
      <c r="T57" s="1">
        <f t="shared" si="5"/>
        <v>16</v>
      </c>
    </row>
    <row r="58" spans="1:20" x14ac:dyDescent="0.3">
      <c r="A58" s="39" t="s">
        <v>79</v>
      </c>
      <c r="B58" s="5" t="str">
        <f t="shared" si="6"/>
        <v>B038</v>
      </c>
      <c r="C58" s="18" t="str">
        <f t="shared" si="8"/>
        <v>00</v>
      </c>
      <c r="D58" s="1" t="str">
        <f t="shared" si="8"/>
        <v>00</v>
      </c>
      <c r="E58" s="1" t="str">
        <f t="shared" si="8"/>
        <v>00</v>
      </c>
      <c r="F58" s="1" t="str">
        <f t="shared" si="8"/>
        <v>00</v>
      </c>
      <c r="G58" s="1" t="str">
        <f t="shared" si="8"/>
        <v>00</v>
      </c>
      <c r="H58" s="1" t="str">
        <f t="shared" si="8"/>
        <v>00</v>
      </c>
      <c r="I58" s="1" t="str">
        <f t="shared" si="8"/>
        <v>00</v>
      </c>
      <c r="J58" s="1" t="str">
        <f t="shared" si="8"/>
        <v>00</v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/>
      <c r="T58" s="1">
        <f t="shared" si="5"/>
        <v>8</v>
      </c>
    </row>
    <row r="59" spans="1:20" x14ac:dyDescent="0.3">
      <c r="A59" s="39" t="s">
        <v>80</v>
      </c>
      <c r="B59" s="5" t="str">
        <f t="shared" si="6"/>
        <v>B040</v>
      </c>
      <c r="C59" s="18" t="str">
        <f t="shared" si="8"/>
        <v>00</v>
      </c>
      <c r="D59" s="1" t="str">
        <f t="shared" si="8"/>
        <v>00</v>
      </c>
      <c r="E59" s="1" t="str">
        <f t="shared" si="8"/>
        <v>55</v>
      </c>
      <c r="F59" s="1" t="str">
        <f t="shared" si="8"/>
        <v>06</v>
      </c>
      <c r="G59" s="1" t="str">
        <f t="shared" si="8"/>
        <v>00</v>
      </c>
      <c r="H59" s="1" t="str">
        <f t="shared" si="8"/>
        <v>30</v>
      </c>
      <c r="I59" s="1" t="str">
        <f t="shared" si="8"/>
        <v>00</v>
      </c>
      <c r="J59" s="1" t="str">
        <f t="shared" si="8"/>
        <v>00</v>
      </c>
      <c r="K59" s="1" t="str">
        <f t="shared" si="8"/>
        <v>28</v>
      </c>
      <c r="L59" s="1" t="str">
        <f t="shared" si="8"/>
        <v>6C</v>
      </c>
      <c r="M59" s="1" t="str">
        <f t="shared" si="8"/>
        <v>7F</v>
      </c>
      <c r="N59" s="1" t="str">
        <f t="shared" si="8"/>
        <v>5C</v>
      </c>
      <c r="O59" s="1" t="str">
        <f t="shared" si="8"/>
        <v>38</v>
      </c>
      <c r="P59" s="1" t="str">
        <f t="shared" si="8"/>
        <v>7A</v>
      </c>
      <c r="Q59" s="1" t="str">
        <f t="shared" si="8"/>
        <v>7E</v>
      </c>
      <c r="R59" s="1" t="str">
        <f t="shared" si="8"/>
        <v>70</v>
      </c>
      <c r="S59" s="1"/>
      <c r="T59" s="1">
        <f t="shared" si="5"/>
        <v>16</v>
      </c>
    </row>
    <row r="60" spans="1:20" x14ac:dyDescent="0.3">
      <c r="A60" s="39" t="s">
        <v>81</v>
      </c>
      <c r="B60" s="5" t="str">
        <f t="shared" si="6"/>
        <v>B050</v>
      </c>
      <c r="C60" s="18" t="str">
        <f t="shared" si="8"/>
        <v>70</v>
      </c>
      <c r="D60" s="1" t="str">
        <f t="shared" si="8"/>
        <v>78</v>
      </c>
      <c r="E60" s="1" t="str">
        <f t="shared" si="8"/>
        <v>78</v>
      </c>
      <c r="F60" s="1" t="str">
        <f t="shared" si="8"/>
        <v>60</v>
      </c>
      <c r="G60" s="1" t="str">
        <f t="shared" si="8"/>
        <v>18</v>
      </c>
      <c r="H60" s="1" t="str">
        <f t="shared" si="8"/>
        <v>3C</v>
      </c>
      <c r="I60" s="1" t="str">
        <f t="shared" si="8"/>
        <v>1E</v>
      </c>
      <c r="J60" s="1" t="str">
        <f t="shared" si="8"/>
        <v>60</v>
      </c>
      <c r="K60" s="1" t="str">
        <f t="shared" si="8"/>
        <v>70</v>
      </c>
      <c r="L60" s="1" t="str">
        <f t="shared" si="8"/>
        <v>60</v>
      </c>
      <c r="M60" s="1" t="str">
        <f t="shared" si="8"/>
        <v>1E</v>
      </c>
      <c r="N60" s="1" t="str">
        <f t="shared" si="8"/>
        <v>00</v>
      </c>
      <c r="O60" s="1" t="str">
        <f t="shared" si="8"/>
        <v>00</v>
      </c>
      <c r="P60" s="1" t="str">
        <f t="shared" si="8"/>
        <v>00</v>
      </c>
      <c r="Q60" s="1" t="str">
        <f t="shared" si="8"/>
        <v>00</v>
      </c>
      <c r="R60" s="1" t="str">
        <f t="shared" si="8"/>
        <v>00</v>
      </c>
      <c r="S60" s="1"/>
      <c r="T60" s="1">
        <f t="shared" si="5"/>
        <v>16</v>
      </c>
    </row>
    <row r="61" spans="1:20" x14ac:dyDescent="0.3">
      <c r="A61" s="39" t="s">
        <v>82</v>
      </c>
      <c r="B61" s="5" t="str">
        <f t="shared" si="6"/>
        <v>B060</v>
      </c>
      <c r="C61" s="18" t="str">
        <f t="shared" si="8"/>
        <v>00</v>
      </c>
      <c r="D61" s="1" t="str">
        <f t="shared" si="8"/>
        <v>00</v>
      </c>
      <c r="E61" s="1" t="str">
        <f t="shared" si="8"/>
        <v>28</v>
      </c>
      <c r="F61" s="1" t="str">
        <f t="shared" si="8"/>
        <v>00</v>
      </c>
      <c r="G61" s="1" t="str">
        <f t="shared" si="8"/>
        <v>00</v>
      </c>
      <c r="H61" s="1" t="str">
        <f t="shared" si="8"/>
        <v>7E</v>
      </c>
      <c r="I61" s="1" t="str">
        <f t="shared" si="8"/>
        <v>00</v>
      </c>
      <c r="J61" s="1" t="str">
        <f t="shared" si="8"/>
        <v>00</v>
      </c>
      <c r="K61" s="1" t="str">
        <f t="shared" si="8"/>
        <v>28</v>
      </c>
      <c r="L61" s="1" t="str">
        <f t="shared" si="8"/>
        <v>28</v>
      </c>
      <c r="M61" s="1" t="str">
        <f t="shared" si="8"/>
        <v>28</v>
      </c>
      <c r="N61" s="1" t="str">
        <f t="shared" si="8"/>
        <v>20</v>
      </c>
      <c r="O61" s="1" t="str">
        <f t="shared" si="8"/>
        <v>28</v>
      </c>
      <c r="P61" s="1" t="str">
        <f t="shared" si="8"/>
        <v>28</v>
      </c>
      <c r="Q61" s="1" t="str">
        <f t="shared" si="8"/>
        <v>0A</v>
      </c>
      <c r="R61" s="1" t="str">
        <f t="shared" si="8"/>
        <v>20</v>
      </c>
      <c r="S61" s="1"/>
      <c r="T61" s="1">
        <f t="shared" si="5"/>
        <v>16</v>
      </c>
    </row>
    <row r="62" spans="1:20" x14ac:dyDescent="0.3">
      <c r="A62" s="39" t="s">
        <v>83</v>
      </c>
      <c r="B62" s="5" t="str">
        <f t="shared" si="6"/>
        <v>B070</v>
      </c>
      <c r="C62" s="18" t="str">
        <f t="shared" si="8"/>
        <v>28</v>
      </c>
      <c r="D62" s="1" t="str">
        <f t="shared" si="8"/>
        <v>20</v>
      </c>
      <c r="E62" s="1" t="str">
        <f t="shared" si="8"/>
        <v>0A</v>
      </c>
      <c r="F62" s="1" t="str">
        <f t="shared" si="8"/>
        <v>2A</v>
      </c>
      <c r="G62" s="1" t="str">
        <f t="shared" si="8"/>
        <v>28</v>
      </c>
      <c r="H62" s="1" t="str">
        <f t="shared" si="8"/>
        <v>20</v>
      </c>
      <c r="I62" s="1" t="str">
        <f t="shared" si="8"/>
        <v>20</v>
      </c>
      <c r="J62" s="1" t="str">
        <f t="shared" si="8"/>
        <v>00</v>
      </c>
      <c r="K62" s="1" t="str">
        <f t="shared" si="8"/>
        <v>00</v>
      </c>
      <c r="L62" s="1" t="str">
        <f t="shared" si="8"/>
        <v>00</v>
      </c>
      <c r="M62" s="1" t="str">
        <f t="shared" si="8"/>
        <v>00</v>
      </c>
      <c r="N62" s="1" t="str">
        <f t="shared" si="8"/>
        <v>02</v>
      </c>
      <c r="O62" s="1" t="str">
        <f t="shared" si="8"/>
        <v>28</v>
      </c>
      <c r="P62" s="1" t="str">
        <f t="shared" si="8"/>
        <v>02</v>
      </c>
      <c r="Q62" s="1" t="str">
        <f t="shared" si="8"/>
        <v>02</v>
      </c>
      <c r="R62" s="1" t="str">
        <f t="shared" si="8"/>
        <v>0A</v>
      </c>
      <c r="S62" s="1"/>
      <c r="T62" s="1">
        <f t="shared" si="5"/>
        <v>16</v>
      </c>
    </row>
    <row r="63" spans="1:20" x14ac:dyDescent="0.3">
      <c r="A63" s="39" t="s">
        <v>84</v>
      </c>
      <c r="B63" s="5" t="str">
        <f t="shared" si="6"/>
        <v>B080</v>
      </c>
      <c r="C63" s="18" t="str">
        <f t="shared" si="8"/>
        <v>02</v>
      </c>
      <c r="D63" s="1" t="str">
        <f t="shared" si="8"/>
        <v>02</v>
      </c>
      <c r="E63" s="1" t="str">
        <f t="shared" si="8"/>
        <v>20</v>
      </c>
      <c r="F63" s="1" t="str">
        <f t="shared" si="8"/>
        <v>08</v>
      </c>
      <c r="G63" s="1" t="str">
        <f t="shared" si="8"/>
        <v>02</v>
      </c>
      <c r="H63" s="1" t="str">
        <f t="shared" si="8"/>
        <v>44</v>
      </c>
      <c r="I63" s="1" t="str">
        <f t="shared" si="8"/>
        <v>11</v>
      </c>
      <c r="J63" s="1" t="str">
        <f t="shared" si="8"/>
        <v>41</v>
      </c>
      <c r="K63" s="1" t="str">
        <f t="shared" si="8"/>
        <v>41</v>
      </c>
      <c r="L63" s="1" t="str">
        <f t="shared" si="8"/>
        <v>05</v>
      </c>
      <c r="M63" s="1" t="str">
        <f t="shared" si="8"/>
        <v>05</v>
      </c>
      <c r="N63" s="1" t="str">
        <f t="shared" si="8"/>
        <v>41</v>
      </c>
      <c r="O63" s="1" t="str">
        <f t="shared" si="8"/>
        <v>41</v>
      </c>
      <c r="P63" s="1" t="str">
        <f t="shared" si="8"/>
        <v>04</v>
      </c>
      <c r="Q63" s="1" t="str">
        <f t="shared" si="8"/>
        <v>10</v>
      </c>
      <c r="R63" s="1" t="str">
        <f t="shared" si="8"/>
        <v>51</v>
      </c>
      <c r="S63" s="1"/>
      <c r="T63" s="1">
        <f t="shared" si="5"/>
        <v>16</v>
      </c>
    </row>
    <row r="64" spans="1:20" x14ac:dyDescent="0.3">
      <c r="A64" s="39" t="s">
        <v>85</v>
      </c>
      <c r="B64" s="5" t="str">
        <f t="shared" si="6"/>
        <v>B090</v>
      </c>
      <c r="C64" s="18" t="str">
        <f t="shared" si="8"/>
        <v>01</v>
      </c>
      <c r="D64" s="1" t="str">
        <f t="shared" si="8"/>
        <v>45</v>
      </c>
      <c r="E64" s="1" t="str">
        <f t="shared" si="8"/>
        <v>41</v>
      </c>
      <c r="F64" s="1" t="str">
        <f t="shared" si="8"/>
        <v>51</v>
      </c>
      <c r="G64" s="1" t="str">
        <f t="shared" si="8"/>
        <v>41</v>
      </c>
      <c r="H64" s="1" t="str">
        <f t="shared" si="8"/>
        <v>51</v>
      </c>
      <c r="I64" s="1" t="str">
        <f t="shared" si="8"/>
        <v>41</v>
      </c>
      <c r="J64" s="1" t="str">
        <f t="shared" si="8"/>
        <v>41</v>
      </c>
      <c r="K64" s="1" t="str">
        <f t="shared" si="8"/>
        <v>04</v>
      </c>
      <c r="L64" s="1" t="str">
        <f t="shared" si="8"/>
        <v>41</v>
      </c>
      <c r="M64" s="1" t="str">
        <f t="shared" si="8"/>
        <v>45</v>
      </c>
      <c r="N64" s="1" t="str">
        <f t="shared" si="8"/>
        <v>41</v>
      </c>
      <c r="O64" s="1" t="str">
        <f t="shared" si="8"/>
        <v>41</v>
      </c>
      <c r="P64" s="1" t="str">
        <f t="shared" si="8"/>
        <v>51</v>
      </c>
      <c r="Q64" s="1" t="str">
        <f t="shared" si="8"/>
        <v>41</v>
      </c>
      <c r="R64" s="1" t="str">
        <f t="shared" ref="E64:R83" si="9">MID($A64,13+R$2*3,2)</f>
        <v>05</v>
      </c>
      <c r="S64" s="1"/>
      <c r="T64" s="1">
        <f t="shared" si="5"/>
        <v>16</v>
      </c>
    </row>
    <row r="65" spans="1:20" x14ac:dyDescent="0.3">
      <c r="A65" s="39" t="s">
        <v>86</v>
      </c>
      <c r="B65" s="5" t="str">
        <f t="shared" si="6"/>
        <v>B0A0</v>
      </c>
      <c r="C65" s="18" t="str">
        <f t="shared" ref="C65:D96" si="10">MID($A65,13+C$2*3,2)</f>
        <v>00</v>
      </c>
      <c r="D65" s="1" t="str">
        <f t="shared" si="10"/>
        <v>14</v>
      </c>
      <c r="E65" s="1" t="str">
        <f t="shared" si="9"/>
        <v>14</v>
      </c>
      <c r="F65" s="1" t="str">
        <f t="shared" si="9"/>
        <v>40</v>
      </c>
      <c r="G65" s="1" t="str">
        <f t="shared" si="9"/>
        <v>00</v>
      </c>
      <c r="H65" s="1" t="str">
        <f t="shared" si="9"/>
        <v>50</v>
      </c>
      <c r="I65" s="1" t="str">
        <f t="shared" si="9"/>
        <v>00</v>
      </c>
      <c r="J65" s="1" t="str">
        <f t="shared" si="9"/>
        <v>00</v>
      </c>
      <c r="K65" s="1" t="str">
        <f t="shared" si="9"/>
        <v/>
      </c>
      <c r="L65" s="1" t="str">
        <f t="shared" si="9"/>
        <v/>
      </c>
      <c r="M65" s="1" t="str">
        <f t="shared" si="9"/>
        <v/>
      </c>
      <c r="N65" s="1" t="str">
        <f t="shared" si="9"/>
        <v/>
      </c>
      <c r="O65" s="1" t="str">
        <f t="shared" si="9"/>
        <v/>
      </c>
      <c r="P65" s="1" t="str">
        <f t="shared" si="9"/>
        <v/>
      </c>
      <c r="Q65" s="1" t="str">
        <f t="shared" si="9"/>
        <v/>
      </c>
      <c r="R65" s="1" t="str">
        <f t="shared" si="9"/>
        <v/>
      </c>
      <c r="S65" s="1"/>
      <c r="T65" s="1">
        <f t="shared" si="5"/>
        <v>8</v>
      </c>
    </row>
    <row r="66" spans="1:20" x14ac:dyDescent="0.3">
      <c r="A66" s="39" t="s">
        <v>87</v>
      </c>
      <c r="B66" s="5" t="str">
        <f t="shared" si="6"/>
        <v>B0A8</v>
      </c>
      <c r="C66" s="18" t="str">
        <f t="shared" si="10"/>
        <v>00</v>
      </c>
      <c r="D66" s="1" t="str">
        <f t="shared" si="10"/>
        <v>00</v>
      </c>
      <c r="E66" s="1" t="str">
        <f t="shared" si="9"/>
        <v>02</v>
      </c>
      <c r="F66" s="1" t="str">
        <f t="shared" si="9"/>
        <v>03</v>
      </c>
      <c r="G66" s="1" t="str">
        <f t="shared" si="9"/>
        <v>00</v>
      </c>
      <c r="H66" s="1" t="str">
        <f t="shared" si="9"/>
        <v>00</v>
      </c>
      <c r="I66" s="1" t="str">
        <f t="shared" si="9"/>
        <v>03</v>
      </c>
      <c r="J66" s="1" t="str">
        <f t="shared" si="9"/>
        <v>00</v>
      </c>
      <c r="K66" s="1" t="str">
        <f t="shared" si="9"/>
        <v>01</v>
      </c>
      <c r="L66" s="1" t="str">
        <f t="shared" si="9"/>
        <v>01</v>
      </c>
      <c r="M66" s="1" t="str">
        <f t="shared" si="9"/>
        <v>07</v>
      </c>
      <c r="N66" s="1" t="str">
        <f t="shared" si="9"/>
        <v>01</v>
      </c>
      <c r="O66" s="1" t="str">
        <f t="shared" si="9"/>
        <v>00</v>
      </c>
      <c r="P66" s="1" t="str">
        <f t="shared" si="9"/>
        <v>00</v>
      </c>
      <c r="Q66" s="1" t="str">
        <f t="shared" si="9"/>
        <v>00</v>
      </c>
      <c r="R66" s="1" t="str">
        <f t="shared" si="9"/>
        <v>07</v>
      </c>
      <c r="S66" s="1"/>
      <c r="T66" s="1">
        <f t="shared" si="5"/>
        <v>16</v>
      </c>
    </row>
    <row r="67" spans="1:20" x14ac:dyDescent="0.3">
      <c r="A67" s="39" t="s">
        <v>88</v>
      </c>
      <c r="B67" s="5" t="str">
        <f t="shared" si="6"/>
        <v>B0B8</v>
      </c>
      <c r="C67" s="18" t="str">
        <f t="shared" si="10"/>
        <v>00</v>
      </c>
      <c r="D67" s="1" t="str">
        <f t="shared" si="10"/>
        <v>02</v>
      </c>
      <c r="E67" s="1" t="str">
        <f t="shared" si="9"/>
        <v>03</v>
      </c>
      <c r="F67" s="1" t="str">
        <f t="shared" si="9"/>
        <v>00</v>
      </c>
      <c r="G67" s="1" t="str">
        <f t="shared" si="9"/>
        <v>00</v>
      </c>
      <c r="H67" s="1" t="str">
        <f t="shared" si="9"/>
        <v>00</v>
      </c>
      <c r="I67" s="1" t="str">
        <f t="shared" si="9"/>
        <v>00</v>
      </c>
      <c r="J67" s="1" t="str">
        <f t="shared" si="9"/>
        <v>03</v>
      </c>
      <c r="K67" s="1" t="str">
        <f t="shared" si="9"/>
        <v>01</v>
      </c>
      <c r="L67" s="1" t="str">
        <f t="shared" si="9"/>
        <v>03</v>
      </c>
      <c r="M67" s="1" t="str">
        <f t="shared" si="9"/>
        <v>00</v>
      </c>
      <c r="N67" s="1" t="str">
        <f t="shared" si="9"/>
        <v>00</v>
      </c>
      <c r="O67" s="1" t="str">
        <f t="shared" si="9"/>
        <v>00</v>
      </c>
      <c r="P67" s="1" t="str">
        <f t="shared" si="9"/>
        <v>00</v>
      </c>
      <c r="Q67" s="1" t="str">
        <f t="shared" si="9"/>
        <v>00</v>
      </c>
      <c r="R67" s="1" t="str">
        <f t="shared" si="9"/>
        <v>00</v>
      </c>
      <c r="S67" s="1"/>
      <c r="T67" s="1">
        <f t="shared" si="5"/>
        <v>16</v>
      </c>
    </row>
    <row r="68" spans="1:20" x14ac:dyDescent="0.3">
      <c r="A68" s="39" t="s">
        <v>89</v>
      </c>
      <c r="B68" s="5" t="str">
        <f t="shared" si="6"/>
        <v>B0C8</v>
      </c>
      <c r="C68" s="18" t="str">
        <f t="shared" si="10"/>
        <v>00</v>
      </c>
      <c r="D68" s="1" t="str">
        <f t="shared" si="10"/>
        <v>00</v>
      </c>
      <c r="E68" s="1" t="str">
        <f t="shared" si="9"/>
        <v>00</v>
      </c>
      <c r="F68" s="1" t="str">
        <f t="shared" si="9"/>
        <v>00</v>
      </c>
      <c r="G68" s="1" t="str">
        <f t="shared" si="9"/>
        <v>00</v>
      </c>
      <c r="H68" s="1" t="str">
        <f t="shared" si="9"/>
        <v>00</v>
      </c>
      <c r="I68" s="1" t="str">
        <f t="shared" si="9"/>
        <v>00</v>
      </c>
      <c r="J68" s="1" t="str">
        <f t="shared" si="9"/>
        <v>00</v>
      </c>
      <c r="K68" s="1" t="str">
        <f t="shared" si="9"/>
        <v>01</v>
      </c>
      <c r="L68" s="1" t="str">
        <f t="shared" si="9"/>
        <v>00</v>
      </c>
      <c r="M68" s="1" t="str">
        <f t="shared" si="9"/>
        <v>01</v>
      </c>
      <c r="N68" s="1" t="str">
        <f t="shared" si="9"/>
        <v>01</v>
      </c>
      <c r="O68" s="1" t="str">
        <f t="shared" si="9"/>
        <v>01</v>
      </c>
      <c r="P68" s="1" t="str">
        <f t="shared" si="9"/>
        <v>00</v>
      </c>
      <c r="Q68" s="1" t="str">
        <f t="shared" si="9"/>
        <v>00</v>
      </c>
      <c r="R68" s="1" t="str">
        <f t="shared" si="9"/>
        <v>01</v>
      </c>
      <c r="S68" s="1"/>
      <c r="T68" s="1">
        <f t="shared" ref="T68:T131" si="11">LEN(_xlfn.CONCAT(C68:R68))/2</f>
        <v>16</v>
      </c>
    </row>
    <row r="69" spans="1:20" x14ac:dyDescent="0.3">
      <c r="A69" s="39" t="s">
        <v>90</v>
      </c>
      <c r="B69" s="5" t="str">
        <f t="shared" ref="B69:B132" si="12">DEC2HEX(HEX2DEC(B68)+$T68)</f>
        <v>B0D8</v>
      </c>
      <c r="C69" s="18" t="str">
        <f t="shared" si="10"/>
        <v>00</v>
      </c>
      <c r="D69" s="1" t="str">
        <f t="shared" si="10"/>
        <v>01</v>
      </c>
      <c r="E69" s="1" t="str">
        <f t="shared" si="9"/>
        <v>00</v>
      </c>
      <c r="F69" s="1" t="str">
        <f t="shared" si="9"/>
        <v>00</v>
      </c>
      <c r="G69" s="1" t="str">
        <f t="shared" si="9"/>
        <v>03</v>
      </c>
      <c r="H69" s="1" t="str">
        <f t="shared" si="9"/>
        <v>00</v>
      </c>
      <c r="I69" s="1" t="str">
        <f t="shared" si="9"/>
        <v>00</v>
      </c>
      <c r="J69" s="1" t="str">
        <f t="shared" si="9"/>
        <v>00</v>
      </c>
      <c r="K69" s="1" t="str">
        <f t="shared" si="9"/>
        <v>00</v>
      </c>
      <c r="L69" s="1" t="str">
        <f t="shared" si="9"/>
        <v>00</v>
      </c>
      <c r="M69" s="1" t="str">
        <f t="shared" si="9"/>
        <v>00</v>
      </c>
      <c r="N69" s="1" t="str">
        <f t="shared" si="9"/>
        <v>01</v>
      </c>
      <c r="O69" s="1" t="str">
        <f t="shared" si="9"/>
        <v>00</v>
      </c>
      <c r="P69" s="1" t="str">
        <f t="shared" si="9"/>
        <v>01</v>
      </c>
      <c r="Q69" s="1" t="str">
        <f t="shared" si="9"/>
        <v>01</v>
      </c>
      <c r="R69" s="1" t="str">
        <f t="shared" si="9"/>
        <v>01</v>
      </c>
      <c r="S69" s="1"/>
      <c r="T69" s="1">
        <f t="shared" si="11"/>
        <v>16</v>
      </c>
    </row>
    <row r="70" spans="1:20" x14ac:dyDescent="0.3">
      <c r="A70" s="39" t="s">
        <v>91</v>
      </c>
      <c r="B70" s="5" t="str">
        <f t="shared" si="12"/>
        <v>B0E8</v>
      </c>
      <c r="C70" s="18" t="str">
        <f t="shared" si="10"/>
        <v>00</v>
      </c>
      <c r="D70" s="1" t="str">
        <f t="shared" si="10"/>
        <v>01</v>
      </c>
      <c r="E70" s="1" t="str">
        <f t="shared" si="9"/>
        <v>01</v>
      </c>
      <c r="F70" s="1" t="str">
        <f t="shared" si="9"/>
        <v>01</v>
      </c>
      <c r="G70" s="1" t="str">
        <f t="shared" si="9"/>
        <v>01</v>
      </c>
      <c r="H70" s="1" t="str">
        <f t="shared" si="9"/>
        <v>00</v>
      </c>
      <c r="I70" s="1" t="str">
        <f t="shared" si="9"/>
        <v>00</v>
      </c>
      <c r="J70" s="1" t="str">
        <f t="shared" si="9"/>
        <v>00</v>
      </c>
      <c r="K70" s="1" t="str">
        <f t="shared" si="9"/>
        <v>00</v>
      </c>
      <c r="L70" s="1" t="str">
        <f t="shared" si="9"/>
        <v>00</v>
      </c>
      <c r="M70" s="1" t="str">
        <f t="shared" si="9"/>
        <v>00</v>
      </c>
      <c r="N70" s="1" t="str">
        <f t="shared" si="9"/>
        <v>00</v>
      </c>
      <c r="O70" s="1" t="str">
        <f t="shared" si="9"/>
        <v>00</v>
      </c>
      <c r="P70" s="1" t="str">
        <f t="shared" si="9"/>
        <v>00</v>
      </c>
      <c r="Q70" s="1" t="str">
        <f t="shared" si="9"/>
        <v>00</v>
      </c>
      <c r="R70" s="1" t="str">
        <f t="shared" si="9"/>
        <v>00</v>
      </c>
      <c r="S70" s="1"/>
      <c r="T70" s="1">
        <f t="shared" si="11"/>
        <v>16</v>
      </c>
    </row>
    <row r="71" spans="1:20" x14ac:dyDescent="0.3">
      <c r="A71" s="39" t="s">
        <v>41</v>
      </c>
      <c r="B71" s="5" t="str">
        <f t="shared" si="12"/>
        <v>B0F8</v>
      </c>
      <c r="C71" s="18" t="str">
        <f t="shared" si="10"/>
        <v>00</v>
      </c>
      <c r="D71" s="1" t="str">
        <f t="shared" si="10"/>
        <v>00</v>
      </c>
      <c r="E71" s="1" t="str">
        <f t="shared" si="9"/>
        <v>00</v>
      </c>
      <c r="F71" s="1" t="str">
        <f t="shared" si="9"/>
        <v>00</v>
      </c>
      <c r="G71" s="1" t="str">
        <f t="shared" si="9"/>
        <v>00</v>
      </c>
      <c r="H71" s="1" t="str">
        <f t="shared" si="9"/>
        <v>00</v>
      </c>
      <c r="I71" s="1" t="str">
        <f t="shared" si="9"/>
        <v>00</v>
      </c>
      <c r="J71" s="1" t="str">
        <f t="shared" si="9"/>
        <v>00</v>
      </c>
      <c r="K71" s="1" t="str">
        <f t="shared" si="9"/>
        <v>00</v>
      </c>
      <c r="L71" s="1" t="str">
        <f t="shared" si="9"/>
        <v>00</v>
      </c>
      <c r="M71" s="1" t="str">
        <f t="shared" si="9"/>
        <v>00</v>
      </c>
      <c r="N71" s="1" t="str">
        <f t="shared" si="9"/>
        <v>00</v>
      </c>
      <c r="O71" s="1" t="str">
        <f t="shared" si="9"/>
        <v>00</v>
      </c>
      <c r="P71" s="1" t="str">
        <f t="shared" si="9"/>
        <v>00</v>
      </c>
      <c r="Q71" s="1" t="str">
        <f t="shared" si="9"/>
        <v>00</v>
      </c>
      <c r="R71" s="1" t="str">
        <f t="shared" si="9"/>
        <v>00</v>
      </c>
      <c r="S71" s="1"/>
      <c r="T71" s="1">
        <f t="shared" si="11"/>
        <v>16</v>
      </c>
    </row>
    <row r="72" spans="1:20" x14ac:dyDescent="0.3">
      <c r="A72" s="39" t="s">
        <v>79</v>
      </c>
      <c r="B72" s="5" t="str">
        <f t="shared" si="12"/>
        <v>B108</v>
      </c>
      <c r="C72" s="18" t="str">
        <f t="shared" si="10"/>
        <v>00</v>
      </c>
      <c r="D72" s="1" t="str">
        <f t="shared" si="10"/>
        <v>00</v>
      </c>
      <c r="E72" s="1" t="str">
        <f t="shared" si="9"/>
        <v>00</v>
      </c>
      <c r="F72" s="1" t="str">
        <f t="shared" si="9"/>
        <v>00</v>
      </c>
      <c r="G72" s="1" t="str">
        <f t="shared" si="9"/>
        <v>00</v>
      </c>
      <c r="H72" s="1" t="str">
        <f t="shared" si="9"/>
        <v>00</v>
      </c>
      <c r="I72" s="1" t="str">
        <f t="shared" si="9"/>
        <v>00</v>
      </c>
      <c r="J72" s="1" t="str">
        <f t="shared" si="9"/>
        <v>00</v>
      </c>
      <c r="K72" s="1" t="str">
        <f t="shared" si="9"/>
        <v/>
      </c>
      <c r="L72" s="1" t="str">
        <f t="shared" si="9"/>
        <v/>
      </c>
      <c r="M72" s="1" t="str">
        <f t="shared" si="9"/>
        <v/>
      </c>
      <c r="N72" s="1" t="str">
        <f t="shared" si="9"/>
        <v/>
      </c>
      <c r="O72" s="1" t="str">
        <f t="shared" si="9"/>
        <v/>
      </c>
      <c r="P72" s="1" t="str">
        <f t="shared" si="9"/>
        <v/>
      </c>
      <c r="Q72" s="1" t="str">
        <f t="shared" si="9"/>
        <v/>
      </c>
      <c r="R72" s="1" t="str">
        <f t="shared" si="9"/>
        <v/>
      </c>
      <c r="S72" s="1"/>
      <c r="T72" s="1">
        <f t="shared" si="11"/>
        <v>8</v>
      </c>
    </row>
    <row r="73" spans="1:20" x14ac:dyDescent="0.3">
      <c r="A73" s="39" t="s">
        <v>92</v>
      </c>
      <c r="B73" s="5" t="str">
        <f t="shared" si="12"/>
        <v>B110</v>
      </c>
      <c r="C73" s="18" t="str">
        <f t="shared" si="10"/>
        <v>00</v>
      </c>
      <c r="D73" s="1" t="str">
        <f t="shared" si="10"/>
        <v>51</v>
      </c>
      <c r="E73" s="1" t="str">
        <f t="shared" si="9"/>
        <v>55</v>
      </c>
      <c r="F73" s="1" t="str">
        <f t="shared" si="9"/>
        <v>06</v>
      </c>
      <c r="G73" s="1" t="str">
        <f t="shared" si="9"/>
        <v>00</v>
      </c>
      <c r="H73" s="1" t="str">
        <f t="shared" si="9"/>
        <v>30</v>
      </c>
      <c r="I73" s="1" t="str">
        <f t="shared" si="9"/>
        <v>00</v>
      </c>
      <c r="J73" s="1" t="str">
        <f t="shared" si="9"/>
        <v>78</v>
      </c>
      <c r="K73" s="1" t="str">
        <f t="shared" si="9"/>
        <v>22</v>
      </c>
      <c r="L73" s="1" t="str">
        <f t="shared" si="9"/>
        <v>36</v>
      </c>
      <c r="M73" s="1" t="str">
        <f t="shared" si="9"/>
        <v>7F</v>
      </c>
      <c r="N73" s="1" t="str">
        <f t="shared" si="9"/>
        <v>33</v>
      </c>
      <c r="O73" s="1" t="str">
        <f t="shared" si="9"/>
        <v>7C</v>
      </c>
      <c r="P73" s="1" t="str">
        <f t="shared" si="9"/>
        <v>5E</v>
      </c>
      <c r="Q73" s="1" t="str">
        <f t="shared" si="9"/>
        <v>70</v>
      </c>
      <c r="R73" s="1" t="str">
        <f t="shared" si="9"/>
        <v>5A</v>
      </c>
      <c r="S73" s="1"/>
      <c r="T73" s="1">
        <f t="shared" si="11"/>
        <v>16</v>
      </c>
    </row>
    <row r="74" spans="1:20" x14ac:dyDescent="0.3">
      <c r="A74" s="39" t="s">
        <v>93</v>
      </c>
      <c r="B74" s="5" t="str">
        <f t="shared" si="12"/>
        <v>B120</v>
      </c>
      <c r="C74" s="18" t="str">
        <f t="shared" si="10"/>
        <v>78</v>
      </c>
      <c r="D74" s="1" t="str">
        <f t="shared" si="10"/>
        <v>6C</v>
      </c>
      <c r="E74" s="1" t="str">
        <f t="shared" si="9"/>
        <v>38</v>
      </c>
      <c r="F74" s="1" t="str">
        <f t="shared" si="9"/>
        <v>60</v>
      </c>
      <c r="G74" s="1" t="str">
        <f t="shared" si="9"/>
        <v>18</v>
      </c>
      <c r="H74" s="1" t="str">
        <f t="shared" si="9"/>
        <v>18</v>
      </c>
      <c r="I74" s="1" t="str">
        <f t="shared" si="9"/>
        <v>1B</v>
      </c>
      <c r="J74" s="1" t="str">
        <f t="shared" si="9"/>
        <v>60</v>
      </c>
      <c r="K74" s="1" t="str">
        <f t="shared" si="9"/>
        <v>60</v>
      </c>
      <c r="L74" s="1" t="str">
        <f t="shared" si="9"/>
        <v>60</v>
      </c>
      <c r="M74" s="1" t="str">
        <f t="shared" si="9"/>
        <v>18</v>
      </c>
      <c r="N74" s="1" t="str">
        <f t="shared" si="9"/>
        <v>00</v>
      </c>
      <c r="O74" s="1" t="str">
        <f t="shared" si="9"/>
        <v>00</v>
      </c>
      <c r="P74" s="1" t="str">
        <f t="shared" si="9"/>
        <v>11</v>
      </c>
      <c r="Q74" s="1" t="str">
        <f t="shared" si="9"/>
        <v>01</v>
      </c>
      <c r="R74" s="1" t="str">
        <f t="shared" si="9"/>
        <v>51</v>
      </c>
      <c r="S74" s="1"/>
      <c r="T74" s="1">
        <f t="shared" si="11"/>
        <v>16</v>
      </c>
    </row>
    <row r="75" spans="1:20" x14ac:dyDescent="0.3">
      <c r="A75" s="39" t="s">
        <v>94</v>
      </c>
      <c r="B75" s="5" t="str">
        <f t="shared" si="12"/>
        <v>B130</v>
      </c>
      <c r="C75" s="18" t="str">
        <f t="shared" si="10"/>
        <v>51</v>
      </c>
      <c r="D75" s="1" t="str">
        <f t="shared" si="10"/>
        <v>51</v>
      </c>
      <c r="E75" s="1" t="str">
        <f t="shared" si="9"/>
        <v>28</v>
      </c>
      <c r="F75" s="1" t="str">
        <f t="shared" si="9"/>
        <v>20</v>
      </c>
      <c r="G75" s="1" t="str">
        <f t="shared" si="9"/>
        <v>00</v>
      </c>
      <c r="H75" s="1" t="str">
        <f t="shared" si="9"/>
        <v>5A</v>
      </c>
      <c r="I75" s="1" t="str">
        <f t="shared" si="9"/>
        <v>00</v>
      </c>
      <c r="J75" s="1" t="str">
        <f t="shared" si="9"/>
        <v>00</v>
      </c>
      <c r="K75" s="1" t="str">
        <f t="shared" si="9"/>
        <v>22</v>
      </c>
      <c r="L75" s="1" t="str">
        <f t="shared" si="9"/>
        <v>28</v>
      </c>
      <c r="M75" s="1" t="str">
        <f t="shared" si="9"/>
        <v>22</v>
      </c>
      <c r="N75" s="1" t="str">
        <f t="shared" si="9"/>
        <v>28</v>
      </c>
      <c r="O75" s="1" t="str">
        <f t="shared" si="9"/>
        <v>28</v>
      </c>
      <c r="P75" s="1" t="str">
        <f t="shared" si="9"/>
        <v>08</v>
      </c>
      <c r="Q75" s="1" t="str">
        <f t="shared" si="9"/>
        <v>0A</v>
      </c>
      <c r="R75" s="1" t="str">
        <f t="shared" si="9"/>
        <v>20</v>
      </c>
      <c r="S75" s="1"/>
      <c r="T75" s="1">
        <f t="shared" si="11"/>
        <v>16</v>
      </c>
    </row>
    <row r="76" spans="1:20" x14ac:dyDescent="0.3">
      <c r="A76" s="39" t="s">
        <v>95</v>
      </c>
      <c r="B76" s="5" t="str">
        <f t="shared" si="12"/>
        <v>B140</v>
      </c>
      <c r="C76" s="18" t="str">
        <f t="shared" si="10"/>
        <v>20</v>
      </c>
      <c r="D76" s="1" t="str">
        <f t="shared" si="10"/>
        <v>20</v>
      </c>
      <c r="E76" s="1" t="str">
        <f t="shared" si="9"/>
        <v>08</v>
      </c>
      <c r="F76" s="1" t="str">
        <f t="shared" si="9"/>
        <v>20</v>
      </c>
      <c r="G76" s="1" t="str">
        <f t="shared" si="9"/>
        <v>28</v>
      </c>
      <c r="H76" s="1" t="str">
        <f t="shared" si="9"/>
        <v>20</v>
      </c>
      <c r="I76" s="1" t="str">
        <f t="shared" si="9"/>
        <v>20</v>
      </c>
      <c r="J76" s="1" t="str">
        <f t="shared" si="9"/>
        <v>00</v>
      </c>
      <c r="K76" s="1" t="str">
        <f t="shared" si="9"/>
        <v>00</v>
      </c>
      <c r="L76" s="1" t="str">
        <f t="shared" si="9"/>
        <v>00</v>
      </c>
      <c r="M76" s="1" t="str">
        <f t="shared" si="9"/>
        <v>00</v>
      </c>
      <c r="N76" s="1" t="str">
        <f t="shared" si="9"/>
        <v>02</v>
      </c>
      <c r="O76" s="1" t="str">
        <f t="shared" si="9"/>
        <v>20</v>
      </c>
      <c r="P76" s="1" t="str">
        <f t="shared" si="9"/>
        <v>00</v>
      </c>
      <c r="Q76" s="1" t="str">
        <f t="shared" si="9"/>
        <v>00</v>
      </c>
      <c r="R76" s="1" t="str">
        <f t="shared" si="9"/>
        <v>0A</v>
      </c>
      <c r="S76" s="1"/>
      <c r="T76" s="1">
        <f t="shared" si="11"/>
        <v>16</v>
      </c>
    </row>
    <row r="77" spans="1:20" x14ac:dyDescent="0.3">
      <c r="A77" s="39" t="s">
        <v>96</v>
      </c>
      <c r="B77" s="5" t="str">
        <f t="shared" si="12"/>
        <v>B150</v>
      </c>
      <c r="C77" s="18" t="str">
        <f t="shared" si="10"/>
        <v>02</v>
      </c>
      <c r="D77" s="1" t="str">
        <f t="shared" si="10"/>
        <v>02</v>
      </c>
      <c r="E77" s="1" t="str">
        <f t="shared" si="9"/>
        <v>20</v>
      </c>
      <c r="F77" s="1" t="str">
        <f t="shared" si="9"/>
        <v>08</v>
      </c>
      <c r="G77" s="1" t="str">
        <f t="shared" si="9"/>
        <v>02</v>
      </c>
      <c r="H77" s="1" t="str">
        <f t="shared" si="9"/>
        <v>44</v>
      </c>
      <c r="I77" s="1" t="str">
        <f t="shared" si="9"/>
        <v>11</v>
      </c>
      <c r="J77" s="1" t="str">
        <f t="shared" si="9"/>
        <v>01</v>
      </c>
      <c r="K77" s="1" t="str">
        <f t="shared" si="9"/>
        <v>41</v>
      </c>
      <c r="L77" s="1" t="str">
        <f t="shared" si="9"/>
        <v>05</v>
      </c>
      <c r="M77" s="1" t="str">
        <f t="shared" si="9"/>
        <v>05</v>
      </c>
      <c r="N77" s="1" t="str">
        <f t="shared" si="9"/>
        <v>01</v>
      </c>
      <c r="O77" s="1" t="str">
        <f t="shared" si="9"/>
        <v>41</v>
      </c>
      <c r="P77" s="1" t="str">
        <f t="shared" si="9"/>
        <v>04</v>
      </c>
      <c r="Q77" s="1" t="str">
        <f t="shared" si="9"/>
        <v>10</v>
      </c>
      <c r="R77" s="1" t="str">
        <f t="shared" si="9"/>
        <v>11</v>
      </c>
      <c r="S77" s="1"/>
      <c r="T77" s="1">
        <f t="shared" si="11"/>
        <v>16</v>
      </c>
    </row>
    <row r="78" spans="1:20" x14ac:dyDescent="0.3">
      <c r="A78" s="39" t="s">
        <v>97</v>
      </c>
      <c r="B78" s="5" t="str">
        <f t="shared" si="12"/>
        <v>B160</v>
      </c>
      <c r="C78" s="18" t="str">
        <f t="shared" si="10"/>
        <v>01</v>
      </c>
      <c r="D78" s="1" t="str">
        <f t="shared" si="10"/>
        <v>55</v>
      </c>
      <c r="E78" s="1" t="str">
        <f t="shared" si="9"/>
        <v>45</v>
      </c>
      <c r="F78" s="1" t="str">
        <f t="shared" si="9"/>
        <v>51</v>
      </c>
      <c r="G78" s="1" t="str">
        <f t="shared" si="9"/>
        <v>41</v>
      </c>
      <c r="H78" s="1" t="str">
        <f t="shared" si="9"/>
        <v>51</v>
      </c>
      <c r="I78" s="1" t="str">
        <f t="shared" si="9"/>
        <v>41</v>
      </c>
      <c r="J78" s="1" t="str">
        <f t="shared" si="9"/>
        <v>01</v>
      </c>
      <c r="K78" s="1" t="str">
        <f t="shared" si="9"/>
        <v>04</v>
      </c>
      <c r="L78" s="1" t="str">
        <f t="shared" si="9"/>
        <v>41</v>
      </c>
      <c r="M78" s="1" t="str">
        <f t="shared" si="9"/>
        <v>45</v>
      </c>
      <c r="N78" s="1" t="str">
        <f t="shared" si="9"/>
        <v>41</v>
      </c>
      <c r="O78" s="1" t="str">
        <f t="shared" si="9"/>
        <v>41</v>
      </c>
      <c r="P78" s="1" t="str">
        <f t="shared" si="9"/>
        <v>51</v>
      </c>
      <c r="Q78" s="1" t="str">
        <f t="shared" si="9"/>
        <v>41</v>
      </c>
      <c r="R78" s="1" t="str">
        <f t="shared" si="9"/>
        <v>14</v>
      </c>
      <c r="S78" s="1"/>
      <c r="T78" s="1">
        <f t="shared" si="11"/>
        <v>16</v>
      </c>
    </row>
    <row r="79" spans="1:20" x14ac:dyDescent="0.3">
      <c r="A79" s="39" t="s">
        <v>98</v>
      </c>
      <c r="B79" s="5" t="str">
        <f t="shared" si="12"/>
        <v>B170</v>
      </c>
      <c r="C79" s="18" t="str">
        <f t="shared" si="10"/>
        <v>00</v>
      </c>
      <c r="D79" s="1" t="str">
        <f t="shared" si="10"/>
        <v>05</v>
      </c>
      <c r="E79" s="1" t="str">
        <f t="shared" si="9"/>
        <v>50</v>
      </c>
      <c r="F79" s="1" t="str">
        <f t="shared" si="9"/>
        <v>10</v>
      </c>
      <c r="G79" s="1" t="str">
        <f t="shared" si="9"/>
        <v>55</v>
      </c>
      <c r="H79" s="1" t="str">
        <f t="shared" si="9"/>
        <v>14</v>
      </c>
      <c r="I79" s="1" t="str">
        <f t="shared" si="9"/>
        <v>01</v>
      </c>
      <c r="J79" s="1" t="str">
        <f t="shared" si="9"/>
        <v>01</v>
      </c>
      <c r="K79" s="1" t="str">
        <f t="shared" si="9"/>
        <v/>
      </c>
      <c r="L79" s="1" t="str">
        <f t="shared" si="9"/>
        <v/>
      </c>
      <c r="M79" s="1" t="str">
        <f t="shared" si="9"/>
        <v/>
      </c>
      <c r="N79" s="1" t="str">
        <f t="shared" si="9"/>
        <v/>
      </c>
      <c r="O79" s="1" t="str">
        <f t="shared" si="9"/>
        <v/>
      </c>
      <c r="P79" s="1" t="str">
        <f t="shared" si="9"/>
        <v/>
      </c>
      <c r="Q79" s="1" t="str">
        <f t="shared" si="9"/>
        <v/>
      </c>
      <c r="R79" s="1" t="str">
        <f t="shared" si="9"/>
        <v/>
      </c>
      <c r="S79" s="1"/>
      <c r="T79" s="1">
        <f t="shared" si="11"/>
        <v>8</v>
      </c>
    </row>
    <row r="80" spans="1:20" x14ac:dyDescent="0.3">
      <c r="A80" s="39" t="s">
        <v>99</v>
      </c>
      <c r="B80" s="5" t="str">
        <f t="shared" si="12"/>
        <v>B178</v>
      </c>
      <c r="C80" s="18" t="str">
        <f t="shared" si="10"/>
        <v>00</v>
      </c>
      <c r="D80" s="1" t="str">
        <f t="shared" si="10"/>
        <v>02</v>
      </c>
      <c r="E80" s="1" t="str">
        <f t="shared" si="9"/>
        <v>02</v>
      </c>
      <c r="F80" s="1" t="str">
        <f t="shared" si="9"/>
        <v>03</v>
      </c>
      <c r="G80" s="1" t="str">
        <f t="shared" si="9"/>
        <v>00</v>
      </c>
      <c r="H80" s="1" t="str">
        <f t="shared" si="9"/>
        <v>00</v>
      </c>
      <c r="I80" s="1" t="str">
        <f t="shared" si="9"/>
        <v>03</v>
      </c>
      <c r="J80" s="1" t="str">
        <f t="shared" si="9"/>
        <v>01</v>
      </c>
      <c r="K80" s="1" t="str">
        <f t="shared" si="9"/>
        <v>04</v>
      </c>
      <c r="L80" s="1" t="str">
        <f t="shared" si="9"/>
        <v>06</v>
      </c>
      <c r="M80" s="1" t="str">
        <f t="shared" si="9"/>
        <v>07</v>
      </c>
      <c r="N80" s="1" t="str">
        <f t="shared" si="9"/>
        <v>03</v>
      </c>
      <c r="O80" s="1" t="str">
        <f t="shared" si="9"/>
        <v>00</v>
      </c>
      <c r="P80" s="1" t="str">
        <f t="shared" si="9"/>
        <v>01</v>
      </c>
      <c r="Q80" s="1" t="str">
        <f t="shared" si="9"/>
        <v>00</v>
      </c>
      <c r="R80" s="1" t="str">
        <f t="shared" si="9"/>
        <v>05</v>
      </c>
      <c r="S80" s="1"/>
      <c r="T80" s="1">
        <f t="shared" si="11"/>
        <v>16</v>
      </c>
    </row>
    <row r="81" spans="1:20" x14ac:dyDescent="0.3">
      <c r="A81" s="39" t="s">
        <v>100</v>
      </c>
      <c r="B81" s="5" t="str">
        <f t="shared" si="12"/>
        <v>B188</v>
      </c>
      <c r="C81" s="18" t="str">
        <f t="shared" si="10"/>
        <v>01</v>
      </c>
      <c r="D81" s="1" t="str">
        <f t="shared" si="10"/>
        <v>03</v>
      </c>
      <c r="E81" s="1" t="str">
        <f t="shared" si="9"/>
        <v>00</v>
      </c>
      <c r="F81" s="1" t="str">
        <f t="shared" si="9"/>
        <v>00</v>
      </c>
      <c r="G81" s="1" t="str">
        <f t="shared" si="9"/>
        <v>00</v>
      </c>
      <c r="H81" s="1" t="str">
        <f t="shared" si="9"/>
        <v>00</v>
      </c>
      <c r="I81" s="1" t="str">
        <f t="shared" si="9"/>
        <v>00</v>
      </c>
      <c r="J81" s="1" t="str">
        <f t="shared" si="9"/>
        <v>00</v>
      </c>
      <c r="K81" s="1" t="str">
        <f t="shared" si="9"/>
        <v>00</v>
      </c>
      <c r="L81" s="1" t="str">
        <f t="shared" si="9"/>
        <v>06</v>
      </c>
      <c r="M81" s="1" t="str">
        <f t="shared" si="9"/>
        <v>00</v>
      </c>
      <c r="N81" s="1" t="str">
        <f t="shared" si="9"/>
        <v>00</v>
      </c>
      <c r="O81" s="1" t="str">
        <f t="shared" si="9"/>
        <v>02</v>
      </c>
      <c r="P81" s="1" t="str">
        <f t="shared" si="9"/>
        <v>00</v>
      </c>
      <c r="Q81" s="1" t="str">
        <f t="shared" si="9"/>
        <v>00</v>
      </c>
      <c r="R81" s="1" t="str">
        <f t="shared" si="9"/>
        <v>02</v>
      </c>
      <c r="S81" s="1"/>
      <c r="T81" s="1">
        <f t="shared" si="11"/>
        <v>16</v>
      </c>
    </row>
    <row r="82" spans="1:20" x14ac:dyDescent="0.3">
      <c r="A82" s="39" t="s">
        <v>101</v>
      </c>
      <c r="B82" s="5" t="str">
        <f t="shared" si="12"/>
        <v>B198</v>
      </c>
      <c r="C82" s="18" t="str">
        <f t="shared" si="10"/>
        <v>02</v>
      </c>
      <c r="D82" s="1" t="str">
        <f t="shared" si="10"/>
        <v>02</v>
      </c>
      <c r="E82" s="1" t="str">
        <f t="shared" si="9"/>
        <v>01</v>
      </c>
      <c r="F82" s="1" t="str">
        <f t="shared" si="9"/>
        <v>00</v>
      </c>
      <c r="G82" s="1" t="str">
        <f t="shared" si="9"/>
        <v>00</v>
      </c>
      <c r="H82" s="1" t="str">
        <f t="shared" si="9"/>
        <v>05</v>
      </c>
      <c r="I82" s="1" t="str">
        <f t="shared" si="9"/>
        <v>00</v>
      </c>
      <c r="J82" s="1" t="str">
        <f t="shared" si="9"/>
        <v>02</v>
      </c>
      <c r="K82" s="1" t="str">
        <f t="shared" si="9"/>
        <v>04</v>
      </c>
      <c r="L82" s="1" t="str">
        <f t="shared" si="9"/>
        <v>01</v>
      </c>
      <c r="M82" s="1" t="str">
        <f t="shared" si="9"/>
        <v>01</v>
      </c>
      <c r="N82" s="1" t="str">
        <f t="shared" si="9"/>
        <v>01</v>
      </c>
      <c r="O82" s="1" t="str">
        <f t="shared" si="9"/>
        <v>04</v>
      </c>
      <c r="P82" s="1" t="str">
        <f t="shared" si="9"/>
        <v>00</v>
      </c>
      <c r="Q82" s="1" t="str">
        <f t="shared" si="9"/>
        <v>00</v>
      </c>
      <c r="R82" s="1" t="str">
        <f t="shared" si="9"/>
        <v>00</v>
      </c>
      <c r="S82" s="1"/>
      <c r="T82" s="1">
        <f t="shared" si="11"/>
        <v>16</v>
      </c>
    </row>
    <row r="83" spans="1:20" x14ac:dyDescent="0.3">
      <c r="A83" s="39" t="s">
        <v>102</v>
      </c>
      <c r="B83" s="5" t="str">
        <f t="shared" si="12"/>
        <v>B1A8</v>
      </c>
      <c r="C83" s="18" t="str">
        <f t="shared" si="10"/>
        <v>00</v>
      </c>
      <c r="D83" s="1" t="str">
        <f t="shared" si="10"/>
        <v>01</v>
      </c>
      <c r="E83" s="1" t="str">
        <f t="shared" si="9"/>
        <v>00</v>
      </c>
      <c r="F83" s="1" t="str">
        <f t="shared" si="9"/>
        <v>00</v>
      </c>
      <c r="G83" s="1" t="str">
        <f t="shared" ref="E83:R101" si="13">MID($A83,13+G$2*3,2)</f>
        <v>00</v>
      </c>
      <c r="H83" s="1" t="str">
        <f t="shared" si="13"/>
        <v>00</v>
      </c>
      <c r="I83" s="1" t="str">
        <f t="shared" si="13"/>
        <v>00</v>
      </c>
      <c r="J83" s="1" t="str">
        <f t="shared" si="13"/>
        <v>00</v>
      </c>
      <c r="K83" s="1" t="str">
        <f t="shared" si="13"/>
        <v>00</v>
      </c>
      <c r="L83" s="1" t="str">
        <f t="shared" si="13"/>
        <v>00</v>
      </c>
      <c r="M83" s="1" t="str">
        <f t="shared" si="13"/>
        <v>00</v>
      </c>
      <c r="N83" s="1" t="str">
        <f t="shared" si="13"/>
        <v>01</v>
      </c>
      <c r="O83" s="1" t="str">
        <f t="shared" si="13"/>
        <v>00</v>
      </c>
      <c r="P83" s="1" t="str">
        <f t="shared" si="13"/>
        <v>01</v>
      </c>
      <c r="Q83" s="1" t="str">
        <f t="shared" si="13"/>
        <v>01</v>
      </c>
      <c r="R83" s="1" t="str">
        <f t="shared" si="13"/>
        <v>01</v>
      </c>
      <c r="S83" s="1"/>
      <c r="T83" s="1">
        <f t="shared" si="11"/>
        <v>16</v>
      </c>
    </row>
    <row r="84" spans="1:20" x14ac:dyDescent="0.3">
      <c r="A84" s="39" t="s">
        <v>103</v>
      </c>
      <c r="B84" s="5" t="str">
        <f t="shared" si="12"/>
        <v>B1B8</v>
      </c>
      <c r="C84" s="18" t="str">
        <f t="shared" si="10"/>
        <v>00</v>
      </c>
      <c r="D84" s="1" t="str">
        <f t="shared" si="10"/>
        <v>00</v>
      </c>
      <c r="E84" s="1" t="str">
        <f t="shared" si="13"/>
        <v>01</v>
      </c>
      <c r="F84" s="1" t="str">
        <f t="shared" si="13"/>
        <v>01</v>
      </c>
      <c r="G84" s="1" t="str">
        <f t="shared" si="13"/>
        <v>01</v>
      </c>
      <c r="H84" s="1" t="str">
        <f t="shared" si="13"/>
        <v>00</v>
      </c>
      <c r="I84" s="1" t="str">
        <f t="shared" si="13"/>
        <v>00</v>
      </c>
      <c r="J84" s="1" t="str">
        <f t="shared" si="13"/>
        <v>00</v>
      </c>
      <c r="K84" s="1" t="str">
        <f t="shared" si="13"/>
        <v>00</v>
      </c>
      <c r="L84" s="1" t="str">
        <f t="shared" si="13"/>
        <v>00</v>
      </c>
      <c r="M84" s="1" t="str">
        <f t="shared" si="13"/>
        <v>00</v>
      </c>
      <c r="N84" s="1" t="str">
        <f t="shared" si="13"/>
        <v>00</v>
      </c>
      <c r="O84" s="1" t="str">
        <f t="shared" si="13"/>
        <v>00</v>
      </c>
      <c r="P84" s="1" t="str">
        <f t="shared" si="13"/>
        <v>00</v>
      </c>
      <c r="Q84" s="1" t="str">
        <f t="shared" si="13"/>
        <v>00</v>
      </c>
      <c r="R84" s="1" t="str">
        <f t="shared" si="13"/>
        <v>00</v>
      </c>
      <c r="S84" s="1"/>
      <c r="T84" s="1">
        <f t="shared" si="11"/>
        <v>16</v>
      </c>
    </row>
    <row r="85" spans="1:20" x14ac:dyDescent="0.3">
      <c r="A85" s="39" t="s">
        <v>41</v>
      </c>
      <c r="B85" s="5" t="str">
        <f t="shared" si="12"/>
        <v>B1C8</v>
      </c>
      <c r="C85" s="18" t="str">
        <f t="shared" si="10"/>
        <v>00</v>
      </c>
      <c r="D85" s="1" t="str">
        <f t="shared" si="10"/>
        <v>00</v>
      </c>
      <c r="E85" s="1" t="str">
        <f t="shared" si="13"/>
        <v>00</v>
      </c>
      <c r="F85" s="1" t="str">
        <f t="shared" si="13"/>
        <v>00</v>
      </c>
      <c r="G85" s="1" t="str">
        <f t="shared" si="13"/>
        <v>00</v>
      </c>
      <c r="H85" s="1" t="str">
        <f t="shared" si="13"/>
        <v>00</v>
      </c>
      <c r="I85" s="1" t="str">
        <f t="shared" si="13"/>
        <v>00</v>
      </c>
      <c r="J85" s="1" t="str">
        <f t="shared" si="13"/>
        <v>00</v>
      </c>
      <c r="K85" s="1" t="str">
        <f t="shared" si="13"/>
        <v>00</v>
      </c>
      <c r="L85" s="1" t="str">
        <f t="shared" si="13"/>
        <v>00</v>
      </c>
      <c r="M85" s="1" t="str">
        <f t="shared" si="13"/>
        <v>00</v>
      </c>
      <c r="N85" s="1" t="str">
        <f t="shared" si="13"/>
        <v>00</v>
      </c>
      <c r="O85" s="1" t="str">
        <f t="shared" si="13"/>
        <v>00</v>
      </c>
      <c r="P85" s="1" t="str">
        <f t="shared" si="13"/>
        <v>00</v>
      </c>
      <c r="Q85" s="1" t="str">
        <f t="shared" si="13"/>
        <v>00</v>
      </c>
      <c r="R85" s="1" t="str">
        <f t="shared" si="13"/>
        <v>00</v>
      </c>
      <c r="S85" s="1"/>
      <c r="T85" s="1">
        <f t="shared" si="11"/>
        <v>16</v>
      </c>
    </row>
    <row r="86" spans="1:20" x14ac:dyDescent="0.3">
      <c r="A86" s="39" t="s">
        <v>104</v>
      </c>
      <c r="B86" s="5" t="str">
        <f t="shared" si="12"/>
        <v>B1D8</v>
      </c>
      <c r="C86" s="18" t="str">
        <f t="shared" si="10"/>
        <v>00</v>
      </c>
      <c r="D86" s="1" t="str">
        <f t="shared" si="10"/>
        <v>00</v>
      </c>
      <c r="E86" s="1" t="str">
        <f t="shared" si="13"/>
        <v>00</v>
      </c>
      <c r="F86" s="1" t="str">
        <f t="shared" si="13"/>
        <v>00</v>
      </c>
      <c r="G86" s="1" t="str">
        <f t="shared" si="13"/>
        <v>02</v>
      </c>
      <c r="H86" s="1" t="str">
        <f t="shared" si="13"/>
        <v>00</v>
      </c>
      <c r="I86" s="1" t="str">
        <f t="shared" si="13"/>
        <v>08</v>
      </c>
      <c r="J86" s="1" t="str">
        <f t="shared" si="13"/>
        <v>20</v>
      </c>
      <c r="K86" s="1" t="str">
        <f t="shared" si="13"/>
        <v/>
      </c>
      <c r="L86" s="1" t="str">
        <f t="shared" si="13"/>
        <v/>
      </c>
      <c r="M86" s="1" t="str">
        <f t="shared" si="13"/>
        <v/>
      </c>
      <c r="N86" s="1" t="str">
        <f t="shared" si="13"/>
        <v/>
      </c>
      <c r="O86" s="1" t="str">
        <f t="shared" si="13"/>
        <v/>
      </c>
      <c r="P86" s="1" t="str">
        <f t="shared" si="13"/>
        <v/>
      </c>
      <c r="Q86" s="1" t="str">
        <f t="shared" si="13"/>
        <v/>
      </c>
      <c r="R86" s="1" t="str">
        <f t="shared" si="13"/>
        <v/>
      </c>
      <c r="S86" s="1"/>
      <c r="T86" s="1">
        <f t="shared" si="11"/>
        <v>8</v>
      </c>
    </row>
    <row r="87" spans="1:20" x14ac:dyDescent="0.3">
      <c r="A87" s="39" t="s">
        <v>105</v>
      </c>
      <c r="B87" s="5" t="str">
        <f t="shared" si="12"/>
        <v>B1E0</v>
      </c>
      <c r="C87" s="18" t="str">
        <f t="shared" si="10"/>
        <v>00</v>
      </c>
      <c r="D87" s="1" t="str">
        <f t="shared" si="10"/>
        <v>51</v>
      </c>
      <c r="E87" s="1" t="str">
        <f t="shared" si="13"/>
        <v>55</v>
      </c>
      <c r="F87" s="1" t="str">
        <f t="shared" si="13"/>
        <v>06</v>
      </c>
      <c r="G87" s="1" t="str">
        <f t="shared" si="13"/>
        <v>00</v>
      </c>
      <c r="H87" s="1" t="str">
        <f t="shared" si="13"/>
        <v>30</v>
      </c>
      <c r="I87" s="1" t="str">
        <f t="shared" si="13"/>
        <v>00</v>
      </c>
      <c r="J87" s="1" t="str">
        <f t="shared" si="13"/>
        <v>28</v>
      </c>
      <c r="K87" s="1" t="str">
        <f t="shared" si="13"/>
        <v>60</v>
      </c>
      <c r="L87" s="1" t="str">
        <f t="shared" si="13"/>
        <v>30</v>
      </c>
      <c r="M87" s="1" t="str">
        <f t="shared" si="13"/>
        <v>7F</v>
      </c>
      <c r="N87" s="1" t="str">
        <f t="shared" si="13"/>
        <v>30</v>
      </c>
      <c r="O87" s="1" t="str">
        <f t="shared" si="13"/>
        <v>7B</v>
      </c>
      <c r="P87" s="1" t="str">
        <f t="shared" si="13"/>
        <v>18</v>
      </c>
      <c r="Q87" s="1" t="str">
        <f t="shared" si="13"/>
        <v>70</v>
      </c>
      <c r="R87" s="1" t="str">
        <f t="shared" si="13"/>
        <v>42</v>
      </c>
      <c r="S87" s="1"/>
      <c r="T87" s="1">
        <f t="shared" si="11"/>
        <v>16</v>
      </c>
    </row>
    <row r="88" spans="1:20" x14ac:dyDescent="0.3">
      <c r="A88" s="39" t="s">
        <v>106</v>
      </c>
      <c r="B88" s="5" t="str">
        <f t="shared" si="12"/>
        <v>B1F0</v>
      </c>
      <c r="C88" s="18" t="str">
        <f t="shared" si="10"/>
        <v>78</v>
      </c>
      <c r="D88" s="1" t="str">
        <f t="shared" si="10"/>
        <v>60</v>
      </c>
      <c r="E88" s="1" t="str">
        <f t="shared" si="13"/>
        <v>38</v>
      </c>
      <c r="F88" s="1" t="str">
        <f t="shared" si="13"/>
        <v>78</v>
      </c>
      <c r="G88" s="1" t="str">
        <f t="shared" si="13"/>
        <v>78</v>
      </c>
      <c r="H88" s="1" t="str">
        <f t="shared" si="13"/>
        <v>18</v>
      </c>
      <c r="I88" s="1" t="str">
        <f t="shared" si="13"/>
        <v>18</v>
      </c>
      <c r="J88" s="1" t="str">
        <f t="shared" si="13"/>
        <v>60</v>
      </c>
      <c r="K88" s="1" t="str">
        <f t="shared" si="13"/>
        <v>60</v>
      </c>
      <c r="L88" s="1" t="str">
        <f t="shared" si="13"/>
        <v>60</v>
      </c>
      <c r="M88" s="1" t="str">
        <f t="shared" si="13"/>
        <v>18</v>
      </c>
      <c r="N88" s="1" t="str">
        <f t="shared" si="13"/>
        <v>10</v>
      </c>
      <c r="O88" s="1" t="str">
        <f t="shared" si="13"/>
        <v>01</v>
      </c>
      <c r="P88" s="1" t="str">
        <f t="shared" si="13"/>
        <v>00</v>
      </c>
      <c r="Q88" s="1" t="str">
        <f t="shared" si="13"/>
        <v>00</v>
      </c>
      <c r="R88" s="1" t="str">
        <f t="shared" si="13"/>
        <v>51</v>
      </c>
      <c r="S88" s="1"/>
      <c r="T88" s="1">
        <f t="shared" si="11"/>
        <v>16</v>
      </c>
    </row>
    <row r="89" spans="1:20" x14ac:dyDescent="0.3">
      <c r="A89" s="39" t="s">
        <v>107</v>
      </c>
      <c r="B89" s="5" t="str">
        <f t="shared" si="12"/>
        <v>B200</v>
      </c>
      <c r="C89" s="18" t="str">
        <f t="shared" si="10"/>
        <v>51</v>
      </c>
      <c r="D89" s="1" t="str">
        <f t="shared" si="10"/>
        <v>51</v>
      </c>
      <c r="E89" s="1" t="str">
        <f t="shared" si="13"/>
        <v>00</v>
      </c>
      <c r="F89" s="1" t="str">
        <f t="shared" si="13"/>
        <v>20</v>
      </c>
      <c r="G89" s="1" t="str">
        <f t="shared" si="13"/>
        <v>00</v>
      </c>
      <c r="H89" s="1" t="str">
        <f t="shared" si="13"/>
        <v>18</v>
      </c>
      <c r="I89" s="1" t="str">
        <f t="shared" si="13"/>
        <v>10</v>
      </c>
      <c r="J89" s="1" t="str">
        <f t="shared" si="13"/>
        <v>05</v>
      </c>
      <c r="K89" s="1" t="str">
        <f t="shared" si="13"/>
        <v>30</v>
      </c>
      <c r="L89" s="1" t="str">
        <f t="shared" si="13"/>
        <v>60</v>
      </c>
      <c r="M89" s="1" t="str">
        <f t="shared" si="13"/>
        <v>60</v>
      </c>
      <c r="N89" s="1" t="str">
        <f t="shared" si="13"/>
        <v>32</v>
      </c>
      <c r="O89" s="1" t="str">
        <f t="shared" si="13"/>
        <v>30</v>
      </c>
      <c r="P89" s="1" t="str">
        <f t="shared" si="13"/>
        <v>08</v>
      </c>
      <c r="Q89" s="1" t="str">
        <f t="shared" si="13"/>
        <v>08</v>
      </c>
      <c r="R89" s="1" t="str">
        <f t="shared" si="13"/>
        <v>20</v>
      </c>
      <c r="S89" s="1"/>
      <c r="T89" s="1">
        <f t="shared" si="11"/>
        <v>16</v>
      </c>
    </row>
    <row r="90" spans="1:20" x14ac:dyDescent="0.3">
      <c r="A90" s="39" t="s">
        <v>108</v>
      </c>
      <c r="B90" s="5" t="str">
        <f t="shared" si="12"/>
        <v>B210</v>
      </c>
      <c r="C90" s="18" t="str">
        <f t="shared" si="10"/>
        <v>20</v>
      </c>
      <c r="D90" s="1" t="str">
        <f t="shared" si="10"/>
        <v>20</v>
      </c>
      <c r="E90" s="1" t="str">
        <f t="shared" si="13"/>
        <v>08</v>
      </c>
      <c r="F90" s="1" t="str">
        <f t="shared" si="13"/>
        <v>70</v>
      </c>
      <c r="G90" s="1" t="str">
        <f t="shared" si="13"/>
        <v>38</v>
      </c>
      <c r="H90" s="1" t="str">
        <f t="shared" si="13"/>
        <v>70</v>
      </c>
      <c r="I90" s="1" t="str">
        <f t="shared" si="13"/>
        <v>78</v>
      </c>
      <c r="J90" s="1" t="str">
        <f t="shared" si="13"/>
        <v>00</v>
      </c>
      <c r="K90" s="1" t="str">
        <f t="shared" si="13"/>
        <v>01</v>
      </c>
      <c r="L90" s="1" t="str">
        <f t="shared" si="13"/>
        <v>00</v>
      </c>
      <c r="M90" s="1" t="str">
        <f t="shared" si="13"/>
        <v>00</v>
      </c>
      <c r="N90" s="1" t="str">
        <f t="shared" si="13"/>
        <v>02</v>
      </c>
      <c r="O90" s="1" t="str">
        <f t="shared" si="13"/>
        <v>20</v>
      </c>
      <c r="P90" s="1" t="str">
        <f t="shared" si="13"/>
        <v>2A</v>
      </c>
      <c r="Q90" s="1" t="str">
        <f t="shared" si="13"/>
        <v>28</v>
      </c>
      <c r="R90" s="1" t="str">
        <f t="shared" si="13"/>
        <v>2A</v>
      </c>
      <c r="S90" s="1"/>
      <c r="T90" s="1">
        <f t="shared" si="11"/>
        <v>16</v>
      </c>
    </row>
    <row r="91" spans="1:20" x14ac:dyDescent="0.3">
      <c r="A91" s="39" t="s">
        <v>109</v>
      </c>
      <c r="B91" s="5" t="str">
        <f t="shared" si="12"/>
        <v>B220</v>
      </c>
      <c r="C91" s="18" t="str">
        <f t="shared" si="10"/>
        <v>2A</v>
      </c>
      <c r="D91" s="1" t="str">
        <f t="shared" si="10"/>
        <v>02</v>
      </c>
      <c r="E91" s="1" t="str">
        <f t="shared" si="13"/>
        <v>20</v>
      </c>
      <c r="F91" s="1" t="str">
        <f t="shared" si="13"/>
        <v>2A</v>
      </c>
      <c r="G91" s="1" t="str">
        <f t="shared" si="13"/>
        <v>2A</v>
      </c>
      <c r="H91" s="1" t="str">
        <f t="shared" si="13"/>
        <v>55</v>
      </c>
      <c r="I91" s="1" t="str">
        <f t="shared" si="13"/>
        <v>55</v>
      </c>
      <c r="J91" s="1" t="str">
        <f t="shared" si="13"/>
        <v>01</v>
      </c>
      <c r="K91" s="1" t="str">
        <f t="shared" si="13"/>
        <v>41</v>
      </c>
      <c r="L91" s="1" t="str">
        <f t="shared" si="13"/>
        <v>15</v>
      </c>
      <c r="M91" s="1" t="str">
        <f t="shared" si="13"/>
        <v>15</v>
      </c>
      <c r="N91" s="1" t="str">
        <f t="shared" si="13"/>
        <v>01</v>
      </c>
      <c r="O91" s="1" t="str">
        <f t="shared" si="13"/>
        <v>55</v>
      </c>
      <c r="P91" s="1" t="str">
        <f t="shared" si="13"/>
        <v>14</v>
      </c>
      <c r="Q91" s="1" t="str">
        <f t="shared" si="13"/>
        <v>50</v>
      </c>
      <c r="R91" s="1" t="str">
        <f t="shared" si="13"/>
        <v>15</v>
      </c>
      <c r="S91" s="1"/>
      <c r="T91" s="1">
        <f t="shared" si="11"/>
        <v>16</v>
      </c>
    </row>
    <row r="92" spans="1:20" x14ac:dyDescent="0.3">
      <c r="A92" s="39" t="s">
        <v>110</v>
      </c>
      <c r="B92" s="5" t="str">
        <f t="shared" si="12"/>
        <v>B230</v>
      </c>
      <c r="C92" s="18" t="str">
        <f t="shared" si="10"/>
        <v>01</v>
      </c>
      <c r="D92" s="1" t="str">
        <f t="shared" si="10"/>
        <v>55</v>
      </c>
      <c r="E92" s="1" t="str">
        <f t="shared" si="13"/>
        <v>55</v>
      </c>
      <c r="F92" s="1" t="str">
        <f t="shared" si="13"/>
        <v>41</v>
      </c>
      <c r="G92" s="1" t="str">
        <f t="shared" si="13"/>
        <v>55</v>
      </c>
      <c r="H92" s="1" t="str">
        <f t="shared" si="13"/>
        <v>41</v>
      </c>
      <c r="I92" s="1" t="str">
        <f t="shared" si="13"/>
        <v>55</v>
      </c>
      <c r="J92" s="1" t="str">
        <f t="shared" si="13"/>
        <v>55</v>
      </c>
      <c r="K92" s="1" t="str">
        <f t="shared" si="13"/>
        <v>04</v>
      </c>
      <c r="L92" s="1" t="str">
        <f t="shared" si="13"/>
        <v>41</v>
      </c>
      <c r="M92" s="1" t="str">
        <f t="shared" si="13"/>
        <v>45</v>
      </c>
      <c r="N92" s="1" t="str">
        <f t="shared" si="13"/>
        <v>41</v>
      </c>
      <c r="O92" s="1" t="str">
        <f t="shared" si="13"/>
        <v>14</v>
      </c>
      <c r="P92" s="1" t="str">
        <f t="shared" si="13"/>
        <v>55</v>
      </c>
      <c r="Q92" s="1" t="str">
        <f t="shared" si="13"/>
        <v>10</v>
      </c>
      <c r="R92" s="1" t="str">
        <f t="shared" si="13"/>
        <v>50</v>
      </c>
      <c r="S92" s="1"/>
      <c r="T92" s="1">
        <f t="shared" si="11"/>
        <v>16</v>
      </c>
    </row>
    <row r="93" spans="1:20" x14ac:dyDescent="0.3">
      <c r="A93" s="39" t="s">
        <v>111</v>
      </c>
      <c r="B93" s="5" t="str">
        <f t="shared" si="12"/>
        <v>B240</v>
      </c>
      <c r="C93" s="18" t="str">
        <f t="shared" si="10"/>
        <v>00</v>
      </c>
      <c r="D93" s="1" t="str">
        <f t="shared" si="10"/>
        <v>05</v>
      </c>
      <c r="E93" s="1" t="str">
        <f t="shared" si="13"/>
        <v>50</v>
      </c>
      <c r="F93" s="1" t="str">
        <f t="shared" si="13"/>
        <v>10</v>
      </c>
      <c r="G93" s="1" t="str">
        <f t="shared" si="13"/>
        <v>55</v>
      </c>
      <c r="H93" s="1" t="str">
        <f t="shared" si="13"/>
        <v>05</v>
      </c>
      <c r="I93" s="1" t="str">
        <f t="shared" si="13"/>
        <v>00</v>
      </c>
      <c r="J93" s="1" t="str">
        <f t="shared" si="13"/>
        <v>00</v>
      </c>
      <c r="K93" s="1" t="str">
        <f t="shared" si="13"/>
        <v/>
      </c>
      <c r="L93" s="1" t="str">
        <f t="shared" si="13"/>
        <v/>
      </c>
      <c r="M93" s="1" t="str">
        <f t="shared" si="13"/>
        <v/>
      </c>
      <c r="N93" s="1" t="str">
        <f t="shared" si="13"/>
        <v/>
      </c>
      <c r="O93" s="1" t="str">
        <f t="shared" si="13"/>
        <v/>
      </c>
      <c r="P93" s="1" t="str">
        <f t="shared" si="13"/>
        <v/>
      </c>
      <c r="Q93" s="1" t="str">
        <f t="shared" si="13"/>
        <v/>
      </c>
      <c r="R93" s="1" t="str">
        <f t="shared" si="13"/>
        <v/>
      </c>
      <c r="S93" s="1"/>
      <c r="T93" s="1">
        <f t="shared" si="11"/>
        <v>8</v>
      </c>
    </row>
    <row r="94" spans="1:20" x14ac:dyDescent="0.3">
      <c r="A94" s="39" t="s">
        <v>112</v>
      </c>
      <c r="B94" s="5" t="str">
        <f t="shared" si="12"/>
        <v>B248</v>
      </c>
      <c r="C94" s="18" t="str">
        <f t="shared" si="10"/>
        <v>00</v>
      </c>
      <c r="D94" s="1" t="str">
        <f t="shared" si="10"/>
        <v>02</v>
      </c>
      <c r="E94" s="1" t="str">
        <f t="shared" si="13"/>
        <v>02</v>
      </c>
      <c r="F94" s="1" t="str">
        <f t="shared" si="13"/>
        <v>03</v>
      </c>
      <c r="G94" s="1" t="str">
        <f t="shared" si="13"/>
        <v>00</v>
      </c>
      <c r="H94" s="1" t="str">
        <f t="shared" si="13"/>
        <v>00</v>
      </c>
      <c r="I94" s="1" t="str">
        <f t="shared" si="13"/>
        <v>03</v>
      </c>
      <c r="J94" s="1" t="str">
        <f t="shared" si="13"/>
        <v>01</v>
      </c>
      <c r="K94" s="1" t="str">
        <f t="shared" si="13"/>
        <v>00</v>
      </c>
      <c r="L94" s="1" t="str">
        <f t="shared" si="13"/>
        <v>00</v>
      </c>
      <c r="M94" s="1" t="str">
        <f t="shared" si="13"/>
        <v>07</v>
      </c>
      <c r="N94" s="1" t="str">
        <f t="shared" si="13"/>
        <v>00</v>
      </c>
      <c r="O94" s="1" t="str">
        <f t="shared" si="13"/>
        <v>00</v>
      </c>
      <c r="P94" s="1" t="str">
        <f t="shared" si="13"/>
        <v>00</v>
      </c>
      <c r="Q94" s="1" t="str">
        <f t="shared" si="13"/>
        <v>00</v>
      </c>
      <c r="R94" s="1" t="str">
        <f t="shared" si="13"/>
        <v>01</v>
      </c>
      <c r="S94" s="1"/>
      <c r="T94" s="1">
        <f t="shared" si="11"/>
        <v>16</v>
      </c>
    </row>
    <row r="95" spans="1:20" x14ac:dyDescent="0.3">
      <c r="A95" s="39" t="s">
        <v>113</v>
      </c>
      <c r="B95" s="5" t="str">
        <f t="shared" si="12"/>
        <v>B258</v>
      </c>
      <c r="C95" s="18" t="str">
        <f t="shared" si="10"/>
        <v>06</v>
      </c>
      <c r="D95" s="1" t="str">
        <f t="shared" si="10"/>
        <v>00</v>
      </c>
      <c r="E95" s="1" t="str">
        <f t="shared" si="13"/>
        <v>00</v>
      </c>
      <c r="F95" s="1" t="str">
        <f t="shared" si="13"/>
        <v>00</v>
      </c>
      <c r="G95" s="1" t="str">
        <f t="shared" si="13"/>
        <v>00</v>
      </c>
      <c r="H95" s="1" t="str">
        <f t="shared" si="13"/>
        <v>00</v>
      </c>
      <c r="I95" s="1" t="str">
        <f t="shared" si="13"/>
        <v>00</v>
      </c>
      <c r="J95" s="1" t="str">
        <f t="shared" si="13"/>
        <v>00</v>
      </c>
      <c r="K95" s="1" t="str">
        <f t="shared" si="13"/>
        <v>00</v>
      </c>
      <c r="L95" s="1" t="str">
        <f t="shared" si="13"/>
        <v>00</v>
      </c>
      <c r="M95" s="1" t="str">
        <f t="shared" si="13"/>
        <v>00</v>
      </c>
      <c r="N95" s="1" t="str">
        <f t="shared" si="13"/>
        <v>00</v>
      </c>
      <c r="O95" s="1" t="str">
        <f t="shared" si="13"/>
        <v>00</v>
      </c>
      <c r="P95" s="1" t="str">
        <f t="shared" si="13"/>
        <v>02</v>
      </c>
      <c r="Q95" s="1" t="str">
        <f t="shared" si="13"/>
        <v>00</v>
      </c>
      <c r="R95" s="1" t="str">
        <f t="shared" si="13"/>
        <v>02</v>
      </c>
      <c r="S95" s="1"/>
      <c r="T95" s="1">
        <f t="shared" si="11"/>
        <v>16</v>
      </c>
    </row>
    <row r="96" spans="1:20" x14ac:dyDescent="0.3">
      <c r="A96" s="39" t="s">
        <v>114</v>
      </c>
      <c r="B96" s="5" t="str">
        <f t="shared" si="12"/>
        <v>B268</v>
      </c>
      <c r="C96" s="18" t="str">
        <f t="shared" si="10"/>
        <v>02</v>
      </c>
      <c r="D96" s="1" t="str">
        <f t="shared" si="10"/>
        <v>02</v>
      </c>
      <c r="E96" s="1" t="str">
        <f t="shared" si="13"/>
        <v>00</v>
      </c>
      <c r="F96" s="1" t="str">
        <f t="shared" si="13"/>
        <v>01</v>
      </c>
      <c r="G96" s="1" t="str">
        <f t="shared" si="13"/>
        <v>00</v>
      </c>
      <c r="H96" s="1" t="str">
        <f t="shared" si="13"/>
        <v>04</v>
      </c>
      <c r="I96" s="1" t="str">
        <f t="shared" si="13"/>
        <v>00</v>
      </c>
      <c r="J96" s="1" t="str">
        <f t="shared" si="13"/>
        <v>00</v>
      </c>
      <c r="K96" s="1" t="str">
        <f t="shared" si="13"/>
        <v>00</v>
      </c>
      <c r="L96" s="1" t="str">
        <f t="shared" si="13"/>
        <v>04</v>
      </c>
      <c r="M96" s="1" t="str">
        <f t="shared" si="13"/>
        <v>00</v>
      </c>
      <c r="N96" s="1" t="str">
        <f t="shared" si="13"/>
        <v>00</v>
      </c>
      <c r="O96" s="1" t="str">
        <f t="shared" si="13"/>
        <v>00</v>
      </c>
      <c r="P96" s="1" t="str">
        <f t="shared" si="13"/>
        <v>00</v>
      </c>
      <c r="Q96" s="1" t="str">
        <f t="shared" si="13"/>
        <v>00</v>
      </c>
      <c r="R96" s="1" t="str">
        <f t="shared" si="13"/>
        <v>00</v>
      </c>
      <c r="S96" s="1"/>
      <c r="T96" s="1">
        <f t="shared" si="11"/>
        <v>16</v>
      </c>
    </row>
    <row r="97" spans="1:20" x14ac:dyDescent="0.3">
      <c r="A97" s="39" t="s">
        <v>115</v>
      </c>
      <c r="B97" s="5" t="str">
        <f t="shared" si="12"/>
        <v>B278</v>
      </c>
      <c r="C97" s="18" t="str">
        <f t="shared" ref="C97:D128" si="14">MID($A97,13+C$2*3,2)</f>
        <v>00</v>
      </c>
      <c r="D97" s="1" t="str">
        <f t="shared" si="14"/>
        <v>00</v>
      </c>
      <c r="E97" s="1" t="str">
        <f t="shared" si="13"/>
        <v>00</v>
      </c>
      <c r="F97" s="1" t="str">
        <f t="shared" si="13"/>
        <v>00</v>
      </c>
      <c r="G97" s="1" t="str">
        <f t="shared" si="13"/>
        <v>00</v>
      </c>
      <c r="H97" s="1" t="str">
        <f t="shared" si="13"/>
        <v>01</v>
      </c>
      <c r="I97" s="1" t="str">
        <f t="shared" si="13"/>
        <v>00</v>
      </c>
      <c r="J97" s="1" t="str">
        <f t="shared" si="13"/>
        <v>00</v>
      </c>
      <c r="K97" s="1" t="str">
        <f t="shared" si="13"/>
        <v>02</v>
      </c>
      <c r="L97" s="1" t="str">
        <f t="shared" si="13"/>
        <v>00</v>
      </c>
      <c r="M97" s="1" t="str">
        <f t="shared" si="13"/>
        <v>00</v>
      </c>
      <c r="N97" s="1" t="str">
        <f t="shared" si="13"/>
        <v>01</v>
      </c>
      <c r="O97" s="1" t="str">
        <f t="shared" si="13"/>
        <v>00</v>
      </c>
      <c r="P97" s="1" t="str">
        <f t="shared" si="13"/>
        <v>01</v>
      </c>
      <c r="Q97" s="1" t="str">
        <f t="shared" si="13"/>
        <v>01</v>
      </c>
      <c r="R97" s="1" t="str">
        <f t="shared" si="13"/>
        <v>01</v>
      </c>
      <c r="S97" s="1"/>
      <c r="T97" s="1">
        <f t="shared" si="11"/>
        <v>16</v>
      </c>
    </row>
    <row r="98" spans="1:20" x14ac:dyDescent="0.3">
      <c r="A98" s="39" t="s">
        <v>116</v>
      </c>
      <c r="B98" s="5" t="str">
        <f t="shared" si="12"/>
        <v>B288</v>
      </c>
      <c r="C98" s="18" t="str">
        <f t="shared" si="14"/>
        <v>01</v>
      </c>
      <c r="D98" s="1" t="str">
        <f t="shared" si="14"/>
        <v>00</v>
      </c>
      <c r="E98" s="1" t="str">
        <f t="shared" si="13"/>
        <v>01</v>
      </c>
      <c r="F98" s="1" t="str">
        <f t="shared" si="13"/>
        <v>01</v>
      </c>
      <c r="G98" s="1" t="str">
        <f t="shared" si="13"/>
        <v>01</v>
      </c>
      <c r="H98" s="1" t="str">
        <f t="shared" si="13"/>
        <v>00</v>
      </c>
      <c r="I98" s="1" t="str">
        <f t="shared" si="13"/>
        <v>00</v>
      </c>
      <c r="J98" s="1" t="str">
        <f t="shared" si="13"/>
        <v>00</v>
      </c>
      <c r="K98" s="1" t="str">
        <f t="shared" si="13"/>
        <v>00</v>
      </c>
      <c r="L98" s="1" t="str">
        <f t="shared" si="13"/>
        <v>00</v>
      </c>
      <c r="M98" s="1" t="str">
        <f t="shared" si="13"/>
        <v>00</v>
      </c>
      <c r="N98" s="1" t="str">
        <f t="shared" si="13"/>
        <v>00</v>
      </c>
      <c r="O98" s="1" t="str">
        <f t="shared" si="13"/>
        <v>00</v>
      </c>
      <c r="P98" s="1" t="str">
        <f t="shared" si="13"/>
        <v>00</v>
      </c>
      <c r="Q98" s="1" t="str">
        <f t="shared" si="13"/>
        <v>00</v>
      </c>
      <c r="R98" s="1" t="str">
        <f t="shared" si="13"/>
        <v>00</v>
      </c>
      <c r="S98" s="1"/>
      <c r="T98" s="1">
        <f t="shared" si="11"/>
        <v>16</v>
      </c>
    </row>
    <row r="99" spans="1:20" x14ac:dyDescent="0.3">
      <c r="A99" s="39" t="s">
        <v>41</v>
      </c>
      <c r="B99" s="5" t="str">
        <f t="shared" si="12"/>
        <v>B298</v>
      </c>
      <c r="C99" s="18" t="str">
        <f t="shared" si="14"/>
        <v>00</v>
      </c>
      <c r="D99" s="1" t="str">
        <f t="shared" si="14"/>
        <v>00</v>
      </c>
      <c r="E99" s="1" t="str">
        <f t="shared" si="13"/>
        <v>00</v>
      </c>
      <c r="F99" s="1" t="str">
        <f t="shared" si="13"/>
        <v>00</v>
      </c>
      <c r="G99" s="1" t="str">
        <f t="shared" si="13"/>
        <v>00</v>
      </c>
      <c r="H99" s="1" t="str">
        <f t="shared" si="13"/>
        <v>00</v>
      </c>
      <c r="I99" s="1" t="str">
        <f t="shared" si="13"/>
        <v>00</v>
      </c>
      <c r="J99" s="1" t="str">
        <f t="shared" si="13"/>
        <v>00</v>
      </c>
      <c r="K99" s="1" t="str">
        <f t="shared" si="13"/>
        <v>00</v>
      </c>
      <c r="L99" s="1" t="str">
        <f t="shared" si="13"/>
        <v>00</v>
      </c>
      <c r="M99" s="1" t="str">
        <f t="shared" si="13"/>
        <v>00</v>
      </c>
      <c r="N99" s="1" t="str">
        <f t="shared" si="13"/>
        <v>00</v>
      </c>
      <c r="O99" s="1" t="str">
        <f t="shared" si="13"/>
        <v>00</v>
      </c>
      <c r="P99" s="1" t="str">
        <f t="shared" si="13"/>
        <v>00</v>
      </c>
      <c r="Q99" s="1" t="str">
        <f t="shared" si="13"/>
        <v>00</v>
      </c>
      <c r="R99" s="1" t="str">
        <f t="shared" si="13"/>
        <v>00</v>
      </c>
      <c r="S99" s="1"/>
      <c r="T99" s="1">
        <f t="shared" si="11"/>
        <v>16</v>
      </c>
    </row>
    <row r="100" spans="1:20" x14ac:dyDescent="0.3">
      <c r="A100" s="39" t="s">
        <v>117</v>
      </c>
      <c r="B100" s="5" t="str">
        <f t="shared" si="12"/>
        <v>B2A8</v>
      </c>
      <c r="C100" s="18" t="str">
        <f t="shared" si="14"/>
        <v>00</v>
      </c>
      <c r="D100" s="1" t="str">
        <f t="shared" si="14"/>
        <v>00</v>
      </c>
      <c r="E100" s="1" t="str">
        <f t="shared" si="13"/>
        <v>00</v>
      </c>
      <c r="F100" s="1" t="str">
        <f t="shared" si="13"/>
        <v>00</v>
      </c>
      <c r="G100" s="1" t="str">
        <f t="shared" si="13"/>
        <v>02</v>
      </c>
      <c r="H100" s="1" t="str">
        <f t="shared" si="13"/>
        <v>00</v>
      </c>
      <c r="I100" s="1" t="str">
        <f t="shared" si="13"/>
        <v>6C</v>
      </c>
      <c r="J100" s="1" t="str">
        <f t="shared" si="13"/>
        <v>00</v>
      </c>
      <c r="K100" s="1" t="str">
        <f t="shared" si="13"/>
        <v/>
      </c>
      <c r="L100" s="1" t="str">
        <f t="shared" si="13"/>
        <v/>
      </c>
      <c r="M100" s="1" t="str">
        <f t="shared" si="13"/>
        <v/>
      </c>
      <c r="N100" s="1" t="str">
        <f t="shared" si="13"/>
        <v/>
      </c>
      <c r="O100" s="1" t="str">
        <f t="shared" si="13"/>
        <v/>
      </c>
      <c r="P100" s="1" t="str">
        <f t="shared" si="13"/>
        <v/>
      </c>
      <c r="Q100" s="1" t="str">
        <f t="shared" si="13"/>
        <v/>
      </c>
      <c r="R100" s="1" t="str">
        <f t="shared" si="13"/>
        <v/>
      </c>
      <c r="S100" s="1"/>
      <c r="T100" s="1">
        <f t="shared" si="11"/>
        <v>8</v>
      </c>
    </row>
    <row r="101" spans="1:20" x14ac:dyDescent="0.3">
      <c r="A101" s="39" t="s">
        <v>118</v>
      </c>
      <c r="B101" s="5" t="str">
        <f t="shared" si="12"/>
        <v>B2B0</v>
      </c>
      <c r="C101" s="18" t="str">
        <f t="shared" si="14"/>
        <v>00</v>
      </c>
      <c r="D101" s="1" t="str">
        <f t="shared" si="14"/>
        <v>51</v>
      </c>
      <c r="E101" s="1" t="str">
        <f t="shared" si="13"/>
        <v>55</v>
      </c>
      <c r="F101" s="1" t="str">
        <f t="shared" si="13"/>
        <v>7E</v>
      </c>
      <c r="G101" s="1" t="str">
        <f t="shared" si="13"/>
        <v>00</v>
      </c>
      <c r="H101" s="1" t="str">
        <f t="shared" si="13"/>
        <v>30</v>
      </c>
      <c r="I101" s="1" t="str">
        <f t="shared" si="13"/>
        <v>06</v>
      </c>
      <c r="J101" s="1" t="str">
        <f t="shared" ref="E101:R119" si="15">MID($A101,13+J$2*3,2)</f>
        <v>78</v>
      </c>
      <c r="K101" s="1" t="str">
        <f t="shared" si="15"/>
        <v>70</v>
      </c>
      <c r="L101" s="1" t="str">
        <f t="shared" si="15"/>
        <v>70</v>
      </c>
      <c r="M101" s="1" t="str">
        <f t="shared" si="15"/>
        <v>7F</v>
      </c>
      <c r="N101" s="1" t="str">
        <f t="shared" si="15"/>
        <v>38</v>
      </c>
      <c r="O101" s="1" t="str">
        <f t="shared" si="15"/>
        <v>1C</v>
      </c>
      <c r="P101" s="1" t="str">
        <f t="shared" si="15"/>
        <v>3C</v>
      </c>
      <c r="Q101" s="1" t="str">
        <f t="shared" si="15"/>
        <v>58</v>
      </c>
      <c r="R101" s="1" t="str">
        <f t="shared" si="15"/>
        <v>60</v>
      </c>
      <c r="S101" s="1"/>
      <c r="T101" s="1">
        <f t="shared" si="11"/>
        <v>16</v>
      </c>
    </row>
    <row r="102" spans="1:20" x14ac:dyDescent="0.3">
      <c r="A102" s="39" t="s">
        <v>119</v>
      </c>
      <c r="B102" s="5" t="str">
        <f t="shared" si="12"/>
        <v>B2C0</v>
      </c>
      <c r="C102" s="18" t="str">
        <f t="shared" si="14"/>
        <v>60</v>
      </c>
      <c r="D102" s="1" t="str">
        <f t="shared" si="14"/>
        <v>70</v>
      </c>
      <c r="E102" s="1" t="str">
        <f t="shared" si="15"/>
        <v>6C</v>
      </c>
      <c r="F102" s="1" t="str">
        <f t="shared" si="15"/>
        <v>6C</v>
      </c>
      <c r="G102" s="1" t="str">
        <f t="shared" si="15"/>
        <v>58</v>
      </c>
      <c r="H102" s="1" t="str">
        <f t="shared" si="15"/>
        <v>1E</v>
      </c>
      <c r="I102" s="1" t="str">
        <f t="shared" si="15"/>
        <v>1C</v>
      </c>
      <c r="J102" s="1" t="str">
        <f t="shared" si="15"/>
        <v>70</v>
      </c>
      <c r="K102" s="1" t="str">
        <f t="shared" si="15"/>
        <v>60</v>
      </c>
      <c r="L102" s="1" t="str">
        <f t="shared" si="15"/>
        <v>60</v>
      </c>
      <c r="M102" s="1" t="str">
        <f t="shared" si="15"/>
        <v>38</v>
      </c>
      <c r="N102" s="1" t="str">
        <f t="shared" si="15"/>
        <v>40</v>
      </c>
      <c r="O102" s="1" t="str">
        <f t="shared" si="15"/>
        <v>04</v>
      </c>
      <c r="P102" s="1" t="str">
        <f t="shared" si="15"/>
        <v>01</v>
      </c>
      <c r="Q102" s="1" t="str">
        <f t="shared" si="15"/>
        <v>00</v>
      </c>
      <c r="R102" s="1" t="str">
        <f t="shared" si="15"/>
        <v>51</v>
      </c>
      <c r="S102" s="1"/>
      <c r="T102" s="1">
        <f t="shared" si="11"/>
        <v>16</v>
      </c>
    </row>
    <row r="103" spans="1:20" x14ac:dyDescent="0.3">
      <c r="A103" s="39" t="s">
        <v>120</v>
      </c>
      <c r="B103" s="5" t="str">
        <f t="shared" si="12"/>
        <v>B2D0</v>
      </c>
      <c r="C103" s="18" t="str">
        <f t="shared" si="14"/>
        <v>51</v>
      </c>
      <c r="D103" s="1" t="str">
        <f t="shared" si="14"/>
        <v>51</v>
      </c>
      <c r="E103" s="1" t="str">
        <f t="shared" si="15"/>
        <v>51</v>
      </c>
      <c r="F103" s="1" t="str">
        <f t="shared" si="15"/>
        <v>29</v>
      </c>
      <c r="G103" s="1" t="str">
        <f t="shared" si="15"/>
        <v>20</v>
      </c>
      <c r="H103" s="1" t="str">
        <f t="shared" si="15"/>
        <v>38</v>
      </c>
      <c r="I103" s="1" t="str">
        <f t="shared" si="15"/>
        <v>44</v>
      </c>
      <c r="J103" s="1" t="str">
        <f t="shared" si="15"/>
        <v>02</v>
      </c>
      <c r="K103" s="1" t="str">
        <f t="shared" si="15"/>
        <v>70</v>
      </c>
      <c r="L103" s="1" t="str">
        <f t="shared" si="15"/>
        <v>60</v>
      </c>
      <c r="M103" s="1" t="str">
        <f t="shared" si="15"/>
        <v>70</v>
      </c>
      <c r="N103" s="1" t="str">
        <f t="shared" si="15"/>
        <v>38</v>
      </c>
      <c r="O103" s="1" t="str">
        <f t="shared" si="15"/>
        <v>78</v>
      </c>
      <c r="P103" s="1" t="str">
        <f t="shared" si="15"/>
        <v>1E</v>
      </c>
      <c r="Q103" s="1" t="str">
        <f t="shared" si="15"/>
        <v>1C</v>
      </c>
      <c r="R103" s="1" t="str">
        <f t="shared" si="15"/>
        <v>70</v>
      </c>
      <c r="S103" s="1"/>
      <c r="T103" s="1">
        <f t="shared" si="11"/>
        <v>16</v>
      </c>
    </row>
    <row r="104" spans="1:20" x14ac:dyDescent="0.3">
      <c r="A104" s="39" t="s">
        <v>121</v>
      </c>
      <c r="B104" s="5" t="str">
        <f t="shared" si="12"/>
        <v>B2E0</v>
      </c>
      <c r="C104" s="18" t="str">
        <f t="shared" si="14"/>
        <v>70</v>
      </c>
      <c r="D104" s="1" t="str">
        <f t="shared" si="14"/>
        <v>70</v>
      </c>
      <c r="E104" s="1" t="str">
        <f t="shared" si="15"/>
        <v>1C</v>
      </c>
      <c r="F104" s="1" t="str">
        <f t="shared" si="15"/>
        <v>58</v>
      </c>
      <c r="G104" s="1" t="str">
        <f t="shared" si="15"/>
        <v>6C</v>
      </c>
      <c r="H104" s="1" t="str">
        <f t="shared" si="15"/>
        <v>30</v>
      </c>
      <c r="I104" s="1" t="str">
        <f t="shared" si="15"/>
        <v>6C</v>
      </c>
      <c r="J104" s="1" t="str">
        <f t="shared" si="15"/>
        <v>00</v>
      </c>
      <c r="K104" s="1" t="str">
        <f t="shared" si="15"/>
        <v>01</v>
      </c>
      <c r="L104" s="1" t="str">
        <f t="shared" si="15"/>
        <v>00</v>
      </c>
      <c r="M104" s="1" t="str">
        <f t="shared" si="15"/>
        <v>00</v>
      </c>
      <c r="N104" s="1" t="str">
        <f t="shared" si="15"/>
        <v>22</v>
      </c>
      <c r="O104" s="1" t="str">
        <f t="shared" si="15"/>
        <v>20</v>
      </c>
      <c r="P104" s="1" t="str">
        <f t="shared" si="15"/>
        <v>02</v>
      </c>
      <c r="Q104" s="1" t="str">
        <f t="shared" si="15"/>
        <v>00</v>
      </c>
      <c r="R104" s="1" t="str">
        <f t="shared" si="15"/>
        <v>00</v>
      </c>
      <c r="S104" s="1"/>
      <c r="T104" s="1">
        <f t="shared" si="11"/>
        <v>16</v>
      </c>
    </row>
    <row r="105" spans="1:20" x14ac:dyDescent="0.3">
      <c r="A105" s="39" t="s">
        <v>122</v>
      </c>
      <c r="B105" s="5" t="str">
        <f t="shared" si="12"/>
        <v>B2F0</v>
      </c>
      <c r="C105" s="18" t="str">
        <f t="shared" si="14"/>
        <v>20</v>
      </c>
      <c r="D105" s="1" t="str">
        <f t="shared" si="14"/>
        <v>2A</v>
      </c>
      <c r="E105" s="1" t="str">
        <f t="shared" si="15"/>
        <v>28</v>
      </c>
      <c r="F105" s="1" t="str">
        <f t="shared" si="15"/>
        <v>02</v>
      </c>
      <c r="G105" s="1" t="str">
        <f t="shared" si="15"/>
        <v>20</v>
      </c>
      <c r="H105" s="1" t="str">
        <f t="shared" si="15"/>
        <v>41</v>
      </c>
      <c r="I105" s="1" t="str">
        <f t="shared" si="15"/>
        <v>41</v>
      </c>
      <c r="J105" s="1" t="str">
        <f t="shared" si="15"/>
        <v>05</v>
      </c>
      <c r="K105" s="1" t="str">
        <f t="shared" si="15"/>
        <v>45</v>
      </c>
      <c r="L105" s="1" t="str">
        <f t="shared" si="15"/>
        <v>01</v>
      </c>
      <c r="M105" s="1" t="str">
        <f t="shared" si="15"/>
        <v>01</v>
      </c>
      <c r="N105" s="1" t="str">
        <f t="shared" si="15"/>
        <v>51</v>
      </c>
      <c r="O105" s="1" t="str">
        <f t="shared" si="15"/>
        <v>45</v>
      </c>
      <c r="P105" s="1" t="str">
        <f t="shared" si="15"/>
        <v>14</v>
      </c>
      <c r="Q105" s="1" t="str">
        <f t="shared" si="15"/>
        <v>50</v>
      </c>
      <c r="R105" s="1" t="str">
        <f t="shared" si="15"/>
        <v>55</v>
      </c>
      <c r="S105" s="1"/>
      <c r="T105" s="1">
        <f t="shared" si="11"/>
        <v>16</v>
      </c>
    </row>
    <row r="106" spans="1:20" x14ac:dyDescent="0.3">
      <c r="A106" s="39" t="s">
        <v>123</v>
      </c>
      <c r="B106" s="5" t="str">
        <f t="shared" si="12"/>
        <v>B300</v>
      </c>
      <c r="C106" s="18" t="str">
        <f t="shared" si="14"/>
        <v>05</v>
      </c>
      <c r="D106" s="1" t="str">
        <f t="shared" si="14"/>
        <v>41</v>
      </c>
      <c r="E106" s="1" t="str">
        <f t="shared" si="15"/>
        <v>55</v>
      </c>
      <c r="F106" s="1" t="str">
        <f t="shared" si="15"/>
        <v>41</v>
      </c>
      <c r="G106" s="1" t="str">
        <f t="shared" si="15"/>
        <v>05</v>
      </c>
      <c r="H106" s="1" t="str">
        <f t="shared" si="15"/>
        <v>41</v>
      </c>
      <c r="I106" s="1" t="str">
        <f t="shared" si="15"/>
        <v>15</v>
      </c>
      <c r="J106" s="1" t="str">
        <f t="shared" si="15"/>
        <v>50</v>
      </c>
      <c r="K106" s="1" t="str">
        <f t="shared" si="15"/>
        <v>14</v>
      </c>
      <c r="L106" s="1" t="str">
        <f t="shared" si="15"/>
        <v>45</v>
      </c>
      <c r="M106" s="1" t="str">
        <f t="shared" si="15"/>
        <v>45</v>
      </c>
      <c r="N106" s="1" t="str">
        <f t="shared" si="15"/>
        <v>55</v>
      </c>
      <c r="O106" s="1" t="str">
        <f t="shared" si="15"/>
        <v>14</v>
      </c>
      <c r="P106" s="1" t="str">
        <f t="shared" si="15"/>
        <v>14</v>
      </c>
      <c r="Q106" s="1" t="str">
        <f t="shared" si="15"/>
        <v>14</v>
      </c>
      <c r="R106" s="1" t="str">
        <f t="shared" si="15"/>
        <v>50</v>
      </c>
      <c r="S106" s="1"/>
      <c r="T106" s="1">
        <f t="shared" si="11"/>
        <v>16</v>
      </c>
    </row>
    <row r="107" spans="1:20" x14ac:dyDescent="0.3">
      <c r="A107" s="39" t="s">
        <v>124</v>
      </c>
      <c r="B107" s="5" t="str">
        <f t="shared" si="12"/>
        <v>B310</v>
      </c>
      <c r="C107" s="18" t="str">
        <f t="shared" si="14"/>
        <v>00</v>
      </c>
      <c r="D107" s="1" t="str">
        <f t="shared" si="14"/>
        <v>05</v>
      </c>
      <c r="E107" s="1" t="str">
        <f t="shared" si="15"/>
        <v>50</v>
      </c>
      <c r="F107" s="1" t="str">
        <f t="shared" si="15"/>
        <v>04</v>
      </c>
      <c r="G107" s="1" t="str">
        <f t="shared" si="15"/>
        <v>55</v>
      </c>
      <c r="H107" s="1" t="str">
        <f t="shared" si="15"/>
        <v>05</v>
      </c>
      <c r="I107" s="1" t="str">
        <f t="shared" si="15"/>
        <v>00</v>
      </c>
      <c r="J107" s="1" t="str">
        <f t="shared" si="15"/>
        <v>01</v>
      </c>
      <c r="K107" s="1" t="str">
        <f t="shared" si="15"/>
        <v/>
      </c>
      <c r="L107" s="1" t="str">
        <f t="shared" si="15"/>
        <v/>
      </c>
      <c r="M107" s="1" t="str">
        <f t="shared" si="15"/>
        <v/>
      </c>
      <c r="N107" s="1" t="str">
        <f t="shared" si="15"/>
        <v/>
      </c>
      <c r="O107" s="1" t="str">
        <f t="shared" si="15"/>
        <v/>
      </c>
      <c r="P107" s="1" t="str">
        <f t="shared" si="15"/>
        <v/>
      </c>
      <c r="Q107" s="1" t="str">
        <f t="shared" si="15"/>
        <v/>
      </c>
      <c r="R107" s="1" t="str">
        <f t="shared" si="15"/>
        <v/>
      </c>
      <c r="S107" s="1"/>
      <c r="T107" s="1">
        <f t="shared" si="11"/>
        <v>8</v>
      </c>
    </row>
    <row r="108" spans="1:20" x14ac:dyDescent="0.3">
      <c r="A108" s="39" t="s">
        <v>125</v>
      </c>
      <c r="B108" s="5" t="str">
        <f t="shared" si="12"/>
        <v>B318</v>
      </c>
      <c r="C108" s="18" t="str">
        <f t="shared" si="14"/>
        <v>00</v>
      </c>
      <c r="D108" s="1" t="str">
        <f t="shared" si="14"/>
        <v>02</v>
      </c>
      <c r="E108" s="1" t="str">
        <f t="shared" si="15"/>
        <v>02</v>
      </c>
      <c r="F108" s="1" t="str">
        <f t="shared" si="15"/>
        <v>03</v>
      </c>
      <c r="G108" s="1" t="str">
        <f t="shared" si="15"/>
        <v>00</v>
      </c>
      <c r="H108" s="1" t="str">
        <f t="shared" si="15"/>
        <v>00</v>
      </c>
      <c r="I108" s="1" t="str">
        <f t="shared" si="15"/>
        <v>03</v>
      </c>
      <c r="J108" s="1" t="str">
        <f t="shared" si="15"/>
        <v>01</v>
      </c>
      <c r="K108" s="1" t="str">
        <f t="shared" si="15"/>
        <v>00</v>
      </c>
      <c r="L108" s="1" t="str">
        <f t="shared" si="15"/>
        <v>00</v>
      </c>
      <c r="M108" s="1" t="str">
        <f t="shared" si="15"/>
        <v>07</v>
      </c>
      <c r="N108" s="1" t="str">
        <f t="shared" si="15"/>
        <v>00</v>
      </c>
      <c r="O108" s="1" t="str">
        <f t="shared" si="15"/>
        <v>00</v>
      </c>
      <c r="P108" s="1" t="str">
        <f t="shared" si="15"/>
        <v>00</v>
      </c>
      <c r="Q108" s="1" t="str">
        <f t="shared" si="15"/>
        <v>01</v>
      </c>
      <c r="R108" s="1" t="str">
        <f t="shared" si="15"/>
        <v>01</v>
      </c>
      <c r="S108" s="1"/>
      <c r="T108" s="1">
        <f t="shared" si="11"/>
        <v>16</v>
      </c>
    </row>
    <row r="109" spans="1:20" x14ac:dyDescent="0.3">
      <c r="A109" s="39" t="s">
        <v>126</v>
      </c>
      <c r="B109" s="5" t="str">
        <f t="shared" si="12"/>
        <v>B328</v>
      </c>
      <c r="C109" s="18" t="str">
        <f t="shared" si="14"/>
        <v>01</v>
      </c>
      <c r="D109" s="1" t="str">
        <f t="shared" si="14"/>
        <v>01</v>
      </c>
      <c r="E109" s="1" t="str">
        <f t="shared" si="15"/>
        <v>00</v>
      </c>
      <c r="F109" s="1" t="str">
        <f t="shared" si="15"/>
        <v>00</v>
      </c>
      <c r="G109" s="1" t="str">
        <f t="shared" si="15"/>
        <v>01</v>
      </c>
      <c r="H109" s="1" t="str">
        <f t="shared" si="15"/>
        <v>00</v>
      </c>
      <c r="I109" s="1" t="str">
        <f t="shared" si="15"/>
        <v>00</v>
      </c>
      <c r="J109" s="1" t="str">
        <f t="shared" si="15"/>
        <v>00</v>
      </c>
      <c r="K109" s="1" t="str">
        <f t="shared" si="15"/>
        <v>03</v>
      </c>
      <c r="L109" s="1" t="str">
        <f t="shared" si="15"/>
        <v>01</v>
      </c>
      <c r="M109" s="1" t="str">
        <f t="shared" si="15"/>
        <v>00</v>
      </c>
      <c r="N109" s="1" t="str">
        <f t="shared" si="15"/>
        <v>04</v>
      </c>
      <c r="O109" s="1" t="str">
        <f t="shared" si="15"/>
        <v>00</v>
      </c>
      <c r="P109" s="1" t="str">
        <f t="shared" si="15"/>
        <v>00</v>
      </c>
      <c r="Q109" s="1" t="str">
        <f t="shared" si="15"/>
        <v>02</v>
      </c>
      <c r="R109" s="1" t="str">
        <f t="shared" si="15"/>
        <v>02</v>
      </c>
      <c r="S109" s="1"/>
      <c r="T109" s="1">
        <f t="shared" si="11"/>
        <v>16</v>
      </c>
    </row>
    <row r="110" spans="1:20" x14ac:dyDescent="0.3">
      <c r="A110" s="39" t="s">
        <v>127</v>
      </c>
      <c r="B110" s="5" t="str">
        <f t="shared" si="12"/>
        <v>B338</v>
      </c>
      <c r="C110" s="18" t="str">
        <f t="shared" si="14"/>
        <v>02</v>
      </c>
      <c r="D110" s="1" t="str">
        <f t="shared" si="14"/>
        <v>02</v>
      </c>
      <c r="E110" s="1" t="str">
        <f t="shared" si="15"/>
        <v>02</v>
      </c>
      <c r="F110" s="1" t="str">
        <f t="shared" si="15"/>
        <v>01</v>
      </c>
      <c r="G110" s="1" t="str">
        <f t="shared" si="15"/>
        <v>00</v>
      </c>
      <c r="H110" s="1" t="str">
        <f t="shared" si="15"/>
        <v>00</v>
      </c>
      <c r="I110" s="1" t="str">
        <f t="shared" si="15"/>
        <v>00</v>
      </c>
      <c r="J110" s="1" t="str">
        <f t="shared" si="15"/>
        <v>00</v>
      </c>
      <c r="K110" s="1" t="str">
        <f t="shared" si="15"/>
        <v>00</v>
      </c>
      <c r="L110" s="1" t="str">
        <f t="shared" si="15"/>
        <v>01</v>
      </c>
      <c r="M110" s="1" t="str">
        <f t="shared" si="15"/>
        <v>01</v>
      </c>
      <c r="N110" s="1" t="str">
        <f t="shared" si="15"/>
        <v>00</v>
      </c>
      <c r="O110" s="1" t="str">
        <f t="shared" si="15"/>
        <v>00</v>
      </c>
      <c r="P110" s="1" t="str">
        <f t="shared" si="15"/>
        <v>00</v>
      </c>
      <c r="Q110" s="1" t="str">
        <f t="shared" si="15"/>
        <v>00</v>
      </c>
      <c r="R110" s="1" t="str">
        <f t="shared" si="15"/>
        <v>00</v>
      </c>
      <c r="S110" s="1"/>
      <c r="T110" s="1">
        <f t="shared" si="11"/>
        <v>16</v>
      </c>
    </row>
    <row r="111" spans="1:20" x14ac:dyDescent="0.3">
      <c r="A111" s="39" t="s">
        <v>128</v>
      </c>
      <c r="B111" s="5" t="str">
        <f t="shared" si="12"/>
        <v>B348</v>
      </c>
      <c r="C111" s="18" t="str">
        <f t="shared" si="14"/>
        <v>01</v>
      </c>
      <c r="D111" s="1" t="str">
        <f t="shared" si="14"/>
        <v>00</v>
      </c>
      <c r="E111" s="1" t="str">
        <f t="shared" si="15"/>
        <v>00</v>
      </c>
      <c r="F111" s="1" t="str">
        <f t="shared" si="15"/>
        <v>01</v>
      </c>
      <c r="G111" s="1" t="str">
        <f t="shared" si="15"/>
        <v>00</v>
      </c>
      <c r="H111" s="1" t="str">
        <f t="shared" si="15"/>
        <v>03</v>
      </c>
      <c r="I111" s="1" t="str">
        <f t="shared" si="15"/>
        <v>00</v>
      </c>
      <c r="J111" s="1" t="str">
        <f t="shared" si="15"/>
        <v>00</v>
      </c>
      <c r="K111" s="1" t="str">
        <f t="shared" si="15"/>
        <v>02</v>
      </c>
      <c r="L111" s="1" t="str">
        <f t="shared" si="15"/>
        <v>00</v>
      </c>
      <c r="M111" s="1" t="str">
        <f t="shared" si="15"/>
        <v>00</v>
      </c>
      <c r="N111" s="1" t="str">
        <f t="shared" si="15"/>
        <v>01</v>
      </c>
      <c r="O111" s="1" t="str">
        <f t="shared" si="15"/>
        <v>00</v>
      </c>
      <c r="P111" s="1" t="str">
        <f t="shared" si="15"/>
        <v>00</v>
      </c>
      <c r="Q111" s="1" t="str">
        <f t="shared" si="15"/>
        <v>01</v>
      </c>
      <c r="R111" s="1" t="str">
        <f t="shared" si="15"/>
        <v>01</v>
      </c>
      <c r="S111" s="1"/>
      <c r="T111" s="1">
        <f t="shared" si="11"/>
        <v>16</v>
      </c>
    </row>
    <row r="112" spans="1:20" x14ac:dyDescent="0.3">
      <c r="A112" s="39" t="s">
        <v>129</v>
      </c>
      <c r="B112" s="5" t="str">
        <f t="shared" si="12"/>
        <v>B358</v>
      </c>
      <c r="C112" s="18" t="str">
        <f t="shared" si="14"/>
        <v>01</v>
      </c>
      <c r="D112" s="1" t="str">
        <f t="shared" si="14"/>
        <v>01</v>
      </c>
      <c r="E112" s="1" t="str">
        <f t="shared" si="15"/>
        <v>00</v>
      </c>
      <c r="F112" s="1" t="str">
        <f t="shared" si="15"/>
        <v>01</v>
      </c>
      <c r="G112" s="1" t="str">
        <f t="shared" si="15"/>
        <v>01</v>
      </c>
      <c r="H112" s="1" t="str">
        <f t="shared" si="15"/>
        <v>00</v>
      </c>
      <c r="I112" s="1" t="str">
        <f t="shared" si="15"/>
        <v>00</v>
      </c>
      <c r="J112" s="1" t="str">
        <f t="shared" si="15"/>
        <v>00</v>
      </c>
      <c r="K112" s="1" t="str">
        <f t="shared" si="15"/>
        <v>00</v>
      </c>
      <c r="L112" s="1" t="str">
        <f t="shared" si="15"/>
        <v>00</v>
      </c>
      <c r="M112" s="1" t="str">
        <f t="shared" si="15"/>
        <v>00</v>
      </c>
      <c r="N112" s="1" t="str">
        <f t="shared" si="15"/>
        <v>00</v>
      </c>
      <c r="O112" s="1" t="str">
        <f t="shared" si="15"/>
        <v>00</v>
      </c>
      <c r="P112" s="1" t="str">
        <f t="shared" si="15"/>
        <v>00</v>
      </c>
      <c r="Q112" s="1" t="str">
        <f t="shared" si="15"/>
        <v>00</v>
      </c>
      <c r="R112" s="1" t="str">
        <f t="shared" si="15"/>
        <v>00</v>
      </c>
      <c r="S112" s="1"/>
      <c r="T112" s="1">
        <f t="shared" si="11"/>
        <v>16</v>
      </c>
    </row>
    <row r="113" spans="1:20" x14ac:dyDescent="0.3">
      <c r="A113" s="39" t="s">
        <v>41</v>
      </c>
      <c r="B113" s="5" t="str">
        <f t="shared" si="12"/>
        <v>B368</v>
      </c>
      <c r="C113" s="18" t="str">
        <f t="shared" si="14"/>
        <v>00</v>
      </c>
      <c r="D113" s="1" t="str">
        <f t="shared" si="14"/>
        <v>00</v>
      </c>
      <c r="E113" s="1" t="str">
        <f t="shared" si="15"/>
        <v>00</v>
      </c>
      <c r="F113" s="1" t="str">
        <f t="shared" si="15"/>
        <v>00</v>
      </c>
      <c r="G113" s="1" t="str">
        <f t="shared" si="15"/>
        <v>00</v>
      </c>
      <c r="H113" s="1" t="str">
        <f t="shared" si="15"/>
        <v>00</v>
      </c>
      <c r="I113" s="1" t="str">
        <f t="shared" si="15"/>
        <v>00</v>
      </c>
      <c r="J113" s="1" t="str">
        <f t="shared" si="15"/>
        <v>00</v>
      </c>
      <c r="K113" s="1" t="str">
        <f t="shared" si="15"/>
        <v>00</v>
      </c>
      <c r="L113" s="1" t="str">
        <f t="shared" si="15"/>
        <v>00</v>
      </c>
      <c r="M113" s="1" t="str">
        <f t="shared" si="15"/>
        <v>00</v>
      </c>
      <c r="N113" s="1" t="str">
        <f t="shared" si="15"/>
        <v>00</v>
      </c>
      <c r="O113" s="1" t="str">
        <f t="shared" si="15"/>
        <v>00</v>
      </c>
      <c r="P113" s="1" t="str">
        <f t="shared" si="15"/>
        <v>00</v>
      </c>
      <c r="Q113" s="1" t="str">
        <f t="shared" si="15"/>
        <v>00</v>
      </c>
      <c r="R113" s="1" t="str">
        <f t="shared" si="15"/>
        <v>00</v>
      </c>
      <c r="S113" s="1"/>
      <c r="T113" s="1">
        <f t="shared" si="11"/>
        <v>16</v>
      </c>
    </row>
    <row r="114" spans="1:20" x14ac:dyDescent="0.3">
      <c r="A114" s="39" t="s">
        <v>130</v>
      </c>
      <c r="B114" s="5" t="str">
        <f t="shared" si="12"/>
        <v>B378</v>
      </c>
      <c r="C114" s="18" t="str">
        <f t="shared" si="14"/>
        <v>00</v>
      </c>
      <c r="D114" s="1" t="str">
        <f t="shared" si="14"/>
        <v>00</v>
      </c>
      <c r="E114" s="1" t="str">
        <f t="shared" si="15"/>
        <v>00</v>
      </c>
      <c r="F114" s="1" t="str">
        <f t="shared" si="15"/>
        <v>00</v>
      </c>
      <c r="G114" s="1" t="str">
        <f t="shared" si="15"/>
        <v>02</v>
      </c>
      <c r="H114" s="1" t="str">
        <f t="shared" si="15"/>
        <v>00</v>
      </c>
      <c r="I114" s="1" t="str">
        <f t="shared" si="15"/>
        <v>00</v>
      </c>
      <c r="J114" s="1" t="str">
        <f t="shared" si="15"/>
        <v>00</v>
      </c>
      <c r="K114" s="1" t="str">
        <f t="shared" si="15"/>
        <v/>
      </c>
      <c r="L114" s="1" t="str">
        <f t="shared" si="15"/>
        <v/>
      </c>
      <c r="M114" s="1" t="str">
        <f t="shared" si="15"/>
        <v/>
      </c>
      <c r="N114" s="1" t="str">
        <f t="shared" si="15"/>
        <v/>
      </c>
      <c r="O114" s="1" t="str">
        <f t="shared" si="15"/>
        <v/>
      </c>
      <c r="P114" s="1" t="str">
        <f t="shared" si="15"/>
        <v/>
      </c>
      <c r="Q114" s="1" t="str">
        <f t="shared" si="15"/>
        <v/>
      </c>
      <c r="R114" s="1" t="str">
        <f t="shared" si="15"/>
        <v/>
      </c>
      <c r="S114" s="1"/>
      <c r="T114" s="1">
        <f t="shared" si="11"/>
        <v>8</v>
      </c>
    </row>
    <row r="115" spans="1:20" x14ac:dyDescent="0.3">
      <c r="A115" s="39" t="s">
        <v>131</v>
      </c>
      <c r="B115" s="5" t="str">
        <f t="shared" si="12"/>
        <v>B380</v>
      </c>
      <c r="C115" s="18" t="str">
        <f t="shared" si="14"/>
        <v>00</v>
      </c>
      <c r="D115" s="1" t="str">
        <f t="shared" si="14"/>
        <v>51</v>
      </c>
      <c r="E115" s="1" t="str">
        <f t="shared" si="15"/>
        <v>55</v>
      </c>
      <c r="F115" s="1" t="str">
        <f t="shared" si="15"/>
        <v>06</v>
      </c>
      <c r="G115" s="1" t="str">
        <f t="shared" si="15"/>
        <v>00</v>
      </c>
      <c r="H115" s="1" t="str">
        <f t="shared" si="15"/>
        <v>55</v>
      </c>
      <c r="I115" s="1" t="str">
        <f t="shared" si="15"/>
        <v>7E</v>
      </c>
      <c r="J115" s="1" t="str">
        <f t="shared" si="15"/>
        <v>28</v>
      </c>
      <c r="K115" s="1" t="str">
        <f t="shared" si="15"/>
        <v>58</v>
      </c>
      <c r="L115" s="1" t="str">
        <f t="shared" si="15"/>
        <v>5E</v>
      </c>
      <c r="M115" s="1" t="str">
        <f t="shared" si="15"/>
        <v>7F</v>
      </c>
      <c r="N115" s="1" t="str">
        <f t="shared" si="15"/>
        <v>6C</v>
      </c>
      <c r="O115" s="1" t="str">
        <f t="shared" si="15"/>
        <v>3C</v>
      </c>
      <c r="P115" s="1" t="str">
        <f t="shared" si="15"/>
        <v>66</v>
      </c>
      <c r="Q115" s="1" t="str">
        <f t="shared" si="15"/>
        <v>58</v>
      </c>
      <c r="R115" s="1" t="str">
        <f t="shared" si="15"/>
        <v>30</v>
      </c>
      <c r="S115" s="1"/>
      <c r="T115" s="1">
        <f t="shared" si="11"/>
        <v>16</v>
      </c>
    </row>
    <row r="116" spans="1:20" x14ac:dyDescent="0.3">
      <c r="A116" s="39" t="s">
        <v>132</v>
      </c>
      <c r="B116" s="5" t="str">
        <f t="shared" si="12"/>
        <v>B390</v>
      </c>
      <c r="C116" s="18" t="str">
        <f t="shared" si="14"/>
        <v>70</v>
      </c>
      <c r="D116" s="1" t="str">
        <f t="shared" si="14"/>
        <v>18</v>
      </c>
      <c r="E116" s="1" t="str">
        <f t="shared" si="15"/>
        <v>6E</v>
      </c>
      <c r="F116" s="1" t="str">
        <f t="shared" si="15"/>
        <v>6C</v>
      </c>
      <c r="G116" s="1" t="str">
        <f t="shared" si="15"/>
        <v>58</v>
      </c>
      <c r="H116" s="1" t="str">
        <f t="shared" si="15"/>
        <v>13</v>
      </c>
      <c r="I116" s="1" t="str">
        <f t="shared" si="15"/>
        <v>36</v>
      </c>
      <c r="J116" s="1" t="str">
        <f t="shared" si="15"/>
        <v>58</v>
      </c>
      <c r="K116" s="1" t="str">
        <f t="shared" si="15"/>
        <v>20</v>
      </c>
      <c r="L116" s="1" t="str">
        <f t="shared" si="15"/>
        <v>30</v>
      </c>
      <c r="M116" s="1" t="str">
        <f t="shared" si="15"/>
        <v>6C</v>
      </c>
      <c r="N116" s="1" t="str">
        <f t="shared" si="15"/>
        <v>04</v>
      </c>
      <c r="O116" s="1" t="str">
        <f t="shared" si="15"/>
        <v>50</v>
      </c>
      <c r="P116" s="1" t="str">
        <f t="shared" si="15"/>
        <v>04</v>
      </c>
      <c r="Q116" s="1" t="str">
        <f t="shared" si="15"/>
        <v>00</v>
      </c>
      <c r="R116" s="1" t="str">
        <f t="shared" si="15"/>
        <v>51</v>
      </c>
      <c r="S116" s="1"/>
      <c r="T116" s="1">
        <f t="shared" si="11"/>
        <v>16</v>
      </c>
    </row>
    <row r="117" spans="1:20" x14ac:dyDescent="0.3">
      <c r="A117" s="39" t="s">
        <v>133</v>
      </c>
      <c r="B117" s="5" t="str">
        <f t="shared" si="12"/>
        <v>B3A0</v>
      </c>
      <c r="C117" s="18" t="str">
        <f t="shared" si="14"/>
        <v>51</v>
      </c>
      <c r="D117" s="1" t="str">
        <f t="shared" si="14"/>
        <v>51</v>
      </c>
      <c r="E117" s="1" t="str">
        <f t="shared" si="15"/>
        <v>51</v>
      </c>
      <c r="F117" s="1" t="str">
        <f t="shared" si="15"/>
        <v>01</v>
      </c>
      <c r="G117" s="1" t="str">
        <f t="shared" si="15"/>
        <v>28</v>
      </c>
      <c r="H117" s="1" t="str">
        <f t="shared" si="15"/>
        <v>6C</v>
      </c>
      <c r="I117" s="1" t="str">
        <f t="shared" si="15"/>
        <v>12</v>
      </c>
      <c r="J117" s="1" t="str">
        <f t="shared" si="15"/>
        <v>52</v>
      </c>
      <c r="K117" s="1" t="str">
        <f t="shared" si="15"/>
        <v>5E</v>
      </c>
      <c r="L117" s="1" t="str">
        <f t="shared" si="15"/>
        <v>70</v>
      </c>
      <c r="M117" s="1" t="str">
        <f t="shared" si="15"/>
        <v>18</v>
      </c>
      <c r="N117" s="1" t="str">
        <f t="shared" si="15"/>
        <v>78</v>
      </c>
      <c r="O117" s="1" t="str">
        <f t="shared" si="15"/>
        <v>4C</v>
      </c>
      <c r="P117" s="1" t="str">
        <f t="shared" si="15"/>
        <v>13</v>
      </c>
      <c r="Q117" s="1" t="str">
        <f t="shared" si="15"/>
        <v>36</v>
      </c>
      <c r="R117" s="1" t="str">
        <f t="shared" si="15"/>
        <v>58</v>
      </c>
      <c r="S117" s="1"/>
      <c r="T117" s="1">
        <f t="shared" si="11"/>
        <v>16</v>
      </c>
    </row>
    <row r="118" spans="1:20" x14ac:dyDescent="0.3">
      <c r="A118" s="39" t="s">
        <v>134</v>
      </c>
      <c r="B118" s="5" t="str">
        <f t="shared" si="12"/>
        <v>B3B0</v>
      </c>
      <c r="C118" s="18" t="str">
        <f t="shared" si="14"/>
        <v>10</v>
      </c>
      <c r="D118" s="1" t="str">
        <f t="shared" si="14"/>
        <v>58</v>
      </c>
      <c r="E118" s="1" t="str">
        <f t="shared" si="15"/>
        <v>36</v>
      </c>
      <c r="F118" s="1" t="str">
        <f t="shared" si="15"/>
        <v>58</v>
      </c>
      <c r="G118" s="1" t="str">
        <f t="shared" si="15"/>
        <v>6E</v>
      </c>
      <c r="H118" s="1" t="str">
        <f t="shared" si="15"/>
        <v>30</v>
      </c>
      <c r="I118" s="1" t="str">
        <f t="shared" si="15"/>
        <v>6C</v>
      </c>
      <c r="J118" s="1" t="str">
        <f t="shared" si="15"/>
        <v>01</v>
      </c>
      <c r="K118" s="1" t="str">
        <f t="shared" si="15"/>
        <v>01</v>
      </c>
      <c r="L118" s="1" t="str">
        <f t="shared" si="15"/>
        <v>00</v>
      </c>
      <c r="M118" s="1" t="str">
        <f t="shared" si="15"/>
        <v>28</v>
      </c>
      <c r="N118" s="1" t="str">
        <f t="shared" si="15"/>
        <v>22</v>
      </c>
      <c r="O118" s="1" t="str">
        <f t="shared" si="15"/>
        <v>20</v>
      </c>
      <c r="P118" s="1" t="str">
        <f t="shared" si="15"/>
        <v>02</v>
      </c>
      <c r="Q118" s="1" t="str">
        <f t="shared" si="15"/>
        <v>00</v>
      </c>
      <c r="R118" s="1" t="str">
        <f t="shared" si="15"/>
        <v>00</v>
      </c>
      <c r="S118" s="1"/>
      <c r="T118" s="1">
        <f t="shared" si="11"/>
        <v>16</v>
      </c>
    </row>
    <row r="119" spans="1:20" x14ac:dyDescent="0.3">
      <c r="A119" s="39" t="s">
        <v>135</v>
      </c>
      <c r="B119" s="5" t="str">
        <f t="shared" si="12"/>
        <v>B3C0</v>
      </c>
      <c r="C119" s="18" t="str">
        <f t="shared" si="14"/>
        <v>20</v>
      </c>
      <c r="D119" s="1" t="str">
        <f t="shared" si="14"/>
        <v>22</v>
      </c>
      <c r="E119" s="1" t="str">
        <f t="shared" si="15"/>
        <v>08</v>
      </c>
      <c r="F119" s="1" t="str">
        <f t="shared" si="15"/>
        <v>02</v>
      </c>
      <c r="G119" s="1" t="str">
        <f t="shared" si="15"/>
        <v>20</v>
      </c>
      <c r="H119" s="1" t="str">
        <f t="shared" si="15"/>
        <v>41</v>
      </c>
      <c r="I119" s="1" t="str">
        <f t="shared" si="15"/>
        <v>41</v>
      </c>
      <c r="J119" s="1" t="str">
        <f t="shared" si="15"/>
        <v>05</v>
      </c>
      <c r="K119" s="1" t="str">
        <f t="shared" si="15"/>
        <v>45</v>
      </c>
      <c r="L119" s="1" t="str">
        <f t="shared" si="15"/>
        <v>01</v>
      </c>
      <c r="M119" s="1" t="str">
        <f t="shared" ref="E119:R137" si="16">MID($A119,13+M$2*3,2)</f>
        <v>01</v>
      </c>
      <c r="N119" s="1" t="str">
        <f t="shared" si="16"/>
        <v>51</v>
      </c>
      <c r="O119" s="1" t="str">
        <f t="shared" si="16"/>
        <v>45</v>
      </c>
      <c r="P119" s="1" t="str">
        <f t="shared" si="16"/>
        <v>14</v>
      </c>
      <c r="Q119" s="1" t="str">
        <f t="shared" si="16"/>
        <v>50</v>
      </c>
      <c r="R119" s="1" t="str">
        <f t="shared" si="16"/>
        <v>45</v>
      </c>
      <c r="S119" s="1"/>
      <c r="T119" s="1">
        <f t="shared" si="11"/>
        <v>16</v>
      </c>
    </row>
    <row r="120" spans="1:20" x14ac:dyDescent="0.3">
      <c r="A120" s="39" t="s">
        <v>136</v>
      </c>
      <c r="B120" s="5" t="str">
        <f t="shared" si="12"/>
        <v>B3D0</v>
      </c>
      <c r="C120" s="18" t="str">
        <f t="shared" si="14"/>
        <v>05</v>
      </c>
      <c r="D120" s="1" t="str">
        <f t="shared" si="14"/>
        <v>41</v>
      </c>
      <c r="E120" s="1" t="str">
        <f t="shared" si="16"/>
        <v>51</v>
      </c>
      <c r="F120" s="1" t="str">
        <f t="shared" si="16"/>
        <v>41</v>
      </c>
      <c r="G120" s="1" t="str">
        <f t="shared" si="16"/>
        <v>05</v>
      </c>
      <c r="H120" s="1" t="str">
        <f t="shared" si="16"/>
        <v>41</v>
      </c>
      <c r="I120" s="1" t="str">
        <f t="shared" si="16"/>
        <v>15</v>
      </c>
      <c r="J120" s="1" t="str">
        <f t="shared" si="16"/>
        <v>50</v>
      </c>
      <c r="K120" s="1" t="str">
        <f t="shared" si="16"/>
        <v>14</v>
      </c>
      <c r="L120" s="1" t="str">
        <f t="shared" si="16"/>
        <v>45</v>
      </c>
      <c r="M120" s="1" t="str">
        <f t="shared" si="16"/>
        <v>55</v>
      </c>
      <c r="N120" s="1" t="str">
        <f t="shared" si="16"/>
        <v>55</v>
      </c>
      <c r="O120" s="1" t="str">
        <f t="shared" si="16"/>
        <v>41</v>
      </c>
      <c r="P120" s="1" t="str">
        <f t="shared" si="16"/>
        <v>14</v>
      </c>
      <c r="Q120" s="1" t="str">
        <f t="shared" si="16"/>
        <v>01</v>
      </c>
      <c r="R120" s="1" t="str">
        <f t="shared" si="16"/>
        <v>14</v>
      </c>
      <c r="S120" s="1"/>
      <c r="T120" s="1">
        <f t="shared" si="11"/>
        <v>16</v>
      </c>
    </row>
    <row r="121" spans="1:20" x14ac:dyDescent="0.3">
      <c r="A121" s="39" t="s">
        <v>137</v>
      </c>
      <c r="B121" s="5" t="str">
        <f t="shared" si="12"/>
        <v>B3E0</v>
      </c>
      <c r="C121" s="18" t="str">
        <f t="shared" si="14"/>
        <v>14</v>
      </c>
      <c r="D121" s="1" t="str">
        <f t="shared" si="14"/>
        <v>05</v>
      </c>
      <c r="E121" s="1" t="str">
        <f t="shared" si="16"/>
        <v>50</v>
      </c>
      <c r="F121" s="1" t="str">
        <f t="shared" si="16"/>
        <v>04</v>
      </c>
      <c r="G121" s="1" t="str">
        <f t="shared" si="16"/>
        <v>55</v>
      </c>
      <c r="H121" s="1" t="str">
        <f t="shared" si="16"/>
        <v>14</v>
      </c>
      <c r="I121" s="1" t="str">
        <f t="shared" si="16"/>
        <v>00</v>
      </c>
      <c r="J121" s="1" t="str">
        <f t="shared" si="16"/>
        <v>01</v>
      </c>
      <c r="K121" s="1" t="str">
        <f t="shared" si="16"/>
        <v/>
      </c>
      <c r="L121" s="1" t="str">
        <f t="shared" si="16"/>
        <v/>
      </c>
      <c r="M121" s="1" t="str">
        <f t="shared" si="16"/>
        <v/>
      </c>
      <c r="N121" s="1" t="str">
        <f t="shared" si="16"/>
        <v/>
      </c>
      <c r="O121" s="1" t="str">
        <f t="shared" si="16"/>
        <v/>
      </c>
      <c r="P121" s="1" t="str">
        <f t="shared" si="16"/>
        <v/>
      </c>
      <c r="Q121" s="1" t="str">
        <f t="shared" si="16"/>
        <v/>
      </c>
      <c r="R121" s="1" t="str">
        <f t="shared" si="16"/>
        <v/>
      </c>
      <c r="S121" s="1"/>
      <c r="T121" s="1">
        <f t="shared" si="11"/>
        <v>8</v>
      </c>
    </row>
    <row r="122" spans="1:20" x14ac:dyDescent="0.3">
      <c r="A122" s="39" t="s">
        <v>138</v>
      </c>
      <c r="B122" s="5" t="str">
        <f t="shared" si="12"/>
        <v>B3E8</v>
      </c>
      <c r="C122" s="18" t="str">
        <f t="shared" si="14"/>
        <v>00</v>
      </c>
      <c r="D122" s="1" t="str">
        <f t="shared" si="14"/>
        <v>02</v>
      </c>
      <c r="E122" s="1" t="str">
        <f t="shared" si="16"/>
        <v>02</v>
      </c>
      <c r="F122" s="1" t="str">
        <f t="shared" si="16"/>
        <v>03</v>
      </c>
      <c r="G122" s="1" t="str">
        <f t="shared" si="16"/>
        <v>00</v>
      </c>
      <c r="H122" s="1" t="str">
        <f t="shared" si="16"/>
        <v>02</v>
      </c>
      <c r="I122" s="1" t="str">
        <f t="shared" si="16"/>
        <v>03</v>
      </c>
      <c r="J122" s="1" t="str">
        <f t="shared" si="16"/>
        <v>01</v>
      </c>
      <c r="K122" s="1" t="str">
        <f t="shared" si="16"/>
        <v>07</v>
      </c>
      <c r="L122" s="1" t="str">
        <f t="shared" si="16"/>
        <v>01</v>
      </c>
      <c r="M122" s="1" t="str">
        <f t="shared" si="16"/>
        <v>07</v>
      </c>
      <c r="N122" s="1" t="str">
        <f t="shared" si="16"/>
        <v>03</v>
      </c>
      <c r="O122" s="1" t="str">
        <f t="shared" si="16"/>
        <v>00</v>
      </c>
      <c r="P122" s="1" t="str">
        <f t="shared" si="16"/>
        <v>00</v>
      </c>
      <c r="Q122" s="1" t="str">
        <f t="shared" si="16"/>
        <v>03</v>
      </c>
      <c r="R122" s="1" t="str">
        <f t="shared" si="16"/>
        <v>03</v>
      </c>
      <c r="S122" s="1"/>
      <c r="T122" s="1">
        <f t="shared" si="11"/>
        <v>16</v>
      </c>
    </row>
    <row r="123" spans="1:20" x14ac:dyDescent="0.3">
      <c r="A123" s="39" t="s">
        <v>139</v>
      </c>
      <c r="B123" s="5" t="str">
        <f t="shared" si="12"/>
        <v>B3F8</v>
      </c>
      <c r="C123" s="18" t="str">
        <f t="shared" si="14"/>
        <v>01</v>
      </c>
      <c r="D123" s="1" t="str">
        <f t="shared" si="14"/>
        <v>03</v>
      </c>
      <c r="E123" s="1" t="str">
        <f t="shared" si="16"/>
        <v>00</v>
      </c>
      <c r="F123" s="1" t="str">
        <f t="shared" si="16"/>
        <v>00</v>
      </c>
      <c r="G123" s="1" t="str">
        <f t="shared" si="16"/>
        <v>01</v>
      </c>
      <c r="H123" s="1" t="str">
        <f t="shared" si="16"/>
        <v>00</v>
      </c>
      <c r="I123" s="1" t="str">
        <f t="shared" si="16"/>
        <v>00</v>
      </c>
      <c r="J123" s="1" t="str">
        <f t="shared" si="16"/>
        <v>01</v>
      </c>
      <c r="K123" s="1" t="str">
        <f t="shared" si="16"/>
        <v>06</v>
      </c>
      <c r="L123" s="1" t="str">
        <f t="shared" si="16"/>
        <v>03</v>
      </c>
      <c r="M123" s="1" t="str">
        <f t="shared" si="16"/>
        <v>00</v>
      </c>
      <c r="N123" s="1" t="str">
        <f t="shared" si="16"/>
        <v>04</v>
      </c>
      <c r="O123" s="1" t="str">
        <f t="shared" si="16"/>
        <v>04</v>
      </c>
      <c r="P123" s="1" t="str">
        <f t="shared" si="16"/>
        <v>00</v>
      </c>
      <c r="Q123" s="1" t="str">
        <f t="shared" si="16"/>
        <v>00</v>
      </c>
      <c r="R123" s="1" t="str">
        <f t="shared" si="16"/>
        <v>02</v>
      </c>
      <c r="S123" s="1"/>
      <c r="T123" s="1">
        <f t="shared" si="11"/>
        <v>16</v>
      </c>
    </row>
    <row r="124" spans="1:20" x14ac:dyDescent="0.3">
      <c r="A124" s="39" t="s">
        <v>140</v>
      </c>
      <c r="B124" s="5" t="str">
        <f t="shared" si="12"/>
        <v>B408</v>
      </c>
      <c r="C124" s="18" t="str">
        <f t="shared" si="14"/>
        <v>02</v>
      </c>
      <c r="D124" s="1" t="str">
        <f t="shared" si="14"/>
        <v>02</v>
      </c>
      <c r="E124" s="1" t="str">
        <f t="shared" si="16"/>
        <v>02</v>
      </c>
      <c r="F124" s="1" t="str">
        <f t="shared" si="16"/>
        <v>00</v>
      </c>
      <c r="G124" s="1" t="str">
        <f t="shared" si="16"/>
        <v>00</v>
      </c>
      <c r="H124" s="1" t="str">
        <f t="shared" si="16"/>
        <v>00</v>
      </c>
      <c r="I124" s="1" t="str">
        <f t="shared" si="16"/>
        <v>00</v>
      </c>
      <c r="J124" s="1" t="str">
        <f t="shared" si="16"/>
        <v>00</v>
      </c>
      <c r="K124" s="1" t="str">
        <f t="shared" si="16"/>
        <v>01</v>
      </c>
      <c r="L124" s="1" t="str">
        <f t="shared" si="16"/>
        <v>01</v>
      </c>
      <c r="M124" s="1" t="str">
        <f t="shared" si="16"/>
        <v>03</v>
      </c>
      <c r="N124" s="1" t="str">
        <f t="shared" si="16"/>
        <v>00</v>
      </c>
      <c r="O124" s="1" t="str">
        <f t="shared" si="16"/>
        <v>01</v>
      </c>
      <c r="P124" s="1" t="str">
        <f t="shared" si="16"/>
        <v>00</v>
      </c>
      <c r="Q124" s="1" t="str">
        <f t="shared" si="16"/>
        <v>00</v>
      </c>
      <c r="R124" s="1" t="str">
        <f t="shared" si="16"/>
        <v>01</v>
      </c>
      <c r="S124" s="1"/>
      <c r="T124" s="1">
        <f t="shared" si="11"/>
        <v>16</v>
      </c>
    </row>
    <row r="125" spans="1:20" x14ac:dyDescent="0.3">
      <c r="A125" s="39" t="s">
        <v>141</v>
      </c>
      <c r="B125" s="5" t="str">
        <f t="shared" si="12"/>
        <v>B418</v>
      </c>
      <c r="C125" s="18" t="str">
        <f t="shared" si="14"/>
        <v>03</v>
      </c>
      <c r="D125" s="1" t="str">
        <f t="shared" si="14"/>
        <v>01</v>
      </c>
      <c r="E125" s="1" t="str">
        <f t="shared" si="16"/>
        <v>00</v>
      </c>
      <c r="F125" s="1" t="str">
        <f t="shared" si="16"/>
        <v>03</v>
      </c>
      <c r="G125" s="1" t="str">
        <f t="shared" si="16"/>
        <v>00</v>
      </c>
      <c r="H125" s="1" t="str">
        <f t="shared" si="16"/>
        <v>03</v>
      </c>
      <c r="I125" s="1" t="str">
        <f t="shared" si="16"/>
        <v>00</v>
      </c>
      <c r="J125" s="1" t="str">
        <f t="shared" si="16"/>
        <v>02</v>
      </c>
      <c r="K125" s="1" t="str">
        <f t="shared" si="16"/>
        <v>02</v>
      </c>
      <c r="L125" s="1" t="str">
        <f t="shared" si="16"/>
        <v>00</v>
      </c>
      <c r="M125" s="1" t="str">
        <f t="shared" si="16"/>
        <v>00</v>
      </c>
      <c r="N125" s="1" t="str">
        <f t="shared" si="16"/>
        <v>01</v>
      </c>
      <c r="O125" s="1" t="str">
        <f t="shared" si="16"/>
        <v>00</v>
      </c>
      <c r="P125" s="1" t="str">
        <f t="shared" si="16"/>
        <v>00</v>
      </c>
      <c r="Q125" s="1" t="str">
        <f t="shared" si="16"/>
        <v>01</v>
      </c>
      <c r="R125" s="1" t="str">
        <f t="shared" si="16"/>
        <v>01</v>
      </c>
      <c r="S125" s="1"/>
      <c r="T125" s="1">
        <f t="shared" si="11"/>
        <v>16</v>
      </c>
    </row>
    <row r="126" spans="1:20" x14ac:dyDescent="0.3">
      <c r="A126" s="39" t="s">
        <v>129</v>
      </c>
      <c r="B126" s="5" t="str">
        <f t="shared" si="12"/>
        <v>B428</v>
      </c>
      <c r="C126" s="18" t="str">
        <f t="shared" si="14"/>
        <v>01</v>
      </c>
      <c r="D126" s="1" t="str">
        <f t="shared" si="14"/>
        <v>01</v>
      </c>
      <c r="E126" s="1" t="str">
        <f t="shared" si="16"/>
        <v>00</v>
      </c>
      <c r="F126" s="1" t="str">
        <f t="shared" si="16"/>
        <v>01</v>
      </c>
      <c r="G126" s="1" t="str">
        <f t="shared" si="16"/>
        <v>01</v>
      </c>
      <c r="H126" s="1" t="str">
        <f t="shared" si="16"/>
        <v>00</v>
      </c>
      <c r="I126" s="1" t="str">
        <f t="shared" si="16"/>
        <v>00</v>
      </c>
      <c r="J126" s="1" t="str">
        <f t="shared" si="16"/>
        <v>00</v>
      </c>
      <c r="K126" s="1" t="str">
        <f t="shared" si="16"/>
        <v>00</v>
      </c>
      <c r="L126" s="1" t="str">
        <f t="shared" si="16"/>
        <v>00</v>
      </c>
      <c r="M126" s="1" t="str">
        <f t="shared" si="16"/>
        <v>00</v>
      </c>
      <c r="N126" s="1" t="str">
        <f t="shared" si="16"/>
        <v>00</v>
      </c>
      <c r="O126" s="1" t="str">
        <f t="shared" si="16"/>
        <v>00</v>
      </c>
      <c r="P126" s="1" t="str">
        <f t="shared" si="16"/>
        <v>00</v>
      </c>
      <c r="Q126" s="1" t="str">
        <f t="shared" si="16"/>
        <v>00</v>
      </c>
      <c r="R126" s="1" t="str">
        <f t="shared" si="16"/>
        <v>00</v>
      </c>
      <c r="S126" s="1"/>
      <c r="T126" s="1">
        <f t="shared" si="11"/>
        <v>16</v>
      </c>
    </row>
    <row r="127" spans="1:20" x14ac:dyDescent="0.3">
      <c r="A127" s="39" t="s">
        <v>41</v>
      </c>
      <c r="B127" s="5" t="str">
        <f t="shared" si="12"/>
        <v>B438</v>
      </c>
      <c r="C127" s="18" t="str">
        <f t="shared" si="14"/>
        <v>00</v>
      </c>
      <c r="D127" s="1" t="str">
        <f t="shared" si="14"/>
        <v>00</v>
      </c>
      <c r="E127" s="1" t="str">
        <f t="shared" si="16"/>
        <v>00</v>
      </c>
      <c r="F127" s="1" t="str">
        <f t="shared" si="16"/>
        <v>00</v>
      </c>
      <c r="G127" s="1" t="str">
        <f t="shared" si="16"/>
        <v>00</v>
      </c>
      <c r="H127" s="1" t="str">
        <f t="shared" si="16"/>
        <v>00</v>
      </c>
      <c r="I127" s="1" t="str">
        <f t="shared" si="16"/>
        <v>00</v>
      </c>
      <c r="J127" s="1" t="str">
        <f t="shared" si="16"/>
        <v>00</v>
      </c>
      <c r="K127" s="1" t="str">
        <f t="shared" si="16"/>
        <v>00</v>
      </c>
      <c r="L127" s="1" t="str">
        <f t="shared" si="16"/>
        <v>00</v>
      </c>
      <c r="M127" s="1" t="str">
        <f t="shared" si="16"/>
        <v>00</v>
      </c>
      <c r="N127" s="1" t="str">
        <f t="shared" si="16"/>
        <v>00</v>
      </c>
      <c r="O127" s="1" t="str">
        <f t="shared" si="16"/>
        <v>00</v>
      </c>
      <c r="P127" s="1" t="str">
        <f t="shared" si="16"/>
        <v>00</v>
      </c>
      <c r="Q127" s="1" t="str">
        <f t="shared" si="16"/>
        <v>00</v>
      </c>
      <c r="R127" s="1" t="str">
        <f t="shared" si="16"/>
        <v>00</v>
      </c>
      <c r="S127" s="1"/>
      <c r="T127" s="1">
        <f t="shared" si="11"/>
        <v>16</v>
      </c>
    </row>
    <row r="128" spans="1:20" x14ac:dyDescent="0.3">
      <c r="A128" s="39" t="s">
        <v>142</v>
      </c>
      <c r="B128" s="5" t="str">
        <f t="shared" si="12"/>
        <v>B448</v>
      </c>
      <c r="C128" s="18" t="str">
        <f t="shared" si="14"/>
        <v>00</v>
      </c>
      <c r="D128" s="1" t="str">
        <f t="shared" si="14"/>
        <v>00</v>
      </c>
      <c r="E128" s="1" t="str">
        <f t="shared" si="16"/>
        <v>00</v>
      </c>
      <c r="F128" s="1" t="str">
        <f t="shared" si="16"/>
        <v>00</v>
      </c>
      <c r="G128" s="1" t="str">
        <f t="shared" si="16"/>
        <v>02</v>
      </c>
      <c r="H128" s="1" t="str">
        <f t="shared" si="16"/>
        <v>00</v>
      </c>
      <c r="I128" s="1" t="str">
        <f t="shared" si="16"/>
        <v>41</v>
      </c>
      <c r="J128" s="1" t="str">
        <f t="shared" si="16"/>
        <v>45</v>
      </c>
      <c r="K128" s="1" t="str">
        <f t="shared" si="16"/>
        <v/>
      </c>
      <c r="L128" s="1" t="str">
        <f t="shared" si="16"/>
        <v/>
      </c>
      <c r="M128" s="1" t="str">
        <f t="shared" si="16"/>
        <v/>
      </c>
      <c r="N128" s="1" t="str">
        <f t="shared" si="16"/>
        <v/>
      </c>
      <c r="O128" s="1" t="str">
        <f t="shared" si="16"/>
        <v/>
      </c>
      <c r="P128" s="1" t="str">
        <f t="shared" si="16"/>
        <v/>
      </c>
      <c r="Q128" s="1" t="str">
        <f t="shared" si="16"/>
        <v/>
      </c>
      <c r="R128" s="1" t="str">
        <f t="shared" si="16"/>
        <v/>
      </c>
      <c r="S128" s="1"/>
      <c r="T128" s="1">
        <f t="shared" si="11"/>
        <v>8</v>
      </c>
    </row>
    <row r="129" spans="1:20" x14ac:dyDescent="0.3">
      <c r="A129" s="39" t="s">
        <v>143</v>
      </c>
      <c r="B129" s="5" t="str">
        <f t="shared" si="12"/>
        <v>B450</v>
      </c>
      <c r="C129" s="18" t="str">
        <f t="shared" ref="C129:R156" si="17">MID($A129,13+C$2*3,2)</f>
        <v>00</v>
      </c>
      <c r="D129" s="1" t="str">
        <f t="shared" si="17"/>
        <v>51</v>
      </c>
      <c r="E129" s="1" t="str">
        <f t="shared" si="16"/>
        <v>55</v>
      </c>
      <c r="F129" s="1" t="str">
        <f t="shared" si="16"/>
        <v>06</v>
      </c>
      <c r="G129" s="1" t="str">
        <f t="shared" si="16"/>
        <v>00</v>
      </c>
      <c r="H129" s="1" t="str">
        <f t="shared" si="16"/>
        <v>55</v>
      </c>
      <c r="I129" s="1" t="str">
        <f t="shared" si="16"/>
        <v>06</v>
      </c>
      <c r="J129" s="1" t="str">
        <f t="shared" si="16"/>
        <v>78</v>
      </c>
      <c r="K129" s="1" t="str">
        <f t="shared" si="16"/>
        <v>18</v>
      </c>
      <c r="L129" s="1" t="str">
        <f t="shared" si="16"/>
        <v>40</v>
      </c>
      <c r="M129" s="1" t="str">
        <f t="shared" si="16"/>
        <v>7F</v>
      </c>
      <c r="N129" s="1" t="str">
        <f t="shared" si="16"/>
        <v>0C</v>
      </c>
      <c r="O129" s="1" t="str">
        <f t="shared" si="16"/>
        <v>70</v>
      </c>
      <c r="P129" s="1" t="str">
        <f t="shared" si="16"/>
        <v>46</v>
      </c>
      <c r="Q129" s="1" t="str">
        <f t="shared" si="16"/>
        <v>18</v>
      </c>
      <c r="R129" s="1" t="str">
        <f t="shared" si="16"/>
        <v>30</v>
      </c>
      <c r="S129" s="1"/>
      <c r="T129" s="1">
        <f t="shared" si="11"/>
        <v>16</v>
      </c>
    </row>
    <row r="130" spans="1:20" x14ac:dyDescent="0.3">
      <c r="A130" s="39" t="s">
        <v>144</v>
      </c>
      <c r="B130" s="5" t="str">
        <f t="shared" si="12"/>
        <v>B460</v>
      </c>
      <c r="C130" s="18" t="str">
        <f t="shared" si="17"/>
        <v>38</v>
      </c>
      <c r="D130" s="1" t="str">
        <f t="shared" si="17"/>
        <v>0C</v>
      </c>
      <c r="E130" s="1" t="str">
        <f t="shared" si="16"/>
        <v>60</v>
      </c>
      <c r="F130" s="1" t="str">
        <f t="shared" si="16"/>
        <v>6C</v>
      </c>
      <c r="G130" s="1" t="str">
        <f t="shared" si="16"/>
        <v>58</v>
      </c>
      <c r="H130" s="1" t="str">
        <f t="shared" si="16"/>
        <v>1B</v>
      </c>
      <c r="I130" s="1" t="str">
        <f t="shared" si="16"/>
        <v>36</v>
      </c>
      <c r="J130" s="1" t="str">
        <f t="shared" si="16"/>
        <v>58</v>
      </c>
      <c r="K130" s="1" t="str">
        <f t="shared" si="16"/>
        <v>60</v>
      </c>
      <c r="L130" s="1" t="str">
        <f t="shared" si="16"/>
        <v>30</v>
      </c>
      <c r="M130" s="1" t="str">
        <f t="shared" si="16"/>
        <v>6C</v>
      </c>
      <c r="N130" s="1" t="str">
        <f t="shared" si="16"/>
        <v>10</v>
      </c>
      <c r="O130" s="1" t="str">
        <f t="shared" si="16"/>
        <v>04</v>
      </c>
      <c r="P130" s="1" t="str">
        <f t="shared" si="16"/>
        <v>40</v>
      </c>
      <c r="Q130" s="1" t="str">
        <f t="shared" si="16"/>
        <v>00</v>
      </c>
      <c r="R130" s="1" t="str">
        <f t="shared" si="16"/>
        <v>51</v>
      </c>
      <c r="S130" s="1"/>
      <c r="T130" s="1">
        <f t="shared" si="11"/>
        <v>16</v>
      </c>
    </row>
    <row r="131" spans="1:20" x14ac:dyDescent="0.3">
      <c r="A131" s="39" t="s">
        <v>145</v>
      </c>
      <c r="B131" s="5" t="str">
        <f t="shared" si="12"/>
        <v>B470</v>
      </c>
      <c r="C131" s="18" t="str">
        <f t="shared" si="17"/>
        <v>51</v>
      </c>
      <c r="D131" s="1" t="str">
        <f t="shared" si="17"/>
        <v>51</v>
      </c>
      <c r="E131" s="1" t="str">
        <f t="shared" si="16"/>
        <v>51</v>
      </c>
      <c r="F131" s="1" t="str">
        <f t="shared" si="16"/>
        <v>51</v>
      </c>
      <c r="G131" s="1" t="str">
        <f t="shared" si="16"/>
        <v>28</v>
      </c>
      <c r="H131" s="1" t="str">
        <f t="shared" si="16"/>
        <v>6C</v>
      </c>
      <c r="I131" s="1" t="str">
        <f t="shared" si="16"/>
        <v>0A</v>
      </c>
      <c r="J131" s="1" t="str">
        <f t="shared" si="16"/>
        <v>08</v>
      </c>
      <c r="K131" s="1" t="str">
        <f t="shared" si="16"/>
        <v>40</v>
      </c>
      <c r="L131" s="1" t="str">
        <f t="shared" si="16"/>
        <v>38</v>
      </c>
      <c r="M131" s="1" t="str">
        <f t="shared" si="16"/>
        <v>0C</v>
      </c>
      <c r="N131" s="1" t="str">
        <f t="shared" si="16"/>
        <v>60</v>
      </c>
      <c r="O131" s="1" t="str">
        <f t="shared" si="16"/>
        <v>0C</v>
      </c>
      <c r="P131" s="1" t="str">
        <f t="shared" si="16"/>
        <v>1B</v>
      </c>
      <c r="Q131" s="1" t="str">
        <f t="shared" si="16"/>
        <v>36</v>
      </c>
      <c r="R131" s="1" t="str">
        <f t="shared" si="16"/>
        <v>58</v>
      </c>
      <c r="S131" s="1"/>
      <c r="T131" s="1">
        <f t="shared" si="11"/>
        <v>16</v>
      </c>
    </row>
    <row r="132" spans="1:20" x14ac:dyDescent="0.3">
      <c r="A132" s="39" t="s">
        <v>146</v>
      </c>
      <c r="B132" s="5" t="str">
        <f t="shared" si="12"/>
        <v>B480</v>
      </c>
      <c r="C132" s="18" t="str">
        <f t="shared" si="17"/>
        <v>30</v>
      </c>
      <c r="D132" s="1" t="str">
        <f t="shared" si="17"/>
        <v>58</v>
      </c>
      <c r="E132" s="1" t="str">
        <f t="shared" si="16"/>
        <v>36</v>
      </c>
      <c r="F132" s="1" t="str">
        <f t="shared" si="16"/>
        <v>18</v>
      </c>
      <c r="G132" s="1" t="str">
        <f t="shared" si="16"/>
        <v>60</v>
      </c>
      <c r="H132" s="1" t="str">
        <f t="shared" si="16"/>
        <v>30</v>
      </c>
      <c r="I132" s="1" t="str">
        <f t="shared" si="16"/>
        <v>6C</v>
      </c>
      <c r="J132" s="1" t="str">
        <f t="shared" si="16"/>
        <v>01</v>
      </c>
      <c r="K132" s="1" t="str">
        <f t="shared" si="16"/>
        <v>01</v>
      </c>
      <c r="L132" s="1" t="str">
        <f t="shared" si="16"/>
        <v>28</v>
      </c>
      <c r="M132" s="1" t="str">
        <f t="shared" si="16"/>
        <v>2A</v>
      </c>
      <c r="N132" s="1" t="str">
        <f t="shared" si="16"/>
        <v>22</v>
      </c>
      <c r="O132" s="1" t="str">
        <f t="shared" si="16"/>
        <v>28</v>
      </c>
      <c r="P132" s="1" t="str">
        <f t="shared" si="16"/>
        <v>22</v>
      </c>
      <c r="Q132" s="1" t="str">
        <f t="shared" si="16"/>
        <v>02</v>
      </c>
      <c r="R132" s="1" t="str">
        <f t="shared" si="16"/>
        <v>00</v>
      </c>
      <c r="S132" s="1"/>
      <c r="T132" s="1">
        <f t="shared" ref="T132:T156" si="18">LEN(_xlfn.CONCAT(C132:R132))/2</f>
        <v>16</v>
      </c>
    </row>
    <row r="133" spans="1:20" x14ac:dyDescent="0.3">
      <c r="A133" s="39" t="s">
        <v>147</v>
      </c>
      <c r="B133" s="5" t="str">
        <f t="shared" ref="B133:B156" si="19">DEC2HEX(HEX2DEC(B132)+$T132)</f>
        <v>B490</v>
      </c>
      <c r="C133" s="18" t="str">
        <f t="shared" si="17"/>
        <v>20</v>
      </c>
      <c r="D133" s="1" t="str">
        <f t="shared" si="17"/>
        <v>22</v>
      </c>
      <c r="E133" s="1" t="str">
        <f t="shared" si="16"/>
        <v>08</v>
      </c>
      <c r="F133" s="1" t="str">
        <f t="shared" si="16"/>
        <v>02</v>
      </c>
      <c r="G133" s="1" t="str">
        <f t="shared" si="16"/>
        <v>20</v>
      </c>
      <c r="H133" s="1" t="str">
        <f t="shared" si="16"/>
        <v>51</v>
      </c>
      <c r="I133" s="1" t="str">
        <f t="shared" si="16"/>
        <v>41</v>
      </c>
      <c r="J133" s="1" t="str">
        <f t="shared" si="16"/>
        <v>45</v>
      </c>
      <c r="K133" s="1" t="str">
        <f t="shared" si="16"/>
        <v>45</v>
      </c>
      <c r="L133" s="1" t="str">
        <f t="shared" si="16"/>
        <v>01</v>
      </c>
      <c r="M133" s="1" t="str">
        <f t="shared" si="16"/>
        <v>01</v>
      </c>
      <c r="N133" s="1" t="str">
        <f t="shared" si="16"/>
        <v>41</v>
      </c>
      <c r="O133" s="1" t="str">
        <f t="shared" si="16"/>
        <v>45</v>
      </c>
      <c r="P133" s="1" t="str">
        <f t="shared" si="16"/>
        <v>14</v>
      </c>
      <c r="Q133" s="1" t="str">
        <f t="shared" si="16"/>
        <v>51</v>
      </c>
      <c r="R133" s="1" t="str">
        <f t="shared" si="16"/>
        <v>45</v>
      </c>
      <c r="S133" s="1"/>
      <c r="T133" s="1">
        <f t="shared" si="18"/>
        <v>16</v>
      </c>
    </row>
    <row r="134" spans="1:20" x14ac:dyDescent="0.3">
      <c r="A134" s="39" t="s">
        <v>148</v>
      </c>
      <c r="B134" s="5" t="str">
        <f t="shared" si="19"/>
        <v>B4A0</v>
      </c>
      <c r="C134" s="18" t="str">
        <f t="shared" si="17"/>
        <v>05</v>
      </c>
      <c r="D134" s="1" t="str">
        <f t="shared" si="17"/>
        <v>41</v>
      </c>
      <c r="E134" s="1" t="str">
        <f t="shared" si="16"/>
        <v>41</v>
      </c>
      <c r="F134" s="1" t="str">
        <f t="shared" si="16"/>
        <v>41</v>
      </c>
      <c r="G134" s="1" t="str">
        <f t="shared" si="16"/>
        <v>05</v>
      </c>
      <c r="H134" s="1" t="str">
        <f t="shared" si="16"/>
        <v>11</v>
      </c>
      <c r="I134" s="1" t="str">
        <f t="shared" si="16"/>
        <v>45</v>
      </c>
      <c r="J134" s="1" t="str">
        <f t="shared" si="16"/>
        <v>51</v>
      </c>
      <c r="K134" s="1" t="str">
        <f t="shared" si="16"/>
        <v>14</v>
      </c>
      <c r="L134" s="1" t="str">
        <f t="shared" si="16"/>
        <v>45</v>
      </c>
      <c r="M134" s="1" t="str">
        <f t="shared" si="16"/>
        <v>14</v>
      </c>
      <c r="N134" s="1" t="str">
        <f t="shared" si="16"/>
        <v>45</v>
      </c>
      <c r="O134" s="1" t="str">
        <f t="shared" si="16"/>
        <v>41</v>
      </c>
      <c r="P134" s="1" t="str">
        <f t="shared" si="16"/>
        <v>14</v>
      </c>
      <c r="Q134" s="1" t="str">
        <f t="shared" si="16"/>
        <v>51</v>
      </c>
      <c r="R134" s="1" t="str">
        <f t="shared" si="16"/>
        <v>05</v>
      </c>
      <c r="S134" s="1"/>
      <c r="T134" s="1">
        <f t="shared" si="18"/>
        <v>16</v>
      </c>
    </row>
    <row r="135" spans="1:20" x14ac:dyDescent="0.3">
      <c r="A135" s="39" t="s">
        <v>149</v>
      </c>
      <c r="B135" s="5" t="str">
        <f t="shared" si="19"/>
        <v>B4B0</v>
      </c>
      <c r="C135" s="18" t="str">
        <f t="shared" si="17"/>
        <v>14</v>
      </c>
      <c r="D135" s="1" t="str">
        <f t="shared" si="17"/>
        <v>14</v>
      </c>
      <c r="E135" s="1" t="str">
        <f t="shared" si="16"/>
        <v>14</v>
      </c>
      <c r="F135" s="1" t="str">
        <f t="shared" si="16"/>
        <v>01</v>
      </c>
      <c r="G135" s="1" t="str">
        <f t="shared" si="16"/>
        <v>00</v>
      </c>
      <c r="H135" s="1" t="str">
        <f t="shared" si="16"/>
        <v>50</v>
      </c>
      <c r="I135" s="1" t="str">
        <f t="shared" si="16"/>
        <v>00</v>
      </c>
      <c r="J135" s="1" t="str">
        <f t="shared" si="16"/>
        <v>00</v>
      </c>
      <c r="K135" s="1" t="str">
        <f t="shared" si="16"/>
        <v/>
      </c>
      <c r="L135" s="1" t="str">
        <f t="shared" si="16"/>
        <v/>
      </c>
      <c r="M135" s="1" t="str">
        <f t="shared" si="16"/>
        <v/>
      </c>
      <c r="N135" s="1" t="str">
        <f t="shared" si="16"/>
        <v/>
      </c>
      <c r="O135" s="1" t="str">
        <f t="shared" si="16"/>
        <v/>
      </c>
      <c r="P135" s="1" t="str">
        <f t="shared" si="16"/>
        <v/>
      </c>
      <c r="Q135" s="1" t="str">
        <f t="shared" si="16"/>
        <v/>
      </c>
      <c r="R135" s="1" t="str">
        <f t="shared" si="16"/>
        <v/>
      </c>
      <c r="S135" s="1"/>
      <c r="T135" s="1">
        <f t="shared" si="18"/>
        <v>8</v>
      </c>
    </row>
    <row r="136" spans="1:20" x14ac:dyDescent="0.3">
      <c r="A136" s="39" t="s">
        <v>150</v>
      </c>
      <c r="B136" s="5" t="str">
        <f t="shared" si="19"/>
        <v>B4B8</v>
      </c>
      <c r="C136" s="18" t="str">
        <f t="shared" si="17"/>
        <v>00</v>
      </c>
      <c r="D136" s="1" t="str">
        <f t="shared" si="17"/>
        <v>02</v>
      </c>
      <c r="E136" s="1" t="str">
        <f t="shared" si="16"/>
        <v>02</v>
      </c>
      <c r="F136" s="1" t="str">
        <f t="shared" si="16"/>
        <v>03</v>
      </c>
      <c r="G136" s="1" t="str">
        <f t="shared" si="16"/>
        <v>00</v>
      </c>
      <c r="H136" s="1" t="str">
        <f t="shared" si="16"/>
        <v>02</v>
      </c>
      <c r="I136" s="1" t="str">
        <f t="shared" si="16"/>
        <v>00</v>
      </c>
      <c r="J136" s="1" t="str">
        <f t="shared" si="16"/>
        <v>01</v>
      </c>
      <c r="K136" s="1" t="str">
        <f t="shared" si="16"/>
        <v>00</v>
      </c>
      <c r="L136" s="1" t="str">
        <f t="shared" si="16"/>
        <v>01</v>
      </c>
      <c r="M136" s="1" t="str">
        <f t="shared" si="16"/>
        <v>07</v>
      </c>
      <c r="N136" s="1" t="str">
        <f t="shared" si="16"/>
        <v>00</v>
      </c>
      <c r="O136" s="1" t="str">
        <f t="shared" si="16"/>
        <v>00</v>
      </c>
      <c r="P136" s="1" t="str">
        <f t="shared" si="16"/>
        <v>01</v>
      </c>
      <c r="Q136" s="1" t="str">
        <f t="shared" si="16"/>
        <v>00</v>
      </c>
      <c r="R136" s="1" t="str">
        <f t="shared" si="16"/>
        <v>03</v>
      </c>
      <c r="S136" s="1"/>
      <c r="T136" s="1">
        <f t="shared" si="18"/>
        <v>16</v>
      </c>
    </row>
    <row r="137" spans="1:20" x14ac:dyDescent="0.3">
      <c r="A137" s="39" t="s">
        <v>151</v>
      </c>
      <c r="B137" s="5" t="str">
        <f t="shared" si="19"/>
        <v>B4C8</v>
      </c>
      <c r="C137" s="18" t="str">
        <f t="shared" si="17"/>
        <v>00</v>
      </c>
      <c r="D137" s="1" t="str">
        <f t="shared" si="17"/>
        <v>03</v>
      </c>
      <c r="E137" s="1" t="str">
        <f t="shared" si="16"/>
        <v>00</v>
      </c>
      <c r="F137" s="1" t="str">
        <f t="shared" si="16"/>
        <v>00</v>
      </c>
      <c r="G137" s="1" t="str">
        <f t="shared" si="16"/>
        <v>01</v>
      </c>
      <c r="H137" s="1" t="str">
        <f t="shared" si="16"/>
        <v>00</v>
      </c>
      <c r="I137" s="1" t="str">
        <f t="shared" si="16"/>
        <v>00</v>
      </c>
      <c r="J137" s="1" t="str">
        <f t="shared" si="16"/>
        <v>01</v>
      </c>
      <c r="K137" s="1" t="str">
        <f t="shared" si="16"/>
        <v>06</v>
      </c>
      <c r="L137" s="1" t="str">
        <f t="shared" si="16"/>
        <v>03</v>
      </c>
      <c r="M137" s="1" t="str">
        <f t="shared" si="16"/>
        <v>00</v>
      </c>
      <c r="N137" s="1" t="str">
        <f t="shared" si="16"/>
        <v>01</v>
      </c>
      <c r="O137" s="1" t="str">
        <f t="shared" si="16"/>
        <v>05</v>
      </c>
      <c r="P137" s="1" t="str">
        <f t="shared" ref="E137:R155" si="20">MID($A137,13+P$2*3,2)</f>
        <v>00</v>
      </c>
      <c r="Q137" s="1" t="str">
        <f t="shared" si="20"/>
        <v>00</v>
      </c>
      <c r="R137" s="1" t="str">
        <f t="shared" si="20"/>
        <v>02</v>
      </c>
      <c r="S137" s="1"/>
      <c r="T137" s="1">
        <f t="shared" si="18"/>
        <v>16</v>
      </c>
    </row>
    <row r="138" spans="1:20" x14ac:dyDescent="0.3">
      <c r="A138" s="39" t="s">
        <v>152</v>
      </c>
      <c r="B138" s="5" t="str">
        <f t="shared" si="19"/>
        <v>B4D8</v>
      </c>
      <c r="C138" s="18" t="str">
        <f t="shared" si="17"/>
        <v>02</v>
      </c>
      <c r="D138" s="1" t="str">
        <f t="shared" si="17"/>
        <v>02</v>
      </c>
      <c r="E138" s="1" t="str">
        <f t="shared" si="20"/>
        <v>02</v>
      </c>
      <c r="F138" s="1" t="str">
        <f t="shared" si="20"/>
        <v>02</v>
      </c>
      <c r="G138" s="1" t="str">
        <f t="shared" si="20"/>
        <v>01</v>
      </c>
      <c r="H138" s="1" t="str">
        <f t="shared" si="20"/>
        <v>00</v>
      </c>
      <c r="I138" s="1" t="str">
        <f t="shared" si="20"/>
        <v>02</v>
      </c>
      <c r="J138" s="1" t="str">
        <f t="shared" si="20"/>
        <v>01</v>
      </c>
      <c r="K138" s="1" t="str">
        <f t="shared" si="20"/>
        <v>01</v>
      </c>
      <c r="L138" s="1" t="str">
        <f t="shared" si="20"/>
        <v>00</v>
      </c>
      <c r="M138" s="1" t="str">
        <f t="shared" si="20"/>
        <v>03</v>
      </c>
      <c r="N138" s="1" t="str">
        <f t="shared" si="20"/>
        <v>01</v>
      </c>
      <c r="O138" s="1" t="str">
        <f t="shared" si="20"/>
        <v>03</v>
      </c>
      <c r="P138" s="1" t="str">
        <f t="shared" si="20"/>
        <v>00</v>
      </c>
      <c r="Q138" s="1" t="str">
        <f t="shared" si="20"/>
        <v>00</v>
      </c>
      <c r="R138" s="1" t="str">
        <f t="shared" si="20"/>
        <v>01</v>
      </c>
      <c r="S138" s="1"/>
      <c r="T138" s="1">
        <f t="shared" si="18"/>
        <v>16</v>
      </c>
    </row>
    <row r="139" spans="1:20" x14ac:dyDescent="0.3">
      <c r="A139" s="39" t="s">
        <v>153</v>
      </c>
      <c r="B139" s="5" t="str">
        <f t="shared" si="19"/>
        <v>B4E8</v>
      </c>
      <c r="C139" s="18" t="str">
        <f t="shared" si="17"/>
        <v>03</v>
      </c>
      <c r="D139" s="1" t="str">
        <f t="shared" si="17"/>
        <v>01</v>
      </c>
      <c r="E139" s="1" t="str">
        <f t="shared" si="20"/>
        <v>00</v>
      </c>
      <c r="F139" s="1" t="str">
        <f t="shared" si="20"/>
        <v>00</v>
      </c>
      <c r="G139" s="1" t="str">
        <f t="shared" si="20"/>
        <v>00</v>
      </c>
      <c r="H139" s="1" t="str">
        <f t="shared" si="20"/>
        <v>03</v>
      </c>
      <c r="I139" s="1" t="str">
        <f t="shared" si="20"/>
        <v>00</v>
      </c>
      <c r="J139" s="1" t="str">
        <f t="shared" si="20"/>
        <v>02</v>
      </c>
      <c r="K139" s="1" t="str">
        <f t="shared" si="20"/>
        <v>02</v>
      </c>
      <c r="L139" s="1" t="str">
        <f t="shared" si="20"/>
        <v>00</v>
      </c>
      <c r="M139" s="1" t="str">
        <f t="shared" si="20"/>
        <v>01</v>
      </c>
      <c r="N139" s="1" t="str">
        <f t="shared" si="20"/>
        <v>01</v>
      </c>
      <c r="O139" s="1" t="str">
        <f t="shared" si="20"/>
        <v>01</v>
      </c>
      <c r="P139" s="1" t="str">
        <f t="shared" si="20"/>
        <v>01</v>
      </c>
      <c r="Q139" s="1" t="str">
        <f t="shared" si="20"/>
        <v>01</v>
      </c>
      <c r="R139" s="1" t="str">
        <f t="shared" si="20"/>
        <v>01</v>
      </c>
      <c r="S139" s="1"/>
      <c r="T139" s="1">
        <f t="shared" si="18"/>
        <v>16</v>
      </c>
    </row>
    <row r="140" spans="1:20" x14ac:dyDescent="0.3">
      <c r="A140" s="39" t="s">
        <v>129</v>
      </c>
      <c r="B140" s="5" t="str">
        <f t="shared" si="19"/>
        <v>B4F8</v>
      </c>
      <c r="C140" s="18" t="str">
        <f t="shared" si="17"/>
        <v>01</v>
      </c>
      <c r="D140" s="1" t="str">
        <f t="shared" si="17"/>
        <v>01</v>
      </c>
      <c r="E140" s="1" t="str">
        <f t="shared" si="20"/>
        <v>00</v>
      </c>
      <c r="F140" s="1" t="str">
        <f t="shared" si="20"/>
        <v>01</v>
      </c>
      <c r="G140" s="1" t="str">
        <f t="shared" si="20"/>
        <v>01</v>
      </c>
      <c r="H140" s="1" t="str">
        <f t="shared" si="20"/>
        <v>00</v>
      </c>
      <c r="I140" s="1" t="str">
        <f t="shared" si="20"/>
        <v>00</v>
      </c>
      <c r="J140" s="1" t="str">
        <f t="shared" si="20"/>
        <v>00</v>
      </c>
      <c r="K140" s="1" t="str">
        <f t="shared" si="20"/>
        <v>00</v>
      </c>
      <c r="L140" s="1" t="str">
        <f t="shared" si="20"/>
        <v>00</v>
      </c>
      <c r="M140" s="1" t="str">
        <f t="shared" si="20"/>
        <v>00</v>
      </c>
      <c r="N140" s="1" t="str">
        <f t="shared" si="20"/>
        <v>00</v>
      </c>
      <c r="O140" s="1" t="str">
        <f t="shared" si="20"/>
        <v>00</v>
      </c>
      <c r="P140" s="1" t="str">
        <f t="shared" si="20"/>
        <v>00</v>
      </c>
      <c r="Q140" s="1" t="str">
        <f t="shared" si="20"/>
        <v>00</v>
      </c>
      <c r="R140" s="1" t="str">
        <f t="shared" si="20"/>
        <v>00</v>
      </c>
      <c r="S140" s="1"/>
      <c r="T140" s="1">
        <f t="shared" si="18"/>
        <v>16</v>
      </c>
    </row>
    <row r="141" spans="1:20" x14ac:dyDescent="0.3">
      <c r="A141" s="39" t="s">
        <v>41</v>
      </c>
      <c r="B141" s="5" t="str">
        <f t="shared" si="19"/>
        <v>B508</v>
      </c>
      <c r="C141" s="18" t="str">
        <f t="shared" si="17"/>
        <v>00</v>
      </c>
      <c r="D141" s="1" t="str">
        <f t="shared" si="17"/>
        <v>00</v>
      </c>
      <c r="E141" s="1" t="str">
        <f t="shared" si="20"/>
        <v>00</v>
      </c>
      <c r="F141" s="1" t="str">
        <f t="shared" si="20"/>
        <v>00</v>
      </c>
      <c r="G141" s="1" t="str">
        <f t="shared" si="20"/>
        <v>00</v>
      </c>
      <c r="H141" s="1" t="str">
        <f t="shared" si="20"/>
        <v>00</v>
      </c>
      <c r="I141" s="1" t="str">
        <f t="shared" si="20"/>
        <v>00</v>
      </c>
      <c r="J141" s="1" t="str">
        <f t="shared" si="20"/>
        <v>00</v>
      </c>
      <c r="K141" s="1" t="str">
        <f t="shared" si="20"/>
        <v>00</v>
      </c>
      <c r="L141" s="1" t="str">
        <f t="shared" si="20"/>
        <v>00</v>
      </c>
      <c r="M141" s="1" t="str">
        <f t="shared" si="20"/>
        <v>00</v>
      </c>
      <c r="N141" s="1" t="str">
        <f t="shared" si="20"/>
        <v>00</v>
      </c>
      <c r="O141" s="1" t="str">
        <f t="shared" si="20"/>
        <v>00</v>
      </c>
      <c r="P141" s="1" t="str">
        <f t="shared" si="20"/>
        <v>00</v>
      </c>
      <c r="Q141" s="1" t="str">
        <f t="shared" si="20"/>
        <v>00</v>
      </c>
      <c r="R141" s="1" t="str">
        <f t="shared" si="20"/>
        <v>00</v>
      </c>
      <c r="S141" s="1"/>
      <c r="T141" s="1">
        <f t="shared" si="18"/>
        <v>16</v>
      </c>
    </row>
    <row r="142" spans="1:20" x14ac:dyDescent="0.3">
      <c r="A142" s="39" t="s">
        <v>154</v>
      </c>
      <c r="B142" s="5" t="str">
        <f t="shared" si="19"/>
        <v>B518</v>
      </c>
      <c r="C142" s="18" t="str">
        <f t="shared" si="17"/>
        <v>00</v>
      </c>
      <c r="D142" s="1" t="str">
        <f t="shared" si="17"/>
        <v>00</v>
      </c>
      <c r="E142" s="1" t="str">
        <f t="shared" si="20"/>
        <v>00</v>
      </c>
      <c r="F142" s="1" t="str">
        <f t="shared" si="20"/>
        <v>00</v>
      </c>
      <c r="G142" s="1" t="str">
        <f t="shared" si="20"/>
        <v>00</v>
      </c>
      <c r="H142" s="1" t="str">
        <f t="shared" si="20"/>
        <v>00</v>
      </c>
      <c r="I142" s="1" t="str">
        <f t="shared" si="20"/>
        <v>55</v>
      </c>
      <c r="J142" s="1" t="str">
        <f t="shared" si="20"/>
        <v>45</v>
      </c>
      <c r="K142" s="1" t="str">
        <f t="shared" si="20"/>
        <v/>
      </c>
      <c r="L142" s="1" t="str">
        <f t="shared" si="20"/>
        <v/>
      </c>
      <c r="M142" s="1" t="str">
        <f t="shared" si="20"/>
        <v/>
      </c>
      <c r="N142" s="1" t="str">
        <f t="shared" si="20"/>
        <v/>
      </c>
      <c r="O142" s="1" t="str">
        <f t="shared" si="20"/>
        <v/>
      </c>
      <c r="P142" s="1" t="str">
        <f t="shared" si="20"/>
        <v/>
      </c>
      <c r="Q142" s="1" t="str">
        <f t="shared" si="20"/>
        <v/>
      </c>
      <c r="R142" s="1" t="str">
        <f t="shared" si="20"/>
        <v/>
      </c>
      <c r="S142" s="1"/>
      <c r="T142" s="1">
        <f t="shared" si="18"/>
        <v>8</v>
      </c>
    </row>
    <row r="143" spans="1:20" x14ac:dyDescent="0.3">
      <c r="A143" s="39" t="s">
        <v>155</v>
      </c>
      <c r="B143" s="5" t="str">
        <f t="shared" si="19"/>
        <v>B520</v>
      </c>
      <c r="C143" s="18" t="str">
        <f t="shared" si="17"/>
        <v>00</v>
      </c>
      <c r="D143" s="1" t="str">
        <f t="shared" si="17"/>
        <v>00</v>
      </c>
      <c r="E143" s="1" t="str">
        <f t="shared" si="20"/>
        <v>00</v>
      </c>
      <c r="F143" s="1" t="str">
        <f t="shared" si="20"/>
        <v>06</v>
      </c>
      <c r="G143" s="1" t="str">
        <f t="shared" si="20"/>
        <v>00</v>
      </c>
      <c r="H143" s="1" t="str">
        <f t="shared" si="20"/>
        <v>00</v>
      </c>
      <c r="I143" s="1" t="str">
        <f t="shared" si="20"/>
        <v>06</v>
      </c>
      <c r="J143" s="1" t="str">
        <f t="shared" si="20"/>
        <v>00</v>
      </c>
      <c r="K143" s="1" t="str">
        <f t="shared" si="20"/>
        <v>18</v>
      </c>
      <c r="L143" s="1" t="str">
        <f t="shared" si="20"/>
        <v>40</v>
      </c>
      <c r="M143" s="1" t="str">
        <f t="shared" si="20"/>
        <v>7F</v>
      </c>
      <c r="N143" s="1" t="str">
        <f t="shared" si="20"/>
        <v>0C</v>
      </c>
      <c r="O143" s="1" t="str">
        <f t="shared" si="20"/>
        <v>30</v>
      </c>
      <c r="P143" s="1" t="str">
        <f t="shared" si="20"/>
        <v>40</v>
      </c>
      <c r="Q143" s="1" t="str">
        <f t="shared" si="20"/>
        <v>1C</v>
      </c>
      <c r="R143" s="1" t="str">
        <f t="shared" si="20"/>
        <v>30</v>
      </c>
      <c r="S143" s="1"/>
      <c r="T143" s="1">
        <f t="shared" si="18"/>
        <v>16</v>
      </c>
    </row>
    <row r="144" spans="1:20" x14ac:dyDescent="0.3">
      <c r="A144" s="39" t="s">
        <v>156</v>
      </c>
      <c r="B144" s="5" t="str">
        <f t="shared" si="19"/>
        <v>B530</v>
      </c>
      <c r="C144" s="18" t="str">
        <f t="shared" si="17"/>
        <v>30</v>
      </c>
      <c r="D144" s="1" t="str">
        <f t="shared" si="17"/>
        <v>0C</v>
      </c>
      <c r="E144" s="1" t="str">
        <f t="shared" si="20"/>
        <v>60</v>
      </c>
      <c r="F144" s="1" t="str">
        <f t="shared" si="20"/>
        <v>60</v>
      </c>
      <c r="G144" s="1" t="str">
        <f t="shared" si="20"/>
        <v>18</v>
      </c>
      <c r="H144" s="1" t="str">
        <f t="shared" si="20"/>
        <v>0D</v>
      </c>
      <c r="I144" s="1" t="str">
        <f t="shared" si="20"/>
        <v>36</v>
      </c>
      <c r="J144" s="1" t="str">
        <f t="shared" si="20"/>
        <v>58</v>
      </c>
      <c r="K144" s="1" t="str">
        <f t="shared" si="20"/>
        <v>40</v>
      </c>
      <c r="L144" s="1" t="str">
        <f t="shared" si="20"/>
        <v>30</v>
      </c>
      <c r="M144" s="1" t="str">
        <f t="shared" si="20"/>
        <v>6C</v>
      </c>
      <c r="N144" s="1" t="str">
        <f t="shared" si="20"/>
        <v>00</v>
      </c>
      <c r="O144" s="1" t="str">
        <f t="shared" si="20"/>
        <v>10</v>
      </c>
      <c r="P144" s="1" t="str">
        <f t="shared" si="20"/>
        <v>00</v>
      </c>
      <c r="Q144" s="1" t="str">
        <f t="shared" si="20"/>
        <v>00</v>
      </c>
      <c r="R144" s="1" t="str">
        <f t="shared" si="20"/>
        <v>00</v>
      </c>
      <c r="S144" s="1"/>
      <c r="T144" s="1">
        <f t="shared" si="18"/>
        <v>16</v>
      </c>
    </row>
    <row r="145" spans="1:20" x14ac:dyDescent="0.3">
      <c r="A145" s="39" t="s">
        <v>157</v>
      </c>
      <c r="B145" s="5" t="str">
        <f t="shared" si="19"/>
        <v>B540</v>
      </c>
      <c r="C145" s="18" t="str">
        <f t="shared" si="17"/>
        <v>00</v>
      </c>
      <c r="D145" s="1" t="str">
        <f t="shared" si="17"/>
        <v>00</v>
      </c>
      <c r="E145" s="1" t="str">
        <f t="shared" si="20"/>
        <v>00</v>
      </c>
      <c r="F145" s="1" t="str">
        <f t="shared" si="20"/>
        <v>00</v>
      </c>
      <c r="G145" s="1" t="str">
        <f t="shared" si="20"/>
        <v>00</v>
      </c>
      <c r="H145" s="1" t="str">
        <f t="shared" si="20"/>
        <v>6C</v>
      </c>
      <c r="I145" s="1" t="str">
        <f t="shared" si="20"/>
        <v>08</v>
      </c>
      <c r="J145" s="1" t="str">
        <f t="shared" si="20"/>
        <v>08</v>
      </c>
      <c r="K145" s="1" t="str">
        <f t="shared" si="20"/>
        <v>40</v>
      </c>
      <c r="L145" s="1" t="str">
        <f t="shared" si="20"/>
        <v>30</v>
      </c>
      <c r="M145" s="1" t="str">
        <f t="shared" si="20"/>
        <v>0C</v>
      </c>
      <c r="N145" s="1" t="str">
        <f t="shared" si="20"/>
        <v>60</v>
      </c>
      <c r="O145" s="1" t="str">
        <f t="shared" si="20"/>
        <v>00</v>
      </c>
      <c r="P145" s="1" t="str">
        <f t="shared" si="20"/>
        <v>0D</v>
      </c>
      <c r="Q145" s="1" t="str">
        <f t="shared" si="20"/>
        <v>30</v>
      </c>
      <c r="R145" s="1" t="str">
        <f t="shared" si="20"/>
        <v>58</v>
      </c>
      <c r="S145" s="1"/>
      <c r="T145" s="1">
        <f t="shared" si="18"/>
        <v>16</v>
      </c>
    </row>
    <row r="146" spans="1:20" x14ac:dyDescent="0.3">
      <c r="A146" s="39" t="s">
        <v>158</v>
      </c>
      <c r="B146" s="5" t="str">
        <f t="shared" si="19"/>
        <v>B550</v>
      </c>
      <c r="C146" s="18" t="str">
        <f t="shared" si="17"/>
        <v>60</v>
      </c>
      <c r="D146" s="1" t="str">
        <f t="shared" si="17"/>
        <v>58</v>
      </c>
      <c r="E146" s="1" t="str">
        <f t="shared" si="20"/>
        <v>36</v>
      </c>
      <c r="F146" s="1" t="str">
        <f t="shared" si="20"/>
        <v>1C</v>
      </c>
      <c r="G146" s="1" t="str">
        <f t="shared" si="20"/>
        <v>60</v>
      </c>
      <c r="H146" s="1" t="str">
        <f t="shared" si="20"/>
        <v>30</v>
      </c>
      <c r="I146" s="1" t="str">
        <f t="shared" si="20"/>
        <v>60</v>
      </c>
      <c r="J146" s="1" t="str">
        <f t="shared" si="20"/>
        <v>00</v>
      </c>
      <c r="K146" s="1" t="str">
        <f t="shared" si="20"/>
        <v>00</v>
      </c>
      <c r="L146" s="1" t="str">
        <f t="shared" si="20"/>
        <v>2A</v>
      </c>
      <c r="M146" s="1" t="str">
        <f t="shared" si="20"/>
        <v>2A</v>
      </c>
      <c r="N146" s="1" t="str">
        <f t="shared" si="20"/>
        <v>2A</v>
      </c>
      <c r="O146" s="1" t="str">
        <f t="shared" si="20"/>
        <v>28</v>
      </c>
      <c r="P146" s="1" t="str">
        <f t="shared" si="20"/>
        <v>2A</v>
      </c>
      <c r="Q146" s="1" t="str">
        <f t="shared" si="20"/>
        <v>2A</v>
      </c>
      <c r="R146" s="1" t="str">
        <f t="shared" si="20"/>
        <v>00</v>
      </c>
      <c r="S146" s="1"/>
      <c r="T146" s="1">
        <f t="shared" si="18"/>
        <v>16</v>
      </c>
    </row>
    <row r="147" spans="1:20" x14ac:dyDescent="0.3">
      <c r="A147" s="39" t="s">
        <v>159</v>
      </c>
      <c r="B147" s="5" t="str">
        <f t="shared" si="19"/>
        <v>B560</v>
      </c>
      <c r="C147" s="18" t="str">
        <f t="shared" si="17"/>
        <v>2A</v>
      </c>
      <c r="D147" s="1" t="str">
        <f t="shared" si="17"/>
        <v>2A</v>
      </c>
      <c r="E147" s="1" t="str">
        <f t="shared" si="20"/>
        <v>08</v>
      </c>
      <c r="F147" s="1" t="str">
        <f t="shared" si="20"/>
        <v>2A</v>
      </c>
      <c r="G147" s="1" t="str">
        <f t="shared" si="20"/>
        <v>20</v>
      </c>
      <c r="H147" s="1" t="str">
        <f t="shared" si="20"/>
        <v>51</v>
      </c>
      <c r="I147" s="1" t="str">
        <f t="shared" si="20"/>
        <v>55</v>
      </c>
      <c r="J147" s="1" t="str">
        <f t="shared" si="20"/>
        <v>55</v>
      </c>
      <c r="K147" s="1" t="str">
        <f t="shared" si="20"/>
        <v>15</v>
      </c>
      <c r="L147" s="1" t="str">
        <f t="shared" si="20"/>
        <v>55</v>
      </c>
      <c r="M147" s="1" t="str">
        <f t="shared" si="20"/>
        <v>01</v>
      </c>
      <c r="N147" s="1" t="str">
        <f t="shared" si="20"/>
        <v>55</v>
      </c>
      <c r="O147" s="1" t="str">
        <f t="shared" si="20"/>
        <v>45</v>
      </c>
      <c r="P147" s="1" t="str">
        <f t="shared" si="20"/>
        <v>14</v>
      </c>
      <c r="Q147" s="1" t="str">
        <f t="shared" si="20"/>
        <v>55</v>
      </c>
      <c r="R147" s="1" t="str">
        <f t="shared" si="20"/>
        <v>45</v>
      </c>
      <c r="S147" s="1"/>
      <c r="T147" s="1">
        <f t="shared" si="18"/>
        <v>16</v>
      </c>
    </row>
    <row r="148" spans="1:20" x14ac:dyDescent="0.3">
      <c r="A148" s="39" t="s">
        <v>160</v>
      </c>
      <c r="B148" s="5" t="str">
        <f t="shared" si="19"/>
        <v>B570</v>
      </c>
      <c r="C148" s="18" t="str">
        <f t="shared" si="17"/>
        <v>55</v>
      </c>
      <c r="D148" s="1" t="str">
        <f t="shared" si="17"/>
        <v>41</v>
      </c>
      <c r="E148" s="1" t="str">
        <f t="shared" si="20"/>
        <v>41</v>
      </c>
      <c r="F148" s="1" t="str">
        <f t="shared" si="20"/>
        <v>55</v>
      </c>
      <c r="G148" s="1" t="str">
        <f t="shared" si="20"/>
        <v>05</v>
      </c>
      <c r="H148" s="1" t="str">
        <f t="shared" si="20"/>
        <v>45</v>
      </c>
      <c r="I148" s="1" t="str">
        <f t="shared" si="20"/>
        <v>45</v>
      </c>
      <c r="J148" s="1" t="str">
        <f t="shared" si="20"/>
        <v>55</v>
      </c>
      <c r="K148" s="1" t="str">
        <f t="shared" si="20"/>
        <v>14</v>
      </c>
      <c r="L148" s="1" t="str">
        <f t="shared" si="20"/>
        <v>55</v>
      </c>
      <c r="M148" s="1" t="str">
        <f t="shared" si="20"/>
        <v>04</v>
      </c>
      <c r="N148" s="1" t="str">
        <f t="shared" si="20"/>
        <v>41</v>
      </c>
      <c r="O148" s="1" t="str">
        <f t="shared" si="20"/>
        <v>41</v>
      </c>
      <c r="P148" s="1" t="str">
        <f t="shared" si="20"/>
        <v>14</v>
      </c>
      <c r="Q148" s="1" t="str">
        <f t="shared" si="20"/>
        <v>55</v>
      </c>
      <c r="R148" s="1" t="str">
        <f t="shared" si="20"/>
        <v>01</v>
      </c>
      <c r="S148" s="1"/>
      <c r="T148" s="1">
        <f t="shared" si="18"/>
        <v>16</v>
      </c>
    </row>
    <row r="149" spans="1:20" x14ac:dyDescent="0.3">
      <c r="A149" s="39" t="s">
        <v>161</v>
      </c>
      <c r="B149" s="5" t="str">
        <f t="shared" si="19"/>
        <v>B580</v>
      </c>
      <c r="C149" s="18" t="str">
        <f t="shared" si="17"/>
        <v>14</v>
      </c>
      <c r="D149" s="1" t="str">
        <f t="shared" si="17"/>
        <v>14</v>
      </c>
      <c r="E149" s="1" t="str">
        <f t="shared" si="20"/>
        <v>14</v>
      </c>
      <c r="F149" s="1" t="str">
        <f t="shared" si="20"/>
        <v>01</v>
      </c>
      <c r="G149" s="1" t="str">
        <f t="shared" si="20"/>
        <v>00</v>
      </c>
      <c r="H149" s="1" t="str">
        <f t="shared" si="20"/>
        <v>40</v>
      </c>
      <c r="I149" s="1" t="str">
        <f t="shared" si="20"/>
        <v>00</v>
      </c>
      <c r="J149" s="1" t="str">
        <f t="shared" si="20"/>
        <v>00</v>
      </c>
      <c r="K149" s="1" t="str">
        <f t="shared" si="20"/>
        <v/>
      </c>
      <c r="L149" s="1" t="str">
        <f t="shared" si="20"/>
        <v/>
      </c>
      <c r="M149" s="1" t="str">
        <f t="shared" si="20"/>
        <v/>
      </c>
      <c r="N149" s="1" t="str">
        <f t="shared" si="20"/>
        <v/>
      </c>
      <c r="O149" s="1" t="str">
        <f t="shared" si="20"/>
        <v/>
      </c>
      <c r="P149" s="1" t="str">
        <f t="shared" si="20"/>
        <v/>
      </c>
      <c r="Q149" s="1" t="str">
        <f t="shared" si="20"/>
        <v/>
      </c>
      <c r="R149" s="1" t="str">
        <f t="shared" si="20"/>
        <v/>
      </c>
      <c r="S149" s="1"/>
      <c r="T149" s="1">
        <f t="shared" si="18"/>
        <v>8</v>
      </c>
    </row>
    <row r="150" spans="1:20" x14ac:dyDescent="0.3">
      <c r="A150" s="39" t="s">
        <v>162</v>
      </c>
      <c r="B150" s="5" t="str">
        <f t="shared" si="19"/>
        <v>B588</v>
      </c>
      <c r="C150" s="18" t="str">
        <f t="shared" si="17"/>
        <v>00</v>
      </c>
      <c r="D150" s="1" t="str">
        <f t="shared" si="17"/>
        <v>00</v>
      </c>
      <c r="E150" s="1" t="str">
        <f t="shared" si="20"/>
        <v>00</v>
      </c>
      <c r="F150" s="1" t="str">
        <f t="shared" si="20"/>
        <v>03</v>
      </c>
      <c r="G150" s="1" t="str">
        <f t="shared" si="20"/>
        <v>00</v>
      </c>
      <c r="H150" s="1" t="str">
        <f t="shared" si="20"/>
        <v>00</v>
      </c>
      <c r="I150" s="1" t="str">
        <f t="shared" si="20"/>
        <v>00</v>
      </c>
      <c r="J150" s="1" t="str">
        <f t="shared" si="20"/>
        <v>00</v>
      </c>
      <c r="K150" s="1" t="str">
        <f t="shared" si="20"/>
        <v>00</v>
      </c>
      <c r="L150" s="1" t="str">
        <f t="shared" si="20"/>
        <v>01</v>
      </c>
      <c r="M150" s="1" t="str">
        <f t="shared" si="20"/>
        <v>07</v>
      </c>
      <c r="N150" s="1" t="str">
        <f t="shared" si="20"/>
        <v>00</v>
      </c>
      <c r="O150" s="1" t="str">
        <f t="shared" si="20"/>
        <v>00</v>
      </c>
      <c r="P150" s="1" t="str">
        <f t="shared" si="20"/>
        <v>01</v>
      </c>
      <c r="Q150" s="1" t="str">
        <f t="shared" si="20"/>
        <v>00</v>
      </c>
      <c r="R150" s="1" t="str">
        <f t="shared" si="20"/>
        <v>03</v>
      </c>
      <c r="S150" s="1"/>
      <c r="T150" s="1">
        <f t="shared" si="18"/>
        <v>16</v>
      </c>
    </row>
    <row r="151" spans="1:20" x14ac:dyDescent="0.3">
      <c r="A151" s="39" t="s">
        <v>163</v>
      </c>
      <c r="B151" s="5" t="str">
        <f t="shared" si="19"/>
        <v>B598</v>
      </c>
      <c r="C151" s="18" t="str">
        <f t="shared" si="17"/>
        <v>00</v>
      </c>
      <c r="D151" s="1" t="str">
        <f t="shared" si="17"/>
        <v>00</v>
      </c>
      <c r="E151" s="1" t="str">
        <f t="shared" si="20"/>
        <v>01</v>
      </c>
      <c r="F151" s="1" t="str">
        <f t="shared" si="20"/>
        <v>00</v>
      </c>
      <c r="G151" s="1" t="str">
        <f t="shared" si="20"/>
        <v>00</v>
      </c>
      <c r="H151" s="1" t="str">
        <f t="shared" si="20"/>
        <v>00</v>
      </c>
      <c r="I151" s="1" t="str">
        <f t="shared" si="20"/>
        <v>00</v>
      </c>
      <c r="J151" s="1" t="str">
        <f t="shared" si="20"/>
        <v>01</v>
      </c>
      <c r="K151" s="1" t="str">
        <f t="shared" si="20"/>
        <v>05</v>
      </c>
      <c r="L151" s="1" t="str">
        <f t="shared" si="20"/>
        <v>03</v>
      </c>
      <c r="M151" s="1" t="str">
        <f t="shared" si="20"/>
        <v>00</v>
      </c>
      <c r="N151" s="1" t="str">
        <f t="shared" si="20"/>
        <v>01</v>
      </c>
      <c r="O151" s="1" t="str">
        <f t="shared" si="20"/>
        <v>01</v>
      </c>
      <c r="P151" s="1" t="str">
        <f t="shared" si="20"/>
        <v>00</v>
      </c>
      <c r="Q151" s="1" t="str">
        <f t="shared" si="20"/>
        <v>00</v>
      </c>
      <c r="R151" s="1" t="str">
        <f t="shared" si="20"/>
        <v>00</v>
      </c>
      <c r="S151" s="1"/>
      <c r="T151" s="1">
        <f t="shared" si="18"/>
        <v>16</v>
      </c>
    </row>
    <row r="152" spans="1:20" x14ac:dyDescent="0.3">
      <c r="A152" s="39" t="s">
        <v>164</v>
      </c>
      <c r="B152" s="5" t="str">
        <f t="shared" si="19"/>
        <v>B5A8</v>
      </c>
      <c r="C152" s="18" t="str">
        <f t="shared" si="17"/>
        <v>00</v>
      </c>
      <c r="D152" s="1" t="str">
        <f t="shared" si="17"/>
        <v>00</v>
      </c>
      <c r="E152" s="1" t="str">
        <f t="shared" si="20"/>
        <v>00</v>
      </c>
      <c r="F152" s="1" t="str">
        <f t="shared" si="20"/>
        <v>00</v>
      </c>
      <c r="G152" s="1" t="str">
        <f t="shared" si="20"/>
        <v>00</v>
      </c>
      <c r="H152" s="1" t="str">
        <f t="shared" si="20"/>
        <v>00</v>
      </c>
      <c r="I152" s="1" t="str">
        <f t="shared" si="20"/>
        <v>00</v>
      </c>
      <c r="J152" s="1" t="str">
        <f t="shared" si="20"/>
        <v>01</v>
      </c>
      <c r="K152" s="1" t="str">
        <f t="shared" si="20"/>
        <v>01</v>
      </c>
      <c r="L152" s="1" t="str">
        <f t="shared" si="20"/>
        <v>00</v>
      </c>
      <c r="M152" s="1" t="str">
        <f t="shared" si="20"/>
        <v>00</v>
      </c>
      <c r="N152" s="1" t="str">
        <f t="shared" si="20"/>
        <v>00</v>
      </c>
      <c r="O152" s="1" t="str">
        <f t="shared" si="20"/>
        <v>03</v>
      </c>
      <c r="P152" s="1" t="str">
        <f t="shared" si="20"/>
        <v>00</v>
      </c>
      <c r="Q152" s="1" t="str">
        <f t="shared" si="20"/>
        <v>00</v>
      </c>
      <c r="R152" s="1" t="str">
        <f t="shared" si="20"/>
        <v>01</v>
      </c>
      <c r="S152" s="1"/>
      <c r="T152" s="1">
        <f t="shared" si="18"/>
        <v>16</v>
      </c>
    </row>
    <row r="153" spans="1:20" x14ac:dyDescent="0.3">
      <c r="A153" s="39" t="s">
        <v>165</v>
      </c>
      <c r="B153" s="5" t="str">
        <f t="shared" si="19"/>
        <v>B5B8</v>
      </c>
      <c r="C153" s="18" t="str">
        <f t="shared" si="17"/>
        <v>02</v>
      </c>
      <c r="D153" s="1" t="str">
        <f t="shared" si="17"/>
        <v>01</v>
      </c>
      <c r="E153" s="1" t="str">
        <f t="shared" si="20"/>
        <v>00</v>
      </c>
      <c r="F153" s="1" t="str">
        <f t="shared" si="20"/>
        <v>00</v>
      </c>
      <c r="G153" s="1" t="str">
        <f t="shared" si="20"/>
        <v>01</v>
      </c>
      <c r="H153" s="1" t="str">
        <f t="shared" si="20"/>
        <v>00</v>
      </c>
      <c r="I153" s="1" t="str">
        <f t="shared" si="20"/>
        <v>00</v>
      </c>
      <c r="J153" s="1" t="str">
        <f t="shared" si="20"/>
        <v>00</v>
      </c>
      <c r="K153" s="1" t="str">
        <f t="shared" si="20"/>
        <v>00</v>
      </c>
      <c r="L153" s="1" t="str">
        <f t="shared" si="20"/>
        <v>01</v>
      </c>
      <c r="M153" s="1" t="str">
        <f t="shared" si="20"/>
        <v>01</v>
      </c>
      <c r="N153" s="1" t="str">
        <f t="shared" si="20"/>
        <v>01</v>
      </c>
      <c r="O153" s="1" t="str">
        <f t="shared" si="20"/>
        <v>01</v>
      </c>
      <c r="P153" s="1" t="str">
        <f t="shared" si="20"/>
        <v>01</v>
      </c>
      <c r="Q153" s="1" t="str">
        <f t="shared" si="20"/>
        <v>01</v>
      </c>
      <c r="R153" s="1" t="str">
        <f t="shared" si="20"/>
        <v>01</v>
      </c>
      <c r="S153" s="1"/>
      <c r="T153" s="1">
        <f t="shared" si="18"/>
        <v>16</v>
      </c>
    </row>
    <row r="154" spans="1:20" x14ac:dyDescent="0.3">
      <c r="A154" s="39" t="s">
        <v>129</v>
      </c>
      <c r="B154" s="5" t="str">
        <f t="shared" si="19"/>
        <v>B5C8</v>
      </c>
      <c r="C154" s="18" t="str">
        <f t="shared" si="17"/>
        <v>01</v>
      </c>
      <c r="D154" s="1" t="str">
        <f t="shared" si="17"/>
        <v>01</v>
      </c>
      <c r="E154" s="1" t="str">
        <f t="shared" si="20"/>
        <v>00</v>
      </c>
      <c r="F154" s="1" t="str">
        <f t="shared" si="20"/>
        <v>01</v>
      </c>
      <c r="G154" s="1" t="str">
        <f t="shared" si="20"/>
        <v>01</v>
      </c>
      <c r="H154" s="1" t="str">
        <f t="shared" si="20"/>
        <v>00</v>
      </c>
      <c r="I154" s="1" t="str">
        <f t="shared" si="20"/>
        <v>00</v>
      </c>
      <c r="J154" s="1" t="str">
        <f t="shared" si="20"/>
        <v>00</v>
      </c>
      <c r="K154" s="1" t="str">
        <f t="shared" si="20"/>
        <v>00</v>
      </c>
      <c r="L154" s="1" t="str">
        <f t="shared" si="20"/>
        <v>00</v>
      </c>
      <c r="M154" s="1" t="str">
        <f t="shared" si="20"/>
        <v>00</v>
      </c>
      <c r="N154" s="1" t="str">
        <f t="shared" si="20"/>
        <v>00</v>
      </c>
      <c r="O154" s="1" t="str">
        <f t="shared" si="20"/>
        <v>00</v>
      </c>
      <c r="P154" s="1" t="str">
        <f t="shared" si="20"/>
        <v>00</v>
      </c>
      <c r="Q154" s="1" t="str">
        <f t="shared" si="20"/>
        <v>00</v>
      </c>
      <c r="R154" s="1" t="str">
        <f t="shared" si="20"/>
        <v>00</v>
      </c>
      <c r="S154" s="1"/>
      <c r="T154" s="1">
        <f t="shared" si="18"/>
        <v>16</v>
      </c>
    </row>
    <row r="155" spans="1:20" x14ac:dyDescent="0.3">
      <c r="A155" s="39" t="s">
        <v>41</v>
      </c>
      <c r="B155" s="5" t="str">
        <f t="shared" si="19"/>
        <v>B5D8</v>
      </c>
      <c r="C155" s="18" t="str">
        <f t="shared" si="17"/>
        <v>00</v>
      </c>
      <c r="D155" s="1" t="str">
        <f t="shared" si="17"/>
        <v>00</v>
      </c>
      <c r="E155" s="1" t="str">
        <f t="shared" si="20"/>
        <v>00</v>
      </c>
      <c r="F155" s="1" t="str">
        <f t="shared" si="20"/>
        <v>00</v>
      </c>
      <c r="G155" s="1" t="str">
        <f t="shared" si="20"/>
        <v>00</v>
      </c>
      <c r="H155" s="1" t="str">
        <f t="shared" si="20"/>
        <v>00</v>
      </c>
      <c r="I155" s="1" t="str">
        <f t="shared" si="20"/>
        <v>00</v>
      </c>
      <c r="J155" s="1" t="str">
        <f t="shared" si="20"/>
        <v>00</v>
      </c>
      <c r="K155" s="1" t="str">
        <f t="shared" si="20"/>
        <v>00</v>
      </c>
      <c r="L155" s="1" t="str">
        <f t="shared" si="20"/>
        <v>00</v>
      </c>
      <c r="M155" s="1" t="str">
        <f t="shared" si="20"/>
        <v>00</v>
      </c>
      <c r="N155" s="1" t="str">
        <f t="shared" si="20"/>
        <v>00</v>
      </c>
      <c r="O155" s="1" t="str">
        <f t="shared" si="20"/>
        <v>00</v>
      </c>
      <c r="P155" s="1" t="str">
        <f t="shared" si="20"/>
        <v>00</v>
      </c>
      <c r="Q155" s="1" t="str">
        <f t="shared" si="20"/>
        <v>00</v>
      </c>
      <c r="R155" s="1" t="str">
        <f t="shared" si="20"/>
        <v>00</v>
      </c>
      <c r="S155" s="1"/>
      <c r="T155" s="1">
        <f t="shared" si="18"/>
        <v>16</v>
      </c>
    </row>
    <row r="156" spans="1:20" x14ac:dyDescent="0.3">
      <c r="A156" s="39" t="s">
        <v>166</v>
      </c>
      <c r="B156" s="5" t="str">
        <f t="shared" si="19"/>
        <v>B5E8</v>
      </c>
      <c r="C156" s="18" t="str">
        <f t="shared" si="17"/>
        <v>00</v>
      </c>
      <c r="D156" s="1" t="str">
        <f t="shared" si="17"/>
        <v>00</v>
      </c>
      <c r="E156" s="1" t="str">
        <f t="shared" si="17"/>
        <v>00</v>
      </c>
      <c r="F156" s="1" t="str">
        <f t="shared" si="17"/>
        <v>00</v>
      </c>
      <c r="G156" s="1" t="str">
        <f t="shared" si="17"/>
        <v>00</v>
      </c>
      <c r="H156" s="1" t="str">
        <f t="shared" si="17"/>
        <v>00</v>
      </c>
      <c r="I156" s="3" t="str">
        <f t="shared" si="17"/>
        <v>81</v>
      </c>
      <c r="J156" s="1" t="str">
        <f t="shared" si="17"/>
        <v>A8</v>
      </c>
      <c r="K156" s="1" t="str">
        <f t="shared" si="17"/>
        <v/>
      </c>
      <c r="L156" s="1" t="str">
        <f t="shared" si="17"/>
        <v/>
      </c>
      <c r="M156" s="1" t="str">
        <f t="shared" si="17"/>
        <v/>
      </c>
      <c r="N156" s="1" t="str">
        <f t="shared" si="17"/>
        <v/>
      </c>
      <c r="O156" s="1" t="str">
        <f t="shared" si="17"/>
        <v/>
      </c>
      <c r="P156" s="1" t="str">
        <f t="shared" si="17"/>
        <v/>
      </c>
      <c r="Q156" s="1" t="str">
        <f t="shared" si="17"/>
        <v/>
      </c>
      <c r="R156" s="1" t="str">
        <f t="shared" si="17"/>
        <v/>
      </c>
      <c r="S156" s="1"/>
      <c r="T156" s="1">
        <f t="shared" si="18"/>
        <v>8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918B-0EC6-47A9-8BE5-2C5EFEBFA13A}">
  <sheetPr codeName="Tabelle22">
    <tabColor rgb="FF2B164B"/>
  </sheetPr>
  <dimension ref="A1:M30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3" x14ac:dyDescent="0.3">
      <c r="L25" s="62"/>
      <c r="M25" s="62"/>
    </row>
    <row r="26" spans="7:13" x14ac:dyDescent="0.3">
      <c r="G26" s="61" t="s">
        <v>962</v>
      </c>
      <c r="L26" s="62"/>
      <c r="M26" s="62"/>
    </row>
    <row r="27" spans="7:13" x14ac:dyDescent="0.3">
      <c r="G27" s="61" t="s">
        <v>941</v>
      </c>
      <c r="L27" s="62"/>
      <c r="M27" s="62"/>
    </row>
    <row r="28" spans="7:13" x14ac:dyDescent="0.3">
      <c r="G28" s="61" t="s">
        <v>955</v>
      </c>
      <c r="L28" s="62"/>
      <c r="M28" s="62"/>
    </row>
    <row r="29" spans="7:13" x14ac:dyDescent="0.3">
      <c r="G29" s="61" t="s">
        <v>912</v>
      </c>
    </row>
    <row r="30" spans="7:13" ht="15" x14ac:dyDescent="0.4">
      <c r="G30" s="65" t="s">
        <v>911</v>
      </c>
    </row>
  </sheetData>
  <conditionalFormatting sqref="J33:J38">
    <cfRule type="expression" dxfId="12" priority="8">
      <formula>NOT(ISERROR(SEARCH("TOGET",J33)))</formula>
    </cfRule>
    <cfRule type="expression" dxfId="11" priority="9">
      <formula>NOT(ISERROR(SEARCH("!!!",J33)))</formula>
    </cfRule>
    <cfRule type="expression" dxfId="10" priority="10">
      <formula>NOT(ISERROR(SEARCH("~?~?~?",J33)))</formula>
    </cfRule>
    <cfRule type="expression" dxfId="9" priority="11">
      <formula>NOT(ISERROR(SEARCH("TODO FS",J33)))</formula>
    </cfRule>
    <cfRule type="expression" dxfId="8" priority="12">
      <formula>NOT(ISERROR(SEARCH("TODO",J33)))</formula>
    </cfRule>
    <cfRule type="expression" dxfId="7" priority="13">
      <formula>NOT(ISERROR(SEARCH("DONE",J33)))</formula>
    </cfRule>
  </conditionalFormatting>
  <conditionalFormatting sqref="J32:J38">
    <cfRule type="expression" dxfId="6" priority="1">
      <formula>NOT(ISERROR(SEARCH("@Carl",J32)))</formula>
    </cfRule>
    <cfRule type="expression" dxfId="5" priority="2">
      <formula>NOT(ISERROR(SEARCH("PRIO!",J32)))</formula>
    </cfRule>
    <cfRule type="expression" dxfId="4" priority="3">
      <formula>NOT(ISERROR(SEARCH("TOGET",J32)))</formula>
    </cfRule>
    <cfRule type="expression" dxfId="3" priority="4">
      <formula>NOT(ISERROR(SEARCH("!!!",J32)))</formula>
    </cfRule>
    <cfRule type="expression" dxfId="2" priority="5">
      <formula>NOT(ISERROR(SEARCH("~?~?~?",J32)))</formula>
    </cfRule>
    <cfRule type="expression" dxfId="1" priority="6">
      <formula>NOT(ISERROR(SEARCH("TODO",J32)))</formula>
    </cfRule>
    <cfRule type="expression" dxfId="0" priority="7">
      <formula>NOT(ISERROR(SEARCH("DONE",J32)))</formula>
    </cfRule>
  </conditionalFormatting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23</vt:i4>
      </vt:variant>
      <vt:variant>
        <vt:lpstr>Benannte Bereiche</vt:lpstr>
      </vt:variant>
      <vt:variant>
        <vt:i4>61</vt:i4>
      </vt:variant>
    </vt:vector>
  </HeadingPairs>
  <TitlesOfParts>
    <vt:vector size="84" baseType="lpstr">
      <vt:lpstr>Intro</vt:lpstr>
      <vt:lpstr>&gt; comments &lt;</vt:lpstr>
      <vt:lpstr>Versions</vt:lpstr>
      <vt:lpstr>Worksheets matrix</vt:lpstr>
      <vt:lpstr>Sprite Shifting</vt:lpstr>
      <vt:lpstr>Sprite Shifter</vt:lpstr>
      <vt:lpstr>Sprite (load)</vt:lpstr>
      <vt:lpstr>Pixel Shifting</vt:lpstr>
      <vt:lpstr>Pixel Shifter</vt:lpstr>
      <vt:lpstr>Pixel Shift Pattern Table</vt:lpstr>
      <vt:lpstr>Pixel Shift Table</vt:lpstr>
      <vt:lpstr>Pixel Shift Pages</vt:lpstr>
      <vt:lpstr>pixel_pattern_table.asm</vt:lpstr>
      <vt:lpstr>pixel_shift_table.asm</vt:lpstr>
      <vt:lpstr>Sprites</vt:lpstr>
      <vt:lpstr>Sprite Loader</vt:lpstr>
      <vt:lpstr>Sprite (S)</vt:lpstr>
      <vt:lpstr>Sprite (Player)</vt:lpstr>
      <vt:lpstr>Sprite (Player HB0)</vt:lpstr>
      <vt:lpstr>Sprite (HB0&lt;&gt;HB1)</vt:lpstr>
      <vt:lpstr>Sprite Data</vt:lpstr>
      <vt:lpstr>sprite_data.asm</vt:lpstr>
      <vt:lpstr>End</vt:lpstr>
      <vt:lpstr>'Worksheets matrix'!_</vt:lpstr>
      <vt:lpstr>AddrByte0</vt:lpstr>
      <vt:lpstr>AddrByte1</vt:lpstr>
      <vt:lpstr>'Sprite (HB0&lt;&gt;HB1)'!BitsByte0</vt:lpstr>
      <vt:lpstr>'Sprite (load)'!BitsByte0</vt:lpstr>
      <vt:lpstr>'Sprite (Player HB0)'!BitsByte0</vt:lpstr>
      <vt:lpstr>'Sprite (Player)'!BitsByte0</vt:lpstr>
      <vt:lpstr>'Sprite (S)'!BitsByte0</vt:lpstr>
      <vt:lpstr>'Sprite (HB0&lt;&gt;HB1)'!BitsByte1</vt:lpstr>
      <vt:lpstr>'Sprite (load)'!BitsByte1</vt:lpstr>
      <vt:lpstr>'Sprite (Player HB0)'!BitsByte1</vt:lpstr>
      <vt:lpstr>'Sprite (Player)'!BitsByte1</vt:lpstr>
      <vt:lpstr>'Sprite (S)'!BitsByte1</vt:lpstr>
      <vt:lpstr>Intro!ClearCells</vt:lpstr>
      <vt:lpstr>'Sprite (HB0&lt;&gt;HB1)'!EditorByte0</vt:lpstr>
      <vt:lpstr>'Sprite (load)'!EditorByte0</vt:lpstr>
      <vt:lpstr>'Sprite (Player HB0)'!EditorByte0</vt:lpstr>
      <vt:lpstr>'Sprite (Player)'!EditorByte0</vt:lpstr>
      <vt:lpstr>'Sprite (S)'!EditorByte0</vt:lpstr>
      <vt:lpstr>'Sprite (HB0&lt;&gt;HB1)'!EditorByte1</vt:lpstr>
      <vt:lpstr>'Sprite (load)'!EditorByte1</vt:lpstr>
      <vt:lpstr>'Sprite (Player HB0)'!EditorByte1</vt:lpstr>
      <vt:lpstr>'Sprite (Player)'!EditorByte1</vt:lpstr>
      <vt:lpstr>'Sprite (S)'!EditorByte1</vt:lpstr>
      <vt:lpstr>'Sprite (HB0&lt;&gt;HB1)'!HexByte0</vt:lpstr>
      <vt:lpstr>'Sprite (load)'!HexByte0</vt:lpstr>
      <vt:lpstr>'Sprite (Player HB0)'!HexByte0</vt:lpstr>
      <vt:lpstr>'Sprite (Player)'!HexByte0</vt:lpstr>
      <vt:lpstr>'Sprite (S)'!HexByte0</vt:lpstr>
      <vt:lpstr>'Sprite (HB0&lt;&gt;HB1)'!HexByte1</vt:lpstr>
      <vt:lpstr>'Sprite (load)'!HexByte1</vt:lpstr>
      <vt:lpstr>'Sprite (Player HB0)'!HexByte1</vt:lpstr>
      <vt:lpstr>'Sprite (Player)'!HexByte1</vt:lpstr>
      <vt:lpstr>'Sprite (S)'!HexByte1</vt:lpstr>
      <vt:lpstr>'Sprite (HB0&lt;&gt;HB1)'!HighBit0</vt:lpstr>
      <vt:lpstr>'Sprite (load)'!HighBit0</vt:lpstr>
      <vt:lpstr>'Sprite (Player HB0)'!HighBit0</vt:lpstr>
      <vt:lpstr>'Sprite (Player)'!HighBit0</vt:lpstr>
      <vt:lpstr>'Sprite (S)'!HighBit0</vt:lpstr>
      <vt:lpstr>'Sprite (HB0&lt;&gt;HB1)'!HighBit1</vt:lpstr>
      <vt:lpstr>'Sprite (load)'!HighBit1</vt:lpstr>
      <vt:lpstr>'Sprite (Player HB0)'!HighBit1</vt:lpstr>
      <vt:lpstr>'Sprite (Player)'!HighBit1</vt:lpstr>
      <vt:lpstr>'Sprite (S)'!HighBit1</vt:lpstr>
      <vt:lpstr>'Pixel Shifter'!InputPixels</vt:lpstr>
      <vt:lpstr>MasterCheck</vt:lpstr>
      <vt:lpstr>PixelPatternTable</vt:lpstr>
      <vt:lpstr>PixelShiftPages</vt:lpstr>
      <vt:lpstr>PixelShiftPatternTable</vt:lpstr>
      <vt:lpstr>'Pixel Shift Pattern Table'!PixelShiftTable</vt:lpstr>
      <vt:lpstr>PixelShiftTable</vt:lpstr>
      <vt:lpstr>SkipWorksheets</vt:lpstr>
      <vt:lpstr>SpriteBaseAddress</vt:lpstr>
      <vt:lpstr>SpriteCount</vt:lpstr>
      <vt:lpstr>SpriteData</vt:lpstr>
      <vt:lpstr>SpriteToLoad</vt:lpstr>
      <vt:lpstr>'Sprite (HB0&lt;&gt;HB1)'!ViewerGrid</vt:lpstr>
      <vt:lpstr>'Sprite (load)'!ViewerGrid</vt:lpstr>
      <vt:lpstr>'Sprite (Player HB0)'!ViewerGrid</vt:lpstr>
      <vt:lpstr>'Sprite (Player)'!ViewerGrid</vt:lpstr>
      <vt:lpstr>'Sprite (S)'!ViewerGrid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cp:lastPrinted>2026-09-20T07:27:20Z</cp:lastPrinted>
  <dcterms:created xsi:type="dcterms:W3CDTF">2026-09-09T10:01:24Z</dcterms:created>
  <dcterms:modified xsi:type="dcterms:W3CDTF">2026-09-20T10:54:03Z</dcterms:modified>
  <dc:language>en-US</dc:language>
</cp:coreProperties>
</file>