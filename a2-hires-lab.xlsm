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81029A74-4A36-41D1-9370-473496990FDC}" xr6:coauthVersionLast="47" xr6:coauthVersionMax="47" xr10:uidLastSave="{00000000-0000-0000-0000-000000000000}"/>
  <bookViews>
    <workbookView xWindow="-98" yWindow="-98" windowWidth="22875" windowHeight="14431" tabRatio="500" activeTab="3" xr2:uid="{00000000-000D-0000-FFFF-FFFF00000000}"/>
  </bookViews>
  <sheets>
    <sheet name="sprite_data.asm" sheetId="7" r:id="rId1"/>
    <sheet name="SPRITE_DATA" sheetId="9" r:id="rId2"/>
    <sheet name="Sprite Loader" sheetId="8" r:id="rId3"/>
    <sheet name="Sprite (load)" sheetId="10" r:id="rId4"/>
    <sheet name="Sprite (S)" sheetId="1" r:id="rId5"/>
    <sheet name="Sprite (Player)" sheetId="4" r:id="rId6"/>
    <sheet name="Sprite (Player HB0)" sheetId="5" r:id="rId7"/>
    <sheet name="Sprite (HB0&lt;&gt;HB1)" sheetId="6" r:id="rId8"/>
  </sheets>
  <functionGroups builtInGroupCount="19"/>
  <definedNames>
    <definedName name="_xleta.AND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7">'Sprite (HB0&lt;&gt;HB1)'!$T$4:$T$14</definedName>
    <definedName name="BitsByte0" localSheetId="3">'Sprite (load)'!$T$4:$T$14</definedName>
    <definedName name="BitsByte0" localSheetId="6">'Sprite (Player HB0)'!$T$4:$T$14</definedName>
    <definedName name="BitsByte0" localSheetId="5">'Sprite (Player)'!$T$4:$T$14</definedName>
    <definedName name="BitsByte0" localSheetId="4">'Sprite (S)'!$T$4:$T$14</definedName>
    <definedName name="BitsByte1" localSheetId="7">'Sprite (HB0&lt;&gt;HB1)'!$U$4:$U$14</definedName>
    <definedName name="BitsByte1" localSheetId="3">'Sprite (load)'!$U$4:$U$14</definedName>
    <definedName name="BitsByte1" localSheetId="6">'Sprite (Player HB0)'!$U$4:$U$14</definedName>
    <definedName name="BitsByte1" localSheetId="5">'Sprite (Player)'!$U$4:$U$14</definedName>
    <definedName name="BitsByte1" localSheetId="4">'Sprite (S)'!$U$4:$U$14</definedName>
    <definedName name="EditorByte0" localSheetId="7">'Sprite (HB0&lt;&gt;HB1)'!$B$4:$H$14</definedName>
    <definedName name="EditorByte0" localSheetId="3">'Sprite (load)'!$B$4:$H$14</definedName>
    <definedName name="EditorByte0" localSheetId="6">'Sprite (Player HB0)'!$B$4:$H$14</definedName>
    <definedName name="EditorByte0" localSheetId="5">'Sprite (Player)'!$B$4:$H$14</definedName>
    <definedName name="EditorByte0" localSheetId="4">'Sprite (S)'!$B$4:$H$14</definedName>
    <definedName name="EditorByte1" localSheetId="7">'Sprite (HB0&lt;&gt;HB1)'!$J$4:$P$14</definedName>
    <definedName name="EditorByte1" localSheetId="3">'Sprite (load)'!$J$4:$P$14</definedName>
    <definedName name="EditorByte1" localSheetId="6">'Sprite (Player HB0)'!$J$4:$P$14</definedName>
    <definedName name="EditorByte1" localSheetId="5">'Sprite (Player)'!$J$4:$P$14</definedName>
    <definedName name="EditorByte1" localSheetId="4">'Sprite (S)'!$J$4:$P$14</definedName>
    <definedName name="HexByte0" localSheetId="7">'Sprite (HB0&lt;&gt;HB1)'!$R$4:$R$14</definedName>
    <definedName name="HexByte0" localSheetId="3">'Sprite (load)'!$R$4:$R$14</definedName>
    <definedName name="HexByte0" localSheetId="6">'Sprite (Player HB0)'!$R$4:$R$14</definedName>
    <definedName name="HexByte0" localSheetId="5">'Sprite (Player)'!$R$4:$R$14</definedName>
    <definedName name="HexByte0" localSheetId="4">'Sprite (S)'!$R$4:$R$14</definedName>
    <definedName name="HexByte1" localSheetId="7">'Sprite (HB0&lt;&gt;HB1)'!$S$4:$S$14</definedName>
    <definedName name="HexByte1" localSheetId="3">'Sprite (load)'!$S$4:$S$14</definedName>
    <definedName name="HexByte1" localSheetId="6">'Sprite (Player HB0)'!$S$4:$S$14</definedName>
    <definedName name="HexByte1" localSheetId="5">'Sprite (Player)'!$S$4:$S$14</definedName>
    <definedName name="HexByte1" localSheetId="4">'Sprite (S)'!$S$4:$S$14</definedName>
    <definedName name="HighBit0" localSheetId="7">'Sprite (HB0&lt;&gt;HB1)'!$I$4:$I$14</definedName>
    <definedName name="HighBit0" localSheetId="3">'Sprite (load)'!$I$4:$I$14</definedName>
    <definedName name="HighBit0" localSheetId="6">'Sprite (Player HB0)'!$I$4:$I$14</definedName>
    <definedName name="HighBit0" localSheetId="5">'Sprite (Player)'!$I$4:$I$14</definedName>
    <definedName name="HighBit0" localSheetId="4">'Sprite (S)'!$I$4:$I$14</definedName>
    <definedName name="HighBit1" localSheetId="7">'Sprite (HB0&lt;&gt;HB1)'!$Q$4:$Q$14</definedName>
    <definedName name="HighBit1" localSheetId="3">'Sprite (load)'!$Q$4:$Q$14</definedName>
    <definedName name="HighBit1" localSheetId="6">'Sprite (Player HB0)'!$Q$4:$Q$14</definedName>
    <definedName name="HighBit1" localSheetId="5">'Sprite (Player)'!$Q$4:$Q$14</definedName>
    <definedName name="HighBit1" localSheetId="4">'Sprite (S)'!$Q$4:$Q$14</definedName>
    <definedName name="SpriteBaseAddress">'Sprite Loader'!$C$2</definedName>
    <definedName name="SpriteCount">'Sprite Loader'!$C$3</definedName>
    <definedName name="ViewerGrid" localSheetId="7">'Sprite (HB0&lt;&gt;HB1)'!$B$17:$H$27,'Sprite (HB0&lt;&gt;HB1)'!$J$17:$P$27</definedName>
    <definedName name="ViewerGrid" localSheetId="3">'Sprite (load)'!$B$17:$H$27,'Sprite (load)'!$J$17:$P$27</definedName>
    <definedName name="ViewerGrid" localSheetId="6">'Sprite (Player HB0)'!$B$17:$H$27,'Sprite (Player HB0)'!$J$17:$P$27</definedName>
    <definedName name="ViewerGrid" localSheetId="5">'Sprite (Player)'!$B$17:$H$27,'Sprite (Player)'!$J$17:$P$27</definedName>
    <definedName name="ViewerGrid" localSheetId="4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7" i="8" l="1"/>
  <c r="D7" i="8"/>
  <c r="R145" i="9" a="1"/>
  <c r="R145" i="9" s="1"/>
  <c r="Q145" i="9" a="1"/>
  <c r="Q145" i="9" s="1"/>
  <c r="P145" i="9" a="1"/>
  <c r="P145" i="9" s="1"/>
  <c r="O145" i="9" a="1"/>
  <c r="O145" i="9" s="1"/>
  <c r="N145" i="9" a="1"/>
  <c r="N145" i="9" s="1"/>
  <c r="M145" i="9" a="1"/>
  <c r="M145" i="9" s="1"/>
  <c r="L145" i="9" a="1"/>
  <c r="L145" i="9" s="1"/>
  <c r="K145" i="9" a="1"/>
  <c r="K145" i="9" s="1"/>
  <c r="J145" i="9" a="1"/>
  <c r="J145" i="9" s="1"/>
  <c r="I145" i="9" a="1"/>
  <c r="I145" i="9" s="1"/>
  <c r="H145" i="9" a="1"/>
  <c r="H145" i="9" s="1"/>
  <c r="G145" i="9" a="1"/>
  <c r="G145" i="9" s="1"/>
  <c r="F145" i="9" a="1"/>
  <c r="F145" i="9" s="1"/>
  <c r="E145" i="9" a="1"/>
  <c r="E145" i="9" s="1"/>
  <c r="D145" i="9" a="1"/>
  <c r="D145" i="9" s="1"/>
  <c r="C145" i="9" a="1"/>
  <c r="C145" i="9" s="1"/>
  <c r="R144" i="9" a="1"/>
  <c r="R144" i="9" s="1"/>
  <c r="Q144" i="9" a="1"/>
  <c r="Q144" i="9" s="1"/>
  <c r="P144" i="9" a="1"/>
  <c r="P144" i="9" s="1"/>
  <c r="O144" i="9" a="1"/>
  <c r="O144" i="9" s="1"/>
  <c r="N144" i="9" a="1"/>
  <c r="N144" i="9" s="1"/>
  <c r="M144" i="9" a="1"/>
  <c r="M144" i="9" s="1"/>
  <c r="L144" i="9" a="1"/>
  <c r="L144" i="9" s="1"/>
  <c r="K144" i="9" a="1"/>
  <c r="K144" i="9" s="1"/>
  <c r="J144" i="9" a="1"/>
  <c r="J144" i="9" s="1"/>
  <c r="I144" i="9" a="1"/>
  <c r="I144" i="9" s="1"/>
  <c r="H144" i="9" a="1"/>
  <c r="H144" i="9" s="1"/>
  <c r="G144" i="9" a="1"/>
  <c r="G144" i="9" s="1"/>
  <c r="F144" i="9" a="1"/>
  <c r="F144" i="9" s="1"/>
  <c r="E144" i="9" a="1"/>
  <c r="E144" i="9" s="1"/>
  <c r="D144" i="9" a="1"/>
  <c r="D144" i="9" s="1"/>
  <c r="C144" i="9" a="1"/>
  <c r="C144" i="9" s="1"/>
  <c r="R143" i="9"/>
  <c r="R143" i="9" a="1"/>
  <c r="Q143" i="9" a="1"/>
  <c r="Q143" i="9" s="1"/>
  <c r="P143" i="9" a="1"/>
  <c r="P143" i="9" s="1"/>
  <c r="O143" i="9"/>
  <c r="O143" i="9" a="1"/>
  <c r="N143" i="9" a="1"/>
  <c r="N143" i="9" s="1"/>
  <c r="M143" i="9" a="1"/>
  <c r="M143" i="9" s="1"/>
  <c r="L143" i="9" a="1"/>
  <c r="L143" i="9" s="1"/>
  <c r="K143" i="9" a="1"/>
  <c r="K143" i="9" s="1"/>
  <c r="J143" i="9" a="1"/>
  <c r="J143" i="9" s="1"/>
  <c r="I143" i="9" a="1"/>
  <c r="I143" i="9" s="1"/>
  <c r="H143" i="9" a="1"/>
  <c r="H143" i="9" s="1"/>
  <c r="G143" i="9" a="1"/>
  <c r="G143" i="9" s="1"/>
  <c r="F143" i="9" a="1"/>
  <c r="F143" i="9" s="1"/>
  <c r="E143" i="9" a="1"/>
  <c r="E143" i="9" s="1"/>
  <c r="D143" i="9" a="1"/>
  <c r="D143" i="9" s="1"/>
  <c r="C143" i="9" a="1"/>
  <c r="C143" i="9" s="1"/>
  <c r="R142" i="9" a="1"/>
  <c r="R142" i="9" s="1"/>
  <c r="Q142" i="9" a="1"/>
  <c r="Q142" i="9" s="1"/>
  <c r="P142" i="9" a="1"/>
  <c r="P142" i="9" s="1"/>
  <c r="O142" i="9" a="1"/>
  <c r="O142" i="9" s="1"/>
  <c r="N142" i="9" a="1"/>
  <c r="N142" i="9" s="1"/>
  <c r="M142" i="9" a="1"/>
  <c r="M142" i="9" s="1"/>
  <c r="L142" i="9" a="1"/>
  <c r="L142" i="9" s="1"/>
  <c r="K142" i="9" a="1"/>
  <c r="K142" i="9" s="1"/>
  <c r="J142" i="9" a="1"/>
  <c r="J142" i="9" s="1"/>
  <c r="I142" i="9" a="1"/>
  <c r="I142" i="9" s="1"/>
  <c r="H142" i="9" a="1"/>
  <c r="H142" i="9" s="1"/>
  <c r="G142" i="9" a="1"/>
  <c r="G142" i="9" s="1"/>
  <c r="F142" i="9" a="1"/>
  <c r="F142" i="9" s="1"/>
  <c r="E142" i="9" a="1"/>
  <c r="E142" i="9" s="1"/>
  <c r="D142" i="9" a="1"/>
  <c r="D142" i="9" s="1"/>
  <c r="C142" i="9" a="1"/>
  <c r="C142" i="9" s="1"/>
  <c r="R141" i="9"/>
  <c r="R141" i="9" a="1"/>
  <c r="Q141" i="9" a="1"/>
  <c r="Q141" i="9" s="1"/>
  <c r="P141" i="9" a="1"/>
  <c r="P141" i="9" s="1"/>
  <c r="O141" i="9"/>
  <c r="O141" i="9" a="1"/>
  <c r="N141" i="9" a="1"/>
  <c r="N141" i="9" s="1"/>
  <c r="M141" i="9" a="1"/>
  <c r="M141" i="9" s="1"/>
  <c r="L141" i="9" a="1"/>
  <c r="L141" i="9" s="1"/>
  <c r="K141" i="9" a="1"/>
  <c r="K141" i="9" s="1"/>
  <c r="J141" i="9" a="1"/>
  <c r="J141" i="9" s="1"/>
  <c r="I141" i="9" a="1"/>
  <c r="I141" i="9" s="1"/>
  <c r="H141" i="9" a="1"/>
  <c r="H141" i="9" s="1"/>
  <c r="G141" i="9" a="1"/>
  <c r="G141" i="9" s="1"/>
  <c r="F141" i="9" a="1"/>
  <c r="F141" i="9" s="1"/>
  <c r="E141" i="9" a="1"/>
  <c r="E141" i="9" s="1"/>
  <c r="D141" i="9" a="1"/>
  <c r="D141" i="9" s="1"/>
  <c r="C141" i="9" a="1"/>
  <c r="C141" i="9" s="1"/>
  <c r="R140" i="9" a="1"/>
  <c r="R140" i="9" s="1"/>
  <c r="Q140" i="9" a="1"/>
  <c r="Q140" i="9" s="1"/>
  <c r="P140" i="9" a="1"/>
  <c r="P140" i="9" s="1"/>
  <c r="O140" i="9" a="1"/>
  <c r="O140" i="9" s="1"/>
  <c r="N140" i="9" a="1"/>
  <c r="N140" i="9" s="1"/>
  <c r="M140" i="9" a="1"/>
  <c r="M140" i="9" s="1"/>
  <c r="L140" i="9" a="1"/>
  <c r="L140" i="9" s="1"/>
  <c r="K140" i="9" a="1"/>
  <c r="K140" i="9" s="1"/>
  <c r="J140" i="9" a="1"/>
  <c r="J140" i="9" s="1"/>
  <c r="I140" i="9" a="1"/>
  <c r="I140" i="9" s="1"/>
  <c r="H140" i="9" a="1"/>
  <c r="H140" i="9" s="1"/>
  <c r="G140" i="9" a="1"/>
  <c r="G140" i="9" s="1"/>
  <c r="F140" i="9" a="1"/>
  <c r="F140" i="9" s="1"/>
  <c r="E140" i="9" a="1"/>
  <c r="E140" i="9" s="1"/>
  <c r="D140" i="9" a="1"/>
  <c r="D140" i="9" s="1"/>
  <c r="C140" i="9" a="1"/>
  <c r="C140" i="9" s="1"/>
  <c r="R139" i="9" a="1"/>
  <c r="R139" i="9" s="1"/>
  <c r="Q139" i="9" a="1"/>
  <c r="Q139" i="9" s="1"/>
  <c r="P139" i="9" a="1"/>
  <c r="P139" i="9" s="1"/>
  <c r="O139" i="9" a="1"/>
  <c r="O139" i="9" s="1"/>
  <c r="N139" i="9" a="1"/>
  <c r="N139" i="9" s="1"/>
  <c r="M139" i="9" a="1"/>
  <c r="M139" i="9" s="1"/>
  <c r="L139" i="9" a="1"/>
  <c r="L139" i="9" s="1"/>
  <c r="K139" i="9" a="1"/>
  <c r="K139" i="9" s="1"/>
  <c r="J139" i="9" a="1"/>
  <c r="J139" i="9" s="1"/>
  <c r="I139" i="9" a="1"/>
  <c r="I139" i="9" s="1"/>
  <c r="H139" i="9" a="1"/>
  <c r="H139" i="9" s="1"/>
  <c r="G139" i="9" a="1"/>
  <c r="G139" i="9" s="1"/>
  <c r="F139" i="9" a="1"/>
  <c r="F139" i="9" s="1"/>
  <c r="E139" i="9" a="1"/>
  <c r="E139" i="9" s="1"/>
  <c r="D139" i="9" a="1"/>
  <c r="D139" i="9" s="1"/>
  <c r="C139" i="9" a="1"/>
  <c r="C139" i="9" s="1"/>
  <c r="R138" i="9" a="1"/>
  <c r="R138" i="9" s="1"/>
  <c r="Q138" i="9" a="1"/>
  <c r="Q138" i="9" s="1"/>
  <c r="P138" i="9" a="1"/>
  <c r="P138" i="9" s="1"/>
  <c r="O138" i="9" a="1"/>
  <c r="O138" i="9" s="1"/>
  <c r="N138" i="9" a="1"/>
  <c r="N138" i="9" s="1"/>
  <c r="M138" i="9" a="1"/>
  <c r="M138" i="9" s="1"/>
  <c r="L138" i="9" a="1"/>
  <c r="L138" i="9" s="1"/>
  <c r="K138" i="9" a="1"/>
  <c r="K138" i="9" s="1"/>
  <c r="J138" i="9" a="1"/>
  <c r="J138" i="9" s="1"/>
  <c r="I138" i="9" a="1"/>
  <c r="I138" i="9" s="1"/>
  <c r="H138" i="9" a="1"/>
  <c r="H138" i="9" s="1"/>
  <c r="G138" i="9" a="1"/>
  <c r="G138" i="9" s="1"/>
  <c r="F138" i="9" a="1"/>
  <c r="F138" i="9" s="1"/>
  <c r="E138" i="9" a="1"/>
  <c r="E138" i="9" s="1"/>
  <c r="D138" i="9" a="1"/>
  <c r="D138" i="9" s="1"/>
  <c r="C138" i="9" a="1"/>
  <c r="C138" i="9" s="1"/>
  <c r="R137" i="9" a="1"/>
  <c r="R137" i="9" s="1"/>
  <c r="Q137" i="9" a="1"/>
  <c r="Q137" i="9" s="1"/>
  <c r="P137" i="9" a="1"/>
  <c r="P137" i="9" s="1"/>
  <c r="O137" i="9" a="1"/>
  <c r="O137" i="9" s="1"/>
  <c r="N137" i="9" a="1"/>
  <c r="N137" i="9" s="1"/>
  <c r="M137" i="9" a="1"/>
  <c r="M137" i="9" s="1"/>
  <c r="L137" i="9"/>
  <c r="L137" i="9" a="1"/>
  <c r="K137" i="9" a="1"/>
  <c r="K137" i="9" s="1"/>
  <c r="J137" i="9" a="1"/>
  <c r="J137" i="9" s="1"/>
  <c r="I137" i="9" a="1"/>
  <c r="I137" i="9" s="1"/>
  <c r="H137" i="9" a="1"/>
  <c r="H137" i="9" s="1"/>
  <c r="G137" i="9" a="1"/>
  <c r="G137" i="9" s="1"/>
  <c r="F137" i="9" a="1"/>
  <c r="F137" i="9" s="1"/>
  <c r="E137" i="9" a="1"/>
  <c r="E137" i="9" s="1"/>
  <c r="D137" i="9" a="1"/>
  <c r="D137" i="9" s="1"/>
  <c r="C137" i="9" a="1"/>
  <c r="C137" i="9" s="1"/>
  <c r="R136" i="9" a="1"/>
  <c r="R136" i="9" s="1"/>
  <c r="Q136" i="9" a="1"/>
  <c r="Q136" i="9" s="1"/>
  <c r="P136" i="9" a="1"/>
  <c r="P136" i="9" s="1"/>
  <c r="O136" i="9" a="1"/>
  <c r="O136" i="9" s="1"/>
  <c r="N136" i="9" a="1"/>
  <c r="N136" i="9" s="1"/>
  <c r="M136" i="9" a="1"/>
  <c r="M136" i="9" s="1"/>
  <c r="L136" i="9" a="1"/>
  <c r="L136" i="9" s="1"/>
  <c r="K136" i="9" a="1"/>
  <c r="K136" i="9" s="1"/>
  <c r="J136" i="9" a="1"/>
  <c r="J136" i="9" s="1"/>
  <c r="I136" i="9" a="1"/>
  <c r="I136" i="9" s="1"/>
  <c r="H136" i="9" a="1"/>
  <c r="H136" i="9" s="1"/>
  <c r="G136" i="9" a="1"/>
  <c r="G136" i="9" s="1"/>
  <c r="F136" i="9" a="1"/>
  <c r="F136" i="9" s="1"/>
  <c r="E136" i="9" a="1"/>
  <c r="E136" i="9" s="1"/>
  <c r="D136" i="9" a="1"/>
  <c r="D136" i="9" s="1"/>
  <c r="C136" i="9"/>
  <c r="C136" i="9" a="1"/>
  <c r="R135" i="9" a="1"/>
  <c r="R135" i="9" s="1"/>
  <c r="Q135" i="9" a="1"/>
  <c r="Q135" i="9" s="1"/>
  <c r="P135" i="9" a="1"/>
  <c r="P135" i="9" s="1"/>
  <c r="O135" i="9" a="1"/>
  <c r="O135" i="9" s="1"/>
  <c r="N135" i="9" a="1"/>
  <c r="N135" i="9" s="1"/>
  <c r="M135" i="9" a="1"/>
  <c r="M135" i="9" s="1"/>
  <c r="L135" i="9" a="1"/>
  <c r="L135" i="9" s="1"/>
  <c r="K135" i="9" a="1"/>
  <c r="K135" i="9" s="1"/>
  <c r="J135" i="9" a="1"/>
  <c r="J135" i="9" s="1"/>
  <c r="I135" i="9" a="1"/>
  <c r="I135" i="9" s="1"/>
  <c r="H135" i="9" a="1"/>
  <c r="H135" i="9" s="1"/>
  <c r="G135" i="9" a="1"/>
  <c r="G135" i="9" s="1"/>
  <c r="F135" i="9" a="1"/>
  <c r="F135" i="9" s="1"/>
  <c r="E135" i="9" a="1"/>
  <c r="E135" i="9" s="1"/>
  <c r="D135" i="9" a="1"/>
  <c r="D135" i="9" s="1"/>
  <c r="C135" i="9" a="1"/>
  <c r="C135" i="9" s="1"/>
  <c r="R134" i="9" a="1"/>
  <c r="R134" i="9" s="1"/>
  <c r="Q134" i="9" a="1"/>
  <c r="Q134" i="9" s="1"/>
  <c r="P134" i="9" a="1"/>
  <c r="P134" i="9" s="1"/>
  <c r="O134" i="9" a="1"/>
  <c r="O134" i="9" s="1"/>
  <c r="N134" i="9" a="1"/>
  <c r="N134" i="9" s="1"/>
  <c r="M134" i="9" a="1"/>
  <c r="M134" i="9" s="1"/>
  <c r="L134" i="9" a="1"/>
  <c r="L134" i="9" s="1"/>
  <c r="K134" i="9" a="1"/>
  <c r="K134" i="9" s="1"/>
  <c r="J134" i="9" a="1"/>
  <c r="J134" i="9" s="1"/>
  <c r="I134" i="9" a="1"/>
  <c r="I134" i="9" s="1"/>
  <c r="H134" i="9" a="1"/>
  <c r="H134" i="9" s="1"/>
  <c r="G134" i="9" a="1"/>
  <c r="G134" i="9" s="1"/>
  <c r="F134" i="9" a="1"/>
  <c r="F134" i="9" s="1"/>
  <c r="E134" i="9" a="1"/>
  <c r="E134" i="9" s="1"/>
  <c r="D134" i="9" a="1"/>
  <c r="D134" i="9" s="1"/>
  <c r="C134" i="9" a="1"/>
  <c r="C134" i="9" s="1"/>
  <c r="R133" i="9" a="1"/>
  <c r="R133" i="9" s="1"/>
  <c r="Q133" i="9" a="1"/>
  <c r="Q133" i="9" s="1"/>
  <c r="P133" i="9" a="1"/>
  <c r="P133" i="9" s="1"/>
  <c r="O133" i="9" a="1"/>
  <c r="O133" i="9" s="1"/>
  <c r="N133" i="9" a="1"/>
  <c r="N133" i="9" s="1"/>
  <c r="M133" i="9" a="1"/>
  <c r="M133" i="9" s="1"/>
  <c r="L133" i="9" a="1"/>
  <c r="L133" i="9" s="1"/>
  <c r="K133" i="9" a="1"/>
  <c r="K133" i="9" s="1"/>
  <c r="J133" i="9" a="1"/>
  <c r="J133" i="9" s="1"/>
  <c r="I133" i="9" a="1"/>
  <c r="I133" i="9" s="1"/>
  <c r="H133" i="9" a="1"/>
  <c r="H133" i="9" s="1"/>
  <c r="G133" i="9" a="1"/>
  <c r="G133" i="9" s="1"/>
  <c r="F133" i="9" a="1"/>
  <c r="F133" i="9" s="1"/>
  <c r="E133" i="9" a="1"/>
  <c r="E133" i="9" s="1"/>
  <c r="D133" i="9" a="1"/>
  <c r="D133" i="9" s="1"/>
  <c r="C133" i="9" a="1"/>
  <c r="C133" i="9" s="1"/>
  <c r="R132" i="9" a="1"/>
  <c r="R132" i="9" s="1"/>
  <c r="Q132" i="9" a="1"/>
  <c r="Q132" i="9" s="1"/>
  <c r="P132" i="9" a="1"/>
  <c r="P132" i="9" s="1"/>
  <c r="O132" i="9" a="1"/>
  <c r="O132" i="9" s="1"/>
  <c r="N132" i="9" a="1"/>
  <c r="N132" i="9" s="1"/>
  <c r="M132" i="9" a="1"/>
  <c r="M132" i="9" s="1"/>
  <c r="L132" i="9" a="1"/>
  <c r="L132" i="9" s="1"/>
  <c r="K132" i="9" a="1"/>
  <c r="K132" i="9" s="1"/>
  <c r="J132" i="9" a="1"/>
  <c r="J132" i="9" s="1"/>
  <c r="I132" i="9" a="1"/>
  <c r="I132" i="9" s="1"/>
  <c r="H132" i="9" a="1"/>
  <c r="H132" i="9" s="1"/>
  <c r="G132" i="9" a="1"/>
  <c r="G132" i="9" s="1"/>
  <c r="F132" i="9" a="1"/>
  <c r="F132" i="9" s="1"/>
  <c r="E132" i="9" a="1"/>
  <c r="E132" i="9" s="1"/>
  <c r="D132" i="9" a="1"/>
  <c r="D132" i="9" s="1"/>
  <c r="C132" i="9" a="1"/>
  <c r="C132" i="9" s="1"/>
  <c r="R131" i="9" a="1"/>
  <c r="R131" i="9" s="1"/>
  <c r="Q131" i="9" a="1"/>
  <c r="Q131" i="9" s="1"/>
  <c r="P131" i="9" a="1"/>
  <c r="P131" i="9" s="1"/>
  <c r="O131" i="9" a="1"/>
  <c r="O131" i="9" s="1"/>
  <c r="N131" i="9" a="1"/>
  <c r="N131" i="9" s="1"/>
  <c r="M131" i="9" a="1"/>
  <c r="M131" i="9" s="1"/>
  <c r="L131" i="9" a="1"/>
  <c r="L131" i="9" s="1"/>
  <c r="K131" i="9" a="1"/>
  <c r="K131" i="9" s="1"/>
  <c r="J131" i="9" a="1"/>
  <c r="J131" i="9" s="1"/>
  <c r="I131" i="9" a="1"/>
  <c r="I131" i="9" s="1"/>
  <c r="H131" i="9" a="1"/>
  <c r="H131" i="9" s="1"/>
  <c r="G131" i="9" a="1"/>
  <c r="G131" i="9" s="1"/>
  <c r="F131" i="9" a="1"/>
  <c r="F131" i="9" s="1"/>
  <c r="E131" i="9" a="1"/>
  <c r="E131" i="9" s="1"/>
  <c r="D131" i="9" a="1"/>
  <c r="D131" i="9" s="1"/>
  <c r="C131" i="9" a="1"/>
  <c r="C131" i="9" s="1"/>
  <c r="R130" i="9" a="1"/>
  <c r="R130" i="9" s="1"/>
  <c r="Q130" i="9" a="1"/>
  <c r="Q130" i="9" s="1"/>
  <c r="P130" i="9" a="1"/>
  <c r="P130" i="9" s="1"/>
  <c r="O130" i="9" a="1"/>
  <c r="O130" i="9" s="1"/>
  <c r="N130" i="9" a="1"/>
  <c r="N130" i="9" s="1"/>
  <c r="M130" i="9" a="1"/>
  <c r="M130" i="9" s="1"/>
  <c r="L130" i="9" a="1"/>
  <c r="L130" i="9" s="1"/>
  <c r="K130" i="9" a="1"/>
  <c r="K130" i="9" s="1"/>
  <c r="J130" i="9" a="1"/>
  <c r="J130" i="9" s="1"/>
  <c r="I130" i="9" a="1"/>
  <c r="I130" i="9" s="1"/>
  <c r="H130" i="9" a="1"/>
  <c r="H130" i="9" s="1"/>
  <c r="G130" i="9" a="1"/>
  <c r="G130" i="9" s="1"/>
  <c r="F130" i="9" a="1"/>
  <c r="F130" i="9" s="1"/>
  <c r="E130" i="9" a="1"/>
  <c r="E130" i="9" s="1"/>
  <c r="D130" i="9" a="1"/>
  <c r="D130" i="9" s="1"/>
  <c r="C130" i="9" a="1"/>
  <c r="C130" i="9" s="1"/>
  <c r="R129" i="9" a="1"/>
  <c r="R129" i="9" s="1"/>
  <c r="Q129" i="9" a="1"/>
  <c r="Q129" i="9" s="1"/>
  <c r="P129" i="9" a="1"/>
  <c r="P129" i="9" s="1"/>
  <c r="O129" i="9" a="1"/>
  <c r="O129" i="9" s="1"/>
  <c r="N129" i="9" a="1"/>
  <c r="N129" i="9" s="1"/>
  <c r="M129" i="9" a="1"/>
  <c r="M129" i="9" s="1"/>
  <c r="L129" i="9" a="1"/>
  <c r="L129" i="9" s="1"/>
  <c r="K129" i="9" a="1"/>
  <c r="K129" i="9" s="1"/>
  <c r="J129" i="9" a="1"/>
  <c r="J129" i="9" s="1"/>
  <c r="I129" i="9" a="1"/>
  <c r="I129" i="9" s="1"/>
  <c r="H129" i="9" a="1"/>
  <c r="H129" i="9" s="1"/>
  <c r="G129" i="9" a="1"/>
  <c r="G129" i="9" s="1"/>
  <c r="F129" i="9" a="1"/>
  <c r="F129" i="9" s="1"/>
  <c r="E129" i="9" a="1"/>
  <c r="E129" i="9" s="1"/>
  <c r="D129" i="9" a="1"/>
  <c r="D129" i="9" s="1"/>
  <c r="C129" i="9" a="1"/>
  <c r="C129" i="9" s="1"/>
  <c r="R128" i="9" a="1"/>
  <c r="R128" i="9" s="1"/>
  <c r="Q128" i="9" a="1"/>
  <c r="Q128" i="9" s="1"/>
  <c r="P128" i="9" a="1"/>
  <c r="P128" i="9" s="1"/>
  <c r="O128" i="9" a="1"/>
  <c r="O128" i="9" s="1"/>
  <c r="N128" i="9" a="1"/>
  <c r="N128" i="9" s="1"/>
  <c r="M128" i="9" a="1"/>
  <c r="M128" i="9" s="1"/>
  <c r="L128" i="9" a="1"/>
  <c r="L128" i="9" s="1"/>
  <c r="K128" i="9" a="1"/>
  <c r="K128" i="9" s="1"/>
  <c r="J128" i="9" a="1"/>
  <c r="J128" i="9" s="1"/>
  <c r="I128" i="9" a="1"/>
  <c r="I128" i="9" s="1"/>
  <c r="H128" i="9" a="1"/>
  <c r="H128" i="9" s="1"/>
  <c r="G128" i="9" a="1"/>
  <c r="G128" i="9" s="1"/>
  <c r="F128" i="9" a="1"/>
  <c r="F128" i="9" s="1"/>
  <c r="E128" i="9" a="1"/>
  <c r="E128" i="9" s="1"/>
  <c r="D128" i="9" a="1"/>
  <c r="D128" i="9" s="1"/>
  <c r="C128" i="9"/>
  <c r="C128" i="9" a="1"/>
  <c r="R127" i="9" a="1"/>
  <c r="R127" i="9" s="1"/>
  <c r="Q127" i="9" a="1"/>
  <c r="Q127" i="9" s="1"/>
  <c r="P127" i="9"/>
  <c r="P127" i="9" a="1"/>
  <c r="O127" i="9" a="1"/>
  <c r="O127" i="9" s="1"/>
  <c r="N127" i="9" a="1"/>
  <c r="N127" i="9" s="1"/>
  <c r="M127" i="9" a="1"/>
  <c r="M127" i="9" s="1"/>
  <c r="L127" i="9" a="1"/>
  <c r="L127" i="9" s="1"/>
  <c r="K127" i="9" a="1"/>
  <c r="K127" i="9" s="1"/>
  <c r="J127" i="9" a="1"/>
  <c r="J127" i="9" s="1"/>
  <c r="I127" i="9" a="1"/>
  <c r="I127" i="9" s="1"/>
  <c r="H127" i="9" a="1"/>
  <c r="H127" i="9" s="1"/>
  <c r="G127" i="9" a="1"/>
  <c r="G127" i="9" s="1"/>
  <c r="F127" i="9" a="1"/>
  <c r="F127" i="9" s="1"/>
  <c r="E127" i="9" a="1"/>
  <c r="E127" i="9" s="1"/>
  <c r="D127" i="9" a="1"/>
  <c r="D127" i="9" s="1"/>
  <c r="C127" i="9" a="1"/>
  <c r="C127" i="9" s="1"/>
  <c r="R126" i="9" a="1"/>
  <c r="R126" i="9" s="1"/>
  <c r="Q126" i="9" a="1"/>
  <c r="Q126" i="9" s="1"/>
  <c r="P126" i="9" a="1"/>
  <c r="P126" i="9" s="1"/>
  <c r="O126" i="9" a="1"/>
  <c r="O126" i="9" s="1"/>
  <c r="N126" i="9" a="1"/>
  <c r="N126" i="9" s="1"/>
  <c r="M126" i="9" a="1"/>
  <c r="M126" i="9" s="1"/>
  <c r="L126" i="9" a="1"/>
  <c r="L126" i="9" s="1"/>
  <c r="K126" i="9" a="1"/>
  <c r="K126" i="9" s="1"/>
  <c r="J126" i="9" a="1"/>
  <c r="J126" i="9" s="1"/>
  <c r="I126" i="9" a="1"/>
  <c r="I126" i="9" s="1"/>
  <c r="H126" i="9" a="1"/>
  <c r="H126" i="9" s="1"/>
  <c r="G126" i="9" a="1"/>
  <c r="G126" i="9" s="1"/>
  <c r="F126" i="9"/>
  <c r="F126" i="9" a="1"/>
  <c r="E126" i="9" a="1"/>
  <c r="E126" i="9" s="1"/>
  <c r="D126" i="9" a="1"/>
  <c r="D126" i="9" s="1"/>
  <c r="C126" i="9" a="1"/>
  <c r="C126" i="9" s="1"/>
  <c r="R125" i="9" a="1"/>
  <c r="R125" i="9" s="1"/>
  <c r="Q125" i="9" a="1"/>
  <c r="Q125" i="9" s="1"/>
  <c r="P125" i="9" a="1"/>
  <c r="P125" i="9" s="1"/>
  <c r="O125" i="9" a="1"/>
  <c r="O125" i="9" s="1"/>
  <c r="N125" i="9" a="1"/>
  <c r="N125" i="9" s="1"/>
  <c r="M125" i="9" a="1"/>
  <c r="M125" i="9" s="1"/>
  <c r="L125" i="9" a="1"/>
  <c r="L125" i="9" s="1"/>
  <c r="K125" i="9" a="1"/>
  <c r="K125" i="9" s="1"/>
  <c r="J125" i="9" a="1"/>
  <c r="J125" i="9" s="1"/>
  <c r="I125" i="9" a="1"/>
  <c r="I125" i="9" s="1"/>
  <c r="H125" i="9" a="1"/>
  <c r="H125" i="9" s="1"/>
  <c r="G125" i="9" a="1"/>
  <c r="G125" i="9" s="1"/>
  <c r="F125" i="9" a="1"/>
  <c r="F125" i="9" s="1"/>
  <c r="E125" i="9" a="1"/>
  <c r="E125" i="9" s="1"/>
  <c r="D125" i="9" a="1"/>
  <c r="D125" i="9" s="1"/>
  <c r="C125" i="9" a="1"/>
  <c r="C125" i="9" s="1"/>
  <c r="R124" i="9" a="1"/>
  <c r="R124" i="9" s="1"/>
  <c r="Q124" i="9" a="1"/>
  <c r="Q124" i="9" s="1"/>
  <c r="P124" i="9" a="1"/>
  <c r="P124" i="9" s="1"/>
  <c r="O124" i="9" a="1"/>
  <c r="O124" i="9" s="1"/>
  <c r="N124" i="9" a="1"/>
  <c r="N124" i="9" s="1"/>
  <c r="M124" i="9" a="1"/>
  <c r="M124" i="9" s="1"/>
  <c r="L124" i="9" a="1"/>
  <c r="L124" i="9" s="1"/>
  <c r="K124" i="9" a="1"/>
  <c r="K124" i="9" s="1"/>
  <c r="J124" i="9" a="1"/>
  <c r="J124" i="9" s="1"/>
  <c r="I124" i="9" a="1"/>
  <c r="I124" i="9" s="1"/>
  <c r="H124" i="9" a="1"/>
  <c r="H124" i="9" s="1"/>
  <c r="G124" i="9" a="1"/>
  <c r="G124" i="9" s="1"/>
  <c r="F124" i="9"/>
  <c r="F124" i="9" a="1"/>
  <c r="E124" i="9" a="1"/>
  <c r="E124" i="9" s="1"/>
  <c r="D124" i="9" a="1"/>
  <c r="D124" i="9" s="1"/>
  <c r="C124" i="9" a="1"/>
  <c r="C124" i="9" s="1"/>
  <c r="R123" i="9" a="1"/>
  <c r="R123" i="9" s="1"/>
  <c r="Q123" i="9" a="1"/>
  <c r="Q123" i="9" s="1"/>
  <c r="P123" i="9" a="1"/>
  <c r="P123" i="9" s="1"/>
  <c r="O123" i="9" a="1"/>
  <c r="O123" i="9" s="1"/>
  <c r="N123" i="9" a="1"/>
  <c r="N123" i="9" s="1"/>
  <c r="M123" i="9" a="1"/>
  <c r="M123" i="9" s="1"/>
  <c r="L123" i="9" a="1"/>
  <c r="L123" i="9" s="1"/>
  <c r="K123" i="9" a="1"/>
  <c r="K123" i="9" s="1"/>
  <c r="J123" i="9" a="1"/>
  <c r="J123" i="9" s="1"/>
  <c r="I123" i="9" a="1"/>
  <c r="I123" i="9" s="1"/>
  <c r="H123" i="9" a="1"/>
  <c r="H123" i="9" s="1"/>
  <c r="G123" i="9" a="1"/>
  <c r="G123" i="9" s="1"/>
  <c r="F123" i="9"/>
  <c r="F123" i="9" a="1"/>
  <c r="E123" i="9" a="1"/>
  <c r="E123" i="9" s="1"/>
  <c r="D123" i="9" a="1"/>
  <c r="D123" i="9" s="1"/>
  <c r="C123" i="9" a="1"/>
  <c r="C123" i="9" s="1"/>
  <c r="R122" i="9" a="1"/>
  <c r="R122" i="9" s="1"/>
  <c r="Q122" i="9" a="1"/>
  <c r="Q122" i="9" s="1"/>
  <c r="P122" i="9" a="1"/>
  <c r="P122" i="9" s="1"/>
  <c r="O122" i="9" a="1"/>
  <c r="O122" i="9" s="1"/>
  <c r="N122" i="9" a="1"/>
  <c r="N122" i="9" s="1"/>
  <c r="M122" i="9" a="1"/>
  <c r="M122" i="9" s="1"/>
  <c r="L122" i="9" a="1"/>
  <c r="L122" i="9" s="1"/>
  <c r="K122" i="9" a="1"/>
  <c r="K122" i="9" s="1"/>
  <c r="J122" i="9" a="1"/>
  <c r="J122" i="9" s="1"/>
  <c r="I122" i="9" a="1"/>
  <c r="I122" i="9" s="1"/>
  <c r="H122" i="9" a="1"/>
  <c r="H122" i="9" s="1"/>
  <c r="G122" i="9" a="1"/>
  <c r="G122" i="9" s="1"/>
  <c r="F122" i="9"/>
  <c r="F122" i="9" a="1"/>
  <c r="E122" i="9" a="1"/>
  <c r="E122" i="9" s="1"/>
  <c r="D122" i="9" a="1"/>
  <c r="D122" i="9" s="1"/>
  <c r="C122" i="9" a="1"/>
  <c r="C122" i="9" s="1"/>
  <c r="R121" i="9" a="1"/>
  <c r="R121" i="9" s="1"/>
  <c r="Q121" i="9" a="1"/>
  <c r="Q121" i="9" s="1"/>
  <c r="P121" i="9" a="1"/>
  <c r="P121" i="9" s="1"/>
  <c r="O121" i="9" a="1"/>
  <c r="O121" i="9" s="1"/>
  <c r="N121" i="9" a="1"/>
  <c r="N121" i="9" s="1"/>
  <c r="M121" i="9" a="1"/>
  <c r="M121" i="9" s="1"/>
  <c r="L121" i="9" a="1"/>
  <c r="L121" i="9" s="1"/>
  <c r="K121" i="9" a="1"/>
  <c r="K121" i="9" s="1"/>
  <c r="J121" i="9" a="1"/>
  <c r="J121" i="9" s="1"/>
  <c r="I121" i="9" a="1"/>
  <c r="I121" i="9" s="1"/>
  <c r="H121" i="9" a="1"/>
  <c r="H121" i="9" s="1"/>
  <c r="G121" i="9" a="1"/>
  <c r="G121" i="9" s="1"/>
  <c r="F121" i="9"/>
  <c r="F121" i="9" a="1"/>
  <c r="E121" i="9" a="1"/>
  <c r="E121" i="9" s="1"/>
  <c r="D121" i="9" a="1"/>
  <c r="D121" i="9" s="1"/>
  <c r="C121" i="9" a="1"/>
  <c r="C121" i="9" s="1"/>
  <c r="R120" i="9" a="1"/>
  <c r="R120" i="9" s="1"/>
  <c r="Q120" i="9" a="1"/>
  <c r="Q120" i="9" s="1"/>
  <c r="P120" i="9" a="1"/>
  <c r="P120" i="9" s="1"/>
  <c r="O120" i="9" a="1"/>
  <c r="O120" i="9" s="1"/>
  <c r="N120" i="9" a="1"/>
  <c r="N120" i="9" s="1"/>
  <c r="M120" i="9"/>
  <c r="M120" i="9" a="1"/>
  <c r="L120" i="9" a="1"/>
  <c r="L120" i="9" s="1"/>
  <c r="K120" i="9" a="1"/>
  <c r="K120" i="9" s="1"/>
  <c r="J120" i="9" a="1"/>
  <c r="J120" i="9" s="1"/>
  <c r="I120" i="9" a="1"/>
  <c r="I120" i="9" s="1"/>
  <c r="H120" i="9" a="1"/>
  <c r="H120" i="9" s="1"/>
  <c r="G120" i="9" a="1"/>
  <c r="G120" i="9" s="1"/>
  <c r="F120" i="9" a="1"/>
  <c r="F120" i="9" s="1"/>
  <c r="E120" i="9" a="1"/>
  <c r="E120" i="9" s="1"/>
  <c r="D120" i="9" a="1"/>
  <c r="D120" i="9" s="1"/>
  <c r="C120" i="9"/>
  <c r="C120" i="9" a="1"/>
  <c r="R119" i="9" a="1"/>
  <c r="R119" i="9" s="1"/>
  <c r="Q119" i="9" a="1"/>
  <c r="Q119" i="9" s="1"/>
  <c r="P119" i="9" a="1"/>
  <c r="P119" i="9" s="1"/>
  <c r="O119" i="9" a="1"/>
  <c r="O119" i="9" s="1"/>
  <c r="N119" i="9" a="1"/>
  <c r="N119" i="9" s="1"/>
  <c r="M119" i="9" a="1"/>
  <c r="M119" i="9" s="1"/>
  <c r="L119" i="9" a="1"/>
  <c r="L119" i="9" s="1"/>
  <c r="K119" i="9"/>
  <c r="K119" i="9" a="1"/>
  <c r="J119" i="9" a="1"/>
  <c r="J119" i="9" s="1"/>
  <c r="I119" i="9" a="1"/>
  <c r="I119" i="9" s="1"/>
  <c r="H119" i="9" a="1"/>
  <c r="H119" i="9" s="1"/>
  <c r="G119" i="9" a="1"/>
  <c r="G119" i="9" s="1"/>
  <c r="F119" i="9" a="1"/>
  <c r="F119" i="9" s="1"/>
  <c r="E119" i="9" a="1"/>
  <c r="E119" i="9" s="1"/>
  <c r="D119" i="9" a="1"/>
  <c r="D119" i="9" s="1"/>
  <c r="C119" i="9"/>
  <c r="C119" i="9" a="1"/>
  <c r="R118" i="9" a="1"/>
  <c r="R118" i="9" s="1"/>
  <c r="Q118" i="9" a="1"/>
  <c r="Q118" i="9" s="1"/>
  <c r="P118" i="9" a="1"/>
  <c r="P118" i="9" s="1"/>
  <c r="O118" i="9"/>
  <c r="O118" i="9" a="1"/>
  <c r="N118" i="9" a="1"/>
  <c r="N118" i="9" s="1"/>
  <c r="M118" i="9" a="1"/>
  <c r="M118" i="9" s="1"/>
  <c r="L118" i="9" a="1"/>
  <c r="L118" i="9" s="1"/>
  <c r="K118" i="9" a="1"/>
  <c r="K118" i="9" s="1"/>
  <c r="J118" i="9" a="1"/>
  <c r="J118" i="9" s="1"/>
  <c r="I118" i="9" a="1"/>
  <c r="I118" i="9" s="1"/>
  <c r="H118" i="9"/>
  <c r="H118" i="9" a="1"/>
  <c r="G118" i="9" a="1"/>
  <c r="G118" i="9" s="1"/>
  <c r="F118" i="9" a="1"/>
  <c r="F118" i="9" s="1"/>
  <c r="E118" i="9" a="1"/>
  <c r="E118" i="9" s="1"/>
  <c r="D118" i="9" a="1"/>
  <c r="D118" i="9" s="1"/>
  <c r="C118" i="9" a="1"/>
  <c r="C118" i="9" s="1"/>
  <c r="R117" i="9" a="1"/>
  <c r="R117" i="9" s="1"/>
  <c r="Q117" i="9" a="1"/>
  <c r="Q117" i="9" s="1"/>
  <c r="P117" i="9" a="1"/>
  <c r="P117" i="9" s="1"/>
  <c r="O117" i="9" a="1"/>
  <c r="O117" i="9" s="1"/>
  <c r="N117" i="9" a="1"/>
  <c r="N117" i="9" s="1"/>
  <c r="M117" i="9" a="1"/>
  <c r="M117" i="9" s="1"/>
  <c r="L117" i="9" a="1"/>
  <c r="L117" i="9" s="1"/>
  <c r="K117" i="9" a="1"/>
  <c r="K117" i="9" s="1"/>
  <c r="J117" i="9" a="1"/>
  <c r="J117" i="9" s="1"/>
  <c r="I117" i="9" a="1"/>
  <c r="I117" i="9" s="1"/>
  <c r="H117" i="9" a="1"/>
  <c r="H117" i="9" s="1"/>
  <c r="G117" i="9" a="1"/>
  <c r="G117" i="9" s="1"/>
  <c r="F117" i="9"/>
  <c r="F117" i="9" a="1"/>
  <c r="E117" i="9" a="1"/>
  <c r="E117" i="9" s="1"/>
  <c r="D117" i="9" a="1"/>
  <c r="D117" i="9" s="1"/>
  <c r="C117" i="9" a="1"/>
  <c r="C117" i="9" s="1"/>
  <c r="R116" i="9" a="1"/>
  <c r="R116" i="9" s="1"/>
  <c r="Q116" i="9" a="1"/>
  <c r="Q116" i="9" s="1"/>
  <c r="P116" i="9" a="1"/>
  <c r="P116" i="9" s="1"/>
  <c r="O116" i="9" a="1"/>
  <c r="O116" i="9" s="1"/>
  <c r="N116" i="9" a="1"/>
  <c r="N116" i="9" s="1"/>
  <c r="M116" i="9" a="1"/>
  <c r="M116" i="9" s="1"/>
  <c r="L116" i="9" a="1"/>
  <c r="L116" i="9" s="1"/>
  <c r="K116" i="9"/>
  <c r="K116" i="9" a="1"/>
  <c r="J116" i="9" a="1"/>
  <c r="J116" i="9" s="1"/>
  <c r="I116" i="9" a="1"/>
  <c r="I116" i="9" s="1"/>
  <c r="H116" i="9" a="1"/>
  <c r="H116" i="9" s="1"/>
  <c r="G116" i="9" a="1"/>
  <c r="G116" i="9" s="1"/>
  <c r="F116" i="9" a="1"/>
  <c r="F116" i="9" s="1"/>
  <c r="E116" i="9" a="1"/>
  <c r="E116" i="9" s="1"/>
  <c r="D116" i="9" a="1"/>
  <c r="D116" i="9" s="1"/>
  <c r="C116" i="9" a="1"/>
  <c r="C116" i="9" s="1"/>
  <c r="R115" i="9" a="1"/>
  <c r="R115" i="9" s="1"/>
  <c r="Q115" i="9" a="1"/>
  <c r="Q115" i="9" s="1"/>
  <c r="P115" i="9" a="1"/>
  <c r="P115" i="9" s="1"/>
  <c r="O115" i="9" a="1"/>
  <c r="O115" i="9" s="1"/>
  <c r="N115" i="9" a="1"/>
  <c r="N115" i="9" s="1"/>
  <c r="M115" i="9" a="1"/>
  <c r="M115" i="9" s="1"/>
  <c r="L115" i="9" a="1"/>
  <c r="L115" i="9" s="1"/>
  <c r="K115" i="9" a="1"/>
  <c r="K115" i="9" s="1"/>
  <c r="J115" i="9" a="1"/>
  <c r="J115" i="9" s="1"/>
  <c r="I115" i="9" a="1"/>
  <c r="I115" i="9" s="1"/>
  <c r="H115" i="9" a="1"/>
  <c r="H115" i="9" s="1"/>
  <c r="G115" i="9" a="1"/>
  <c r="G115" i="9" s="1"/>
  <c r="F115" i="9" a="1"/>
  <c r="F115" i="9" s="1"/>
  <c r="E115" i="9" a="1"/>
  <c r="E115" i="9" s="1"/>
  <c r="D115" i="9" a="1"/>
  <c r="D115" i="9" s="1"/>
  <c r="C115" i="9" a="1"/>
  <c r="C115" i="9" s="1"/>
  <c r="R114" i="9" a="1"/>
  <c r="R114" i="9" s="1"/>
  <c r="Q114" i="9" a="1"/>
  <c r="Q114" i="9" s="1"/>
  <c r="P114" i="9" a="1"/>
  <c r="P114" i="9" s="1"/>
  <c r="O114" i="9" a="1"/>
  <c r="O114" i="9" s="1"/>
  <c r="N114" i="9" a="1"/>
  <c r="N114" i="9" s="1"/>
  <c r="M114" i="9" a="1"/>
  <c r="M114" i="9" s="1"/>
  <c r="L114" i="9" a="1"/>
  <c r="L114" i="9" s="1"/>
  <c r="K114" i="9" a="1"/>
  <c r="K114" i="9" s="1"/>
  <c r="J114" i="9" a="1"/>
  <c r="J114" i="9" s="1"/>
  <c r="I114" i="9" a="1"/>
  <c r="I114" i="9" s="1"/>
  <c r="H114" i="9" a="1"/>
  <c r="H114" i="9" s="1"/>
  <c r="G114" i="9" a="1"/>
  <c r="G114" i="9" s="1"/>
  <c r="F114" i="9" a="1"/>
  <c r="F114" i="9" s="1"/>
  <c r="E114" i="9"/>
  <c r="E114" i="9" a="1"/>
  <c r="D114" i="9" a="1"/>
  <c r="D114" i="9" s="1"/>
  <c r="C114" i="9" a="1"/>
  <c r="C114" i="9" s="1"/>
  <c r="R113" i="9" a="1"/>
  <c r="R113" i="9" s="1"/>
  <c r="Q113" i="9" a="1"/>
  <c r="Q113" i="9" s="1"/>
  <c r="P113" i="9" a="1"/>
  <c r="P113" i="9" s="1"/>
  <c r="O113" i="9" a="1"/>
  <c r="O113" i="9" s="1"/>
  <c r="N113" i="9" a="1"/>
  <c r="N113" i="9" s="1"/>
  <c r="M113" i="9" a="1"/>
  <c r="M113" i="9" s="1"/>
  <c r="L113" i="9" a="1"/>
  <c r="L113" i="9" s="1"/>
  <c r="K113" i="9"/>
  <c r="K113" i="9" a="1"/>
  <c r="J113" i="9" a="1"/>
  <c r="J113" i="9" s="1"/>
  <c r="I113" i="9" a="1"/>
  <c r="I113" i="9" s="1"/>
  <c r="H113" i="9" a="1"/>
  <c r="H113" i="9" s="1"/>
  <c r="G113" i="9"/>
  <c r="G113" i="9" a="1"/>
  <c r="F113" i="9" a="1"/>
  <c r="F113" i="9" s="1"/>
  <c r="E113" i="9"/>
  <c r="E113" i="9" a="1"/>
  <c r="D113" i="9" a="1"/>
  <c r="D113" i="9" s="1"/>
  <c r="C113" i="9" a="1"/>
  <c r="C113" i="9" s="1"/>
  <c r="R112" i="9" a="1"/>
  <c r="R112" i="9" s="1"/>
  <c r="Q112" i="9" a="1"/>
  <c r="Q112" i="9" s="1"/>
  <c r="P112" i="9" a="1"/>
  <c r="P112" i="9" s="1"/>
  <c r="O112" i="9" a="1"/>
  <c r="O112" i="9" s="1"/>
  <c r="N112" i="9" a="1"/>
  <c r="N112" i="9" s="1"/>
  <c r="M112" i="9" a="1"/>
  <c r="M112" i="9" s="1"/>
  <c r="L112" i="9" a="1"/>
  <c r="L112" i="9" s="1"/>
  <c r="K112" i="9" a="1"/>
  <c r="K112" i="9" s="1"/>
  <c r="J112" i="9" a="1"/>
  <c r="J112" i="9" s="1"/>
  <c r="I112" i="9" a="1"/>
  <c r="I112" i="9" s="1"/>
  <c r="H112" i="9" a="1"/>
  <c r="H112" i="9" s="1"/>
  <c r="G112" i="9" a="1"/>
  <c r="G112" i="9" s="1"/>
  <c r="F112" i="9" a="1"/>
  <c r="F112" i="9" s="1"/>
  <c r="E112" i="9" a="1"/>
  <c r="E112" i="9" s="1"/>
  <c r="D112" i="9" a="1"/>
  <c r="D112" i="9" s="1"/>
  <c r="C112" i="9" a="1"/>
  <c r="C112" i="9" s="1"/>
  <c r="R111" i="9" a="1"/>
  <c r="R111" i="9" s="1"/>
  <c r="Q111" i="9" a="1"/>
  <c r="Q111" i="9" s="1"/>
  <c r="P111" i="9" a="1"/>
  <c r="P111" i="9" s="1"/>
  <c r="O111" i="9" a="1"/>
  <c r="O111" i="9" s="1"/>
  <c r="N111" i="9" a="1"/>
  <c r="N111" i="9" s="1"/>
  <c r="M111" i="9" a="1"/>
  <c r="M111" i="9" s="1"/>
  <c r="L111" i="9" a="1"/>
  <c r="L111" i="9" s="1"/>
  <c r="K111" i="9" a="1"/>
  <c r="K111" i="9" s="1"/>
  <c r="J111" i="9" a="1"/>
  <c r="J111" i="9" s="1"/>
  <c r="I111" i="9" a="1"/>
  <c r="I111" i="9" s="1"/>
  <c r="H111" i="9" a="1"/>
  <c r="H111" i="9" s="1"/>
  <c r="G111" i="9" a="1"/>
  <c r="G111" i="9" s="1"/>
  <c r="F111" i="9" a="1"/>
  <c r="F111" i="9" s="1"/>
  <c r="E111" i="9" a="1"/>
  <c r="E111" i="9" s="1"/>
  <c r="D111" i="9" a="1"/>
  <c r="D111" i="9" s="1"/>
  <c r="C111" i="9"/>
  <c r="C111" i="9" a="1"/>
  <c r="R110" i="9" a="1"/>
  <c r="R110" i="9" s="1"/>
  <c r="Q110" i="9" a="1"/>
  <c r="Q110" i="9" s="1"/>
  <c r="P110" i="9" a="1"/>
  <c r="P110" i="9" s="1"/>
  <c r="O110" i="9" a="1"/>
  <c r="O110" i="9" s="1"/>
  <c r="N110" i="9" a="1"/>
  <c r="N110" i="9" s="1"/>
  <c r="M110" i="9" a="1"/>
  <c r="M110" i="9" s="1"/>
  <c r="L110" i="9" a="1"/>
  <c r="L110" i="9" s="1"/>
  <c r="K110" i="9" a="1"/>
  <c r="K110" i="9" s="1"/>
  <c r="J110" i="9" a="1"/>
  <c r="J110" i="9" s="1"/>
  <c r="I110" i="9" a="1"/>
  <c r="I110" i="9" s="1"/>
  <c r="H110" i="9" a="1"/>
  <c r="H110" i="9" s="1"/>
  <c r="G110" i="9" a="1"/>
  <c r="G110" i="9" s="1"/>
  <c r="F110" i="9" a="1"/>
  <c r="F110" i="9" s="1"/>
  <c r="E110" i="9" a="1"/>
  <c r="E110" i="9" s="1"/>
  <c r="D110" i="9" a="1"/>
  <c r="D110" i="9" s="1"/>
  <c r="C110" i="9" a="1"/>
  <c r="C110" i="9" s="1"/>
  <c r="R109" i="9" a="1"/>
  <c r="R109" i="9" s="1"/>
  <c r="Q109" i="9" a="1"/>
  <c r="Q109" i="9" s="1"/>
  <c r="P109" i="9" a="1"/>
  <c r="P109" i="9" s="1"/>
  <c r="O109" i="9" a="1"/>
  <c r="O109" i="9" s="1"/>
  <c r="N109" i="9" a="1"/>
  <c r="N109" i="9" s="1"/>
  <c r="M109" i="9" a="1"/>
  <c r="M109" i="9" s="1"/>
  <c r="L109" i="9" a="1"/>
  <c r="L109" i="9" s="1"/>
  <c r="K109" i="9" a="1"/>
  <c r="K109" i="9" s="1"/>
  <c r="J109" i="9" a="1"/>
  <c r="J109" i="9" s="1"/>
  <c r="I109" i="9" a="1"/>
  <c r="I109" i="9" s="1"/>
  <c r="H109" i="9" a="1"/>
  <c r="H109" i="9" s="1"/>
  <c r="G109" i="9" a="1"/>
  <c r="G109" i="9" s="1"/>
  <c r="F109" i="9" a="1"/>
  <c r="F109" i="9" s="1"/>
  <c r="E109" i="9" a="1"/>
  <c r="E109" i="9" s="1"/>
  <c r="D109" i="9" a="1"/>
  <c r="D109" i="9" s="1"/>
  <c r="C109" i="9" a="1"/>
  <c r="C109" i="9" s="1"/>
  <c r="R108" i="9" a="1"/>
  <c r="R108" i="9" s="1"/>
  <c r="Q108" i="9" a="1"/>
  <c r="Q108" i="9" s="1"/>
  <c r="P108" i="9" a="1"/>
  <c r="P108" i="9" s="1"/>
  <c r="O108" i="9" a="1"/>
  <c r="O108" i="9" s="1"/>
  <c r="N108" i="9" a="1"/>
  <c r="N108" i="9" s="1"/>
  <c r="M108" i="9" a="1"/>
  <c r="M108" i="9" s="1"/>
  <c r="L108" i="9"/>
  <c r="L108" i="9" a="1"/>
  <c r="K108" i="9" a="1"/>
  <c r="K108" i="9" s="1"/>
  <c r="J108" i="9" a="1"/>
  <c r="J108" i="9" s="1"/>
  <c r="I108" i="9" a="1"/>
  <c r="I108" i="9" s="1"/>
  <c r="H108" i="9" a="1"/>
  <c r="H108" i="9" s="1"/>
  <c r="G108" i="9" a="1"/>
  <c r="G108" i="9" s="1"/>
  <c r="F108" i="9" a="1"/>
  <c r="F108" i="9" s="1"/>
  <c r="E108" i="9" a="1"/>
  <c r="E108" i="9" s="1"/>
  <c r="D108" i="9" a="1"/>
  <c r="D108" i="9" s="1"/>
  <c r="C108" i="9" a="1"/>
  <c r="C108" i="9" s="1"/>
  <c r="R107" i="9" a="1"/>
  <c r="R107" i="9" s="1"/>
  <c r="Q107" i="9" a="1"/>
  <c r="Q107" i="9" s="1"/>
  <c r="P107" i="9" a="1"/>
  <c r="P107" i="9" s="1"/>
  <c r="O107" i="9" a="1"/>
  <c r="O107" i="9" s="1"/>
  <c r="N107" i="9" a="1"/>
  <c r="N107" i="9" s="1"/>
  <c r="M107" i="9" a="1"/>
  <c r="M107" i="9" s="1"/>
  <c r="L107" i="9" a="1"/>
  <c r="L107" i="9" s="1"/>
  <c r="K107" i="9" a="1"/>
  <c r="K107" i="9" s="1"/>
  <c r="J107" i="9" a="1"/>
  <c r="J107" i="9" s="1"/>
  <c r="I107" i="9" a="1"/>
  <c r="I107" i="9" s="1"/>
  <c r="H107" i="9" a="1"/>
  <c r="H107" i="9" s="1"/>
  <c r="G107" i="9" a="1"/>
  <c r="G107" i="9" s="1"/>
  <c r="F107" i="9" a="1"/>
  <c r="F107" i="9" s="1"/>
  <c r="E107" i="9" a="1"/>
  <c r="E107" i="9" s="1"/>
  <c r="D107" i="9" a="1"/>
  <c r="D107" i="9" s="1"/>
  <c r="C107" i="9" a="1"/>
  <c r="C107" i="9" s="1"/>
  <c r="R106" i="9" a="1"/>
  <c r="R106" i="9" s="1"/>
  <c r="Q106" i="9" a="1"/>
  <c r="Q106" i="9" s="1"/>
  <c r="P106" i="9" a="1"/>
  <c r="P106" i="9" s="1"/>
  <c r="O106" i="9" a="1"/>
  <c r="O106" i="9" s="1"/>
  <c r="N106" i="9" a="1"/>
  <c r="N106" i="9" s="1"/>
  <c r="M106" i="9" a="1"/>
  <c r="M106" i="9" s="1"/>
  <c r="L106" i="9" a="1"/>
  <c r="L106" i="9" s="1"/>
  <c r="K106" i="9" a="1"/>
  <c r="K106" i="9" s="1"/>
  <c r="J106" i="9" a="1"/>
  <c r="J106" i="9" s="1"/>
  <c r="I106" i="9" a="1"/>
  <c r="I106" i="9" s="1"/>
  <c r="H106" i="9" a="1"/>
  <c r="H106" i="9" s="1"/>
  <c r="G106" i="9" a="1"/>
  <c r="G106" i="9" s="1"/>
  <c r="F106" i="9" a="1"/>
  <c r="F106" i="9" s="1"/>
  <c r="E106" i="9" a="1"/>
  <c r="E106" i="9" s="1"/>
  <c r="D106" i="9" a="1"/>
  <c r="D106" i="9" s="1"/>
  <c r="C106" i="9" a="1"/>
  <c r="C106" i="9" s="1"/>
  <c r="R105" i="9" a="1"/>
  <c r="R105" i="9" s="1"/>
  <c r="Q105" i="9" a="1"/>
  <c r="Q105" i="9" s="1"/>
  <c r="P105" i="9" a="1"/>
  <c r="P105" i="9" s="1"/>
  <c r="O105" i="9" a="1"/>
  <c r="O105" i="9" s="1"/>
  <c r="N105" i="9" a="1"/>
  <c r="N105" i="9" s="1"/>
  <c r="M105" i="9" a="1"/>
  <c r="M105" i="9" s="1"/>
  <c r="L105" i="9" a="1"/>
  <c r="L105" i="9" s="1"/>
  <c r="K105" i="9" a="1"/>
  <c r="K105" i="9" s="1"/>
  <c r="J105" i="9" a="1"/>
  <c r="J105" i="9" s="1"/>
  <c r="I105" i="9" a="1"/>
  <c r="I105" i="9" s="1"/>
  <c r="H105" i="9" a="1"/>
  <c r="H105" i="9" s="1"/>
  <c r="G105" i="9" a="1"/>
  <c r="G105" i="9" s="1"/>
  <c r="F105" i="9" a="1"/>
  <c r="F105" i="9" s="1"/>
  <c r="E105" i="9" a="1"/>
  <c r="E105" i="9" s="1"/>
  <c r="D105" i="9" a="1"/>
  <c r="D105" i="9" s="1"/>
  <c r="C105" i="9" a="1"/>
  <c r="C105" i="9" s="1"/>
  <c r="R104" i="9" a="1"/>
  <c r="R104" i="9" s="1"/>
  <c r="Q104" i="9" a="1"/>
  <c r="Q104" i="9" s="1"/>
  <c r="P104" i="9" a="1"/>
  <c r="P104" i="9" s="1"/>
  <c r="O104" i="9" a="1"/>
  <c r="O104" i="9" s="1"/>
  <c r="N104" i="9" a="1"/>
  <c r="N104" i="9" s="1"/>
  <c r="M104" i="9" a="1"/>
  <c r="M104" i="9" s="1"/>
  <c r="L104" i="9" a="1"/>
  <c r="L104" i="9" s="1"/>
  <c r="K104" i="9"/>
  <c r="K104" i="9" a="1"/>
  <c r="J104" i="9" a="1"/>
  <c r="J104" i="9" s="1"/>
  <c r="I104" i="9" a="1"/>
  <c r="I104" i="9" s="1"/>
  <c r="H104" i="9" a="1"/>
  <c r="H104" i="9" s="1"/>
  <c r="G104" i="9" a="1"/>
  <c r="G104" i="9" s="1"/>
  <c r="F104" i="9" a="1"/>
  <c r="F104" i="9" s="1"/>
  <c r="E104" i="9" a="1"/>
  <c r="E104" i="9" s="1"/>
  <c r="D104" i="9" a="1"/>
  <c r="D104" i="9" s="1"/>
  <c r="C104" i="9" a="1"/>
  <c r="C104" i="9" s="1"/>
  <c r="R103" i="9" a="1"/>
  <c r="R103" i="9" s="1"/>
  <c r="Q103" i="9" a="1"/>
  <c r="Q103" i="9" s="1"/>
  <c r="P103" i="9" a="1"/>
  <c r="P103" i="9" s="1"/>
  <c r="O103" i="9" a="1"/>
  <c r="O103" i="9" s="1"/>
  <c r="N103" i="9" a="1"/>
  <c r="N103" i="9" s="1"/>
  <c r="M103" i="9" a="1"/>
  <c r="M103" i="9" s="1"/>
  <c r="L103" i="9" a="1"/>
  <c r="L103" i="9" s="1"/>
  <c r="K103" i="9" a="1"/>
  <c r="K103" i="9" s="1"/>
  <c r="J103" i="9" a="1"/>
  <c r="J103" i="9" s="1"/>
  <c r="I103" i="9" a="1"/>
  <c r="I103" i="9" s="1"/>
  <c r="H103" i="9" a="1"/>
  <c r="H103" i="9" s="1"/>
  <c r="G103" i="9" a="1"/>
  <c r="G103" i="9" s="1"/>
  <c r="F103" i="9" a="1"/>
  <c r="F103" i="9" s="1"/>
  <c r="E103" i="9" a="1"/>
  <c r="E103" i="9" s="1"/>
  <c r="D103" i="9" a="1"/>
  <c r="D103" i="9" s="1"/>
  <c r="C103" i="9" a="1"/>
  <c r="C103" i="9" s="1"/>
  <c r="R102" i="9" a="1"/>
  <c r="R102" i="9" s="1"/>
  <c r="Q102" i="9" a="1"/>
  <c r="Q102" i="9" s="1"/>
  <c r="P102" i="9" a="1"/>
  <c r="P102" i="9" s="1"/>
  <c r="O102" i="9" a="1"/>
  <c r="O102" i="9" s="1"/>
  <c r="N102" i="9" a="1"/>
  <c r="N102" i="9" s="1"/>
  <c r="M102" i="9" a="1"/>
  <c r="M102" i="9" s="1"/>
  <c r="L102" i="9" a="1"/>
  <c r="L102" i="9" s="1"/>
  <c r="K102" i="9" a="1"/>
  <c r="K102" i="9" s="1"/>
  <c r="J102" i="9" a="1"/>
  <c r="J102" i="9" s="1"/>
  <c r="I102" i="9" a="1"/>
  <c r="I102" i="9" s="1"/>
  <c r="H102" i="9" a="1"/>
  <c r="H102" i="9" s="1"/>
  <c r="G102" i="9" a="1"/>
  <c r="G102" i="9" s="1"/>
  <c r="F102" i="9" a="1"/>
  <c r="F102" i="9" s="1"/>
  <c r="E102" i="9" a="1"/>
  <c r="E102" i="9" s="1"/>
  <c r="D102" i="9" a="1"/>
  <c r="D102" i="9" s="1"/>
  <c r="C102" i="9" a="1"/>
  <c r="C102" i="9" s="1"/>
  <c r="R101" i="9" a="1"/>
  <c r="R101" i="9" s="1"/>
  <c r="Q101" i="9" a="1"/>
  <c r="Q101" i="9" s="1"/>
  <c r="P101" i="9" a="1"/>
  <c r="P101" i="9" s="1"/>
  <c r="O101" i="9" a="1"/>
  <c r="O101" i="9" s="1"/>
  <c r="N101" i="9" a="1"/>
  <c r="N101" i="9" s="1"/>
  <c r="M101" i="9" a="1"/>
  <c r="M101" i="9" s="1"/>
  <c r="L101" i="9" a="1"/>
  <c r="L101" i="9" s="1"/>
  <c r="K101" i="9" a="1"/>
  <c r="K101" i="9" s="1"/>
  <c r="J101" i="9" a="1"/>
  <c r="J101" i="9" s="1"/>
  <c r="I101" i="9" a="1"/>
  <c r="I101" i="9" s="1"/>
  <c r="H101" i="9" a="1"/>
  <c r="H101" i="9" s="1"/>
  <c r="G101" i="9" a="1"/>
  <c r="G101" i="9" s="1"/>
  <c r="F101" i="9" a="1"/>
  <c r="F101" i="9" s="1"/>
  <c r="E101" i="9" a="1"/>
  <c r="E101" i="9" s="1"/>
  <c r="D101" i="9" a="1"/>
  <c r="D101" i="9" s="1"/>
  <c r="C101" i="9" a="1"/>
  <c r="C101" i="9" s="1"/>
  <c r="R100" i="9" a="1"/>
  <c r="R100" i="9" s="1"/>
  <c r="Q100" i="9" a="1"/>
  <c r="Q100" i="9" s="1"/>
  <c r="P100" i="9" a="1"/>
  <c r="P100" i="9" s="1"/>
  <c r="O100" i="9" a="1"/>
  <c r="O100" i="9" s="1"/>
  <c r="N100" i="9" a="1"/>
  <c r="N100" i="9" s="1"/>
  <c r="M100" i="9" a="1"/>
  <c r="M100" i="9" s="1"/>
  <c r="L100" i="9" a="1"/>
  <c r="L100" i="9" s="1"/>
  <c r="K100" i="9" a="1"/>
  <c r="K100" i="9" s="1"/>
  <c r="J100" i="9" a="1"/>
  <c r="J100" i="9" s="1"/>
  <c r="I100" i="9" a="1"/>
  <c r="I100" i="9" s="1"/>
  <c r="H100" i="9" a="1"/>
  <c r="H100" i="9" s="1"/>
  <c r="G100" i="9" a="1"/>
  <c r="G100" i="9" s="1"/>
  <c r="F100" i="9" a="1"/>
  <c r="F100" i="9" s="1"/>
  <c r="E100" i="9" a="1"/>
  <c r="E100" i="9" s="1"/>
  <c r="D100" i="9" a="1"/>
  <c r="D100" i="9" s="1"/>
  <c r="C100" i="9" a="1"/>
  <c r="C100" i="9" s="1"/>
  <c r="R99" i="9" a="1"/>
  <c r="R99" i="9" s="1"/>
  <c r="Q99" i="9" a="1"/>
  <c r="Q99" i="9" s="1"/>
  <c r="P99" i="9" a="1"/>
  <c r="P99" i="9" s="1"/>
  <c r="O99" i="9" a="1"/>
  <c r="O99" i="9" s="1"/>
  <c r="N99" i="9" a="1"/>
  <c r="N99" i="9" s="1"/>
  <c r="M99" i="9" a="1"/>
  <c r="M99" i="9" s="1"/>
  <c r="L99" i="9" a="1"/>
  <c r="L99" i="9" s="1"/>
  <c r="K99" i="9" a="1"/>
  <c r="K99" i="9" s="1"/>
  <c r="J99" i="9" a="1"/>
  <c r="J99" i="9" s="1"/>
  <c r="I99" i="9" a="1"/>
  <c r="I99" i="9" s="1"/>
  <c r="H99" i="9" a="1"/>
  <c r="H99" i="9" s="1"/>
  <c r="G99" i="9" a="1"/>
  <c r="G99" i="9" s="1"/>
  <c r="F99" i="9" a="1"/>
  <c r="F99" i="9" s="1"/>
  <c r="E99" i="9" a="1"/>
  <c r="E99" i="9" s="1"/>
  <c r="D99" i="9" a="1"/>
  <c r="D99" i="9" s="1"/>
  <c r="C99" i="9" a="1"/>
  <c r="C99" i="9" s="1"/>
  <c r="R98" i="9" a="1"/>
  <c r="R98" i="9" s="1"/>
  <c r="Q98" i="9" a="1"/>
  <c r="Q98" i="9" s="1"/>
  <c r="P98" i="9" a="1"/>
  <c r="P98" i="9" s="1"/>
  <c r="O98" i="9" a="1"/>
  <c r="O98" i="9" s="1"/>
  <c r="N98" i="9" a="1"/>
  <c r="N98" i="9" s="1"/>
  <c r="M98" i="9" a="1"/>
  <c r="M98" i="9" s="1"/>
  <c r="L98" i="9" a="1"/>
  <c r="L98" i="9" s="1"/>
  <c r="K98" i="9" a="1"/>
  <c r="K98" i="9" s="1"/>
  <c r="J98" i="9" a="1"/>
  <c r="J98" i="9" s="1"/>
  <c r="I98" i="9" a="1"/>
  <c r="I98" i="9" s="1"/>
  <c r="H98" i="9" a="1"/>
  <c r="H98" i="9" s="1"/>
  <c r="G98" i="9" a="1"/>
  <c r="G98" i="9" s="1"/>
  <c r="F98" i="9" a="1"/>
  <c r="F98" i="9" s="1"/>
  <c r="E98" i="9" a="1"/>
  <c r="E98" i="9" s="1"/>
  <c r="D98" i="9" a="1"/>
  <c r="D98" i="9" s="1"/>
  <c r="C98" i="9" a="1"/>
  <c r="C98" i="9" s="1"/>
  <c r="R97" i="9" a="1"/>
  <c r="R97" i="9" s="1"/>
  <c r="Q97" i="9" a="1"/>
  <c r="Q97" i="9" s="1"/>
  <c r="P97" i="9" a="1"/>
  <c r="P97" i="9" s="1"/>
  <c r="O97" i="9" a="1"/>
  <c r="O97" i="9" s="1"/>
  <c r="N97" i="9" a="1"/>
  <c r="N97" i="9" s="1"/>
  <c r="M97" i="9" a="1"/>
  <c r="M97" i="9" s="1"/>
  <c r="L97" i="9" a="1"/>
  <c r="L97" i="9" s="1"/>
  <c r="K97" i="9" a="1"/>
  <c r="K97" i="9" s="1"/>
  <c r="J97" i="9" a="1"/>
  <c r="J97" i="9" s="1"/>
  <c r="I97" i="9" a="1"/>
  <c r="I97" i="9" s="1"/>
  <c r="H97" i="9" a="1"/>
  <c r="H97" i="9" s="1"/>
  <c r="G97" i="9" a="1"/>
  <c r="G97" i="9" s="1"/>
  <c r="F97" i="9" a="1"/>
  <c r="F97" i="9" s="1"/>
  <c r="E97" i="9" a="1"/>
  <c r="E97" i="9" s="1"/>
  <c r="D97" i="9" a="1"/>
  <c r="D97" i="9" s="1"/>
  <c r="C97" i="9" a="1"/>
  <c r="C97" i="9" s="1"/>
  <c r="R96" i="9" a="1"/>
  <c r="R96" i="9" s="1"/>
  <c r="Q96" i="9" a="1"/>
  <c r="Q96" i="9" s="1"/>
  <c r="P96" i="9" a="1"/>
  <c r="P96" i="9" s="1"/>
  <c r="O96" i="9" a="1"/>
  <c r="O96" i="9" s="1"/>
  <c r="N96" i="9" a="1"/>
  <c r="N96" i="9" s="1"/>
  <c r="M96" i="9" a="1"/>
  <c r="M96" i="9" s="1"/>
  <c r="L96" i="9" a="1"/>
  <c r="L96" i="9" s="1"/>
  <c r="K96" i="9" a="1"/>
  <c r="K96" i="9" s="1"/>
  <c r="J96" i="9" a="1"/>
  <c r="J96" i="9" s="1"/>
  <c r="I96" i="9" a="1"/>
  <c r="I96" i="9" s="1"/>
  <c r="H96" i="9" a="1"/>
  <c r="H96" i="9" s="1"/>
  <c r="G96" i="9" a="1"/>
  <c r="G96" i="9" s="1"/>
  <c r="F96" i="9" a="1"/>
  <c r="F96" i="9" s="1"/>
  <c r="E96" i="9" a="1"/>
  <c r="E96" i="9" s="1"/>
  <c r="D96" i="9" a="1"/>
  <c r="D96" i="9" s="1"/>
  <c r="C96" i="9" a="1"/>
  <c r="C96" i="9" s="1"/>
  <c r="R95" i="9" a="1"/>
  <c r="R95" i="9" s="1"/>
  <c r="Q95" i="9" a="1"/>
  <c r="Q95" i="9" s="1"/>
  <c r="P95" i="9" a="1"/>
  <c r="P95" i="9" s="1"/>
  <c r="O95" i="9" a="1"/>
  <c r="O95" i="9" s="1"/>
  <c r="N95" i="9" a="1"/>
  <c r="N95" i="9" s="1"/>
  <c r="M95" i="9" a="1"/>
  <c r="M95" i="9" s="1"/>
  <c r="L95" i="9" a="1"/>
  <c r="L95" i="9" s="1"/>
  <c r="K95" i="9" a="1"/>
  <c r="K95" i="9" s="1"/>
  <c r="J95" i="9" a="1"/>
  <c r="J95" i="9" s="1"/>
  <c r="I95" i="9" a="1"/>
  <c r="I95" i="9" s="1"/>
  <c r="H95" i="9" a="1"/>
  <c r="H95" i="9" s="1"/>
  <c r="G95" i="9" a="1"/>
  <c r="G95" i="9" s="1"/>
  <c r="F95" i="9" a="1"/>
  <c r="F95" i="9" s="1"/>
  <c r="E95" i="9" a="1"/>
  <c r="E95" i="9" s="1"/>
  <c r="D95" i="9" a="1"/>
  <c r="D95" i="9" s="1"/>
  <c r="C95" i="9" a="1"/>
  <c r="C95" i="9" s="1"/>
  <c r="R94" i="9" a="1"/>
  <c r="R94" i="9" s="1"/>
  <c r="Q94" i="9" a="1"/>
  <c r="Q94" i="9" s="1"/>
  <c r="P94" i="9" a="1"/>
  <c r="P94" i="9" s="1"/>
  <c r="O94" i="9" a="1"/>
  <c r="O94" i="9" s="1"/>
  <c r="N94" i="9" a="1"/>
  <c r="N94" i="9" s="1"/>
  <c r="M94" i="9" a="1"/>
  <c r="M94" i="9" s="1"/>
  <c r="L94" i="9" a="1"/>
  <c r="L94" i="9" s="1"/>
  <c r="K94" i="9"/>
  <c r="K94" i="9" a="1"/>
  <c r="J94" i="9" a="1"/>
  <c r="J94" i="9" s="1"/>
  <c r="I94" i="9" a="1"/>
  <c r="I94" i="9" s="1"/>
  <c r="H94" i="9" a="1"/>
  <c r="H94" i="9" s="1"/>
  <c r="G94" i="9" a="1"/>
  <c r="G94" i="9" s="1"/>
  <c r="F94" i="9" a="1"/>
  <c r="F94" i="9" s="1"/>
  <c r="E94" i="9" a="1"/>
  <c r="E94" i="9" s="1"/>
  <c r="D94" i="9" a="1"/>
  <c r="D94" i="9" s="1"/>
  <c r="C94" i="9" a="1"/>
  <c r="C94" i="9" s="1"/>
  <c r="R93" i="9" a="1"/>
  <c r="R93" i="9" s="1"/>
  <c r="Q93" i="9" a="1"/>
  <c r="Q93" i="9" s="1"/>
  <c r="P93" i="9" a="1"/>
  <c r="P93" i="9" s="1"/>
  <c r="O93" i="9" a="1"/>
  <c r="O93" i="9" s="1"/>
  <c r="N93" i="9" a="1"/>
  <c r="N93" i="9" s="1"/>
  <c r="M93" i="9" a="1"/>
  <c r="M93" i="9" s="1"/>
  <c r="L93" i="9" a="1"/>
  <c r="L93" i="9" s="1"/>
  <c r="K93" i="9" a="1"/>
  <c r="K93" i="9" s="1"/>
  <c r="J93" i="9" a="1"/>
  <c r="J93" i="9" s="1"/>
  <c r="I93" i="9" a="1"/>
  <c r="I93" i="9" s="1"/>
  <c r="H93" i="9" a="1"/>
  <c r="H93" i="9" s="1"/>
  <c r="G93" i="9" a="1"/>
  <c r="G93" i="9" s="1"/>
  <c r="F93" i="9" a="1"/>
  <c r="F93" i="9" s="1"/>
  <c r="E93" i="9" a="1"/>
  <c r="E93" i="9" s="1"/>
  <c r="D93" i="9" a="1"/>
  <c r="D93" i="9" s="1"/>
  <c r="C93" i="9" a="1"/>
  <c r="C93" i="9" s="1"/>
  <c r="R92" i="9" a="1"/>
  <c r="R92" i="9" s="1"/>
  <c r="Q92" i="9" a="1"/>
  <c r="Q92" i="9" s="1"/>
  <c r="P92" i="9" a="1"/>
  <c r="P92" i="9" s="1"/>
  <c r="O92" i="9" a="1"/>
  <c r="O92" i="9" s="1"/>
  <c r="N92" i="9" a="1"/>
  <c r="N92" i="9" s="1"/>
  <c r="M92" i="9" a="1"/>
  <c r="M92" i="9" s="1"/>
  <c r="L92" i="9" a="1"/>
  <c r="L92" i="9" s="1"/>
  <c r="K92" i="9" a="1"/>
  <c r="K92" i="9" s="1"/>
  <c r="J92" i="9" a="1"/>
  <c r="J92" i="9" s="1"/>
  <c r="I92" i="9" a="1"/>
  <c r="I92" i="9" s="1"/>
  <c r="H92" i="9" a="1"/>
  <c r="H92" i="9" s="1"/>
  <c r="G92" i="9" a="1"/>
  <c r="G92" i="9" s="1"/>
  <c r="F92" i="9" a="1"/>
  <c r="F92" i="9" s="1"/>
  <c r="E92" i="9" a="1"/>
  <c r="E92" i="9" s="1"/>
  <c r="D92" i="9" a="1"/>
  <c r="D92" i="9" s="1"/>
  <c r="C92" i="9" a="1"/>
  <c r="C92" i="9" s="1"/>
  <c r="R91" i="9" a="1"/>
  <c r="R91" i="9" s="1"/>
  <c r="Q91" i="9" a="1"/>
  <c r="Q91" i="9" s="1"/>
  <c r="P91" i="9" a="1"/>
  <c r="P91" i="9" s="1"/>
  <c r="O91" i="9" a="1"/>
  <c r="O91" i="9" s="1"/>
  <c r="N91" i="9" a="1"/>
  <c r="N91" i="9" s="1"/>
  <c r="M91" i="9" a="1"/>
  <c r="M91" i="9" s="1"/>
  <c r="L91" i="9" a="1"/>
  <c r="L91" i="9" s="1"/>
  <c r="K91" i="9" a="1"/>
  <c r="K91" i="9" s="1"/>
  <c r="J91" i="9" a="1"/>
  <c r="J91" i="9" s="1"/>
  <c r="I91" i="9" a="1"/>
  <c r="I91" i="9" s="1"/>
  <c r="H91" i="9" a="1"/>
  <c r="H91" i="9" s="1"/>
  <c r="G91" i="9" a="1"/>
  <c r="G91" i="9" s="1"/>
  <c r="F91" i="9" a="1"/>
  <c r="F91" i="9" s="1"/>
  <c r="E91" i="9" a="1"/>
  <c r="E91" i="9" s="1"/>
  <c r="D91" i="9" a="1"/>
  <c r="D91" i="9" s="1"/>
  <c r="C91" i="9" a="1"/>
  <c r="C91" i="9" s="1"/>
  <c r="R90" i="9" a="1"/>
  <c r="R90" i="9" s="1"/>
  <c r="Q90" i="9" a="1"/>
  <c r="Q90" i="9" s="1"/>
  <c r="P90" i="9" a="1"/>
  <c r="P90" i="9" s="1"/>
  <c r="O90" i="9" a="1"/>
  <c r="O90" i="9" s="1"/>
  <c r="N90" i="9" a="1"/>
  <c r="N90" i="9" s="1"/>
  <c r="M90" i="9" a="1"/>
  <c r="M90" i="9" s="1"/>
  <c r="L90" i="9" a="1"/>
  <c r="L90" i="9" s="1"/>
  <c r="K90" i="9" a="1"/>
  <c r="K90" i="9" s="1"/>
  <c r="J90" i="9" a="1"/>
  <c r="J90" i="9" s="1"/>
  <c r="I90" i="9" a="1"/>
  <c r="I90" i="9" s="1"/>
  <c r="H90" i="9" a="1"/>
  <c r="H90" i="9" s="1"/>
  <c r="G90" i="9" a="1"/>
  <c r="G90" i="9" s="1"/>
  <c r="F90" i="9" a="1"/>
  <c r="F90" i="9" s="1"/>
  <c r="E90" i="9" a="1"/>
  <c r="E90" i="9" s="1"/>
  <c r="D90" i="9" a="1"/>
  <c r="D90" i="9" s="1"/>
  <c r="C90" i="9" a="1"/>
  <c r="C90" i="9" s="1"/>
  <c r="R89" i="9" a="1"/>
  <c r="R89" i="9" s="1"/>
  <c r="Q89" i="9" a="1"/>
  <c r="Q89" i="9" s="1"/>
  <c r="P89" i="9" a="1"/>
  <c r="P89" i="9" s="1"/>
  <c r="O89" i="9" a="1"/>
  <c r="O89" i="9" s="1"/>
  <c r="N89" i="9" a="1"/>
  <c r="N89" i="9" s="1"/>
  <c r="M89" i="9" a="1"/>
  <c r="M89" i="9" s="1"/>
  <c r="L89" i="9" a="1"/>
  <c r="L89" i="9" s="1"/>
  <c r="K89" i="9" a="1"/>
  <c r="K89" i="9" s="1"/>
  <c r="J89" i="9" a="1"/>
  <c r="J89" i="9" s="1"/>
  <c r="I89" i="9" a="1"/>
  <c r="I89" i="9" s="1"/>
  <c r="H89" i="9" a="1"/>
  <c r="H89" i="9" s="1"/>
  <c r="G89" i="9" a="1"/>
  <c r="G89" i="9" s="1"/>
  <c r="F89" i="9" a="1"/>
  <c r="F89" i="9" s="1"/>
  <c r="E89" i="9" a="1"/>
  <c r="E89" i="9" s="1"/>
  <c r="D89" i="9" a="1"/>
  <c r="D89" i="9" s="1"/>
  <c r="C89" i="9" a="1"/>
  <c r="C89" i="9" s="1"/>
  <c r="R88" i="9" a="1"/>
  <c r="R88" i="9" s="1"/>
  <c r="Q88" i="9" a="1"/>
  <c r="Q88" i="9" s="1"/>
  <c r="P88" i="9" a="1"/>
  <c r="P88" i="9" s="1"/>
  <c r="O88" i="9" a="1"/>
  <c r="O88" i="9" s="1"/>
  <c r="N88" i="9" a="1"/>
  <c r="N88" i="9" s="1"/>
  <c r="M88" i="9" a="1"/>
  <c r="M88" i="9" s="1"/>
  <c r="L88" i="9" a="1"/>
  <c r="L88" i="9" s="1"/>
  <c r="K88" i="9" a="1"/>
  <c r="K88" i="9" s="1"/>
  <c r="J88" i="9" a="1"/>
  <c r="J88" i="9" s="1"/>
  <c r="I88" i="9" a="1"/>
  <c r="I88" i="9" s="1"/>
  <c r="H88" i="9" a="1"/>
  <c r="H88" i="9" s="1"/>
  <c r="G88" i="9" a="1"/>
  <c r="G88" i="9" s="1"/>
  <c r="F88" i="9" a="1"/>
  <c r="F88" i="9" s="1"/>
  <c r="E88" i="9" a="1"/>
  <c r="E88" i="9" s="1"/>
  <c r="D88" i="9" a="1"/>
  <c r="D88" i="9" s="1"/>
  <c r="C88" i="9" a="1"/>
  <c r="C88" i="9" s="1"/>
  <c r="R87" i="9" a="1"/>
  <c r="R87" i="9" s="1"/>
  <c r="Q87" i="9" a="1"/>
  <c r="Q87" i="9" s="1"/>
  <c r="P87" i="9" a="1"/>
  <c r="P87" i="9" s="1"/>
  <c r="O87" i="9" a="1"/>
  <c r="O87" i="9" s="1"/>
  <c r="N87" i="9" a="1"/>
  <c r="N87" i="9" s="1"/>
  <c r="M87" i="9" a="1"/>
  <c r="M87" i="9" s="1"/>
  <c r="L87" i="9"/>
  <c r="L87" i="9" a="1"/>
  <c r="K87" i="9" a="1"/>
  <c r="K87" i="9" s="1"/>
  <c r="J87" i="9" a="1"/>
  <c r="J87" i="9" s="1"/>
  <c r="I87" i="9" a="1"/>
  <c r="I87" i="9" s="1"/>
  <c r="H87" i="9" a="1"/>
  <c r="H87" i="9" s="1"/>
  <c r="G87" i="9" a="1"/>
  <c r="G87" i="9" s="1"/>
  <c r="F87" i="9" a="1"/>
  <c r="F87" i="9" s="1"/>
  <c r="E87" i="9" a="1"/>
  <c r="E87" i="9" s="1"/>
  <c r="D87" i="9" a="1"/>
  <c r="D87" i="9" s="1"/>
  <c r="C87" i="9" a="1"/>
  <c r="C87" i="9" s="1"/>
  <c r="R86" i="9" a="1"/>
  <c r="R86" i="9" s="1"/>
  <c r="Q86" i="9" a="1"/>
  <c r="Q86" i="9" s="1"/>
  <c r="P86" i="9" a="1"/>
  <c r="P86" i="9" s="1"/>
  <c r="O86" i="9" a="1"/>
  <c r="O86" i="9" s="1"/>
  <c r="N86" i="9" a="1"/>
  <c r="N86" i="9" s="1"/>
  <c r="M86" i="9" a="1"/>
  <c r="M86" i="9" s="1"/>
  <c r="L86" i="9" a="1"/>
  <c r="L86" i="9" s="1"/>
  <c r="K86" i="9" a="1"/>
  <c r="K86" i="9" s="1"/>
  <c r="J86" i="9" a="1"/>
  <c r="J86" i="9" s="1"/>
  <c r="I86" i="9" a="1"/>
  <c r="I86" i="9" s="1"/>
  <c r="H86" i="9" a="1"/>
  <c r="H86" i="9" s="1"/>
  <c r="G86" i="9" a="1"/>
  <c r="G86" i="9" s="1"/>
  <c r="F86" i="9" a="1"/>
  <c r="F86" i="9" s="1"/>
  <c r="E86" i="9" a="1"/>
  <c r="E86" i="9" s="1"/>
  <c r="D86" i="9" a="1"/>
  <c r="D86" i="9" s="1"/>
  <c r="C86" i="9" a="1"/>
  <c r="C86" i="9" s="1"/>
  <c r="R85" i="9" a="1"/>
  <c r="R85" i="9" s="1"/>
  <c r="Q85" i="9" a="1"/>
  <c r="Q85" i="9" s="1"/>
  <c r="P85" i="9" a="1"/>
  <c r="P85" i="9" s="1"/>
  <c r="O85" i="9" a="1"/>
  <c r="O85" i="9" s="1"/>
  <c r="N85" i="9" a="1"/>
  <c r="N85" i="9" s="1"/>
  <c r="M85" i="9" a="1"/>
  <c r="M85" i="9" s="1"/>
  <c r="L85" i="9" a="1"/>
  <c r="L85" i="9" s="1"/>
  <c r="K85" i="9" a="1"/>
  <c r="K85" i="9" s="1"/>
  <c r="J85" i="9" a="1"/>
  <c r="J85" i="9" s="1"/>
  <c r="I85" i="9" a="1"/>
  <c r="I85" i="9" s="1"/>
  <c r="H85" i="9" a="1"/>
  <c r="H85" i="9" s="1"/>
  <c r="G85" i="9" a="1"/>
  <c r="G85" i="9" s="1"/>
  <c r="F85" i="9" a="1"/>
  <c r="F85" i="9" s="1"/>
  <c r="E85" i="9" a="1"/>
  <c r="E85" i="9" s="1"/>
  <c r="D85" i="9" a="1"/>
  <c r="D85" i="9" s="1"/>
  <c r="C85" i="9" a="1"/>
  <c r="C85" i="9" s="1"/>
  <c r="R84" i="9" a="1"/>
  <c r="R84" i="9" s="1"/>
  <c r="Q84" i="9" a="1"/>
  <c r="Q84" i="9" s="1"/>
  <c r="P84" i="9" a="1"/>
  <c r="P84" i="9" s="1"/>
  <c r="O84" i="9" a="1"/>
  <c r="O84" i="9" s="1"/>
  <c r="N84" i="9" a="1"/>
  <c r="N84" i="9" s="1"/>
  <c r="M84" i="9" a="1"/>
  <c r="M84" i="9" s="1"/>
  <c r="L84" i="9" a="1"/>
  <c r="L84" i="9" s="1"/>
  <c r="K84" i="9" a="1"/>
  <c r="K84" i="9" s="1"/>
  <c r="J84" i="9" a="1"/>
  <c r="J84" i="9" s="1"/>
  <c r="I84" i="9" a="1"/>
  <c r="I84" i="9" s="1"/>
  <c r="H84" i="9" a="1"/>
  <c r="H84" i="9" s="1"/>
  <c r="G84" i="9" a="1"/>
  <c r="G84" i="9" s="1"/>
  <c r="F84" i="9" a="1"/>
  <c r="F84" i="9" s="1"/>
  <c r="E84" i="9" a="1"/>
  <c r="E84" i="9" s="1"/>
  <c r="D84" i="9" a="1"/>
  <c r="D84" i="9" s="1"/>
  <c r="C84" i="9" a="1"/>
  <c r="C84" i="9" s="1"/>
  <c r="R83" i="9" a="1"/>
  <c r="R83" i="9" s="1"/>
  <c r="Q83" i="9" a="1"/>
  <c r="Q83" i="9" s="1"/>
  <c r="P83" i="9" a="1"/>
  <c r="P83" i="9" s="1"/>
  <c r="O83" i="9" a="1"/>
  <c r="O83" i="9" s="1"/>
  <c r="N83" i="9" a="1"/>
  <c r="N83" i="9" s="1"/>
  <c r="M83" i="9" a="1"/>
  <c r="M83" i="9" s="1"/>
  <c r="L83" i="9" a="1"/>
  <c r="L83" i="9" s="1"/>
  <c r="K83" i="9" a="1"/>
  <c r="K83" i="9" s="1"/>
  <c r="J83" i="9" a="1"/>
  <c r="J83" i="9" s="1"/>
  <c r="I83" i="9" a="1"/>
  <c r="I83" i="9" s="1"/>
  <c r="H83" i="9" a="1"/>
  <c r="H83" i="9" s="1"/>
  <c r="G83" i="9" a="1"/>
  <c r="G83" i="9" s="1"/>
  <c r="F83" i="9" a="1"/>
  <c r="F83" i="9" s="1"/>
  <c r="E83" i="9" a="1"/>
  <c r="E83" i="9" s="1"/>
  <c r="D83" i="9" a="1"/>
  <c r="D83" i="9" s="1"/>
  <c r="C83" i="9" a="1"/>
  <c r="C83" i="9" s="1"/>
  <c r="R82" i="9" a="1"/>
  <c r="R82" i="9" s="1"/>
  <c r="Q82" i="9" a="1"/>
  <c r="Q82" i="9" s="1"/>
  <c r="P82" i="9" a="1"/>
  <c r="P82" i="9" s="1"/>
  <c r="O82" i="9" a="1"/>
  <c r="O82" i="9" s="1"/>
  <c r="N82" i="9" a="1"/>
  <c r="N82" i="9" s="1"/>
  <c r="M82" i="9" a="1"/>
  <c r="M82" i="9" s="1"/>
  <c r="L82" i="9"/>
  <c r="L82" i="9" a="1"/>
  <c r="K82" i="9" a="1"/>
  <c r="K82" i="9" s="1"/>
  <c r="J82" i="9"/>
  <c r="J82" i="9" a="1"/>
  <c r="I82" i="9" a="1"/>
  <c r="I82" i="9" s="1"/>
  <c r="H82" i="9" a="1"/>
  <c r="H82" i="9" s="1"/>
  <c r="G82" i="9" a="1"/>
  <c r="G82" i="9" s="1"/>
  <c r="F82" i="9" a="1"/>
  <c r="F82" i="9" s="1"/>
  <c r="E82" i="9" a="1"/>
  <c r="E82" i="9" s="1"/>
  <c r="D82" i="9"/>
  <c r="D82" i="9" a="1"/>
  <c r="C82" i="9" a="1"/>
  <c r="C82" i="9" s="1"/>
  <c r="R81" i="9" a="1"/>
  <c r="R81" i="9" s="1"/>
  <c r="Q81" i="9"/>
  <c r="Q81" i="9" a="1"/>
  <c r="P81" i="9" a="1"/>
  <c r="P81" i="9" s="1"/>
  <c r="O81" i="9" a="1"/>
  <c r="O81" i="9" s="1"/>
  <c r="N81" i="9" a="1"/>
  <c r="N81" i="9" s="1"/>
  <c r="M81" i="9" a="1"/>
  <c r="M81" i="9" s="1"/>
  <c r="L81" i="9" a="1"/>
  <c r="L81" i="9" s="1"/>
  <c r="K81" i="9" a="1"/>
  <c r="K81" i="9" s="1"/>
  <c r="J81" i="9"/>
  <c r="J81" i="9" a="1"/>
  <c r="I81" i="9" a="1"/>
  <c r="I81" i="9" s="1"/>
  <c r="H81" i="9" a="1"/>
  <c r="H81" i="9" s="1"/>
  <c r="G81" i="9" a="1"/>
  <c r="G81" i="9" s="1"/>
  <c r="F81" i="9" a="1"/>
  <c r="F81" i="9" s="1"/>
  <c r="E81" i="9" a="1"/>
  <c r="E81" i="9" s="1"/>
  <c r="D81" i="9" a="1"/>
  <c r="D81" i="9" s="1"/>
  <c r="C81" i="9" a="1"/>
  <c r="C81" i="9" s="1"/>
  <c r="R80" i="9" a="1"/>
  <c r="R80" i="9" s="1"/>
  <c r="Q80" i="9" a="1"/>
  <c r="Q80" i="9" s="1"/>
  <c r="P80" i="9" a="1"/>
  <c r="P80" i="9" s="1"/>
  <c r="O80" i="9" a="1"/>
  <c r="O80" i="9" s="1"/>
  <c r="N80" i="9" a="1"/>
  <c r="N80" i="9" s="1"/>
  <c r="M80" i="9" a="1"/>
  <c r="M80" i="9" s="1"/>
  <c r="L80" i="9" a="1"/>
  <c r="L80" i="9" s="1"/>
  <c r="K80" i="9" a="1"/>
  <c r="K80" i="9" s="1"/>
  <c r="J80" i="9" a="1"/>
  <c r="J80" i="9" s="1"/>
  <c r="I80" i="9" a="1"/>
  <c r="I80" i="9" s="1"/>
  <c r="H80" i="9" a="1"/>
  <c r="H80" i="9" s="1"/>
  <c r="G80" i="9" a="1"/>
  <c r="G80" i="9" s="1"/>
  <c r="F80" i="9" a="1"/>
  <c r="F80" i="9" s="1"/>
  <c r="E80" i="9" a="1"/>
  <c r="E80" i="9" s="1"/>
  <c r="D80" i="9" a="1"/>
  <c r="D80" i="9" s="1"/>
  <c r="C80" i="9" a="1"/>
  <c r="C80" i="9" s="1"/>
  <c r="R79" i="9" a="1"/>
  <c r="R79" i="9" s="1"/>
  <c r="Q79" i="9" a="1"/>
  <c r="Q79" i="9" s="1"/>
  <c r="P79" i="9" a="1"/>
  <c r="P79" i="9" s="1"/>
  <c r="O79" i="9" a="1"/>
  <c r="O79" i="9" s="1"/>
  <c r="N79" i="9" a="1"/>
  <c r="N79" i="9" s="1"/>
  <c r="M79" i="9" a="1"/>
  <c r="M79" i="9" s="1"/>
  <c r="L79" i="9" a="1"/>
  <c r="L79" i="9" s="1"/>
  <c r="K79" i="9" a="1"/>
  <c r="K79" i="9" s="1"/>
  <c r="J79" i="9" a="1"/>
  <c r="J79" i="9" s="1"/>
  <c r="I79" i="9" a="1"/>
  <c r="I79" i="9" s="1"/>
  <c r="H79" i="9" a="1"/>
  <c r="H79" i="9" s="1"/>
  <c r="G79" i="9" a="1"/>
  <c r="G79" i="9" s="1"/>
  <c r="F79" i="9" a="1"/>
  <c r="F79" i="9" s="1"/>
  <c r="E79" i="9" a="1"/>
  <c r="E79" i="9" s="1"/>
  <c r="D79" i="9" a="1"/>
  <c r="D79" i="9" s="1"/>
  <c r="C79" i="9" a="1"/>
  <c r="C79" i="9" s="1"/>
  <c r="R78" i="9" a="1"/>
  <c r="R78" i="9" s="1"/>
  <c r="Q78" i="9" a="1"/>
  <c r="Q78" i="9" s="1"/>
  <c r="P78" i="9" a="1"/>
  <c r="P78" i="9" s="1"/>
  <c r="O78" i="9" a="1"/>
  <c r="O78" i="9" s="1"/>
  <c r="N78" i="9" a="1"/>
  <c r="N78" i="9" s="1"/>
  <c r="M78" i="9" a="1"/>
  <c r="M78" i="9" s="1"/>
  <c r="L78" i="9" a="1"/>
  <c r="L78" i="9" s="1"/>
  <c r="K78" i="9" a="1"/>
  <c r="K78" i="9" s="1"/>
  <c r="J78" i="9" a="1"/>
  <c r="J78" i="9" s="1"/>
  <c r="I78" i="9" a="1"/>
  <c r="I78" i="9" s="1"/>
  <c r="H78" i="9" a="1"/>
  <c r="H78" i="9" s="1"/>
  <c r="G78" i="9" a="1"/>
  <c r="G78" i="9" s="1"/>
  <c r="F78" i="9" a="1"/>
  <c r="F78" i="9" s="1"/>
  <c r="E78" i="9" a="1"/>
  <c r="E78" i="9" s="1"/>
  <c r="D78" i="9" a="1"/>
  <c r="D78" i="9" s="1"/>
  <c r="C78" i="9" a="1"/>
  <c r="C78" i="9" s="1"/>
  <c r="R77" i="9" a="1"/>
  <c r="R77" i="9" s="1"/>
  <c r="Q77" i="9" a="1"/>
  <c r="Q77" i="9" s="1"/>
  <c r="P77" i="9" a="1"/>
  <c r="P77" i="9" s="1"/>
  <c r="O77" i="9" a="1"/>
  <c r="O77" i="9" s="1"/>
  <c r="N77" i="9" a="1"/>
  <c r="N77" i="9" s="1"/>
  <c r="M77" i="9" a="1"/>
  <c r="M77" i="9" s="1"/>
  <c r="L77" i="9" a="1"/>
  <c r="L77" i="9" s="1"/>
  <c r="K77" i="9" a="1"/>
  <c r="K77" i="9" s="1"/>
  <c r="J77" i="9" a="1"/>
  <c r="J77" i="9" s="1"/>
  <c r="I77" i="9" a="1"/>
  <c r="I77" i="9" s="1"/>
  <c r="H77" i="9" a="1"/>
  <c r="H77" i="9" s="1"/>
  <c r="G77" i="9" a="1"/>
  <c r="G77" i="9" s="1"/>
  <c r="F77" i="9" a="1"/>
  <c r="F77" i="9" s="1"/>
  <c r="E77" i="9" a="1"/>
  <c r="E77" i="9" s="1"/>
  <c r="D77" i="9" a="1"/>
  <c r="D77" i="9" s="1"/>
  <c r="C77" i="9" a="1"/>
  <c r="C77" i="9" s="1"/>
  <c r="R76" i="9" a="1"/>
  <c r="R76" i="9" s="1"/>
  <c r="Q76" i="9" a="1"/>
  <c r="Q76" i="9" s="1"/>
  <c r="P76" i="9" a="1"/>
  <c r="P76" i="9" s="1"/>
  <c r="O76" i="9" a="1"/>
  <c r="O76" i="9" s="1"/>
  <c r="N76" i="9" a="1"/>
  <c r="N76" i="9" s="1"/>
  <c r="M76" i="9" a="1"/>
  <c r="M76" i="9" s="1"/>
  <c r="L76" i="9"/>
  <c r="L76" i="9" a="1"/>
  <c r="K76" i="9" a="1"/>
  <c r="K76" i="9" s="1"/>
  <c r="J76" i="9" a="1"/>
  <c r="J76" i="9" s="1"/>
  <c r="I76" i="9" a="1"/>
  <c r="I76" i="9" s="1"/>
  <c r="H76" i="9" a="1"/>
  <c r="H76" i="9" s="1"/>
  <c r="G76" i="9" a="1"/>
  <c r="G76" i="9" s="1"/>
  <c r="F76" i="9" a="1"/>
  <c r="F76" i="9" s="1"/>
  <c r="E76" i="9" a="1"/>
  <c r="E76" i="9" s="1"/>
  <c r="D76" i="9" a="1"/>
  <c r="D76" i="9" s="1"/>
  <c r="C76" i="9" a="1"/>
  <c r="C76" i="9" s="1"/>
  <c r="R75" i="9" a="1"/>
  <c r="R75" i="9" s="1"/>
  <c r="Q75" i="9" a="1"/>
  <c r="Q75" i="9" s="1"/>
  <c r="P75" i="9" a="1"/>
  <c r="P75" i="9" s="1"/>
  <c r="O75" i="9" a="1"/>
  <c r="O75" i="9" s="1"/>
  <c r="N75" i="9" a="1"/>
  <c r="N75" i="9" s="1"/>
  <c r="M75" i="9" a="1"/>
  <c r="M75" i="9" s="1"/>
  <c r="L75" i="9" a="1"/>
  <c r="L75" i="9" s="1"/>
  <c r="K75" i="9" a="1"/>
  <c r="K75" i="9" s="1"/>
  <c r="J75" i="9" a="1"/>
  <c r="J75" i="9" s="1"/>
  <c r="I75" i="9" a="1"/>
  <c r="I75" i="9" s="1"/>
  <c r="H75" i="9" a="1"/>
  <c r="H75" i="9" s="1"/>
  <c r="G75" i="9" a="1"/>
  <c r="G75" i="9" s="1"/>
  <c r="F75" i="9" a="1"/>
  <c r="F75" i="9" s="1"/>
  <c r="E75" i="9" a="1"/>
  <c r="E75" i="9" s="1"/>
  <c r="D75" i="9" a="1"/>
  <c r="D75" i="9" s="1"/>
  <c r="C75" i="9" a="1"/>
  <c r="C75" i="9" s="1"/>
  <c r="R74" i="9" a="1"/>
  <c r="R74" i="9" s="1"/>
  <c r="Q74" i="9" a="1"/>
  <c r="Q74" i="9" s="1"/>
  <c r="P74" i="9" a="1"/>
  <c r="P74" i="9" s="1"/>
  <c r="O74" i="9" a="1"/>
  <c r="O74" i="9" s="1"/>
  <c r="N74" i="9" a="1"/>
  <c r="N74" i="9" s="1"/>
  <c r="M74" i="9" a="1"/>
  <c r="M74" i="9" s="1"/>
  <c r="L74" i="9" a="1"/>
  <c r="L74" i="9" s="1"/>
  <c r="K74" i="9" a="1"/>
  <c r="K74" i="9" s="1"/>
  <c r="J74" i="9" a="1"/>
  <c r="J74" i="9" s="1"/>
  <c r="I74" i="9" a="1"/>
  <c r="I74" i="9" s="1"/>
  <c r="H74" i="9" a="1"/>
  <c r="H74" i="9" s="1"/>
  <c r="G74" i="9" a="1"/>
  <c r="G74" i="9" s="1"/>
  <c r="F74" i="9" a="1"/>
  <c r="F74" i="9" s="1"/>
  <c r="E74" i="9" a="1"/>
  <c r="E74" i="9" s="1"/>
  <c r="D74" i="9" a="1"/>
  <c r="D74" i="9" s="1"/>
  <c r="C74" i="9" a="1"/>
  <c r="C74" i="9" s="1"/>
  <c r="R73" i="9" a="1"/>
  <c r="R73" i="9" s="1"/>
  <c r="Q73" i="9" a="1"/>
  <c r="Q73" i="9" s="1"/>
  <c r="P73" i="9" a="1"/>
  <c r="P73" i="9" s="1"/>
  <c r="O73" i="9" a="1"/>
  <c r="O73" i="9" s="1"/>
  <c r="N73" i="9" a="1"/>
  <c r="N73" i="9" s="1"/>
  <c r="M73" i="9" a="1"/>
  <c r="M73" i="9" s="1"/>
  <c r="L73" i="9" a="1"/>
  <c r="L73" i="9" s="1"/>
  <c r="K73" i="9" a="1"/>
  <c r="K73" i="9" s="1"/>
  <c r="J73" i="9" a="1"/>
  <c r="J73" i="9" s="1"/>
  <c r="I73" i="9" a="1"/>
  <c r="I73" i="9" s="1"/>
  <c r="H73" i="9" a="1"/>
  <c r="H73" i="9" s="1"/>
  <c r="G73" i="9" a="1"/>
  <c r="G73" i="9" s="1"/>
  <c r="F73" i="9" a="1"/>
  <c r="F73" i="9" s="1"/>
  <c r="E73" i="9" a="1"/>
  <c r="E73" i="9" s="1"/>
  <c r="D73" i="9" a="1"/>
  <c r="D73" i="9" s="1"/>
  <c r="C73" i="9" a="1"/>
  <c r="C73" i="9" s="1"/>
  <c r="R72" i="9" a="1"/>
  <c r="R72" i="9" s="1"/>
  <c r="Q72" i="9" a="1"/>
  <c r="Q72" i="9" s="1"/>
  <c r="P72" i="9" a="1"/>
  <c r="P72" i="9" s="1"/>
  <c r="O72" i="9" a="1"/>
  <c r="O72" i="9" s="1"/>
  <c r="N72" i="9"/>
  <c r="N72" i="9" a="1"/>
  <c r="M72" i="9" a="1"/>
  <c r="M72" i="9" s="1"/>
  <c r="L72" i="9" a="1"/>
  <c r="L72" i="9" s="1"/>
  <c r="K72" i="9" a="1"/>
  <c r="K72" i="9" s="1"/>
  <c r="J72" i="9" a="1"/>
  <c r="J72" i="9" s="1"/>
  <c r="I72" i="9" a="1"/>
  <c r="I72" i="9" s="1"/>
  <c r="H72" i="9" a="1"/>
  <c r="H72" i="9" s="1"/>
  <c r="G72" i="9" a="1"/>
  <c r="G72" i="9" s="1"/>
  <c r="F72" i="9" a="1"/>
  <c r="F72" i="9" s="1"/>
  <c r="E72" i="9" a="1"/>
  <c r="E72" i="9" s="1"/>
  <c r="D72" i="9" a="1"/>
  <c r="D72" i="9" s="1"/>
  <c r="C72" i="9" a="1"/>
  <c r="C72" i="9" s="1"/>
  <c r="R71" i="9" a="1"/>
  <c r="R71" i="9" s="1"/>
  <c r="Q71" i="9" a="1"/>
  <c r="Q71" i="9" s="1"/>
  <c r="P71" i="9" a="1"/>
  <c r="P71" i="9" s="1"/>
  <c r="O71" i="9" a="1"/>
  <c r="O71" i="9" s="1"/>
  <c r="N71" i="9" a="1"/>
  <c r="N71" i="9" s="1"/>
  <c r="M71" i="9" a="1"/>
  <c r="M71" i="9" s="1"/>
  <c r="L71" i="9" a="1"/>
  <c r="L71" i="9" s="1"/>
  <c r="K71" i="9" a="1"/>
  <c r="K71" i="9" s="1"/>
  <c r="J71" i="9" a="1"/>
  <c r="J71" i="9" s="1"/>
  <c r="I71" i="9" a="1"/>
  <c r="I71" i="9" s="1"/>
  <c r="H71" i="9" a="1"/>
  <c r="H71" i="9" s="1"/>
  <c r="G71" i="9" a="1"/>
  <c r="G71" i="9" s="1"/>
  <c r="F71" i="9" a="1"/>
  <c r="F71" i="9" s="1"/>
  <c r="E71" i="9" a="1"/>
  <c r="E71" i="9" s="1"/>
  <c r="D71" i="9" a="1"/>
  <c r="D71" i="9" s="1"/>
  <c r="C71" i="9" a="1"/>
  <c r="C71" i="9" s="1"/>
  <c r="R70" i="9" a="1"/>
  <c r="R70" i="9" s="1"/>
  <c r="Q70" i="9" a="1"/>
  <c r="Q70" i="9" s="1"/>
  <c r="P70" i="9" a="1"/>
  <c r="P70" i="9" s="1"/>
  <c r="O70" i="9" a="1"/>
  <c r="O70" i="9" s="1"/>
  <c r="N70" i="9" a="1"/>
  <c r="N70" i="9" s="1"/>
  <c r="M70" i="9" a="1"/>
  <c r="M70" i="9" s="1"/>
  <c r="L70" i="9" a="1"/>
  <c r="L70" i="9" s="1"/>
  <c r="K70" i="9" a="1"/>
  <c r="K70" i="9" s="1"/>
  <c r="J70" i="9" a="1"/>
  <c r="J70" i="9" s="1"/>
  <c r="I70" i="9" a="1"/>
  <c r="I70" i="9" s="1"/>
  <c r="H70" i="9" a="1"/>
  <c r="H70" i="9" s="1"/>
  <c r="G70" i="9" a="1"/>
  <c r="G70" i="9" s="1"/>
  <c r="F70" i="9" a="1"/>
  <c r="F70" i="9" s="1"/>
  <c r="E70" i="9" a="1"/>
  <c r="E70" i="9" s="1"/>
  <c r="D70" i="9" a="1"/>
  <c r="D70" i="9" s="1"/>
  <c r="C70" i="9" a="1"/>
  <c r="C70" i="9" s="1"/>
  <c r="R69" i="9" a="1"/>
  <c r="R69" i="9" s="1"/>
  <c r="Q69" i="9" a="1"/>
  <c r="Q69" i="9" s="1"/>
  <c r="P69" i="9" a="1"/>
  <c r="P69" i="9" s="1"/>
  <c r="O69" i="9" a="1"/>
  <c r="O69" i="9" s="1"/>
  <c r="N69" i="9" a="1"/>
  <c r="N69" i="9" s="1"/>
  <c r="M69" i="9" a="1"/>
  <c r="M69" i="9" s="1"/>
  <c r="L69" i="9" a="1"/>
  <c r="L69" i="9" s="1"/>
  <c r="K69" i="9" a="1"/>
  <c r="K69" i="9" s="1"/>
  <c r="J69" i="9" a="1"/>
  <c r="J69" i="9" s="1"/>
  <c r="I69" i="9" a="1"/>
  <c r="I69" i="9" s="1"/>
  <c r="H69" i="9" a="1"/>
  <c r="H69" i="9" s="1"/>
  <c r="G69" i="9" a="1"/>
  <c r="G69" i="9" s="1"/>
  <c r="F69" i="9" a="1"/>
  <c r="F69" i="9" s="1"/>
  <c r="E69" i="9" a="1"/>
  <c r="E69" i="9" s="1"/>
  <c r="D69" i="9" a="1"/>
  <c r="D69" i="9" s="1"/>
  <c r="C69" i="9" a="1"/>
  <c r="C69" i="9" s="1"/>
  <c r="R68" i="9" a="1"/>
  <c r="R68" i="9" s="1"/>
  <c r="Q68" i="9" a="1"/>
  <c r="Q68" i="9" s="1"/>
  <c r="P68" i="9" a="1"/>
  <c r="P68" i="9" s="1"/>
  <c r="O68" i="9" a="1"/>
  <c r="O68" i="9" s="1"/>
  <c r="N68" i="9" a="1"/>
  <c r="N68" i="9" s="1"/>
  <c r="M68" i="9" a="1"/>
  <c r="M68" i="9" s="1"/>
  <c r="L68" i="9" a="1"/>
  <c r="L68" i="9" s="1"/>
  <c r="K68" i="9" a="1"/>
  <c r="K68" i="9" s="1"/>
  <c r="J68" i="9" a="1"/>
  <c r="J68" i="9" s="1"/>
  <c r="I68" i="9" a="1"/>
  <c r="I68" i="9" s="1"/>
  <c r="H68" i="9" a="1"/>
  <c r="H68" i="9" s="1"/>
  <c r="G68" i="9" a="1"/>
  <c r="G68" i="9" s="1"/>
  <c r="F68" i="9" a="1"/>
  <c r="F68" i="9" s="1"/>
  <c r="E68" i="9" a="1"/>
  <c r="E68" i="9" s="1"/>
  <c r="D68" i="9" a="1"/>
  <c r="D68" i="9" s="1"/>
  <c r="C68" i="9" a="1"/>
  <c r="C68" i="9" s="1"/>
  <c r="R67" i="9" a="1"/>
  <c r="R67" i="9" s="1"/>
  <c r="Q67" i="9" a="1"/>
  <c r="Q67" i="9" s="1"/>
  <c r="P67" i="9" a="1"/>
  <c r="P67" i="9" s="1"/>
  <c r="O67" i="9" a="1"/>
  <c r="O67" i="9" s="1"/>
  <c r="N67" i="9" a="1"/>
  <c r="N67" i="9" s="1"/>
  <c r="M67" i="9" a="1"/>
  <c r="M67" i="9" s="1"/>
  <c r="L67" i="9" a="1"/>
  <c r="L67" i="9" s="1"/>
  <c r="K67" i="9" a="1"/>
  <c r="K67" i="9" s="1"/>
  <c r="J67" i="9" a="1"/>
  <c r="J67" i="9" s="1"/>
  <c r="I67" i="9" a="1"/>
  <c r="I67" i="9" s="1"/>
  <c r="H67" i="9" a="1"/>
  <c r="H67" i="9" s="1"/>
  <c r="G67" i="9" a="1"/>
  <c r="G67" i="9" s="1"/>
  <c r="F67" i="9" a="1"/>
  <c r="F67" i="9" s="1"/>
  <c r="E67" i="9" a="1"/>
  <c r="E67" i="9" s="1"/>
  <c r="D67" i="9" a="1"/>
  <c r="D67" i="9" s="1"/>
  <c r="C67" i="9" a="1"/>
  <c r="C67" i="9" s="1"/>
  <c r="R66" i="9" a="1"/>
  <c r="R66" i="9" s="1"/>
  <c r="Q66" i="9" a="1"/>
  <c r="Q66" i="9" s="1"/>
  <c r="P66" i="9" a="1"/>
  <c r="P66" i="9" s="1"/>
  <c r="O66" i="9" a="1"/>
  <c r="O66" i="9" s="1"/>
  <c r="N66" i="9" a="1"/>
  <c r="N66" i="9" s="1"/>
  <c r="M66" i="9" a="1"/>
  <c r="M66" i="9" s="1"/>
  <c r="L66" i="9" a="1"/>
  <c r="L66" i="9" s="1"/>
  <c r="K66" i="9" a="1"/>
  <c r="K66" i="9" s="1"/>
  <c r="J66" i="9" a="1"/>
  <c r="J66" i="9" s="1"/>
  <c r="I66" i="9" a="1"/>
  <c r="I66" i="9" s="1"/>
  <c r="H66" i="9" a="1"/>
  <c r="H66" i="9" s="1"/>
  <c r="G66" i="9" a="1"/>
  <c r="G66" i="9" s="1"/>
  <c r="F66" i="9" a="1"/>
  <c r="F66" i="9" s="1"/>
  <c r="E66" i="9" a="1"/>
  <c r="E66" i="9" s="1"/>
  <c r="D66" i="9" a="1"/>
  <c r="D66" i="9" s="1"/>
  <c r="C66" i="9" a="1"/>
  <c r="C66" i="9" s="1"/>
  <c r="R65" i="9" a="1"/>
  <c r="R65" i="9" s="1"/>
  <c r="Q65" i="9" a="1"/>
  <c r="Q65" i="9" s="1"/>
  <c r="P65" i="9" a="1"/>
  <c r="P65" i="9" s="1"/>
  <c r="O65" i="9" a="1"/>
  <c r="O65" i="9" s="1"/>
  <c r="N65" i="9" a="1"/>
  <c r="N65" i="9" s="1"/>
  <c r="M65" i="9" a="1"/>
  <c r="M65" i="9" s="1"/>
  <c r="L65" i="9" a="1"/>
  <c r="L65" i="9" s="1"/>
  <c r="K65" i="9" a="1"/>
  <c r="K65" i="9" s="1"/>
  <c r="J65" i="9" a="1"/>
  <c r="J65" i="9" s="1"/>
  <c r="I65" i="9" a="1"/>
  <c r="I65" i="9" s="1"/>
  <c r="H65" i="9" a="1"/>
  <c r="H65" i="9" s="1"/>
  <c r="G65" i="9" a="1"/>
  <c r="G65" i="9" s="1"/>
  <c r="F65" i="9" a="1"/>
  <c r="F65" i="9" s="1"/>
  <c r="E65" i="9" a="1"/>
  <c r="E65" i="9" s="1"/>
  <c r="D65" i="9" a="1"/>
  <c r="D65" i="9" s="1"/>
  <c r="C65" i="9" a="1"/>
  <c r="C65" i="9" s="1"/>
  <c r="R64" i="9" a="1"/>
  <c r="R64" i="9" s="1"/>
  <c r="Q64" i="9" a="1"/>
  <c r="Q64" i="9" s="1"/>
  <c r="P64" i="9" a="1"/>
  <c r="P64" i="9" s="1"/>
  <c r="O64" i="9" a="1"/>
  <c r="O64" i="9" s="1"/>
  <c r="N64" i="9" a="1"/>
  <c r="N64" i="9" s="1"/>
  <c r="M64" i="9" a="1"/>
  <c r="M64" i="9" s="1"/>
  <c r="L64" i="9" a="1"/>
  <c r="L64" i="9" s="1"/>
  <c r="K64" i="9" a="1"/>
  <c r="K64" i="9" s="1"/>
  <c r="J64" i="9" a="1"/>
  <c r="J64" i="9" s="1"/>
  <c r="I64" i="9" a="1"/>
  <c r="I64" i="9" s="1"/>
  <c r="H64" i="9" a="1"/>
  <c r="H64" i="9" s="1"/>
  <c r="G64" i="9" a="1"/>
  <c r="G64" i="9" s="1"/>
  <c r="F64" i="9" a="1"/>
  <c r="F64" i="9" s="1"/>
  <c r="E64" i="9" a="1"/>
  <c r="E64" i="9" s="1"/>
  <c r="D64" i="9" a="1"/>
  <c r="D64" i="9" s="1"/>
  <c r="C64" i="9" a="1"/>
  <c r="C64" i="9" s="1"/>
  <c r="R63" i="9" a="1"/>
  <c r="R63" i="9" s="1"/>
  <c r="Q63" i="9" a="1"/>
  <c r="Q63" i="9" s="1"/>
  <c r="P63" i="9" a="1"/>
  <c r="P63" i="9" s="1"/>
  <c r="O63" i="9" a="1"/>
  <c r="O63" i="9" s="1"/>
  <c r="N63" i="9" a="1"/>
  <c r="N63" i="9" s="1"/>
  <c r="M63" i="9" a="1"/>
  <c r="M63" i="9" s="1"/>
  <c r="L63" i="9" a="1"/>
  <c r="L63" i="9" s="1"/>
  <c r="K63" i="9" a="1"/>
  <c r="K63" i="9" s="1"/>
  <c r="J63" i="9"/>
  <c r="J63" i="9" a="1"/>
  <c r="I63" i="9" a="1"/>
  <c r="I63" i="9" s="1"/>
  <c r="H63" i="9" a="1"/>
  <c r="H63" i="9" s="1"/>
  <c r="G63" i="9" a="1"/>
  <c r="G63" i="9" s="1"/>
  <c r="F63" i="9" a="1"/>
  <c r="F63" i="9" s="1"/>
  <c r="E63" i="9" a="1"/>
  <c r="E63" i="9" s="1"/>
  <c r="D63" i="9" a="1"/>
  <c r="D63" i="9" s="1"/>
  <c r="C63" i="9" a="1"/>
  <c r="C63" i="9" s="1"/>
  <c r="R62" i="9" a="1"/>
  <c r="R62" i="9" s="1"/>
  <c r="Q62" i="9" a="1"/>
  <c r="Q62" i="9" s="1"/>
  <c r="P62" i="9" a="1"/>
  <c r="P62" i="9" s="1"/>
  <c r="O62" i="9" a="1"/>
  <c r="O62" i="9" s="1"/>
  <c r="N62" i="9" a="1"/>
  <c r="N62" i="9" s="1"/>
  <c r="M62" i="9" a="1"/>
  <c r="M62" i="9" s="1"/>
  <c r="L62" i="9" a="1"/>
  <c r="L62" i="9" s="1"/>
  <c r="K62" i="9" a="1"/>
  <c r="K62" i="9" s="1"/>
  <c r="J62" i="9" a="1"/>
  <c r="J62" i="9" s="1"/>
  <c r="I62" i="9" a="1"/>
  <c r="I62" i="9" s="1"/>
  <c r="H62" i="9" a="1"/>
  <c r="H62" i="9" s="1"/>
  <c r="G62" i="9" a="1"/>
  <c r="G62" i="9" s="1"/>
  <c r="F62" i="9" a="1"/>
  <c r="F62" i="9" s="1"/>
  <c r="E62" i="9" a="1"/>
  <c r="E62" i="9" s="1"/>
  <c r="D62" i="9" a="1"/>
  <c r="D62" i="9" s="1"/>
  <c r="C62" i="9" a="1"/>
  <c r="C62" i="9" s="1"/>
  <c r="R61" i="9" a="1"/>
  <c r="R61" i="9" s="1"/>
  <c r="Q61" i="9" a="1"/>
  <c r="Q61" i="9" s="1"/>
  <c r="P61" i="9" a="1"/>
  <c r="P61" i="9" s="1"/>
  <c r="O61" i="9" a="1"/>
  <c r="O61" i="9" s="1"/>
  <c r="N61" i="9" a="1"/>
  <c r="N61" i="9" s="1"/>
  <c r="M61" i="9" a="1"/>
  <c r="M61" i="9" s="1"/>
  <c r="L61" i="9" a="1"/>
  <c r="L61" i="9" s="1"/>
  <c r="K61" i="9" a="1"/>
  <c r="K61" i="9" s="1"/>
  <c r="J61" i="9" a="1"/>
  <c r="J61" i="9" s="1"/>
  <c r="I61" i="9" a="1"/>
  <c r="I61" i="9" s="1"/>
  <c r="H61" i="9" a="1"/>
  <c r="H61" i="9" s="1"/>
  <c r="G61" i="9" a="1"/>
  <c r="G61" i="9" s="1"/>
  <c r="F61" i="9" a="1"/>
  <c r="F61" i="9" s="1"/>
  <c r="E61" i="9" a="1"/>
  <c r="E61" i="9" s="1"/>
  <c r="D61" i="9"/>
  <c r="D61" i="9" a="1"/>
  <c r="C61" i="9" a="1"/>
  <c r="C61" i="9" s="1"/>
  <c r="R60" i="9" a="1"/>
  <c r="R60" i="9" s="1"/>
  <c r="Q60" i="9" a="1"/>
  <c r="Q60" i="9" s="1"/>
  <c r="P60" i="9" a="1"/>
  <c r="P60" i="9" s="1"/>
  <c r="O60" i="9" a="1"/>
  <c r="O60" i="9" s="1"/>
  <c r="N60" i="9" a="1"/>
  <c r="N60" i="9" s="1"/>
  <c r="M60" i="9" a="1"/>
  <c r="M60" i="9" s="1"/>
  <c r="L60" i="9" a="1"/>
  <c r="L60" i="9" s="1"/>
  <c r="K60" i="9" a="1"/>
  <c r="K60" i="9" s="1"/>
  <c r="J60" i="9" a="1"/>
  <c r="J60" i="9" s="1"/>
  <c r="I60" i="9" a="1"/>
  <c r="I60" i="9" s="1"/>
  <c r="H60" i="9" a="1"/>
  <c r="H60" i="9" s="1"/>
  <c r="G60" i="9" a="1"/>
  <c r="G60" i="9" s="1"/>
  <c r="F60" i="9" a="1"/>
  <c r="F60" i="9" s="1"/>
  <c r="E60" i="9" a="1"/>
  <c r="E60" i="9" s="1"/>
  <c r="D60" i="9" a="1"/>
  <c r="D60" i="9" s="1"/>
  <c r="C60" i="9" a="1"/>
  <c r="C60" i="9" s="1"/>
  <c r="R59" i="9" a="1"/>
  <c r="R59" i="9" s="1"/>
  <c r="Q59" i="9" a="1"/>
  <c r="Q59" i="9" s="1"/>
  <c r="P59" i="9" a="1"/>
  <c r="P59" i="9" s="1"/>
  <c r="O59" i="9" a="1"/>
  <c r="O59" i="9" s="1"/>
  <c r="N59" i="9" a="1"/>
  <c r="N59" i="9" s="1"/>
  <c r="M59" i="9" a="1"/>
  <c r="M59" i="9" s="1"/>
  <c r="L59" i="9" a="1"/>
  <c r="L59" i="9" s="1"/>
  <c r="K59" i="9" a="1"/>
  <c r="K59" i="9" s="1"/>
  <c r="J59" i="9" a="1"/>
  <c r="J59" i="9" s="1"/>
  <c r="I59" i="9" a="1"/>
  <c r="I59" i="9" s="1"/>
  <c r="H59" i="9" a="1"/>
  <c r="H59" i="9" s="1"/>
  <c r="G59" i="9" a="1"/>
  <c r="G59" i="9" s="1"/>
  <c r="F59" i="9" a="1"/>
  <c r="F59" i="9" s="1"/>
  <c r="E59" i="9" a="1"/>
  <c r="E59" i="9" s="1"/>
  <c r="D59" i="9" a="1"/>
  <c r="D59" i="9" s="1"/>
  <c r="C59" i="9" a="1"/>
  <c r="C59" i="9" s="1"/>
  <c r="R58" i="9" a="1"/>
  <c r="R58" i="9" s="1"/>
  <c r="Q58" i="9" a="1"/>
  <c r="Q58" i="9" s="1"/>
  <c r="P58" i="9" a="1"/>
  <c r="P58" i="9" s="1"/>
  <c r="O58" i="9" a="1"/>
  <c r="O58" i="9" s="1"/>
  <c r="N58" i="9" a="1"/>
  <c r="N58" i="9" s="1"/>
  <c r="M58" i="9" a="1"/>
  <c r="M58" i="9" s="1"/>
  <c r="L58" i="9" a="1"/>
  <c r="L58" i="9" s="1"/>
  <c r="K58" i="9" a="1"/>
  <c r="K58" i="9" s="1"/>
  <c r="J58" i="9" a="1"/>
  <c r="J58" i="9" s="1"/>
  <c r="I58" i="9" a="1"/>
  <c r="I58" i="9" s="1"/>
  <c r="H58" i="9" a="1"/>
  <c r="H58" i="9" s="1"/>
  <c r="G58" i="9" a="1"/>
  <c r="G58" i="9" s="1"/>
  <c r="F58" i="9" a="1"/>
  <c r="F58" i="9" s="1"/>
  <c r="E58" i="9" a="1"/>
  <c r="E58" i="9" s="1"/>
  <c r="D58" i="9" a="1"/>
  <c r="D58" i="9" s="1"/>
  <c r="C58" i="9" a="1"/>
  <c r="C58" i="9" s="1"/>
  <c r="R57" i="9" a="1"/>
  <c r="R57" i="9" s="1"/>
  <c r="Q57" i="9" a="1"/>
  <c r="Q57" i="9" s="1"/>
  <c r="P57" i="9" a="1"/>
  <c r="P57" i="9" s="1"/>
  <c r="O57" i="9" a="1"/>
  <c r="O57" i="9" s="1"/>
  <c r="N57" i="9" a="1"/>
  <c r="N57" i="9" s="1"/>
  <c r="M57" i="9" a="1"/>
  <c r="M57" i="9" s="1"/>
  <c r="L57" i="9" a="1"/>
  <c r="L57" i="9" s="1"/>
  <c r="K57" i="9" a="1"/>
  <c r="K57" i="9" s="1"/>
  <c r="J57" i="9" a="1"/>
  <c r="J57" i="9" s="1"/>
  <c r="I57" i="9" a="1"/>
  <c r="I57" i="9" s="1"/>
  <c r="H57" i="9" a="1"/>
  <c r="H57" i="9" s="1"/>
  <c r="G57" i="9" a="1"/>
  <c r="G57" i="9" s="1"/>
  <c r="F57" i="9" a="1"/>
  <c r="F57" i="9" s="1"/>
  <c r="E57" i="9" a="1"/>
  <c r="E57" i="9" s="1"/>
  <c r="D57" i="9" a="1"/>
  <c r="D57" i="9" s="1"/>
  <c r="C57" i="9" a="1"/>
  <c r="C57" i="9" s="1"/>
  <c r="R56" i="9" a="1"/>
  <c r="R56" i="9" s="1"/>
  <c r="Q56" i="9" a="1"/>
  <c r="Q56" i="9" s="1"/>
  <c r="P56" i="9"/>
  <c r="P56" i="9" a="1"/>
  <c r="O56" i="9" a="1"/>
  <c r="O56" i="9" s="1"/>
  <c r="N56" i="9" a="1"/>
  <c r="N56" i="9" s="1"/>
  <c r="M56" i="9" a="1"/>
  <c r="M56" i="9" s="1"/>
  <c r="L56" i="9" a="1"/>
  <c r="L56" i="9" s="1"/>
  <c r="K56" i="9" a="1"/>
  <c r="K56" i="9" s="1"/>
  <c r="J56" i="9" a="1"/>
  <c r="J56" i="9" s="1"/>
  <c r="I56" i="9"/>
  <c r="I56" i="9" a="1"/>
  <c r="H56" i="9" a="1"/>
  <c r="H56" i="9" s="1"/>
  <c r="G56" i="9" a="1"/>
  <c r="G56" i="9" s="1"/>
  <c r="F56" i="9" a="1"/>
  <c r="F56" i="9" s="1"/>
  <c r="E56" i="9" a="1"/>
  <c r="E56" i="9" s="1"/>
  <c r="D56" i="9" a="1"/>
  <c r="D56" i="9" s="1"/>
  <c r="C56" i="9" a="1"/>
  <c r="C56" i="9" s="1"/>
  <c r="R55" i="9" a="1"/>
  <c r="R55" i="9" s="1"/>
  <c r="Q55" i="9" a="1"/>
  <c r="Q55" i="9" s="1"/>
  <c r="P55" i="9" a="1"/>
  <c r="P55" i="9" s="1"/>
  <c r="O55" i="9" a="1"/>
  <c r="O55" i="9" s="1"/>
  <c r="N55" i="9" a="1"/>
  <c r="N55" i="9" s="1"/>
  <c r="M55" i="9" a="1"/>
  <c r="M55" i="9" s="1"/>
  <c r="L55" i="9" a="1"/>
  <c r="L55" i="9" s="1"/>
  <c r="K55" i="9" a="1"/>
  <c r="K55" i="9" s="1"/>
  <c r="J55" i="9"/>
  <c r="J55" i="9" a="1"/>
  <c r="I55" i="9" a="1"/>
  <c r="I55" i="9" s="1"/>
  <c r="H55" i="9" a="1"/>
  <c r="H55" i="9" s="1"/>
  <c r="G55" i="9" a="1"/>
  <c r="G55" i="9" s="1"/>
  <c r="F55" i="9"/>
  <c r="F55" i="9" a="1"/>
  <c r="E55" i="9" a="1"/>
  <c r="E55" i="9" s="1"/>
  <c r="D55" i="9" a="1"/>
  <c r="D55" i="9" s="1"/>
  <c r="C55" i="9" a="1"/>
  <c r="C55" i="9" s="1"/>
  <c r="R54" i="9" a="1"/>
  <c r="R54" i="9" s="1"/>
  <c r="Q54" i="9" a="1"/>
  <c r="Q54" i="9" s="1"/>
  <c r="P54" i="9" a="1"/>
  <c r="P54" i="9" s="1"/>
  <c r="O54" i="9" a="1"/>
  <c r="O54" i="9" s="1"/>
  <c r="N54" i="9" a="1"/>
  <c r="N54" i="9" s="1"/>
  <c r="M54" i="9" a="1"/>
  <c r="M54" i="9" s="1"/>
  <c r="L54" i="9" a="1"/>
  <c r="L54" i="9" s="1"/>
  <c r="K54" i="9" a="1"/>
  <c r="K54" i="9" s="1"/>
  <c r="J54" i="9" a="1"/>
  <c r="J54" i="9" s="1"/>
  <c r="I54" i="9" a="1"/>
  <c r="I54" i="9" s="1"/>
  <c r="H54" i="9" a="1"/>
  <c r="H54" i="9" s="1"/>
  <c r="G54" i="9" a="1"/>
  <c r="G54" i="9" s="1"/>
  <c r="F54" i="9" a="1"/>
  <c r="F54" i="9" s="1"/>
  <c r="E54" i="9" a="1"/>
  <c r="E54" i="9" s="1"/>
  <c r="D54" i="9" a="1"/>
  <c r="D54" i="9" s="1"/>
  <c r="C54" i="9" a="1"/>
  <c r="C54" i="9" s="1"/>
  <c r="R53" i="9" a="1"/>
  <c r="R53" i="9" s="1"/>
  <c r="Q53" i="9" a="1"/>
  <c r="Q53" i="9" s="1"/>
  <c r="P53" i="9" a="1"/>
  <c r="P53" i="9" s="1"/>
  <c r="O53" i="9" a="1"/>
  <c r="O53" i="9" s="1"/>
  <c r="N53" i="9" a="1"/>
  <c r="N53" i="9" s="1"/>
  <c r="M53" i="9" a="1"/>
  <c r="M53" i="9" s="1"/>
  <c r="L53" i="9" a="1"/>
  <c r="L53" i="9" s="1"/>
  <c r="K53" i="9" a="1"/>
  <c r="K53" i="9" s="1"/>
  <c r="J53" i="9" a="1"/>
  <c r="J53" i="9" s="1"/>
  <c r="I53" i="9" a="1"/>
  <c r="I53" i="9" s="1"/>
  <c r="H53" i="9" a="1"/>
  <c r="H53" i="9" s="1"/>
  <c r="G53" i="9" a="1"/>
  <c r="G53" i="9" s="1"/>
  <c r="F53" i="9" a="1"/>
  <c r="F53" i="9" s="1"/>
  <c r="E53" i="9" a="1"/>
  <c r="E53" i="9" s="1"/>
  <c r="D53" i="9" a="1"/>
  <c r="D53" i="9" s="1"/>
  <c r="C53" i="9" a="1"/>
  <c r="C53" i="9" s="1"/>
  <c r="R52" i="9" a="1"/>
  <c r="R52" i="9" s="1"/>
  <c r="Q52" i="9" a="1"/>
  <c r="Q52" i="9" s="1"/>
  <c r="P52" i="9" a="1"/>
  <c r="P52" i="9" s="1"/>
  <c r="O52" i="9" a="1"/>
  <c r="O52" i="9" s="1"/>
  <c r="N52" i="9" a="1"/>
  <c r="N52" i="9" s="1"/>
  <c r="M52" i="9" a="1"/>
  <c r="M52" i="9" s="1"/>
  <c r="L52" i="9" a="1"/>
  <c r="L52" i="9" s="1"/>
  <c r="K52" i="9" a="1"/>
  <c r="K52" i="9" s="1"/>
  <c r="J52" i="9" a="1"/>
  <c r="J52" i="9" s="1"/>
  <c r="I52" i="9" a="1"/>
  <c r="I52" i="9" s="1"/>
  <c r="H52" i="9" a="1"/>
  <c r="H52" i="9" s="1"/>
  <c r="G52" i="9" a="1"/>
  <c r="G52" i="9" s="1"/>
  <c r="F52" i="9" a="1"/>
  <c r="F52" i="9" s="1"/>
  <c r="E52" i="9" a="1"/>
  <c r="E52" i="9" s="1"/>
  <c r="D52" i="9" a="1"/>
  <c r="D52" i="9" s="1"/>
  <c r="C52" i="9" a="1"/>
  <c r="C52" i="9" s="1"/>
  <c r="R51" i="9" a="1"/>
  <c r="R51" i="9" s="1"/>
  <c r="Q51" i="9" a="1"/>
  <c r="Q51" i="9" s="1"/>
  <c r="P51" i="9" a="1"/>
  <c r="P51" i="9" s="1"/>
  <c r="O51" i="9" a="1"/>
  <c r="O51" i="9" s="1"/>
  <c r="N51" i="9" a="1"/>
  <c r="N51" i="9" s="1"/>
  <c r="M51" i="9" a="1"/>
  <c r="M51" i="9" s="1"/>
  <c r="L51" i="9" a="1"/>
  <c r="L51" i="9" s="1"/>
  <c r="K51" i="9" a="1"/>
  <c r="K51" i="9" s="1"/>
  <c r="J51" i="9" a="1"/>
  <c r="J51" i="9" s="1"/>
  <c r="I51" i="9" a="1"/>
  <c r="I51" i="9" s="1"/>
  <c r="H51" i="9" a="1"/>
  <c r="H51" i="9" s="1"/>
  <c r="G51" i="9" a="1"/>
  <c r="G51" i="9" s="1"/>
  <c r="F51" i="9" a="1"/>
  <c r="F51" i="9" s="1"/>
  <c r="E51" i="9" a="1"/>
  <c r="E51" i="9" s="1"/>
  <c r="D51" i="9" a="1"/>
  <c r="D51" i="9" s="1"/>
  <c r="C51" i="9" a="1"/>
  <c r="C51" i="9" s="1"/>
  <c r="R50" i="9" a="1"/>
  <c r="R50" i="9" s="1"/>
  <c r="Q50" i="9" a="1"/>
  <c r="Q50" i="9" s="1"/>
  <c r="P50" i="9" a="1"/>
  <c r="P50" i="9" s="1"/>
  <c r="O50" i="9" a="1"/>
  <c r="O50" i="9" s="1"/>
  <c r="N50" i="9" a="1"/>
  <c r="N50" i="9" s="1"/>
  <c r="M50" i="9" a="1"/>
  <c r="M50" i="9" s="1"/>
  <c r="L50" i="9" a="1"/>
  <c r="L50" i="9" s="1"/>
  <c r="K50" i="9" a="1"/>
  <c r="K50" i="9" s="1"/>
  <c r="J50" i="9" a="1"/>
  <c r="J50" i="9" s="1"/>
  <c r="I50" i="9" a="1"/>
  <c r="I50" i="9" s="1"/>
  <c r="H50" i="9" a="1"/>
  <c r="H50" i="9" s="1"/>
  <c r="G50" i="9" a="1"/>
  <c r="G50" i="9" s="1"/>
  <c r="F50" i="9" a="1"/>
  <c r="F50" i="9" s="1"/>
  <c r="E50" i="9" a="1"/>
  <c r="E50" i="9" s="1"/>
  <c r="D50" i="9" a="1"/>
  <c r="D50" i="9" s="1"/>
  <c r="C50" i="9" a="1"/>
  <c r="C50" i="9" s="1"/>
  <c r="R49" i="9" a="1"/>
  <c r="R49" i="9" s="1"/>
  <c r="Q49" i="9" a="1"/>
  <c r="Q49" i="9" s="1"/>
  <c r="P49" i="9" a="1"/>
  <c r="P49" i="9" s="1"/>
  <c r="O49" i="9" a="1"/>
  <c r="O49" i="9" s="1"/>
  <c r="N49" i="9" a="1"/>
  <c r="N49" i="9" s="1"/>
  <c r="M49" i="9" a="1"/>
  <c r="M49" i="9" s="1"/>
  <c r="L49" i="9" a="1"/>
  <c r="L49" i="9" s="1"/>
  <c r="K49" i="9" a="1"/>
  <c r="K49" i="9" s="1"/>
  <c r="J49" i="9" a="1"/>
  <c r="J49" i="9" s="1"/>
  <c r="I49" i="9" a="1"/>
  <c r="I49" i="9" s="1"/>
  <c r="H49" i="9" a="1"/>
  <c r="H49" i="9" s="1"/>
  <c r="G49" i="9" a="1"/>
  <c r="G49" i="9" s="1"/>
  <c r="F49" i="9" a="1"/>
  <c r="F49" i="9" s="1"/>
  <c r="E49" i="9" a="1"/>
  <c r="E49" i="9" s="1"/>
  <c r="D49" i="9" a="1"/>
  <c r="D49" i="9" s="1"/>
  <c r="C49" i="9" a="1"/>
  <c r="C49" i="9" s="1"/>
  <c r="R48" i="9" a="1"/>
  <c r="R48" i="9" s="1"/>
  <c r="Q48" i="9" a="1"/>
  <c r="Q48" i="9" s="1"/>
  <c r="P48" i="9" a="1"/>
  <c r="P48" i="9" s="1"/>
  <c r="O48" i="9" a="1"/>
  <c r="O48" i="9" s="1"/>
  <c r="N48" i="9" a="1"/>
  <c r="N48" i="9" s="1"/>
  <c r="M48" i="9" a="1"/>
  <c r="M48" i="9" s="1"/>
  <c r="L48" i="9" a="1"/>
  <c r="L48" i="9" s="1"/>
  <c r="K48" i="9" a="1"/>
  <c r="K48" i="9" s="1"/>
  <c r="J48" i="9" a="1"/>
  <c r="J48" i="9" s="1"/>
  <c r="I48" i="9" a="1"/>
  <c r="I48" i="9" s="1"/>
  <c r="H48" i="9" a="1"/>
  <c r="H48" i="9" s="1"/>
  <c r="G48" i="9" a="1"/>
  <c r="G48" i="9" s="1"/>
  <c r="F48" i="9" a="1"/>
  <c r="F48" i="9" s="1"/>
  <c r="E48" i="9" a="1"/>
  <c r="E48" i="9" s="1"/>
  <c r="D48" i="9" a="1"/>
  <c r="D48" i="9" s="1"/>
  <c r="C48" i="9" a="1"/>
  <c r="C48" i="9" s="1"/>
  <c r="R47" i="9" a="1"/>
  <c r="R47" i="9" s="1"/>
  <c r="Q47" i="9" a="1"/>
  <c r="Q47" i="9" s="1"/>
  <c r="P47" i="9" a="1"/>
  <c r="P47" i="9" s="1"/>
  <c r="O47" i="9" a="1"/>
  <c r="O47" i="9" s="1"/>
  <c r="N47" i="9" a="1"/>
  <c r="N47" i="9" s="1"/>
  <c r="M47" i="9" a="1"/>
  <c r="M47" i="9" s="1"/>
  <c r="L47" i="9" a="1"/>
  <c r="L47" i="9" s="1"/>
  <c r="K47" i="9" a="1"/>
  <c r="K47" i="9" s="1"/>
  <c r="J47" i="9" a="1"/>
  <c r="J47" i="9" s="1"/>
  <c r="I47" i="9" a="1"/>
  <c r="I47" i="9" s="1"/>
  <c r="H47" i="9" a="1"/>
  <c r="H47" i="9" s="1"/>
  <c r="G47" i="9" a="1"/>
  <c r="G47" i="9" s="1"/>
  <c r="F47" i="9" a="1"/>
  <c r="F47" i="9" s="1"/>
  <c r="E47" i="9" a="1"/>
  <c r="E47" i="9" s="1"/>
  <c r="D47" i="9" a="1"/>
  <c r="D47" i="9" s="1"/>
  <c r="C47" i="9" a="1"/>
  <c r="C47" i="9" s="1"/>
  <c r="R46" i="9" a="1"/>
  <c r="R46" i="9" s="1"/>
  <c r="Q46" i="9" a="1"/>
  <c r="Q46" i="9" s="1"/>
  <c r="P46" i="9" a="1"/>
  <c r="P46" i="9" s="1"/>
  <c r="O46" i="9" a="1"/>
  <c r="O46" i="9" s="1"/>
  <c r="N46" i="9" a="1"/>
  <c r="N46" i="9" s="1"/>
  <c r="M46" i="9" a="1"/>
  <c r="M46" i="9" s="1"/>
  <c r="L46" i="9" a="1"/>
  <c r="L46" i="9" s="1"/>
  <c r="K46" i="9" a="1"/>
  <c r="K46" i="9" s="1"/>
  <c r="J46" i="9" a="1"/>
  <c r="J46" i="9" s="1"/>
  <c r="I46" i="9" a="1"/>
  <c r="I46" i="9" s="1"/>
  <c r="H46" i="9" a="1"/>
  <c r="H46" i="9" s="1"/>
  <c r="G46" i="9" a="1"/>
  <c r="G46" i="9" s="1"/>
  <c r="F46" i="9" a="1"/>
  <c r="F46" i="9" s="1"/>
  <c r="E46" i="9" a="1"/>
  <c r="E46" i="9" s="1"/>
  <c r="D46" i="9" a="1"/>
  <c r="D46" i="9" s="1"/>
  <c r="C46" i="9" a="1"/>
  <c r="C46" i="9" s="1"/>
  <c r="R45" i="9" a="1"/>
  <c r="R45" i="9" s="1"/>
  <c r="Q45" i="9" a="1"/>
  <c r="Q45" i="9" s="1"/>
  <c r="P45" i="9" a="1"/>
  <c r="P45" i="9" s="1"/>
  <c r="O45" i="9" a="1"/>
  <c r="O45" i="9" s="1"/>
  <c r="N45" i="9" a="1"/>
  <c r="N45" i="9" s="1"/>
  <c r="M45" i="9" a="1"/>
  <c r="M45" i="9" s="1"/>
  <c r="L45" i="9" a="1"/>
  <c r="L45" i="9" s="1"/>
  <c r="K45" i="9" a="1"/>
  <c r="K45" i="9" s="1"/>
  <c r="J45" i="9" a="1"/>
  <c r="J45" i="9" s="1"/>
  <c r="I45" i="9" a="1"/>
  <c r="I45" i="9" s="1"/>
  <c r="H45" i="9" a="1"/>
  <c r="H45" i="9" s="1"/>
  <c r="G45" i="9" a="1"/>
  <c r="G45" i="9" s="1"/>
  <c r="F45" i="9" a="1"/>
  <c r="F45" i="9" s="1"/>
  <c r="E45" i="9" a="1"/>
  <c r="E45" i="9" s="1"/>
  <c r="D45" i="9" a="1"/>
  <c r="D45" i="9" s="1"/>
  <c r="C45" i="9" a="1"/>
  <c r="C45" i="9" s="1"/>
  <c r="R44" i="9" a="1"/>
  <c r="R44" i="9" s="1"/>
  <c r="Q44" i="9" a="1"/>
  <c r="Q44" i="9" s="1"/>
  <c r="P44" i="9" a="1"/>
  <c r="P44" i="9" s="1"/>
  <c r="O44" i="9" a="1"/>
  <c r="O44" i="9" s="1"/>
  <c r="N44" i="9" a="1"/>
  <c r="N44" i="9" s="1"/>
  <c r="M44" i="9" a="1"/>
  <c r="M44" i="9" s="1"/>
  <c r="L44" i="9" a="1"/>
  <c r="L44" i="9" s="1"/>
  <c r="K44" i="9" a="1"/>
  <c r="K44" i="9" s="1"/>
  <c r="J44" i="9" a="1"/>
  <c r="J44" i="9" s="1"/>
  <c r="I44" i="9" a="1"/>
  <c r="I44" i="9" s="1"/>
  <c r="H44" i="9" a="1"/>
  <c r="H44" i="9" s="1"/>
  <c r="G44" i="9" a="1"/>
  <c r="G44" i="9" s="1"/>
  <c r="F44" i="9" a="1"/>
  <c r="F44" i="9" s="1"/>
  <c r="E44" i="9" a="1"/>
  <c r="E44" i="9" s="1"/>
  <c r="D44" i="9" a="1"/>
  <c r="D44" i="9" s="1"/>
  <c r="C44" i="9" a="1"/>
  <c r="C44" i="9" s="1"/>
  <c r="R43" i="9" a="1"/>
  <c r="R43" i="9" s="1"/>
  <c r="Q43" i="9" a="1"/>
  <c r="Q43" i="9" s="1"/>
  <c r="P43" i="9" a="1"/>
  <c r="P43" i="9" s="1"/>
  <c r="O43" i="9" a="1"/>
  <c r="O43" i="9" s="1"/>
  <c r="N43" i="9" a="1"/>
  <c r="N43" i="9" s="1"/>
  <c r="M43" i="9" a="1"/>
  <c r="M43" i="9" s="1"/>
  <c r="L43" i="9" a="1"/>
  <c r="L43" i="9" s="1"/>
  <c r="K43" i="9" a="1"/>
  <c r="K43" i="9" s="1"/>
  <c r="J43" i="9" a="1"/>
  <c r="J43" i="9" s="1"/>
  <c r="I43" i="9"/>
  <c r="I43" i="9" a="1"/>
  <c r="H43" i="9" a="1"/>
  <c r="H43" i="9" s="1"/>
  <c r="G43" i="9" a="1"/>
  <c r="G43" i="9" s="1"/>
  <c r="F43" i="9" a="1"/>
  <c r="F43" i="9" s="1"/>
  <c r="E43" i="9" a="1"/>
  <c r="E43" i="9" s="1"/>
  <c r="D43" i="9" a="1"/>
  <c r="D43" i="9" s="1"/>
  <c r="C43" i="9" a="1"/>
  <c r="C43" i="9" s="1"/>
  <c r="R42" i="9" a="1"/>
  <c r="R42" i="9" s="1"/>
  <c r="Q42" i="9" a="1"/>
  <c r="Q42" i="9" s="1"/>
  <c r="P42" i="9" a="1"/>
  <c r="P42" i="9" s="1"/>
  <c r="O42" i="9" a="1"/>
  <c r="O42" i="9" s="1"/>
  <c r="N42" i="9" a="1"/>
  <c r="N42" i="9" s="1"/>
  <c r="M42" i="9" a="1"/>
  <c r="M42" i="9" s="1"/>
  <c r="L42" i="9" a="1"/>
  <c r="L42" i="9" s="1"/>
  <c r="K42" i="9" a="1"/>
  <c r="K42" i="9" s="1"/>
  <c r="J42" i="9" a="1"/>
  <c r="J42" i="9" s="1"/>
  <c r="I42" i="9" a="1"/>
  <c r="I42" i="9" s="1"/>
  <c r="H42" i="9" a="1"/>
  <c r="H42" i="9" s="1"/>
  <c r="G42" i="9" a="1"/>
  <c r="G42" i="9" s="1"/>
  <c r="F42" i="9" a="1"/>
  <c r="F42" i="9" s="1"/>
  <c r="E42" i="9" a="1"/>
  <c r="E42" i="9" s="1"/>
  <c r="D42" i="9" a="1"/>
  <c r="D42" i="9" s="1"/>
  <c r="C42" i="9" a="1"/>
  <c r="C42" i="9" s="1"/>
  <c r="R41" i="9" a="1"/>
  <c r="R41" i="9" s="1"/>
  <c r="Q41" i="9" a="1"/>
  <c r="Q41" i="9" s="1"/>
  <c r="P41" i="9" a="1"/>
  <c r="P41" i="9" s="1"/>
  <c r="O41" i="9" a="1"/>
  <c r="O41" i="9" s="1"/>
  <c r="N41" i="9" a="1"/>
  <c r="N41" i="9" s="1"/>
  <c r="M41" i="9" a="1"/>
  <c r="M41" i="9" s="1"/>
  <c r="L41" i="9" a="1"/>
  <c r="L41" i="9" s="1"/>
  <c r="K41" i="9" a="1"/>
  <c r="K41" i="9" s="1"/>
  <c r="J41" i="9" a="1"/>
  <c r="J41" i="9" s="1"/>
  <c r="I41" i="9" a="1"/>
  <c r="I41" i="9" s="1"/>
  <c r="H41" i="9" a="1"/>
  <c r="H41" i="9" s="1"/>
  <c r="G41" i="9" a="1"/>
  <c r="G41" i="9" s="1"/>
  <c r="F41" i="9" a="1"/>
  <c r="F41" i="9" s="1"/>
  <c r="E41" i="9" a="1"/>
  <c r="E41" i="9" s="1"/>
  <c r="D41" i="9" a="1"/>
  <c r="D41" i="9" s="1"/>
  <c r="C41" i="9" a="1"/>
  <c r="C41" i="9" s="1"/>
  <c r="R40" i="9" a="1"/>
  <c r="R40" i="9" s="1"/>
  <c r="Q40" i="9" a="1"/>
  <c r="Q40" i="9" s="1"/>
  <c r="P40" i="9" a="1"/>
  <c r="P40" i="9" s="1"/>
  <c r="O40" i="9" a="1"/>
  <c r="O40" i="9" s="1"/>
  <c r="N40" i="9" a="1"/>
  <c r="N40" i="9" s="1"/>
  <c r="M40" i="9" a="1"/>
  <c r="M40" i="9" s="1"/>
  <c r="L40" i="9" a="1"/>
  <c r="L40" i="9" s="1"/>
  <c r="K40" i="9" a="1"/>
  <c r="K40" i="9" s="1"/>
  <c r="J40" i="9" a="1"/>
  <c r="J40" i="9" s="1"/>
  <c r="I40" i="9" a="1"/>
  <c r="I40" i="9" s="1"/>
  <c r="H40" i="9" a="1"/>
  <c r="H40" i="9" s="1"/>
  <c r="G40" i="9" a="1"/>
  <c r="G40" i="9" s="1"/>
  <c r="F40" i="9" a="1"/>
  <c r="F40" i="9" s="1"/>
  <c r="E40" i="9" a="1"/>
  <c r="E40" i="9" s="1"/>
  <c r="D40" i="9" a="1"/>
  <c r="D40" i="9" s="1"/>
  <c r="C40" i="9" a="1"/>
  <c r="C40" i="9" s="1"/>
  <c r="R39" i="9" a="1"/>
  <c r="R39" i="9" s="1"/>
  <c r="Q39" i="9" a="1"/>
  <c r="Q39" i="9" s="1"/>
  <c r="P39" i="9" a="1"/>
  <c r="P39" i="9" s="1"/>
  <c r="O39" i="9" a="1"/>
  <c r="O39" i="9" s="1"/>
  <c r="N39" i="9" a="1"/>
  <c r="N39" i="9" s="1"/>
  <c r="M39" i="9" a="1"/>
  <c r="M39" i="9" s="1"/>
  <c r="L39" i="9" a="1"/>
  <c r="L39" i="9" s="1"/>
  <c r="K39" i="9" a="1"/>
  <c r="K39" i="9" s="1"/>
  <c r="J39" i="9" a="1"/>
  <c r="J39" i="9" s="1"/>
  <c r="I39" i="9" a="1"/>
  <c r="I39" i="9" s="1"/>
  <c r="H39" i="9" a="1"/>
  <c r="H39" i="9" s="1"/>
  <c r="G39" i="9" a="1"/>
  <c r="G39" i="9" s="1"/>
  <c r="F39" i="9" a="1"/>
  <c r="F39" i="9" s="1"/>
  <c r="E39" i="9" a="1"/>
  <c r="E39" i="9" s="1"/>
  <c r="D39" i="9" a="1"/>
  <c r="D39" i="9" s="1"/>
  <c r="C39" i="9" a="1"/>
  <c r="C39" i="9" s="1"/>
  <c r="R38" i="9" a="1"/>
  <c r="R38" i="9" s="1"/>
  <c r="Q38" i="9" a="1"/>
  <c r="Q38" i="9" s="1"/>
  <c r="P38" i="9" a="1"/>
  <c r="P38" i="9" s="1"/>
  <c r="O38" i="9" a="1"/>
  <c r="O38" i="9" s="1"/>
  <c r="N38" i="9" a="1"/>
  <c r="N38" i="9" s="1"/>
  <c r="M38" i="9" a="1"/>
  <c r="M38" i="9" s="1"/>
  <c r="L38" i="9" a="1"/>
  <c r="L38" i="9" s="1"/>
  <c r="K38" i="9" a="1"/>
  <c r="K38" i="9" s="1"/>
  <c r="J38" i="9" a="1"/>
  <c r="J38" i="9" s="1"/>
  <c r="I38" i="9" a="1"/>
  <c r="I38" i="9" s="1"/>
  <c r="H38" i="9" a="1"/>
  <c r="H38" i="9" s="1"/>
  <c r="G38" i="9" a="1"/>
  <c r="G38" i="9" s="1"/>
  <c r="F38" i="9" a="1"/>
  <c r="F38" i="9" s="1"/>
  <c r="E38" i="9" a="1"/>
  <c r="E38" i="9" s="1"/>
  <c r="D38" i="9" a="1"/>
  <c r="D38" i="9" s="1"/>
  <c r="C38" i="9" a="1"/>
  <c r="C38" i="9" s="1"/>
  <c r="R37" i="9" a="1"/>
  <c r="R37" i="9" s="1"/>
  <c r="Q37" i="9" a="1"/>
  <c r="Q37" i="9" s="1"/>
  <c r="P37" i="9" a="1"/>
  <c r="P37" i="9" s="1"/>
  <c r="O37" i="9" a="1"/>
  <c r="O37" i="9" s="1"/>
  <c r="N37" i="9" a="1"/>
  <c r="N37" i="9" s="1"/>
  <c r="M37" i="9" a="1"/>
  <c r="M37" i="9" s="1"/>
  <c r="L37" i="9" a="1"/>
  <c r="L37" i="9" s="1"/>
  <c r="K37" i="9" a="1"/>
  <c r="K37" i="9" s="1"/>
  <c r="J37" i="9" a="1"/>
  <c r="J37" i="9" s="1"/>
  <c r="I37" i="9" a="1"/>
  <c r="I37" i="9" s="1"/>
  <c r="H37" i="9" a="1"/>
  <c r="H37" i="9" s="1"/>
  <c r="G37" i="9" a="1"/>
  <c r="G37" i="9" s="1"/>
  <c r="F37" i="9" a="1"/>
  <c r="F37" i="9" s="1"/>
  <c r="E37" i="9" a="1"/>
  <c r="E37" i="9" s="1"/>
  <c r="D37" i="9" a="1"/>
  <c r="D37" i="9" s="1"/>
  <c r="C37" i="9" a="1"/>
  <c r="C37" i="9" s="1"/>
  <c r="R36" i="9" a="1"/>
  <c r="R36" i="9" s="1"/>
  <c r="Q36" i="9" a="1"/>
  <c r="Q36" i="9" s="1"/>
  <c r="P36" i="9" a="1"/>
  <c r="P36" i="9" s="1"/>
  <c r="O36" i="9" a="1"/>
  <c r="O36" i="9" s="1"/>
  <c r="N36" i="9" a="1"/>
  <c r="N36" i="9" s="1"/>
  <c r="M36" i="9" a="1"/>
  <c r="M36" i="9" s="1"/>
  <c r="L36" i="9" a="1"/>
  <c r="L36" i="9" s="1"/>
  <c r="K36" i="9" a="1"/>
  <c r="K36" i="9" s="1"/>
  <c r="J36" i="9" a="1"/>
  <c r="J36" i="9" s="1"/>
  <c r="I36" i="9" a="1"/>
  <c r="I36" i="9" s="1"/>
  <c r="H36" i="9" a="1"/>
  <c r="H36" i="9" s="1"/>
  <c r="G36" i="9" a="1"/>
  <c r="G36" i="9" s="1"/>
  <c r="F36" i="9" a="1"/>
  <c r="F36" i="9" s="1"/>
  <c r="E36" i="9" a="1"/>
  <c r="E36" i="9" s="1"/>
  <c r="D36" i="9" a="1"/>
  <c r="D36" i="9" s="1"/>
  <c r="C36" i="9" a="1"/>
  <c r="C36" i="9" s="1"/>
  <c r="R35" i="9" a="1"/>
  <c r="R35" i="9" s="1"/>
  <c r="Q35" i="9" a="1"/>
  <c r="Q35" i="9" s="1"/>
  <c r="P35" i="9" a="1"/>
  <c r="P35" i="9" s="1"/>
  <c r="O35" i="9" a="1"/>
  <c r="O35" i="9" s="1"/>
  <c r="N35" i="9" a="1"/>
  <c r="N35" i="9" s="1"/>
  <c r="M35" i="9" a="1"/>
  <c r="M35" i="9" s="1"/>
  <c r="L35" i="9" a="1"/>
  <c r="L35" i="9" s="1"/>
  <c r="K35" i="9" a="1"/>
  <c r="K35" i="9" s="1"/>
  <c r="J35" i="9" a="1"/>
  <c r="J35" i="9" s="1"/>
  <c r="I35" i="9" a="1"/>
  <c r="I35" i="9" s="1"/>
  <c r="H35" i="9" a="1"/>
  <c r="H35" i="9" s="1"/>
  <c r="G35" i="9" a="1"/>
  <c r="G35" i="9" s="1"/>
  <c r="F35" i="9" a="1"/>
  <c r="F35" i="9" s="1"/>
  <c r="E35" i="9" a="1"/>
  <c r="E35" i="9" s="1"/>
  <c r="D35" i="9" a="1"/>
  <c r="D35" i="9" s="1"/>
  <c r="C35" i="9" a="1"/>
  <c r="C35" i="9" s="1"/>
  <c r="R34" i="9" a="1"/>
  <c r="R34" i="9" s="1"/>
  <c r="Q34" i="9" a="1"/>
  <c r="Q34" i="9" s="1"/>
  <c r="P34" i="9" a="1"/>
  <c r="P34" i="9" s="1"/>
  <c r="O34" i="9" a="1"/>
  <c r="O34" i="9" s="1"/>
  <c r="N34" i="9" a="1"/>
  <c r="N34" i="9" s="1"/>
  <c r="M34" i="9" a="1"/>
  <c r="M34" i="9" s="1"/>
  <c r="L34" i="9" a="1"/>
  <c r="L34" i="9" s="1"/>
  <c r="K34" i="9" a="1"/>
  <c r="K34" i="9" s="1"/>
  <c r="J34" i="9" a="1"/>
  <c r="J34" i="9" s="1"/>
  <c r="I34" i="9" a="1"/>
  <c r="I34" i="9" s="1"/>
  <c r="H34" i="9" a="1"/>
  <c r="H34" i="9" s="1"/>
  <c r="G34" i="9" a="1"/>
  <c r="G34" i="9" s="1"/>
  <c r="F34" i="9" a="1"/>
  <c r="F34" i="9" s="1"/>
  <c r="E34" i="9" a="1"/>
  <c r="E34" i="9" s="1"/>
  <c r="D34" i="9" a="1"/>
  <c r="D34" i="9" s="1"/>
  <c r="C34" i="9" a="1"/>
  <c r="C34" i="9" s="1"/>
  <c r="R33" i="9" a="1"/>
  <c r="R33" i="9" s="1"/>
  <c r="Q33" i="9" a="1"/>
  <c r="Q33" i="9" s="1"/>
  <c r="P33" i="9" a="1"/>
  <c r="P33" i="9" s="1"/>
  <c r="O33" i="9" a="1"/>
  <c r="O33" i="9" s="1"/>
  <c r="N33" i="9" a="1"/>
  <c r="N33" i="9" s="1"/>
  <c r="M33" i="9" a="1"/>
  <c r="M33" i="9" s="1"/>
  <c r="L33" i="9" a="1"/>
  <c r="L33" i="9" s="1"/>
  <c r="K33" i="9" a="1"/>
  <c r="K33" i="9" s="1"/>
  <c r="J33" i="9" a="1"/>
  <c r="J33" i="9" s="1"/>
  <c r="I33" i="9" a="1"/>
  <c r="I33" i="9" s="1"/>
  <c r="H33" i="9" a="1"/>
  <c r="H33" i="9" s="1"/>
  <c r="G33" i="9" a="1"/>
  <c r="G33" i="9" s="1"/>
  <c r="F33" i="9" a="1"/>
  <c r="F33" i="9" s="1"/>
  <c r="E33" i="9" a="1"/>
  <c r="E33" i="9" s="1"/>
  <c r="D33" i="9" a="1"/>
  <c r="D33" i="9" s="1"/>
  <c r="C33" i="9" a="1"/>
  <c r="C33" i="9" s="1"/>
  <c r="R32" i="9" a="1"/>
  <c r="R32" i="9" s="1"/>
  <c r="Q32" i="9" a="1"/>
  <c r="Q32" i="9" s="1"/>
  <c r="P32" i="9" a="1"/>
  <c r="P32" i="9" s="1"/>
  <c r="O32" i="9" a="1"/>
  <c r="O32" i="9" s="1"/>
  <c r="N32" i="9" a="1"/>
  <c r="N32" i="9" s="1"/>
  <c r="M32" i="9" a="1"/>
  <c r="M32" i="9" s="1"/>
  <c r="L32" i="9" a="1"/>
  <c r="L32" i="9" s="1"/>
  <c r="K32" i="9" a="1"/>
  <c r="K32" i="9" s="1"/>
  <c r="J32" i="9" a="1"/>
  <c r="J32" i="9" s="1"/>
  <c r="I32" i="9" a="1"/>
  <c r="I32" i="9" s="1"/>
  <c r="H32" i="9" a="1"/>
  <c r="H32" i="9" s="1"/>
  <c r="G32" i="9" a="1"/>
  <c r="G32" i="9" s="1"/>
  <c r="F32" i="9" a="1"/>
  <c r="F32" i="9" s="1"/>
  <c r="E32" i="9" a="1"/>
  <c r="E32" i="9" s="1"/>
  <c r="D32" i="9" a="1"/>
  <c r="D32" i="9" s="1"/>
  <c r="C32" i="9" a="1"/>
  <c r="C32" i="9" s="1"/>
  <c r="R31" i="9" a="1"/>
  <c r="R31" i="9" s="1"/>
  <c r="Q31" i="9" a="1"/>
  <c r="Q31" i="9" s="1"/>
  <c r="P31" i="9" a="1"/>
  <c r="P31" i="9" s="1"/>
  <c r="O31" i="9" a="1"/>
  <c r="O31" i="9" s="1"/>
  <c r="N31" i="9" a="1"/>
  <c r="N31" i="9" s="1"/>
  <c r="M31" i="9" a="1"/>
  <c r="M31" i="9" s="1"/>
  <c r="L31" i="9" a="1"/>
  <c r="L31" i="9" s="1"/>
  <c r="K31" i="9" a="1"/>
  <c r="K31" i="9" s="1"/>
  <c r="J31" i="9" a="1"/>
  <c r="J31" i="9" s="1"/>
  <c r="I31" i="9" a="1"/>
  <c r="I31" i="9" s="1"/>
  <c r="H31" i="9" a="1"/>
  <c r="H31" i="9" s="1"/>
  <c r="G31" i="9" a="1"/>
  <c r="G31" i="9" s="1"/>
  <c r="F31" i="9" a="1"/>
  <c r="F31" i="9" s="1"/>
  <c r="E31" i="9" a="1"/>
  <c r="E31" i="9" s="1"/>
  <c r="D31" i="9" a="1"/>
  <c r="D31" i="9" s="1"/>
  <c r="C31" i="9" a="1"/>
  <c r="C31" i="9" s="1"/>
  <c r="R30" i="9" a="1"/>
  <c r="R30" i="9" s="1"/>
  <c r="Q30" i="9" a="1"/>
  <c r="Q30" i="9" s="1"/>
  <c r="P30" i="9" a="1"/>
  <c r="P30" i="9" s="1"/>
  <c r="O30" i="9" a="1"/>
  <c r="O30" i="9" s="1"/>
  <c r="N30" i="9" a="1"/>
  <c r="N30" i="9" s="1"/>
  <c r="M30" i="9" a="1"/>
  <c r="M30" i="9" s="1"/>
  <c r="L30" i="9" a="1"/>
  <c r="L30" i="9" s="1"/>
  <c r="K30" i="9" a="1"/>
  <c r="K30" i="9" s="1"/>
  <c r="J30" i="9" a="1"/>
  <c r="J30" i="9" s="1"/>
  <c r="I30" i="9" a="1"/>
  <c r="I30" i="9" s="1"/>
  <c r="H30" i="9" a="1"/>
  <c r="H30" i="9" s="1"/>
  <c r="G30" i="9" a="1"/>
  <c r="G30" i="9" s="1"/>
  <c r="F30" i="9" a="1"/>
  <c r="F30" i="9" s="1"/>
  <c r="E30" i="9" a="1"/>
  <c r="E30" i="9" s="1"/>
  <c r="D30" i="9" a="1"/>
  <c r="D30" i="9" s="1"/>
  <c r="C30" i="9" a="1"/>
  <c r="C30" i="9" s="1"/>
  <c r="R29" i="9" a="1"/>
  <c r="R29" i="9" s="1"/>
  <c r="Q29" i="9" a="1"/>
  <c r="Q29" i="9" s="1"/>
  <c r="P29" i="9" a="1"/>
  <c r="P29" i="9" s="1"/>
  <c r="O29" i="9" a="1"/>
  <c r="O29" i="9" s="1"/>
  <c r="N29" i="9" a="1"/>
  <c r="N29" i="9" s="1"/>
  <c r="M29" i="9" a="1"/>
  <c r="M29" i="9" s="1"/>
  <c r="L29" i="9" a="1"/>
  <c r="L29" i="9" s="1"/>
  <c r="K29" i="9" a="1"/>
  <c r="K29" i="9" s="1"/>
  <c r="J29" i="9" a="1"/>
  <c r="J29" i="9" s="1"/>
  <c r="I29" i="9" a="1"/>
  <c r="I29" i="9" s="1"/>
  <c r="H29" i="9" a="1"/>
  <c r="H29" i="9" s="1"/>
  <c r="G29" i="9" a="1"/>
  <c r="G29" i="9" s="1"/>
  <c r="F29" i="9" a="1"/>
  <c r="F29" i="9" s="1"/>
  <c r="E29" i="9" a="1"/>
  <c r="E29" i="9" s="1"/>
  <c r="D29" i="9" a="1"/>
  <c r="D29" i="9" s="1"/>
  <c r="C29" i="9" a="1"/>
  <c r="C29" i="9" s="1"/>
  <c r="R28" i="9" a="1"/>
  <c r="R28" i="9" s="1"/>
  <c r="Q28" i="9" a="1"/>
  <c r="Q28" i="9" s="1"/>
  <c r="P28" i="9" a="1"/>
  <c r="P28" i="9" s="1"/>
  <c r="O28" i="9" a="1"/>
  <c r="O28" i="9" s="1"/>
  <c r="N28" i="9" a="1"/>
  <c r="N28" i="9" s="1"/>
  <c r="M28" i="9" a="1"/>
  <c r="M28" i="9" s="1"/>
  <c r="L28" i="9" a="1"/>
  <c r="L28" i="9" s="1"/>
  <c r="K28" i="9" a="1"/>
  <c r="K28" i="9" s="1"/>
  <c r="J28" i="9" a="1"/>
  <c r="J28" i="9" s="1"/>
  <c r="I28" i="9" a="1"/>
  <c r="I28" i="9" s="1"/>
  <c r="H28" i="9" a="1"/>
  <c r="H28" i="9" s="1"/>
  <c r="G28" i="9" a="1"/>
  <c r="G28" i="9" s="1"/>
  <c r="F28" i="9" a="1"/>
  <c r="F28" i="9" s="1"/>
  <c r="E28" i="9" a="1"/>
  <c r="E28" i="9" s="1"/>
  <c r="D28" i="9" a="1"/>
  <c r="D28" i="9" s="1"/>
  <c r="C28" i="9" a="1"/>
  <c r="C28" i="9" s="1"/>
  <c r="R27" i="9" a="1"/>
  <c r="R27" i="9" s="1"/>
  <c r="Q27" i="9" a="1"/>
  <c r="Q27" i="9" s="1"/>
  <c r="P27" i="9" a="1"/>
  <c r="P27" i="9" s="1"/>
  <c r="O27" i="9" a="1"/>
  <c r="O27" i="9" s="1"/>
  <c r="N27" i="9" a="1"/>
  <c r="N27" i="9" s="1"/>
  <c r="M27" i="9" a="1"/>
  <c r="M27" i="9" s="1"/>
  <c r="L27" i="9" a="1"/>
  <c r="L27" i="9" s="1"/>
  <c r="K27" i="9" a="1"/>
  <c r="K27" i="9" s="1"/>
  <c r="J27" i="9" a="1"/>
  <c r="J27" i="9" s="1"/>
  <c r="I27" i="9" a="1"/>
  <c r="I27" i="9" s="1"/>
  <c r="H27" i="9" a="1"/>
  <c r="H27" i="9" s="1"/>
  <c r="G27" i="9" a="1"/>
  <c r="G27" i="9" s="1"/>
  <c r="F27" i="9" a="1"/>
  <c r="F27" i="9" s="1"/>
  <c r="E27" i="9" a="1"/>
  <c r="E27" i="9" s="1"/>
  <c r="D27" i="9" a="1"/>
  <c r="D27" i="9" s="1"/>
  <c r="C27" i="9" a="1"/>
  <c r="C27" i="9" s="1"/>
  <c r="R26" i="9" a="1"/>
  <c r="R26" i="9" s="1"/>
  <c r="Q26" i="9" a="1"/>
  <c r="Q26" i="9" s="1"/>
  <c r="P26" i="9" a="1"/>
  <c r="P26" i="9" s="1"/>
  <c r="O26" i="9" a="1"/>
  <c r="O26" i="9" s="1"/>
  <c r="N26" i="9" a="1"/>
  <c r="N26" i="9" s="1"/>
  <c r="M26" i="9" a="1"/>
  <c r="M26" i="9" s="1"/>
  <c r="L26" i="9" a="1"/>
  <c r="L26" i="9" s="1"/>
  <c r="K26" i="9" a="1"/>
  <c r="K26" i="9" s="1"/>
  <c r="J26" i="9" a="1"/>
  <c r="J26" i="9" s="1"/>
  <c r="I26" i="9" a="1"/>
  <c r="I26" i="9" s="1"/>
  <c r="H26" i="9" a="1"/>
  <c r="H26" i="9" s="1"/>
  <c r="G26" i="9" a="1"/>
  <c r="G26" i="9" s="1"/>
  <c r="F26" i="9" a="1"/>
  <c r="F26" i="9" s="1"/>
  <c r="E26" i="9" a="1"/>
  <c r="E26" i="9" s="1"/>
  <c r="D26" i="9" a="1"/>
  <c r="D26" i="9" s="1"/>
  <c r="C26" i="9" a="1"/>
  <c r="C26" i="9" s="1"/>
  <c r="R25" i="9" a="1"/>
  <c r="R25" i="9" s="1"/>
  <c r="Q25" i="9" a="1"/>
  <c r="Q25" i="9" s="1"/>
  <c r="P25" i="9" a="1"/>
  <c r="P25" i="9" s="1"/>
  <c r="O25" i="9" a="1"/>
  <c r="O25" i="9" s="1"/>
  <c r="N25" i="9" a="1"/>
  <c r="N25" i="9" s="1"/>
  <c r="M25" i="9" a="1"/>
  <c r="M25" i="9" s="1"/>
  <c r="L25" i="9" a="1"/>
  <c r="L25" i="9" s="1"/>
  <c r="K25" i="9" a="1"/>
  <c r="K25" i="9" s="1"/>
  <c r="J25" i="9" a="1"/>
  <c r="J25" i="9" s="1"/>
  <c r="I25" i="9" a="1"/>
  <c r="I25" i="9" s="1"/>
  <c r="H25" i="9" a="1"/>
  <c r="H25" i="9" s="1"/>
  <c r="G25" i="9" a="1"/>
  <c r="G25" i="9" s="1"/>
  <c r="F25" i="9" a="1"/>
  <c r="F25" i="9" s="1"/>
  <c r="E25" i="9" a="1"/>
  <c r="E25" i="9" s="1"/>
  <c r="D25" i="9" a="1"/>
  <c r="D25" i="9" s="1"/>
  <c r="C25" i="9" a="1"/>
  <c r="C25" i="9" s="1"/>
  <c r="R24" i="9" a="1"/>
  <c r="R24" i="9" s="1"/>
  <c r="Q24" i="9" a="1"/>
  <c r="Q24" i="9" s="1"/>
  <c r="P24" i="9" a="1"/>
  <c r="P24" i="9" s="1"/>
  <c r="O24" i="9" a="1"/>
  <c r="O24" i="9" s="1"/>
  <c r="N24" i="9" a="1"/>
  <c r="N24" i="9" s="1"/>
  <c r="M24" i="9" a="1"/>
  <c r="M24" i="9" s="1"/>
  <c r="L24" i="9" a="1"/>
  <c r="L24" i="9" s="1"/>
  <c r="K24" i="9" a="1"/>
  <c r="K24" i="9" s="1"/>
  <c r="J24" i="9" a="1"/>
  <c r="J24" i="9" s="1"/>
  <c r="I24" i="9" a="1"/>
  <c r="I24" i="9" s="1"/>
  <c r="H24" i="9" a="1"/>
  <c r="H24" i="9" s="1"/>
  <c r="G24" i="9" a="1"/>
  <c r="G24" i="9" s="1"/>
  <c r="F24" i="9" a="1"/>
  <c r="F24" i="9" s="1"/>
  <c r="E24" i="9" a="1"/>
  <c r="E24" i="9" s="1"/>
  <c r="D24" i="9" a="1"/>
  <c r="D24" i="9" s="1"/>
  <c r="C24" i="9" a="1"/>
  <c r="C24" i="9" s="1"/>
  <c r="R23" i="9" a="1"/>
  <c r="R23" i="9" s="1"/>
  <c r="Q23" i="9" a="1"/>
  <c r="Q23" i="9" s="1"/>
  <c r="P23" i="9" a="1"/>
  <c r="P23" i="9" s="1"/>
  <c r="O23" i="9" a="1"/>
  <c r="O23" i="9" s="1"/>
  <c r="N23" i="9" a="1"/>
  <c r="N23" i="9" s="1"/>
  <c r="M23" i="9" a="1"/>
  <c r="M23" i="9" s="1"/>
  <c r="L23" i="9" a="1"/>
  <c r="L23" i="9" s="1"/>
  <c r="K23" i="9" a="1"/>
  <c r="K23" i="9" s="1"/>
  <c r="J23" i="9" a="1"/>
  <c r="J23" i="9" s="1"/>
  <c r="I23" i="9" a="1"/>
  <c r="I23" i="9" s="1"/>
  <c r="H23" i="9" a="1"/>
  <c r="H23" i="9" s="1"/>
  <c r="G23" i="9" a="1"/>
  <c r="G23" i="9" s="1"/>
  <c r="F23" i="9" a="1"/>
  <c r="F23" i="9" s="1"/>
  <c r="E23" i="9" a="1"/>
  <c r="E23" i="9" s="1"/>
  <c r="D23" i="9" a="1"/>
  <c r="D23" i="9" s="1"/>
  <c r="C23" i="9" a="1"/>
  <c r="C23" i="9" s="1"/>
  <c r="R22" i="9" a="1"/>
  <c r="R22" i="9" s="1"/>
  <c r="Q22" i="9" a="1"/>
  <c r="Q22" i="9" s="1"/>
  <c r="P22" i="9" a="1"/>
  <c r="P22" i="9" s="1"/>
  <c r="O22" i="9" a="1"/>
  <c r="O22" i="9" s="1"/>
  <c r="N22" i="9" a="1"/>
  <c r="N22" i="9" s="1"/>
  <c r="M22" i="9" a="1"/>
  <c r="M22" i="9" s="1"/>
  <c r="L22" i="9" a="1"/>
  <c r="L22" i="9" s="1"/>
  <c r="K22" i="9" a="1"/>
  <c r="K22" i="9" s="1"/>
  <c r="J22" i="9" a="1"/>
  <c r="J22" i="9" s="1"/>
  <c r="I22" i="9" a="1"/>
  <c r="I22" i="9" s="1"/>
  <c r="H22" i="9" a="1"/>
  <c r="H22" i="9" s="1"/>
  <c r="G22" i="9" a="1"/>
  <c r="G22" i="9" s="1"/>
  <c r="F22" i="9" a="1"/>
  <c r="F22" i="9" s="1"/>
  <c r="E22" i="9" a="1"/>
  <c r="E22" i="9" s="1"/>
  <c r="D22" i="9" a="1"/>
  <c r="D22" i="9" s="1"/>
  <c r="C22" i="9" a="1"/>
  <c r="C22" i="9" s="1"/>
  <c r="R21" i="9" a="1"/>
  <c r="R21" i="9" s="1"/>
  <c r="Q21" i="9" a="1"/>
  <c r="Q21" i="9" s="1"/>
  <c r="P21" i="9" a="1"/>
  <c r="P21" i="9" s="1"/>
  <c r="O21" i="9" a="1"/>
  <c r="O21" i="9" s="1"/>
  <c r="N21" i="9" a="1"/>
  <c r="N21" i="9" s="1"/>
  <c r="M21" i="9" a="1"/>
  <c r="M21" i="9" s="1"/>
  <c r="L21" i="9" a="1"/>
  <c r="L21" i="9" s="1"/>
  <c r="K21" i="9" a="1"/>
  <c r="K21" i="9" s="1"/>
  <c r="J21" i="9" a="1"/>
  <c r="J21" i="9" s="1"/>
  <c r="I21" i="9" a="1"/>
  <c r="I21" i="9" s="1"/>
  <c r="H21" i="9" a="1"/>
  <c r="H21" i="9" s="1"/>
  <c r="G21" i="9" a="1"/>
  <c r="G21" i="9" s="1"/>
  <c r="F21" i="9" a="1"/>
  <c r="F21" i="9" s="1"/>
  <c r="E21" i="9" a="1"/>
  <c r="E21" i="9" s="1"/>
  <c r="D21" i="9" a="1"/>
  <c r="D21" i="9" s="1"/>
  <c r="C21" i="9" a="1"/>
  <c r="C21" i="9" s="1"/>
  <c r="R20" i="9" a="1"/>
  <c r="R20" i="9" s="1"/>
  <c r="Q20" i="9" a="1"/>
  <c r="Q20" i="9" s="1"/>
  <c r="P20" i="9" a="1"/>
  <c r="P20" i="9" s="1"/>
  <c r="O20" i="9" a="1"/>
  <c r="O20" i="9" s="1"/>
  <c r="N20" i="9" a="1"/>
  <c r="N20" i="9" s="1"/>
  <c r="M20" i="9" a="1"/>
  <c r="M20" i="9" s="1"/>
  <c r="L20" i="9"/>
  <c r="L20" i="9" a="1"/>
  <c r="K20" i="9" a="1"/>
  <c r="K20" i="9" s="1"/>
  <c r="J20" i="9" a="1"/>
  <c r="J20" i="9" s="1"/>
  <c r="I20" i="9" a="1"/>
  <c r="I20" i="9" s="1"/>
  <c r="H20" i="9" a="1"/>
  <c r="H20" i="9" s="1"/>
  <c r="G20" i="9" a="1"/>
  <c r="G20" i="9" s="1"/>
  <c r="F20" i="9" a="1"/>
  <c r="F20" i="9" s="1"/>
  <c r="E20" i="9" a="1"/>
  <c r="E20" i="9" s="1"/>
  <c r="D20" i="9" a="1"/>
  <c r="D20" i="9" s="1"/>
  <c r="C20" i="9" a="1"/>
  <c r="C20" i="9" s="1"/>
  <c r="R19" i="9" a="1"/>
  <c r="R19" i="9" s="1"/>
  <c r="Q19" i="9" a="1"/>
  <c r="Q19" i="9" s="1"/>
  <c r="P19" i="9" a="1"/>
  <c r="P19" i="9" s="1"/>
  <c r="O19" i="9" a="1"/>
  <c r="O19" i="9" s="1"/>
  <c r="N19" i="9" a="1"/>
  <c r="N19" i="9" s="1"/>
  <c r="M19" i="9" a="1"/>
  <c r="M19" i="9" s="1"/>
  <c r="L19" i="9" a="1"/>
  <c r="L19" i="9" s="1"/>
  <c r="K19" i="9" a="1"/>
  <c r="K19" i="9" s="1"/>
  <c r="J19" i="9" a="1"/>
  <c r="J19" i="9" s="1"/>
  <c r="I19" i="9" a="1"/>
  <c r="I19" i="9" s="1"/>
  <c r="H19" i="9" a="1"/>
  <c r="H19" i="9" s="1"/>
  <c r="G19" i="9" a="1"/>
  <c r="G19" i="9" s="1"/>
  <c r="F19" i="9" a="1"/>
  <c r="F19" i="9" s="1"/>
  <c r="E19" i="9" a="1"/>
  <c r="E19" i="9" s="1"/>
  <c r="D19" i="9" a="1"/>
  <c r="D19" i="9" s="1"/>
  <c r="C19" i="9" a="1"/>
  <c r="C19" i="9" s="1"/>
  <c r="R18" i="9" a="1"/>
  <c r="R18" i="9" s="1"/>
  <c r="Q18" i="9" a="1"/>
  <c r="Q18" i="9" s="1"/>
  <c r="P18" i="9" a="1"/>
  <c r="P18" i="9" s="1"/>
  <c r="O18" i="9" a="1"/>
  <c r="O18" i="9" s="1"/>
  <c r="N18" i="9" a="1"/>
  <c r="N18" i="9" s="1"/>
  <c r="M18" i="9" a="1"/>
  <c r="M18" i="9" s="1"/>
  <c r="L18" i="9" a="1"/>
  <c r="L18" i="9" s="1"/>
  <c r="K18" i="9" a="1"/>
  <c r="K18" i="9" s="1"/>
  <c r="J18" i="9" a="1"/>
  <c r="J18" i="9" s="1"/>
  <c r="I18" i="9" a="1"/>
  <c r="I18" i="9" s="1"/>
  <c r="H18" i="9" a="1"/>
  <c r="H18" i="9" s="1"/>
  <c r="G18" i="9" a="1"/>
  <c r="G18" i="9" s="1"/>
  <c r="F18" i="9" a="1"/>
  <c r="F18" i="9" s="1"/>
  <c r="E18" i="9" a="1"/>
  <c r="E18" i="9" s="1"/>
  <c r="D18" i="9" a="1"/>
  <c r="D18" i="9" s="1"/>
  <c r="C18" i="9" a="1"/>
  <c r="C18" i="9" s="1"/>
  <c r="R17" i="9" a="1"/>
  <c r="R17" i="9" s="1"/>
  <c r="Q17" i="9" a="1"/>
  <c r="Q17" i="9" s="1"/>
  <c r="P17" i="9" a="1"/>
  <c r="P17" i="9" s="1"/>
  <c r="O17" i="9" a="1"/>
  <c r="O17" i="9" s="1"/>
  <c r="N17" i="9" a="1"/>
  <c r="N17" i="9" s="1"/>
  <c r="M17" i="9" a="1"/>
  <c r="M17" i="9" s="1"/>
  <c r="L17" i="9" a="1"/>
  <c r="L17" i="9" s="1"/>
  <c r="K17" i="9" a="1"/>
  <c r="K17" i="9" s="1"/>
  <c r="J17" i="9" a="1"/>
  <c r="J17" i="9" s="1"/>
  <c r="I17" i="9" a="1"/>
  <c r="I17" i="9" s="1"/>
  <c r="H17" i="9" a="1"/>
  <c r="H17" i="9" s="1"/>
  <c r="G17" i="9" a="1"/>
  <c r="G17" i="9" s="1"/>
  <c r="F17" i="9" a="1"/>
  <c r="F17" i="9" s="1"/>
  <c r="E17" i="9" a="1"/>
  <c r="E17" i="9" s="1"/>
  <c r="D17" i="9" a="1"/>
  <c r="D17" i="9" s="1"/>
  <c r="C17" i="9" a="1"/>
  <c r="C17" i="9" s="1"/>
  <c r="R16" i="9" a="1"/>
  <c r="R16" i="9" s="1"/>
  <c r="Q16" i="9" a="1"/>
  <c r="Q16" i="9" s="1"/>
  <c r="P16" i="9" a="1"/>
  <c r="P16" i="9" s="1"/>
  <c r="O16" i="9" a="1"/>
  <c r="O16" i="9" s="1"/>
  <c r="N16" i="9" a="1"/>
  <c r="N16" i="9" s="1"/>
  <c r="M16" i="9" a="1"/>
  <c r="M16" i="9" s="1"/>
  <c r="L16" i="9" a="1"/>
  <c r="L16" i="9" s="1"/>
  <c r="K16" i="9" a="1"/>
  <c r="K16" i="9" s="1"/>
  <c r="J16" i="9" a="1"/>
  <c r="J16" i="9" s="1"/>
  <c r="I16" i="9" a="1"/>
  <c r="I16" i="9" s="1"/>
  <c r="H16" i="9" a="1"/>
  <c r="H16" i="9" s="1"/>
  <c r="G16" i="9" a="1"/>
  <c r="G16" i="9" s="1"/>
  <c r="F16" i="9" a="1"/>
  <c r="F16" i="9" s="1"/>
  <c r="E16" i="9" a="1"/>
  <c r="E16" i="9" s="1"/>
  <c r="D16" i="9" a="1"/>
  <c r="D16" i="9" s="1"/>
  <c r="C16" i="9" a="1"/>
  <c r="C16" i="9" s="1"/>
  <c r="R15" i="9" a="1"/>
  <c r="R15" i="9" s="1"/>
  <c r="Q15" i="9" a="1"/>
  <c r="Q15" i="9" s="1"/>
  <c r="P15" i="9" a="1"/>
  <c r="P15" i="9" s="1"/>
  <c r="O15" i="9" a="1"/>
  <c r="O15" i="9" s="1"/>
  <c r="N15" i="9" a="1"/>
  <c r="N15" i="9" s="1"/>
  <c r="M15" i="9" a="1"/>
  <c r="M15" i="9" s="1"/>
  <c r="L15" i="9" a="1"/>
  <c r="L15" i="9" s="1"/>
  <c r="K15" i="9" a="1"/>
  <c r="K15" i="9" s="1"/>
  <c r="J15" i="9" a="1"/>
  <c r="J15" i="9" s="1"/>
  <c r="I15" i="9" a="1"/>
  <c r="I15" i="9" s="1"/>
  <c r="H15" i="9" a="1"/>
  <c r="H15" i="9" s="1"/>
  <c r="G15" i="9" a="1"/>
  <c r="G15" i="9" s="1"/>
  <c r="F15" i="9" a="1"/>
  <c r="F15" i="9" s="1"/>
  <c r="E15" i="9" a="1"/>
  <c r="E15" i="9" s="1"/>
  <c r="D15" i="9" a="1"/>
  <c r="D15" i="9" s="1"/>
  <c r="C15" i="9" a="1"/>
  <c r="C15" i="9" s="1"/>
  <c r="R14" i="9" a="1"/>
  <c r="R14" i="9" s="1"/>
  <c r="Q14" i="9" a="1"/>
  <c r="Q14" i="9" s="1"/>
  <c r="P14" i="9" a="1"/>
  <c r="P14" i="9" s="1"/>
  <c r="O14" i="9" a="1"/>
  <c r="O14" i="9" s="1"/>
  <c r="N14" i="9" a="1"/>
  <c r="N14" i="9" s="1"/>
  <c r="M14" i="9" a="1"/>
  <c r="M14" i="9" s="1"/>
  <c r="L14" i="9" a="1"/>
  <c r="L14" i="9" s="1"/>
  <c r="K14" i="9" a="1"/>
  <c r="K14" i="9" s="1"/>
  <c r="J14" i="9" a="1"/>
  <c r="J14" i="9" s="1"/>
  <c r="I14" i="9" a="1"/>
  <c r="I14" i="9" s="1"/>
  <c r="H14" i="9" a="1"/>
  <c r="H14" i="9" s="1"/>
  <c r="G14" i="9" a="1"/>
  <c r="G14" i="9" s="1"/>
  <c r="F14" i="9" a="1"/>
  <c r="F14" i="9" s="1"/>
  <c r="E14" i="9" a="1"/>
  <c r="E14" i="9" s="1"/>
  <c r="D14" i="9" a="1"/>
  <c r="D14" i="9" s="1"/>
  <c r="C14" i="9" a="1"/>
  <c r="C14" i="9" s="1"/>
  <c r="R13" i="9" a="1"/>
  <c r="R13" i="9" s="1"/>
  <c r="Q13" i="9" a="1"/>
  <c r="Q13" i="9" s="1"/>
  <c r="P13" i="9" a="1"/>
  <c r="P13" i="9" s="1"/>
  <c r="O13" i="9" a="1"/>
  <c r="O13" i="9" s="1"/>
  <c r="N13" i="9" a="1"/>
  <c r="N13" i="9" s="1"/>
  <c r="M13" i="9" a="1"/>
  <c r="M13" i="9" s="1"/>
  <c r="L13" i="9" a="1"/>
  <c r="L13" i="9" s="1"/>
  <c r="K13" i="9" a="1"/>
  <c r="K13" i="9" s="1"/>
  <c r="J13" i="9" a="1"/>
  <c r="J13" i="9" s="1"/>
  <c r="I13" i="9" a="1"/>
  <c r="I13" i="9" s="1"/>
  <c r="H13" i="9" a="1"/>
  <c r="H13" i="9" s="1"/>
  <c r="G13" i="9" a="1"/>
  <c r="G13" i="9" s="1"/>
  <c r="F13" i="9" a="1"/>
  <c r="F13" i="9" s="1"/>
  <c r="E13" i="9" a="1"/>
  <c r="E13" i="9" s="1"/>
  <c r="D13" i="9" a="1"/>
  <c r="D13" i="9" s="1"/>
  <c r="C13" i="9" a="1"/>
  <c r="C13" i="9" s="1"/>
  <c r="R12" i="9" a="1"/>
  <c r="R12" i="9" s="1"/>
  <c r="Q12" i="9" a="1"/>
  <c r="Q12" i="9" s="1"/>
  <c r="P12" i="9" a="1"/>
  <c r="P12" i="9" s="1"/>
  <c r="O12" i="9" a="1"/>
  <c r="O12" i="9" s="1"/>
  <c r="N12" i="9" a="1"/>
  <c r="N12" i="9" s="1"/>
  <c r="M12" i="9" a="1"/>
  <c r="M12" i="9" s="1"/>
  <c r="L12" i="9" a="1"/>
  <c r="L12" i="9" s="1"/>
  <c r="K12" i="9" a="1"/>
  <c r="K12" i="9" s="1"/>
  <c r="J12" i="9" a="1"/>
  <c r="J12" i="9" s="1"/>
  <c r="I12" i="9" a="1"/>
  <c r="I12" i="9" s="1"/>
  <c r="H12" i="9" a="1"/>
  <c r="H12" i="9" s="1"/>
  <c r="G12" i="9" a="1"/>
  <c r="G12" i="9" s="1"/>
  <c r="F12" i="9" a="1"/>
  <c r="F12" i="9" s="1"/>
  <c r="E12" i="9" a="1"/>
  <c r="E12" i="9" s="1"/>
  <c r="D12" i="9" a="1"/>
  <c r="D12" i="9" s="1"/>
  <c r="C12" i="9" a="1"/>
  <c r="C12" i="9" s="1"/>
  <c r="R11" i="9" a="1"/>
  <c r="R11" i="9" s="1"/>
  <c r="Q11" i="9" a="1"/>
  <c r="Q11" i="9" s="1"/>
  <c r="P11" i="9" a="1"/>
  <c r="P11" i="9" s="1"/>
  <c r="O11" i="9" a="1"/>
  <c r="O11" i="9" s="1"/>
  <c r="N11" i="9" a="1"/>
  <c r="N11" i="9" s="1"/>
  <c r="M11" i="9" a="1"/>
  <c r="M11" i="9" s="1"/>
  <c r="L11" i="9" a="1"/>
  <c r="L11" i="9" s="1"/>
  <c r="K11" i="9" a="1"/>
  <c r="K11" i="9" s="1"/>
  <c r="J11" i="9" a="1"/>
  <c r="J11" i="9" s="1"/>
  <c r="I11" i="9" a="1"/>
  <c r="I11" i="9" s="1"/>
  <c r="H11" i="9" a="1"/>
  <c r="H11" i="9" s="1"/>
  <c r="G11" i="9" a="1"/>
  <c r="G11" i="9" s="1"/>
  <c r="F11" i="9" a="1"/>
  <c r="F11" i="9" s="1"/>
  <c r="E11" i="9" a="1"/>
  <c r="E11" i="9" s="1"/>
  <c r="D11" i="9" a="1"/>
  <c r="D11" i="9" s="1"/>
  <c r="C11" i="9" a="1"/>
  <c r="C11" i="9" s="1"/>
  <c r="R10" i="9" a="1"/>
  <c r="R10" i="9" s="1"/>
  <c r="Q10" i="9" a="1"/>
  <c r="Q10" i="9" s="1"/>
  <c r="P10" i="9" a="1"/>
  <c r="P10" i="9" s="1"/>
  <c r="O10" i="9" a="1"/>
  <c r="O10" i="9" s="1"/>
  <c r="N10" i="9" a="1"/>
  <c r="N10" i="9" s="1"/>
  <c r="M10" i="9" a="1"/>
  <c r="M10" i="9" s="1"/>
  <c r="L10" i="9" a="1"/>
  <c r="L10" i="9" s="1"/>
  <c r="K10" i="9" a="1"/>
  <c r="K10" i="9" s="1"/>
  <c r="J10" i="9" a="1"/>
  <c r="J10" i="9" s="1"/>
  <c r="I10" i="9" a="1"/>
  <c r="I10" i="9" s="1"/>
  <c r="H10" i="9" a="1"/>
  <c r="H10" i="9" s="1"/>
  <c r="G10" i="9" a="1"/>
  <c r="G10" i="9" s="1"/>
  <c r="F10" i="9" a="1"/>
  <c r="F10" i="9" s="1"/>
  <c r="E10" i="9" a="1"/>
  <c r="E10" i="9" s="1"/>
  <c r="D10" i="9" a="1"/>
  <c r="D10" i="9" s="1"/>
  <c r="C10" i="9" a="1"/>
  <c r="C10" i="9" s="1"/>
  <c r="R9" i="9" a="1"/>
  <c r="R9" i="9" s="1"/>
  <c r="Q9" i="9" a="1"/>
  <c r="Q9" i="9" s="1"/>
  <c r="P9" i="9" a="1"/>
  <c r="P9" i="9" s="1"/>
  <c r="O9" i="9" a="1"/>
  <c r="O9" i="9" s="1"/>
  <c r="N9" i="9" a="1"/>
  <c r="N9" i="9" s="1"/>
  <c r="M9" i="9" a="1"/>
  <c r="M9" i="9" s="1"/>
  <c r="L9" i="9" a="1"/>
  <c r="L9" i="9" s="1"/>
  <c r="K9" i="9" a="1"/>
  <c r="K9" i="9" s="1"/>
  <c r="J9" i="9" a="1"/>
  <c r="J9" i="9" s="1"/>
  <c r="I9" i="9" a="1"/>
  <c r="I9" i="9" s="1"/>
  <c r="H9" i="9" a="1"/>
  <c r="H9" i="9" s="1"/>
  <c r="G9" i="9" a="1"/>
  <c r="G9" i="9" s="1"/>
  <c r="F9" i="9" a="1"/>
  <c r="F9" i="9" s="1"/>
  <c r="E9" i="9" a="1"/>
  <c r="E9" i="9" s="1"/>
  <c r="D9" i="9" a="1"/>
  <c r="D9" i="9" s="1"/>
  <c r="C9" i="9" a="1"/>
  <c r="C9" i="9" s="1"/>
  <c r="R8" i="9" a="1"/>
  <c r="R8" i="9" s="1"/>
  <c r="Q8" i="9" a="1"/>
  <c r="Q8" i="9" s="1"/>
  <c r="P8" i="9" a="1"/>
  <c r="P8" i="9" s="1"/>
  <c r="O8" i="9" a="1"/>
  <c r="O8" i="9" s="1"/>
  <c r="N8" i="9" a="1"/>
  <c r="N8" i="9" s="1"/>
  <c r="M8" i="9" a="1"/>
  <c r="M8" i="9" s="1"/>
  <c r="L8" i="9" a="1"/>
  <c r="L8" i="9" s="1"/>
  <c r="K8" i="9" a="1"/>
  <c r="K8" i="9" s="1"/>
  <c r="J8" i="9" a="1"/>
  <c r="J8" i="9" s="1"/>
  <c r="I8" i="9" a="1"/>
  <c r="I8" i="9" s="1"/>
  <c r="H8" i="9" a="1"/>
  <c r="H8" i="9" s="1"/>
  <c r="G8" i="9" a="1"/>
  <c r="G8" i="9" s="1"/>
  <c r="F8" i="9" a="1"/>
  <c r="F8" i="9" s="1"/>
  <c r="E8" i="9" a="1"/>
  <c r="E8" i="9" s="1"/>
  <c r="D8" i="9" a="1"/>
  <c r="D8" i="9" s="1"/>
  <c r="C8" i="9" a="1"/>
  <c r="C8" i="9" s="1"/>
  <c r="R7" i="9" a="1"/>
  <c r="R7" i="9" s="1"/>
  <c r="Q7" i="9" a="1"/>
  <c r="Q7" i="9" s="1"/>
  <c r="P7" i="9" a="1"/>
  <c r="P7" i="9" s="1"/>
  <c r="O7" i="9" a="1"/>
  <c r="O7" i="9" s="1"/>
  <c r="N7" i="9" a="1"/>
  <c r="N7" i="9" s="1"/>
  <c r="M7" i="9" a="1"/>
  <c r="M7" i="9" s="1"/>
  <c r="L7" i="9" a="1"/>
  <c r="L7" i="9" s="1"/>
  <c r="K7" i="9" a="1"/>
  <c r="K7" i="9" s="1"/>
  <c r="J7" i="9" a="1"/>
  <c r="J7" i="9" s="1"/>
  <c r="I7" i="9" a="1"/>
  <c r="I7" i="9" s="1"/>
  <c r="H7" i="9" a="1"/>
  <c r="H7" i="9" s="1"/>
  <c r="G7" i="9" a="1"/>
  <c r="G7" i="9" s="1"/>
  <c r="F7" i="9" a="1"/>
  <c r="F7" i="9" s="1"/>
  <c r="E7" i="9" a="1"/>
  <c r="E7" i="9" s="1"/>
  <c r="D7" i="9" a="1"/>
  <c r="D7" i="9" s="1"/>
  <c r="C7" i="9" a="1"/>
  <c r="C7" i="9" s="1"/>
  <c r="R6" i="9" a="1"/>
  <c r="R6" i="9" s="1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6" i="9" a="1"/>
  <c r="C6" i="9" s="1"/>
  <c r="R5" i="9" a="1"/>
  <c r="R5" i="9" s="1"/>
  <c r="Q5" i="9" a="1"/>
  <c r="Q5" i="9" s="1"/>
  <c r="P5" i="9" a="1"/>
  <c r="P5" i="9" s="1"/>
  <c r="O5" i="9" a="1"/>
  <c r="O5" i="9" s="1"/>
  <c r="N5" i="9" a="1"/>
  <c r="N5" i="9" s="1"/>
  <c r="M5" i="9" a="1"/>
  <c r="M5" i="9" s="1"/>
  <c r="L5" i="9" a="1"/>
  <c r="L5" i="9" s="1"/>
  <c r="K5" i="9" a="1"/>
  <c r="K5" i="9" s="1"/>
  <c r="J5" i="9" a="1"/>
  <c r="J5" i="9" s="1"/>
  <c r="I5" i="9" a="1"/>
  <c r="I5" i="9" s="1"/>
  <c r="H5" i="9" a="1"/>
  <c r="H5" i="9" s="1"/>
  <c r="G5" i="9" a="1"/>
  <c r="G5" i="9" s="1"/>
  <c r="F5" i="9" a="1"/>
  <c r="F5" i="9" s="1"/>
  <c r="E5" i="9" a="1"/>
  <c r="E5" i="9" s="1"/>
  <c r="D5" i="9" a="1"/>
  <c r="D5" i="9" s="1"/>
  <c r="C5" i="9" a="1"/>
  <c r="C5" i="9" s="1"/>
  <c r="R4" i="9" a="1"/>
  <c r="R4" i="9" s="1"/>
  <c r="Q4" i="9" a="1"/>
  <c r="Q4" i="9" s="1"/>
  <c r="P4" i="9" a="1"/>
  <c r="P4" i="9" s="1"/>
  <c r="O4" i="9" a="1"/>
  <c r="O4" i="9" s="1"/>
  <c r="N4" i="9" a="1"/>
  <c r="N4" i="9" s="1"/>
  <c r="M4" i="9" a="1"/>
  <c r="M4" i="9" s="1"/>
  <c r="L4" i="9" a="1"/>
  <c r="L4" i="9" s="1"/>
  <c r="K4" i="9" a="1"/>
  <c r="K4" i="9" s="1"/>
  <c r="J4" i="9" a="1"/>
  <c r="J4" i="9" s="1"/>
  <c r="I4" i="9" a="1"/>
  <c r="I4" i="9" s="1"/>
  <c r="H4" i="9" a="1"/>
  <c r="H4" i="9" s="1"/>
  <c r="G4" i="9" a="1"/>
  <c r="G4" i="9" s="1"/>
  <c r="F4" i="9" a="1"/>
  <c r="F4" i="9" s="1"/>
  <c r="E4" i="9" a="1"/>
  <c r="E4" i="9" s="1"/>
  <c r="D4" i="9"/>
  <c r="D4" i="9" a="1"/>
  <c r="C4" i="9" a="1"/>
  <c r="C4" i="9" s="1"/>
  <c r="R3" i="9" a="1"/>
  <c r="R3" i="9" s="1"/>
  <c r="Q3" i="9" a="1"/>
  <c r="Q3" i="9" s="1"/>
  <c r="P3" i="9" a="1"/>
  <c r="P3" i="9" s="1"/>
  <c r="O3" i="9" a="1"/>
  <c r="O3" i="9" s="1"/>
  <c r="N3" i="9" a="1"/>
  <c r="N3" i="9" s="1"/>
  <c r="M3" i="9" a="1"/>
  <c r="M3" i="9" s="1"/>
  <c r="L3" i="9" a="1"/>
  <c r="L3" i="9" s="1"/>
  <c r="K3" i="9" a="1"/>
  <c r="K3" i="9" s="1"/>
  <c r="J3" i="9" a="1"/>
  <c r="J3" i="9" s="1"/>
  <c r="I3" i="9" a="1"/>
  <c r="I3" i="9" s="1"/>
  <c r="H3" i="9" a="1"/>
  <c r="H3" i="9" s="1"/>
  <c r="G3" i="9" a="1"/>
  <c r="G3" i="9" s="1"/>
  <c r="F3" i="9" a="1"/>
  <c r="F3" i="9" s="1"/>
  <c r="E3" i="9" a="1"/>
  <c r="E3" i="9" s="1"/>
  <c r="D3" i="9" a="1"/>
  <c r="D3" i="9" s="1"/>
  <c r="C3" i="9" a="1"/>
  <c r="C3" i="9" s="1"/>
  <c r="S2" i="7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D2" i="9"/>
  <c r="C2" i="9"/>
  <c r="D1" i="9"/>
  <c r="E1" i="9" s="1"/>
  <c r="D1" i="7"/>
  <c r="E1" i="7" s="1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C1" i="7"/>
  <c r="C8" i="8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C119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C32" i="7"/>
  <c r="B32" i="7"/>
  <c r="B31" i="7"/>
  <c r="C30" i="7"/>
  <c r="B30" i="7"/>
  <c r="B29" i="7"/>
  <c r="B28" i="7"/>
  <c r="B27" i="7"/>
  <c r="B26" i="7"/>
  <c r="C25" i="7"/>
  <c r="B25" i="7"/>
  <c r="B24" i="7"/>
  <c r="C23" i="7"/>
  <c r="B23" i="7"/>
  <c r="B22" i="7"/>
  <c r="C21" i="7"/>
  <c r="B21" i="7"/>
  <c r="B20" i="7"/>
  <c r="C19" i="7"/>
  <c r="B19" i="7"/>
  <c r="B18" i="7"/>
  <c r="C17" i="7"/>
  <c r="B17" i="7"/>
  <c r="B16" i="7"/>
  <c r="C15" i="7"/>
  <c r="B15" i="7"/>
  <c r="B14" i="7"/>
  <c r="C13" i="7"/>
  <c r="B13" i="7"/>
  <c r="B12" i="7"/>
  <c r="C11" i="7"/>
  <c r="B11" i="7"/>
  <c r="B10" i="7"/>
  <c r="C9" i="7"/>
  <c r="B9" i="7"/>
  <c r="B8" i="7"/>
  <c r="C7" i="7"/>
  <c r="B7" i="7"/>
  <c r="B6" i="7"/>
  <c r="C5" i="7"/>
  <c r="B5" i="7"/>
  <c r="B4" i="7"/>
  <c r="C3" i="7"/>
  <c r="B3" i="7"/>
  <c r="C2" i="7"/>
  <c r="C28" i="7" s="1"/>
  <c r="X4" i="10" a="1"/>
  <c r="W4" i="10" a="1"/>
  <c r="X14" i="10" a="1"/>
  <c r="X12" i="10" a="1"/>
  <c r="X10" i="10" a="1"/>
  <c r="X8" i="10" a="1"/>
  <c r="X6" i="10" a="1"/>
  <c r="W14" i="10" a="1"/>
  <c r="W12" i="10" a="1"/>
  <c r="W10" i="10" a="1"/>
  <c r="W8" i="10" a="1"/>
  <c r="W6" i="10" a="1"/>
  <c r="X13" i="10" a="1"/>
  <c r="X9" i="10" a="1"/>
  <c r="X7" i="10" a="1"/>
  <c r="X5" i="10" a="1"/>
  <c r="W13" i="10" a="1"/>
  <c r="W9" i="10" a="1"/>
  <c r="W7" i="10" a="1"/>
  <c r="W5" i="10" a="1"/>
  <c r="X11" i="10" a="1"/>
  <c r="W11" i="10" a="1"/>
  <c r="T4" i="10"/>
  <c r="T14" i="10"/>
  <c r="T13" i="10"/>
  <c r="T12" i="10"/>
  <c r="T11" i="10"/>
  <c r="T10" i="10"/>
  <c r="T9" i="10"/>
  <c r="T8" i="10"/>
  <c r="T7" i="10"/>
  <c r="T6" i="10"/>
  <c r="T5" i="10"/>
  <c r="U13" i="10"/>
  <c r="U9" i="10"/>
  <c r="U6" i="10"/>
  <c r="U12" i="10"/>
  <c r="U7" i="10"/>
  <c r="U4" i="10"/>
  <c r="U14" i="10"/>
  <c r="U11" i="10"/>
  <c r="U10" i="10"/>
  <c r="U8" i="10"/>
  <c r="U5" i="10"/>
  <c r="W4" i="10" l="1"/>
  <c r="X4" i="10"/>
  <c r="W11" i="10"/>
  <c r="X11" i="10"/>
  <c r="W5" i="10"/>
  <c r="W7" i="10"/>
  <c r="W9" i="10"/>
  <c r="W13" i="10"/>
  <c r="X5" i="10"/>
  <c r="X7" i="10"/>
  <c r="X9" i="10"/>
  <c r="X13" i="10"/>
  <c r="W6" i="10"/>
  <c r="W8" i="10"/>
  <c r="W10" i="10"/>
  <c r="W12" i="10"/>
  <c r="W14" i="10"/>
  <c r="X6" i="10"/>
  <c r="X8" i="10"/>
  <c r="X10" i="10"/>
  <c r="X12" i="10"/>
  <c r="X14" i="10"/>
  <c r="E8" i="8"/>
  <c r="D8" i="8"/>
  <c r="C9" i="8"/>
  <c r="H7" i="8"/>
  <c r="T2" i="9"/>
  <c r="C35" i="7"/>
  <c r="C33" i="7"/>
  <c r="C31" i="7"/>
  <c r="C29" i="7"/>
  <c r="C111" i="7"/>
  <c r="C36" i="7"/>
  <c r="C27" i="7"/>
  <c r="C4" i="7"/>
  <c r="C6" i="7"/>
  <c r="C8" i="7"/>
  <c r="C10" i="7"/>
  <c r="C12" i="7"/>
  <c r="C14" i="7"/>
  <c r="C16" i="7"/>
  <c r="C18" i="7"/>
  <c r="C20" i="7"/>
  <c r="C22" i="7"/>
  <c r="C24" i="7"/>
  <c r="C26" i="7"/>
  <c r="C34" i="7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F1" i="9"/>
  <c r="E2" i="9"/>
  <c r="C156" i="7"/>
  <c r="C152" i="7"/>
  <c r="C146" i="7"/>
  <c r="C142" i="7"/>
  <c r="C138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55" i="7"/>
  <c r="C151" i="7"/>
  <c r="C145" i="7"/>
  <c r="C141" i="7"/>
  <c r="C137" i="7"/>
  <c r="C154" i="7"/>
  <c r="C150" i="7"/>
  <c r="C148" i="7"/>
  <c r="C144" i="7"/>
  <c r="C140" i="7"/>
  <c r="C136" i="7"/>
  <c r="C147" i="7"/>
  <c r="C143" i="7"/>
  <c r="C139" i="7"/>
  <c r="C123" i="7"/>
  <c r="C122" i="7"/>
  <c r="C118" i="7"/>
  <c r="C114" i="7"/>
  <c r="C110" i="7"/>
  <c r="C106" i="7"/>
  <c r="C103" i="7"/>
  <c r="C153" i="7"/>
  <c r="C121" i="7"/>
  <c r="C117" i="7"/>
  <c r="C113" i="7"/>
  <c r="C109" i="7"/>
  <c r="C102" i="7"/>
  <c r="C120" i="7"/>
  <c r="C116" i="7"/>
  <c r="C112" i="7"/>
  <c r="C108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149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105" i="7"/>
  <c r="C107" i="7"/>
  <c r="C115" i="7"/>
  <c r="D2" i="7"/>
  <c r="C104" i="7"/>
  <c r="U14" i="6"/>
  <c r="U10" i="6"/>
  <c r="X4" i="6" a="1"/>
  <c r="X14" i="6" a="1"/>
  <c r="T14" i="6"/>
  <c r="W13" i="6" a="1"/>
  <c r="X12" i="6" a="1"/>
  <c r="T12" i="6"/>
  <c r="W11" i="6" a="1"/>
  <c r="X10" i="6" a="1"/>
  <c r="T10" i="6"/>
  <c r="W9" i="6" a="1"/>
  <c r="X8" i="6" a="1"/>
  <c r="T8" i="6"/>
  <c r="W7" i="6" a="1"/>
  <c r="X6" i="6" a="1"/>
  <c r="T6" i="6"/>
  <c r="W5" i="6" a="1"/>
  <c r="U13" i="6"/>
  <c r="U11" i="6"/>
  <c r="U9" i="6"/>
  <c r="U7" i="6"/>
  <c r="U5" i="6"/>
  <c r="W8" i="6" a="1"/>
  <c r="T7" i="6"/>
  <c r="X5" i="6" a="1"/>
  <c r="W4" i="6" a="1"/>
  <c r="U12" i="6"/>
  <c r="U6" i="6"/>
  <c r="T4" i="6"/>
  <c r="W14" i="6" a="1"/>
  <c r="X13" i="6" a="1"/>
  <c r="T13" i="6"/>
  <c r="W12" i="6" a="1"/>
  <c r="X11" i="6" a="1"/>
  <c r="T11" i="6"/>
  <c r="W10" i="6" a="1"/>
  <c r="X9" i="6" a="1"/>
  <c r="T9" i="6"/>
  <c r="X7" i="6" a="1"/>
  <c r="W6" i="6" a="1"/>
  <c r="T5" i="6"/>
  <c r="U8" i="6"/>
  <c r="U4" i="6"/>
  <c r="U14" i="5"/>
  <c r="U12" i="5"/>
  <c r="U10" i="5"/>
  <c r="U8" i="5"/>
  <c r="U6" i="5"/>
  <c r="U4" i="5"/>
  <c r="U10" i="4"/>
  <c r="X7" i="4" a="1"/>
  <c r="W13" i="4" a="1"/>
  <c r="X10" i="4" a="1"/>
  <c r="T8" i="4"/>
  <c r="W5" i="4" a="1"/>
  <c r="U9" i="4"/>
  <c r="T9" i="4"/>
  <c r="X13" i="4" a="1"/>
  <c r="T11" i="4"/>
  <c r="W6" i="4" a="1"/>
  <c r="X13" i="1" a="1"/>
  <c r="U13" i="1"/>
  <c r="U5" i="1"/>
  <c r="T7" i="1"/>
  <c r="W14" i="1" a="1"/>
  <c r="U10" i="1"/>
  <c r="X8" i="1" a="1"/>
  <c r="X14" i="1" a="1"/>
  <c r="W13" i="1" a="1"/>
  <c r="T8" i="1"/>
  <c r="W4" i="1" a="1"/>
  <c r="U13" i="4"/>
  <c r="U11" i="4"/>
  <c r="W8" i="4" a="1"/>
  <c r="X12" i="1" a="1"/>
  <c r="W7" i="1" a="1"/>
  <c r="T13" i="1"/>
  <c r="U12" i="1"/>
  <c r="T5" i="1"/>
  <c r="T10" i="1"/>
  <c r="X14" i="5" a="1"/>
  <c r="T14" i="5"/>
  <c r="W13" i="5" a="1"/>
  <c r="X12" i="5" a="1"/>
  <c r="T12" i="5"/>
  <c r="W11" i="5" a="1"/>
  <c r="X10" i="5" a="1"/>
  <c r="T10" i="5"/>
  <c r="W9" i="5" a="1"/>
  <c r="X8" i="5" a="1"/>
  <c r="T8" i="5"/>
  <c r="W7" i="5" a="1"/>
  <c r="X6" i="5" a="1"/>
  <c r="T6" i="5"/>
  <c r="W5" i="5" a="1"/>
  <c r="X4" i="5" a="1"/>
  <c r="T4" i="5"/>
  <c r="U8" i="4"/>
  <c r="X5" i="4" a="1"/>
  <c r="X12" i="4" a="1"/>
  <c r="T10" i="4"/>
  <c r="W7" i="4" a="1"/>
  <c r="X4" i="4" a="1"/>
  <c r="U7" i="4"/>
  <c r="T7" i="4"/>
  <c r="T13" i="4"/>
  <c r="W10" i="4" a="1"/>
  <c r="W4" i="4" a="1"/>
  <c r="W6" i="1" a="1"/>
  <c r="U11" i="1"/>
  <c r="X6" i="1" a="1"/>
  <c r="X7" i="1" a="1"/>
  <c r="W5" i="1" a="1"/>
  <c r="U8" i="1"/>
  <c r="W11" i="1" a="1"/>
  <c r="X5" i="1" a="1"/>
  <c r="T14" i="1"/>
  <c r="T6" i="1"/>
  <c r="T9" i="1"/>
  <c r="W11" i="4" a="1"/>
  <c r="U13" i="5"/>
  <c r="U11" i="5"/>
  <c r="U9" i="5"/>
  <c r="U7" i="5"/>
  <c r="U5" i="5"/>
  <c r="U14" i="4"/>
  <c r="U6" i="4"/>
  <c r="X14" i="4" a="1"/>
  <c r="T12" i="4"/>
  <c r="W9" i="4" a="1"/>
  <c r="X6" i="4" a="1"/>
  <c r="T4" i="4"/>
  <c r="U5" i="4"/>
  <c r="T5" i="4"/>
  <c r="W12" i="4" a="1"/>
  <c r="X9" i="4" a="1"/>
  <c r="X10" i="1" a="1"/>
  <c r="W8" i="1" a="1"/>
  <c r="U9" i="1"/>
  <c r="W9" i="1" a="1"/>
  <c r="X4" i="1" a="1"/>
  <c r="U14" i="1"/>
  <c r="U6" i="1"/>
  <c r="T11" i="1"/>
  <c r="W12" i="1" a="1"/>
  <c r="T12" i="1"/>
  <c r="T4" i="1"/>
  <c r="X13" i="5" a="1"/>
  <c r="T13" i="5"/>
  <c r="W12" i="5" a="1"/>
  <c r="X11" i="5" a="1"/>
  <c r="T11" i="5"/>
  <c r="W10" i="5" a="1"/>
  <c r="X9" i="5" a="1"/>
  <c r="T9" i="5"/>
  <c r="W8" i="5" a="1"/>
  <c r="X7" i="5" a="1"/>
  <c r="T7" i="5"/>
  <c r="W6" i="5" a="1"/>
  <c r="X5" i="5" a="1"/>
  <c r="T5" i="5"/>
  <c r="W4" i="5" a="1"/>
  <c r="U12" i="4"/>
  <c r="U4" i="4"/>
  <c r="T14" i="4"/>
  <c r="X8" i="4" a="1"/>
  <c r="T6" i="4"/>
  <c r="W14" i="4" a="1"/>
  <c r="X11" i="4" a="1"/>
  <c r="U7" i="1"/>
  <c r="X9" i="1" a="1"/>
  <c r="U4" i="1"/>
  <c r="W10" i="1" a="1"/>
  <c r="X11" i="1" a="1"/>
  <c r="W14" i="5" a="1"/>
  <c r="H8" i="8" l="1"/>
  <c r="G8" i="8"/>
  <c r="C10" i="8"/>
  <c r="E9" i="8"/>
  <c r="D9" i="8"/>
  <c r="G9" i="8" s="1"/>
  <c r="G1" i="9"/>
  <c r="F2" i="9"/>
  <c r="D156" i="7"/>
  <c r="D155" i="7"/>
  <c r="D154" i="7"/>
  <c r="D153" i="7"/>
  <c r="D152" i="7"/>
  <c r="D151" i="7"/>
  <c r="D150" i="7"/>
  <c r="D149" i="7"/>
  <c r="D145" i="7"/>
  <c r="D141" i="7"/>
  <c r="D137" i="7"/>
  <c r="D148" i="7"/>
  <c r="D144" i="7"/>
  <c r="D140" i="7"/>
  <c r="D136" i="7"/>
  <c r="D147" i="7"/>
  <c r="D143" i="7"/>
  <c r="D139" i="7"/>
  <c r="D132" i="7"/>
  <c r="D128" i="7"/>
  <c r="D124" i="7"/>
  <c r="D135" i="7"/>
  <c r="D131" i="7"/>
  <c r="D127" i="7"/>
  <c r="D123" i="7"/>
  <c r="D134" i="7"/>
  <c r="D130" i="7"/>
  <c r="D126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46" i="7"/>
  <c r="D138" i="7"/>
  <c r="D133" i="7"/>
  <c r="D129" i="7"/>
  <c r="D125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142" i="7"/>
  <c r="D104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9" i="7"/>
  <c r="D13" i="7"/>
  <c r="D12" i="7"/>
  <c r="D11" i="7"/>
  <c r="D10" i="7"/>
  <c r="D8" i="7"/>
  <c r="D7" i="7"/>
  <c r="D6" i="7"/>
  <c r="D5" i="7"/>
  <c r="D4" i="7"/>
  <c r="D3" i="7"/>
  <c r="D103" i="7"/>
  <c r="E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H9" i="8" l="1"/>
  <c r="C11" i="8"/>
  <c r="E10" i="8"/>
  <c r="D10" i="8"/>
  <c r="G10" i="8" s="1"/>
  <c r="H1" i="9"/>
  <c r="G2" i="9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104" i="7"/>
  <c r="E105" i="7"/>
  <c r="E103" i="7"/>
  <c r="E69" i="7"/>
  <c r="E68" i="7"/>
  <c r="E67" i="7"/>
  <c r="E66" i="7"/>
  <c r="E80" i="7"/>
  <c r="E76" i="7"/>
  <c r="E7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102" i="7"/>
  <c r="E78" i="7"/>
  <c r="E74" i="7"/>
  <c r="E70" i="7"/>
  <c r="E79" i="7"/>
  <c r="E75" i="7"/>
  <c r="E71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3" i="7"/>
  <c r="E36" i="7"/>
  <c r="E32" i="7"/>
  <c r="E81" i="7"/>
  <c r="E73" i="7"/>
  <c r="E34" i="7"/>
  <c r="F2" i="7"/>
  <c r="E77" i="7"/>
  <c r="E35" i="7"/>
  <c r="H10" i="8" l="1"/>
  <c r="C12" i="8"/>
  <c r="E11" i="8"/>
  <c r="D11" i="8"/>
  <c r="G11" i="8" s="1"/>
  <c r="I1" i="9"/>
  <c r="H2" i="9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6" i="7"/>
  <c r="F92" i="7"/>
  <c r="F88" i="7"/>
  <c r="F84" i="7"/>
  <c r="F79" i="7"/>
  <c r="F75" i="7"/>
  <c r="F71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2" i="7"/>
  <c r="G2" i="7"/>
  <c r="F98" i="7"/>
  <c r="F94" i="7"/>
  <c r="F90" i="7"/>
  <c r="F86" i="7"/>
  <c r="F82" i="7"/>
  <c r="F97" i="7"/>
  <c r="F93" i="7"/>
  <c r="F89" i="7"/>
  <c r="F85" i="7"/>
  <c r="F78" i="7"/>
  <c r="F74" i="7"/>
  <c r="F70" i="7"/>
  <c r="F68" i="7"/>
  <c r="F66" i="7"/>
  <c r="F36" i="7"/>
  <c r="F35" i="7"/>
  <c r="F34" i="7"/>
  <c r="F33" i="7"/>
  <c r="F81" i="7"/>
  <c r="F77" i="7"/>
  <c r="F73" i="7"/>
  <c r="F80" i="7"/>
  <c r="F76" i="7"/>
  <c r="F72" i="7"/>
  <c r="F99" i="7"/>
  <c r="F91" i="7"/>
  <c r="F83" i="7"/>
  <c r="F67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87" i="7"/>
  <c r="F95" i="7"/>
  <c r="F69" i="7"/>
  <c r="C13" i="8" l="1"/>
  <c r="E12" i="8"/>
  <c r="D12" i="8"/>
  <c r="G12" i="8" s="1"/>
  <c r="H11" i="8"/>
  <c r="J1" i="9"/>
  <c r="I2" i="9"/>
  <c r="H2" i="7"/>
  <c r="G155" i="7"/>
  <c r="G151" i="7"/>
  <c r="G148" i="7"/>
  <c r="G144" i="7"/>
  <c r="G140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54" i="7"/>
  <c r="G150" i="7"/>
  <c r="G147" i="7"/>
  <c r="G143" i="7"/>
  <c r="G139" i="7"/>
  <c r="G153" i="7"/>
  <c r="G149" i="7"/>
  <c r="G146" i="7"/>
  <c r="G142" i="7"/>
  <c r="G138" i="7"/>
  <c r="G122" i="7"/>
  <c r="G156" i="7"/>
  <c r="G152" i="7"/>
  <c r="G145" i="7"/>
  <c r="G141" i="7"/>
  <c r="G137" i="7"/>
  <c r="G121" i="7"/>
  <c r="G117" i="7"/>
  <c r="G113" i="7"/>
  <c r="G109" i="7"/>
  <c r="G104" i="7"/>
  <c r="G120" i="7"/>
  <c r="G116" i="7"/>
  <c r="G112" i="7"/>
  <c r="G108" i="7"/>
  <c r="G105" i="7"/>
  <c r="G103" i="7"/>
  <c r="G119" i="7"/>
  <c r="G115" i="7"/>
  <c r="G111" i="7"/>
  <c r="G107" i="7"/>
  <c r="G102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118" i="7"/>
  <c r="G114" i="7"/>
  <c r="G110" i="7"/>
  <c r="G10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68" i="7"/>
  <c r="G66" i="7"/>
  <c r="G36" i="7"/>
  <c r="G35" i="7"/>
  <c r="G34" i="7"/>
  <c r="G33" i="7"/>
  <c r="G32" i="7"/>
  <c r="G67" i="7"/>
  <c r="G101" i="7"/>
  <c r="G69" i="7"/>
  <c r="G28" i="7"/>
  <c r="G24" i="7"/>
  <c r="G20" i="7"/>
  <c r="G18" i="7"/>
  <c r="G16" i="7"/>
  <c r="G14" i="7"/>
  <c r="G12" i="7"/>
  <c r="G10" i="7"/>
  <c r="G8" i="7"/>
  <c r="G6" i="7"/>
  <c r="G4" i="7"/>
  <c r="G30" i="7"/>
  <c r="G26" i="7"/>
  <c r="G19" i="7"/>
  <c r="G17" i="7"/>
  <c r="G9" i="7"/>
  <c r="G3" i="7"/>
  <c r="G29" i="7"/>
  <c r="G25" i="7"/>
  <c r="G21" i="7"/>
  <c r="G31" i="7"/>
  <c r="G27" i="7"/>
  <c r="G23" i="7"/>
  <c r="G22" i="7"/>
  <c r="G13" i="7"/>
  <c r="G11" i="7"/>
  <c r="G5" i="7"/>
  <c r="G15" i="7"/>
  <c r="G7" i="7"/>
  <c r="H12" i="8" l="1"/>
  <c r="C14" i="8"/>
  <c r="E13" i="8"/>
  <c r="D13" i="8"/>
  <c r="G13" i="8" s="1"/>
  <c r="K1" i="9"/>
  <c r="J2" i="9"/>
  <c r="I2" i="7"/>
  <c r="H156" i="7"/>
  <c r="H155" i="7"/>
  <c r="H154" i="7"/>
  <c r="H153" i="7"/>
  <c r="H152" i="7"/>
  <c r="H151" i="7"/>
  <c r="H150" i="7"/>
  <c r="H149" i="7"/>
  <c r="H147" i="7"/>
  <c r="H143" i="7"/>
  <c r="H139" i="7"/>
  <c r="H146" i="7"/>
  <c r="H142" i="7"/>
  <c r="H138" i="7"/>
  <c r="H145" i="7"/>
  <c r="H141" i="7"/>
  <c r="H137" i="7"/>
  <c r="H135" i="7"/>
  <c r="H131" i="7"/>
  <c r="H127" i="7"/>
  <c r="H123" i="7"/>
  <c r="H148" i="7"/>
  <c r="H144" i="7"/>
  <c r="H140" i="7"/>
  <c r="H136" i="7"/>
  <c r="H134" i="7"/>
  <c r="H130" i="7"/>
  <c r="H126" i="7"/>
  <c r="H133" i="7"/>
  <c r="H129" i="7"/>
  <c r="H125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3" i="7"/>
  <c r="H102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132" i="7"/>
  <c r="H128" i="7"/>
  <c r="H124" i="7"/>
  <c r="H101" i="7"/>
  <c r="H122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104" i="7"/>
  <c r="C15" i="8" l="1"/>
  <c r="E14" i="8"/>
  <c r="D14" i="8"/>
  <c r="G14" i="8" s="1"/>
  <c r="H13" i="8"/>
  <c r="L1" i="9"/>
  <c r="K2" i="9"/>
  <c r="J2" i="7"/>
  <c r="I156" i="7"/>
  <c r="I155" i="7"/>
  <c r="I154" i="7"/>
  <c r="I153" i="7"/>
  <c r="I152" i="7"/>
  <c r="I151" i="7"/>
  <c r="I150" i="7"/>
  <c r="I149" i="7"/>
  <c r="I148" i="7"/>
  <c r="I147" i="7"/>
  <c r="I146" i="7"/>
  <c r="I145" i="7"/>
  <c r="I144" i="7"/>
  <c r="I143" i="7"/>
  <c r="I142" i="7"/>
  <c r="I141" i="7"/>
  <c r="I140" i="7"/>
  <c r="I139" i="7"/>
  <c r="I138" i="7"/>
  <c r="I137" i="7"/>
  <c r="I136" i="7"/>
  <c r="I135" i="7"/>
  <c r="I134" i="7"/>
  <c r="I133" i="7"/>
  <c r="I132" i="7"/>
  <c r="I131" i="7"/>
  <c r="I130" i="7"/>
  <c r="I129" i="7"/>
  <c r="I128" i="7"/>
  <c r="I127" i="7"/>
  <c r="I126" i="7"/>
  <c r="I125" i="7"/>
  <c r="I124" i="7"/>
  <c r="I123" i="7"/>
  <c r="I121" i="7"/>
  <c r="I120" i="7"/>
  <c r="I119" i="7"/>
  <c r="I118" i="7"/>
  <c r="I117" i="7"/>
  <c r="I116" i="7"/>
  <c r="I115" i="7"/>
  <c r="I114" i="7"/>
  <c r="I113" i="7"/>
  <c r="I112" i="7"/>
  <c r="I111" i="7"/>
  <c r="I110" i="7"/>
  <c r="I109" i="7"/>
  <c r="I108" i="7"/>
  <c r="I107" i="7"/>
  <c r="I106" i="7"/>
  <c r="I122" i="7"/>
  <c r="I105" i="7"/>
  <c r="I102" i="7"/>
  <c r="I100" i="7"/>
  <c r="I99" i="7"/>
  <c r="I98" i="7"/>
  <c r="I97" i="7"/>
  <c r="I96" i="7"/>
  <c r="I95" i="7"/>
  <c r="I94" i="7"/>
  <c r="I93" i="7"/>
  <c r="I92" i="7"/>
  <c r="I91" i="7"/>
  <c r="I90" i="7"/>
  <c r="I89" i="7"/>
  <c r="I88" i="7"/>
  <c r="I87" i="7"/>
  <c r="I86" i="7"/>
  <c r="I85" i="7"/>
  <c r="I84" i="7"/>
  <c r="I83" i="7"/>
  <c r="I82" i="7"/>
  <c r="I101" i="7"/>
  <c r="I104" i="7"/>
  <c r="I81" i="7"/>
  <c r="I80" i="7"/>
  <c r="I79" i="7"/>
  <c r="I78" i="7"/>
  <c r="I77" i="7"/>
  <c r="I76" i="7"/>
  <c r="I75" i="7"/>
  <c r="I74" i="7"/>
  <c r="I73" i="7"/>
  <c r="I72" i="7"/>
  <c r="I71" i="7"/>
  <c r="I70" i="7"/>
  <c r="I69" i="7"/>
  <c r="I68" i="7"/>
  <c r="I67" i="7"/>
  <c r="I66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I4" i="7"/>
  <c r="I3" i="7"/>
  <c r="I103" i="7"/>
  <c r="I65" i="7"/>
  <c r="I61" i="7"/>
  <c r="I57" i="7"/>
  <c r="I53" i="7"/>
  <c r="I49" i="7"/>
  <c r="I45" i="7"/>
  <c r="I41" i="7"/>
  <c r="I34" i="7"/>
  <c r="I64" i="7"/>
  <c r="I60" i="7"/>
  <c r="I56" i="7"/>
  <c r="I52" i="7"/>
  <c r="I48" i="7"/>
  <c r="I44" i="7"/>
  <c r="I40" i="7"/>
  <c r="I33" i="7"/>
  <c r="I38" i="7"/>
  <c r="I32" i="7"/>
  <c r="I35" i="7"/>
  <c r="I58" i="7"/>
  <c r="I46" i="7"/>
  <c r="I37" i="7"/>
  <c r="I63" i="7"/>
  <c r="I59" i="7"/>
  <c r="I55" i="7"/>
  <c r="I51" i="7"/>
  <c r="I47" i="7"/>
  <c r="I43" i="7"/>
  <c r="I39" i="7"/>
  <c r="I36" i="7"/>
  <c r="I54" i="7"/>
  <c r="I42" i="7"/>
  <c r="I62" i="7"/>
  <c r="I50" i="7"/>
  <c r="H14" i="8" l="1"/>
  <c r="C16" i="8"/>
  <c r="E15" i="8"/>
  <c r="D15" i="8"/>
  <c r="G15" i="8" s="1"/>
  <c r="M1" i="9"/>
  <c r="L2" i="9"/>
  <c r="K2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97" i="7"/>
  <c r="J93" i="7"/>
  <c r="J89" i="7"/>
  <c r="J85" i="7"/>
  <c r="J64" i="7"/>
  <c r="J62" i="7"/>
  <c r="J60" i="7"/>
  <c r="J58" i="7"/>
  <c r="J56" i="7"/>
  <c r="J54" i="7"/>
  <c r="J52" i="7"/>
  <c r="J50" i="7"/>
  <c r="J48" i="7"/>
  <c r="J46" i="7"/>
  <c r="J44" i="7"/>
  <c r="J42" i="7"/>
  <c r="J40" i="7"/>
  <c r="J98" i="7"/>
  <c r="J94" i="7"/>
  <c r="J90" i="7"/>
  <c r="J86" i="7"/>
  <c r="J82" i="7"/>
  <c r="J99" i="7"/>
  <c r="J95" i="7"/>
  <c r="J91" i="7"/>
  <c r="J87" i="7"/>
  <c r="J83" i="7"/>
  <c r="J65" i="7"/>
  <c r="J63" i="7"/>
  <c r="J61" i="7"/>
  <c r="J59" i="7"/>
  <c r="J57" i="7"/>
  <c r="J55" i="7"/>
  <c r="J53" i="7"/>
  <c r="J51" i="7"/>
  <c r="J49" i="7"/>
  <c r="J47" i="7"/>
  <c r="J45" i="7"/>
  <c r="J43" i="7"/>
  <c r="J41" i="7"/>
  <c r="J39" i="7"/>
  <c r="J35" i="7"/>
  <c r="J96" i="7"/>
  <c r="J88" i="7"/>
  <c r="J34" i="7"/>
  <c r="J100" i="7"/>
  <c r="J84" i="7"/>
  <c r="J33" i="7"/>
  <c r="J31" i="7"/>
  <c r="J27" i="7"/>
  <c r="J23" i="7"/>
  <c r="J37" i="7"/>
  <c r="J21" i="7"/>
  <c r="J18" i="7"/>
  <c r="J12" i="7"/>
  <c r="J6" i="7"/>
  <c r="J36" i="7"/>
  <c r="J30" i="7"/>
  <c r="J26" i="7"/>
  <c r="J22" i="7"/>
  <c r="J19" i="7"/>
  <c r="J17" i="7"/>
  <c r="J15" i="7"/>
  <c r="J13" i="7"/>
  <c r="J11" i="7"/>
  <c r="J9" i="7"/>
  <c r="J7" i="7"/>
  <c r="J5" i="7"/>
  <c r="J3" i="7"/>
  <c r="J92" i="7"/>
  <c r="J25" i="7"/>
  <c r="J32" i="7"/>
  <c r="J28" i="7"/>
  <c r="J24" i="7"/>
  <c r="J20" i="7"/>
  <c r="J14" i="7"/>
  <c r="J8" i="7"/>
  <c r="J29" i="7"/>
  <c r="J38" i="7"/>
  <c r="J16" i="7"/>
  <c r="J10" i="7"/>
  <c r="J4" i="7"/>
  <c r="C17" i="8" l="1"/>
  <c r="E16" i="8"/>
  <c r="D16" i="8"/>
  <c r="G16" i="8" s="1"/>
  <c r="H15" i="8"/>
  <c r="N1" i="9"/>
  <c r="M2" i="9"/>
  <c r="L2" i="7"/>
  <c r="K154" i="7"/>
  <c r="K150" i="7"/>
  <c r="K146" i="7"/>
  <c r="K142" i="7"/>
  <c r="K138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53" i="7"/>
  <c r="K149" i="7"/>
  <c r="K145" i="7"/>
  <c r="K141" i="7"/>
  <c r="K137" i="7"/>
  <c r="K156" i="7"/>
  <c r="K152" i="7"/>
  <c r="K148" i="7"/>
  <c r="K144" i="7"/>
  <c r="K140" i="7"/>
  <c r="K136" i="7"/>
  <c r="K122" i="7"/>
  <c r="K151" i="7"/>
  <c r="K143" i="7"/>
  <c r="K120" i="7"/>
  <c r="K116" i="7"/>
  <c r="K112" i="7"/>
  <c r="K108" i="7"/>
  <c r="K101" i="7"/>
  <c r="K119" i="7"/>
  <c r="K115" i="7"/>
  <c r="K111" i="7"/>
  <c r="K107" i="7"/>
  <c r="K104" i="7"/>
  <c r="K155" i="7"/>
  <c r="K147" i="7"/>
  <c r="K139" i="7"/>
  <c r="K118" i="7"/>
  <c r="K114" i="7"/>
  <c r="K110" i="7"/>
  <c r="K106" i="7"/>
  <c r="K103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121" i="7"/>
  <c r="K113" i="7"/>
  <c r="K105" i="7"/>
  <c r="K109" i="7"/>
  <c r="K102" i="7"/>
  <c r="K67" i="7"/>
  <c r="K35" i="7"/>
  <c r="K34" i="7"/>
  <c r="K33" i="7"/>
  <c r="K32" i="7"/>
  <c r="K117" i="7"/>
  <c r="K68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7" i="7"/>
  <c r="K15" i="7"/>
  <c r="K13" i="7"/>
  <c r="K11" i="7"/>
  <c r="K9" i="7"/>
  <c r="K7" i="7"/>
  <c r="K5" i="7"/>
  <c r="K3" i="7"/>
  <c r="K14" i="7"/>
  <c r="K12" i="7"/>
  <c r="K6" i="7"/>
  <c r="K18" i="7"/>
  <c r="K16" i="7"/>
  <c r="K8" i="7"/>
  <c r="K66" i="7"/>
  <c r="K10" i="7"/>
  <c r="K4" i="7"/>
  <c r="H16" i="8" l="1"/>
  <c r="E17" i="8"/>
  <c r="D17" i="8"/>
  <c r="G17" i="8" s="1"/>
  <c r="O1" i="9"/>
  <c r="N2" i="9"/>
  <c r="M2" i="7"/>
  <c r="L156" i="7"/>
  <c r="L155" i="7"/>
  <c r="L154" i="7"/>
  <c r="L153" i="7"/>
  <c r="L152" i="7"/>
  <c r="L151" i="7"/>
  <c r="L150" i="7"/>
  <c r="L149" i="7"/>
  <c r="L148" i="7"/>
  <c r="L145" i="7"/>
  <c r="L141" i="7"/>
  <c r="L137" i="7"/>
  <c r="L144" i="7"/>
  <c r="L140" i="7"/>
  <c r="L136" i="7"/>
  <c r="L147" i="7"/>
  <c r="L143" i="7"/>
  <c r="L139" i="7"/>
  <c r="L134" i="7"/>
  <c r="L130" i="7"/>
  <c r="L126" i="7"/>
  <c r="L122" i="7"/>
  <c r="L133" i="7"/>
  <c r="L129" i="7"/>
  <c r="L125" i="7"/>
  <c r="L146" i="7"/>
  <c r="L142" i="7"/>
  <c r="L138" i="7"/>
  <c r="L132" i="7"/>
  <c r="L128" i="7"/>
  <c r="L124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35" i="7"/>
  <c r="L131" i="7"/>
  <c r="L127" i="7"/>
  <c r="L123" i="7"/>
  <c r="L104" i="7"/>
  <c r="L103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102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101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8" i="7"/>
  <c r="L12" i="7"/>
  <c r="L11" i="7"/>
  <c r="L10" i="7"/>
  <c r="L9" i="7"/>
  <c r="L7" i="7"/>
  <c r="L6" i="7"/>
  <c r="L5" i="7"/>
  <c r="L4" i="7"/>
  <c r="L3" i="7"/>
  <c r="H17" i="8" l="1"/>
  <c r="P1" i="9"/>
  <c r="O2" i="9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3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102" i="7"/>
  <c r="M122" i="7"/>
  <c r="M101" i="7"/>
  <c r="M104" i="7"/>
  <c r="M78" i="7"/>
  <c r="M74" i="7"/>
  <c r="M70" i="7"/>
  <c r="M67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N2" i="7"/>
  <c r="M80" i="7"/>
  <c r="M76" i="7"/>
  <c r="M72" i="7"/>
  <c r="M68" i="7"/>
  <c r="M81" i="7"/>
  <c r="M77" i="7"/>
  <c r="M73" i="7"/>
  <c r="M69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66" i="7"/>
  <c r="M71" i="7"/>
  <c r="M75" i="7"/>
  <c r="M79" i="7"/>
  <c r="Q1" i="9" l="1"/>
  <c r="P2" i="9"/>
  <c r="O2" i="7"/>
  <c r="N156" i="7"/>
  <c r="N155" i="7"/>
  <c r="N154" i="7"/>
  <c r="N153" i="7"/>
  <c r="N152" i="7"/>
  <c r="N151" i="7"/>
  <c r="N150" i="7"/>
  <c r="N149" i="7"/>
  <c r="N148" i="7"/>
  <c r="N147" i="7"/>
  <c r="N146" i="7"/>
  <c r="N145" i="7"/>
  <c r="N144" i="7"/>
  <c r="N143" i="7"/>
  <c r="N142" i="7"/>
  <c r="N141" i="7"/>
  <c r="N140" i="7"/>
  <c r="N139" i="7"/>
  <c r="N138" i="7"/>
  <c r="N137" i="7"/>
  <c r="N136" i="7"/>
  <c r="N135" i="7"/>
  <c r="N134" i="7"/>
  <c r="N133" i="7"/>
  <c r="N132" i="7"/>
  <c r="N131" i="7"/>
  <c r="N130" i="7"/>
  <c r="N129" i="7"/>
  <c r="N128" i="7"/>
  <c r="N127" i="7"/>
  <c r="N126" i="7"/>
  <c r="N125" i="7"/>
  <c r="N124" i="7"/>
  <c r="N123" i="7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N95" i="7"/>
  <c r="N94" i="7"/>
  <c r="N93" i="7"/>
  <c r="N92" i="7"/>
  <c r="N91" i="7"/>
  <c r="N90" i="7"/>
  <c r="N89" i="7"/>
  <c r="N88" i="7"/>
  <c r="N87" i="7"/>
  <c r="N86" i="7"/>
  <c r="N85" i="7"/>
  <c r="N84" i="7"/>
  <c r="N83" i="7"/>
  <c r="N82" i="7"/>
  <c r="N68" i="7"/>
  <c r="N67" i="7"/>
  <c r="N66" i="7"/>
  <c r="N81" i="7"/>
  <c r="N77" i="7"/>
  <c r="N73" i="7"/>
  <c r="N69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80" i="7"/>
  <c r="N76" i="7"/>
  <c r="N72" i="7"/>
  <c r="N79" i="7"/>
  <c r="N75" i="7"/>
  <c r="N71" i="7"/>
  <c r="N78" i="7"/>
  <c r="N74" i="7"/>
  <c r="N70" i="7"/>
  <c r="N32" i="7"/>
  <c r="N35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33" i="7"/>
  <c r="N34" i="7"/>
  <c r="R1" i="9" l="1"/>
  <c r="R2" i="9" s="1"/>
  <c r="Q2" i="9"/>
  <c r="P2" i="7"/>
  <c r="O153" i="7"/>
  <c r="O149" i="7"/>
  <c r="O144" i="7"/>
  <c r="O140" i="7"/>
  <c r="O136" i="7"/>
  <c r="O134" i="7"/>
  <c r="O133" i="7"/>
  <c r="O132" i="7"/>
  <c r="O131" i="7"/>
  <c r="O130" i="7"/>
  <c r="O129" i="7"/>
  <c r="O128" i="7"/>
  <c r="O127" i="7"/>
  <c r="O126" i="7"/>
  <c r="O125" i="7"/>
  <c r="O124" i="7"/>
  <c r="O123" i="7"/>
  <c r="O156" i="7"/>
  <c r="O152" i="7"/>
  <c r="O148" i="7"/>
  <c r="O147" i="7"/>
  <c r="O143" i="7"/>
  <c r="O139" i="7"/>
  <c r="O135" i="7"/>
  <c r="O155" i="7"/>
  <c r="O151" i="7"/>
  <c r="O146" i="7"/>
  <c r="O142" i="7"/>
  <c r="O138" i="7"/>
  <c r="O154" i="7"/>
  <c r="O150" i="7"/>
  <c r="O145" i="7"/>
  <c r="O141" i="7"/>
  <c r="O137" i="7"/>
  <c r="O122" i="7"/>
  <c r="O119" i="7"/>
  <c r="O115" i="7"/>
  <c r="O111" i="7"/>
  <c r="O107" i="7"/>
  <c r="O102" i="7"/>
  <c r="O118" i="7"/>
  <c r="O114" i="7"/>
  <c r="O110" i="7"/>
  <c r="O106" i="7"/>
  <c r="O101" i="7"/>
  <c r="O121" i="7"/>
  <c r="O117" i="7"/>
  <c r="O113" i="7"/>
  <c r="O109" i="7"/>
  <c r="O105" i="7"/>
  <c r="O104" i="7"/>
  <c r="O100" i="7"/>
  <c r="O99" i="7"/>
  <c r="O98" i="7"/>
  <c r="O97" i="7"/>
  <c r="O96" i="7"/>
  <c r="O95" i="7"/>
  <c r="O94" i="7"/>
  <c r="O93" i="7"/>
  <c r="O92" i="7"/>
  <c r="O91" i="7"/>
  <c r="O90" i="7"/>
  <c r="O89" i="7"/>
  <c r="O88" i="7"/>
  <c r="O87" i="7"/>
  <c r="O86" i="7"/>
  <c r="O85" i="7"/>
  <c r="O84" i="7"/>
  <c r="O83" i="7"/>
  <c r="O82" i="7"/>
  <c r="O81" i="7"/>
  <c r="O80" i="7"/>
  <c r="O79" i="7"/>
  <c r="O78" i="7"/>
  <c r="O77" i="7"/>
  <c r="O76" i="7"/>
  <c r="O75" i="7"/>
  <c r="O74" i="7"/>
  <c r="O73" i="7"/>
  <c r="O72" i="7"/>
  <c r="O71" i="7"/>
  <c r="O70" i="7"/>
  <c r="O69" i="7"/>
  <c r="O120" i="7"/>
  <c r="O116" i="7"/>
  <c r="O112" i="7"/>
  <c r="O108" i="7"/>
  <c r="O68" i="7"/>
  <c r="O67" i="7"/>
  <c r="O66" i="7"/>
  <c r="O103" i="7"/>
  <c r="O65" i="7"/>
  <c r="O64" i="7"/>
  <c r="O63" i="7"/>
  <c r="O62" i="7"/>
  <c r="O61" i="7"/>
  <c r="O60" i="7"/>
  <c r="O59" i="7"/>
  <c r="O58" i="7"/>
  <c r="O57" i="7"/>
  <c r="O56" i="7"/>
  <c r="O55" i="7"/>
  <c r="O54" i="7"/>
  <c r="O53" i="7"/>
  <c r="O52" i="7"/>
  <c r="O51" i="7"/>
  <c r="O50" i="7"/>
  <c r="O49" i="7"/>
  <c r="O48" i="7"/>
  <c r="O47" i="7"/>
  <c r="O46" i="7"/>
  <c r="O45" i="7"/>
  <c r="O44" i="7"/>
  <c r="O43" i="7"/>
  <c r="O42" i="7"/>
  <c r="O41" i="7"/>
  <c r="O40" i="7"/>
  <c r="O39" i="7"/>
  <c r="O38" i="7"/>
  <c r="O37" i="7"/>
  <c r="O36" i="7"/>
  <c r="O33" i="7"/>
  <c r="O32" i="7"/>
  <c r="O30" i="7"/>
  <c r="O26" i="7"/>
  <c r="O22" i="7"/>
  <c r="O24" i="7"/>
  <c r="O15" i="7"/>
  <c r="O9" i="7"/>
  <c r="O3" i="7"/>
  <c r="O35" i="7"/>
  <c r="O29" i="7"/>
  <c r="O25" i="7"/>
  <c r="O21" i="7"/>
  <c r="O18" i="7"/>
  <c r="O16" i="7"/>
  <c r="O14" i="7"/>
  <c r="O12" i="7"/>
  <c r="O10" i="7"/>
  <c r="O8" i="7"/>
  <c r="O6" i="7"/>
  <c r="O4" i="7"/>
  <c r="O34" i="7"/>
  <c r="O28" i="7"/>
  <c r="O17" i="7"/>
  <c r="O11" i="7"/>
  <c r="O5" i="7"/>
  <c r="O20" i="7"/>
  <c r="O31" i="7"/>
  <c r="O27" i="7"/>
  <c r="O23" i="7"/>
  <c r="O19" i="7"/>
  <c r="O13" i="7"/>
  <c r="O7" i="7"/>
  <c r="Q2" i="7" l="1"/>
  <c r="P156" i="7"/>
  <c r="P155" i="7"/>
  <c r="P154" i="7"/>
  <c r="P153" i="7"/>
  <c r="P152" i="7"/>
  <c r="P151" i="7"/>
  <c r="P150" i="7"/>
  <c r="P149" i="7"/>
  <c r="P148" i="7"/>
  <c r="P147" i="7"/>
  <c r="P143" i="7"/>
  <c r="P139" i="7"/>
  <c r="P135" i="7"/>
  <c r="P146" i="7"/>
  <c r="P142" i="7"/>
  <c r="P138" i="7"/>
  <c r="P145" i="7"/>
  <c r="P141" i="7"/>
  <c r="P137" i="7"/>
  <c r="P144" i="7"/>
  <c r="P140" i="7"/>
  <c r="P136" i="7"/>
  <c r="P133" i="7"/>
  <c r="P129" i="7"/>
  <c r="P125" i="7"/>
  <c r="P132" i="7"/>
  <c r="P128" i="7"/>
  <c r="P124" i="7"/>
  <c r="P122" i="7"/>
  <c r="P131" i="7"/>
  <c r="P127" i="7"/>
  <c r="P123" i="7"/>
  <c r="P121" i="7"/>
  <c r="P120" i="7"/>
  <c r="P119" i="7"/>
  <c r="P118" i="7"/>
  <c r="P117" i="7"/>
  <c r="P116" i="7"/>
  <c r="P115" i="7"/>
  <c r="P114" i="7"/>
  <c r="P113" i="7"/>
  <c r="P112" i="7"/>
  <c r="P111" i="7"/>
  <c r="P110" i="7"/>
  <c r="P109" i="7"/>
  <c r="P108" i="7"/>
  <c r="P107" i="7"/>
  <c r="P106" i="7"/>
  <c r="P105" i="7"/>
  <c r="P104" i="7"/>
  <c r="P101" i="7"/>
  <c r="P100" i="7"/>
  <c r="P99" i="7"/>
  <c r="P98" i="7"/>
  <c r="P97" i="7"/>
  <c r="P96" i="7"/>
  <c r="P95" i="7"/>
  <c r="P94" i="7"/>
  <c r="P93" i="7"/>
  <c r="P92" i="7"/>
  <c r="P91" i="7"/>
  <c r="P90" i="7"/>
  <c r="P89" i="7"/>
  <c r="P88" i="7"/>
  <c r="P87" i="7"/>
  <c r="P86" i="7"/>
  <c r="P85" i="7"/>
  <c r="P84" i="7"/>
  <c r="P83" i="7"/>
  <c r="P82" i="7"/>
  <c r="P81" i="7"/>
  <c r="P80" i="7"/>
  <c r="P79" i="7"/>
  <c r="P78" i="7"/>
  <c r="P77" i="7"/>
  <c r="P76" i="7"/>
  <c r="P75" i="7"/>
  <c r="P74" i="7"/>
  <c r="P73" i="7"/>
  <c r="P72" i="7"/>
  <c r="P71" i="7"/>
  <c r="P70" i="7"/>
  <c r="P69" i="7"/>
  <c r="P68" i="7"/>
  <c r="P67" i="7"/>
  <c r="P66" i="7"/>
  <c r="P134" i="7"/>
  <c r="P130" i="7"/>
  <c r="P126" i="7"/>
  <c r="P103" i="7"/>
  <c r="P65" i="7"/>
  <c r="P64" i="7"/>
  <c r="P63" i="7"/>
  <c r="P62" i="7"/>
  <c r="P61" i="7"/>
  <c r="P60" i="7"/>
  <c r="P59" i="7"/>
  <c r="P58" i="7"/>
  <c r="P57" i="7"/>
  <c r="P56" i="7"/>
  <c r="P55" i="7"/>
  <c r="P54" i="7"/>
  <c r="P53" i="7"/>
  <c r="P52" i="7"/>
  <c r="P51" i="7"/>
  <c r="P50" i="7"/>
  <c r="P49" i="7"/>
  <c r="P48" i="7"/>
  <c r="P47" i="7"/>
  <c r="P46" i="7"/>
  <c r="P45" i="7"/>
  <c r="P44" i="7"/>
  <c r="P43" i="7"/>
  <c r="P42" i="7"/>
  <c r="P41" i="7"/>
  <c r="P40" i="7"/>
  <c r="P39" i="7"/>
  <c r="P38" i="7"/>
  <c r="P37" i="7"/>
  <c r="P36" i="7"/>
  <c r="P35" i="7"/>
  <c r="P34" i="7"/>
  <c r="P33" i="7"/>
  <c r="P32" i="7"/>
  <c r="P31" i="7"/>
  <c r="P102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2" i="7"/>
  <c r="P11" i="7"/>
  <c r="P10" i="7"/>
  <c r="P9" i="7"/>
  <c r="P8" i="7"/>
  <c r="P7" i="7"/>
  <c r="P6" i="7"/>
  <c r="P5" i="7"/>
  <c r="P4" i="7"/>
  <c r="P3" i="7"/>
  <c r="P13" i="7"/>
  <c r="Q156" i="7" l="1"/>
  <c r="S156" i="7" s="1"/>
  <c r="Q155" i="7"/>
  <c r="S155" i="7" s="1"/>
  <c r="Q154" i="7"/>
  <c r="S154" i="7" s="1"/>
  <c r="Q153" i="7"/>
  <c r="S153" i="7" s="1"/>
  <c r="Q152" i="7"/>
  <c r="S152" i="7" s="1"/>
  <c r="Q151" i="7"/>
  <c r="S151" i="7" s="1"/>
  <c r="Q150" i="7"/>
  <c r="S150" i="7" s="1"/>
  <c r="Q149" i="7"/>
  <c r="S149" i="7" s="1"/>
  <c r="Q148" i="7"/>
  <c r="S148" i="7" s="1"/>
  <c r="Q147" i="7"/>
  <c r="S147" i="7" s="1"/>
  <c r="Q146" i="7"/>
  <c r="S146" i="7" s="1"/>
  <c r="Q145" i="7"/>
  <c r="S145" i="7" s="1"/>
  <c r="Q144" i="7"/>
  <c r="S144" i="7" s="1"/>
  <c r="Q143" i="7"/>
  <c r="S143" i="7" s="1"/>
  <c r="Q142" i="7"/>
  <c r="S142" i="7" s="1"/>
  <c r="Q141" i="7"/>
  <c r="S141" i="7" s="1"/>
  <c r="Q140" i="7"/>
  <c r="S140" i="7" s="1"/>
  <c r="Q139" i="7"/>
  <c r="S139" i="7" s="1"/>
  <c r="Q138" i="7"/>
  <c r="S138" i="7" s="1"/>
  <c r="Q137" i="7"/>
  <c r="S137" i="7" s="1"/>
  <c r="Q136" i="7"/>
  <c r="S136" i="7" s="1"/>
  <c r="Q135" i="7"/>
  <c r="S135" i="7" s="1"/>
  <c r="Q134" i="7"/>
  <c r="S134" i="7" s="1"/>
  <c r="Q133" i="7"/>
  <c r="S133" i="7" s="1"/>
  <c r="Q132" i="7"/>
  <c r="S132" i="7" s="1"/>
  <c r="Q131" i="7"/>
  <c r="S131" i="7" s="1"/>
  <c r="Q130" i="7"/>
  <c r="S130" i="7" s="1"/>
  <c r="Q129" i="7"/>
  <c r="S129" i="7" s="1"/>
  <c r="Q128" i="7"/>
  <c r="S128" i="7" s="1"/>
  <c r="Q127" i="7"/>
  <c r="S127" i="7" s="1"/>
  <c r="Q126" i="7"/>
  <c r="S126" i="7" s="1"/>
  <c r="Q125" i="7"/>
  <c r="S125" i="7" s="1"/>
  <c r="Q124" i="7"/>
  <c r="S124" i="7" s="1"/>
  <c r="Q123" i="7"/>
  <c r="S123" i="7" s="1"/>
  <c r="Q122" i="7"/>
  <c r="S122" i="7" s="1"/>
  <c r="Q121" i="7"/>
  <c r="S121" i="7" s="1"/>
  <c r="Q120" i="7"/>
  <c r="S120" i="7" s="1"/>
  <c r="Q119" i="7"/>
  <c r="S119" i="7" s="1"/>
  <c r="Q118" i="7"/>
  <c r="S118" i="7" s="1"/>
  <c r="Q117" i="7"/>
  <c r="S117" i="7" s="1"/>
  <c r="Q116" i="7"/>
  <c r="S116" i="7" s="1"/>
  <c r="Q115" i="7"/>
  <c r="S115" i="7" s="1"/>
  <c r="Q114" i="7"/>
  <c r="S114" i="7" s="1"/>
  <c r="Q113" i="7"/>
  <c r="S113" i="7" s="1"/>
  <c r="Q112" i="7"/>
  <c r="S112" i="7" s="1"/>
  <c r="Q111" i="7"/>
  <c r="S111" i="7" s="1"/>
  <c r="Q110" i="7"/>
  <c r="S110" i="7" s="1"/>
  <c r="Q109" i="7"/>
  <c r="S109" i="7" s="1"/>
  <c r="Q108" i="7"/>
  <c r="S108" i="7" s="1"/>
  <c r="Q107" i="7"/>
  <c r="S107" i="7" s="1"/>
  <c r="Q106" i="7"/>
  <c r="S106" i="7" s="1"/>
  <c r="Q105" i="7"/>
  <c r="S105" i="7" s="1"/>
  <c r="Q100" i="7"/>
  <c r="S100" i="7" s="1"/>
  <c r="Q99" i="7"/>
  <c r="S99" i="7" s="1"/>
  <c r="Q98" i="7"/>
  <c r="S98" i="7" s="1"/>
  <c r="Q97" i="7"/>
  <c r="S97" i="7" s="1"/>
  <c r="Q96" i="7"/>
  <c r="S96" i="7" s="1"/>
  <c r="Q95" i="7"/>
  <c r="S95" i="7" s="1"/>
  <c r="Q94" i="7"/>
  <c r="S94" i="7" s="1"/>
  <c r="Q93" i="7"/>
  <c r="S93" i="7" s="1"/>
  <c r="Q92" i="7"/>
  <c r="S92" i="7" s="1"/>
  <c r="Q91" i="7"/>
  <c r="S91" i="7" s="1"/>
  <c r="Q90" i="7"/>
  <c r="S90" i="7" s="1"/>
  <c r="Q89" i="7"/>
  <c r="S89" i="7" s="1"/>
  <c r="Q88" i="7"/>
  <c r="S88" i="7" s="1"/>
  <c r="Q87" i="7"/>
  <c r="S87" i="7" s="1"/>
  <c r="Q86" i="7"/>
  <c r="S86" i="7" s="1"/>
  <c r="Q85" i="7"/>
  <c r="S85" i="7" s="1"/>
  <c r="Q84" i="7"/>
  <c r="S84" i="7" s="1"/>
  <c r="Q83" i="7"/>
  <c r="S83" i="7" s="1"/>
  <c r="Q82" i="7"/>
  <c r="S82" i="7" s="1"/>
  <c r="Q104" i="7"/>
  <c r="S104" i="7" s="1"/>
  <c r="Q103" i="7"/>
  <c r="S103" i="7" s="1"/>
  <c r="Q102" i="7"/>
  <c r="S102" i="7" s="1"/>
  <c r="Q101" i="7"/>
  <c r="S101" i="7" s="1"/>
  <c r="Q81" i="7"/>
  <c r="S81" i="7" s="1"/>
  <c r="Q80" i="7"/>
  <c r="S80" i="7" s="1"/>
  <c r="Q79" i="7"/>
  <c r="S79" i="7" s="1"/>
  <c r="Q78" i="7"/>
  <c r="S78" i="7" s="1"/>
  <c r="Q77" i="7"/>
  <c r="S77" i="7" s="1"/>
  <c r="Q76" i="7"/>
  <c r="S76" i="7" s="1"/>
  <c r="Q75" i="7"/>
  <c r="S75" i="7" s="1"/>
  <c r="Q74" i="7"/>
  <c r="S74" i="7" s="1"/>
  <c r="Q73" i="7"/>
  <c r="S73" i="7" s="1"/>
  <c r="Q72" i="7"/>
  <c r="S72" i="7" s="1"/>
  <c r="Q71" i="7"/>
  <c r="S71" i="7" s="1"/>
  <c r="Q70" i="7"/>
  <c r="S70" i="7" s="1"/>
  <c r="Q69" i="7"/>
  <c r="S69" i="7" s="1"/>
  <c r="Q30" i="7"/>
  <c r="S30" i="7" s="1"/>
  <c r="Q29" i="7"/>
  <c r="S29" i="7" s="1"/>
  <c r="Q28" i="7"/>
  <c r="S28" i="7" s="1"/>
  <c r="Q27" i="7"/>
  <c r="S27" i="7" s="1"/>
  <c r="Q26" i="7"/>
  <c r="S26" i="7" s="1"/>
  <c r="Q25" i="7"/>
  <c r="S25" i="7" s="1"/>
  <c r="Q24" i="7"/>
  <c r="S24" i="7" s="1"/>
  <c r="Q23" i="7"/>
  <c r="S23" i="7" s="1"/>
  <c r="Q22" i="7"/>
  <c r="S22" i="7" s="1"/>
  <c r="Q21" i="7"/>
  <c r="S21" i="7" s="1"/>
  <c r="Q20" i="7"/>
  <c r="S20" i="7" s="1"/>
  <c r="Q19" i="7"/>
  <c r="S19" i="7" s="1"/>
  <c r="Q18" i="7"/>
  <c r="S18" i="7" s="1"/>
  <c r="Q17" i="7"/>
  <c r="S17" i="7" s="1"/>
  <c r="Q16" i="7"/>
  <c r="S16" i="7" s="1"/>
  <c r="Q15" i="7"/>
  <c r="S15" i="7" s="1"/>
  <c r="Q14" i="7"/>
  <c r="S14" i="7" s="1"/>
  <c r="Q13" i="7"/>
  <c r="S13" i="7" s="1"/>
  <c r="Q12" i="7"/>
  <c r="S12" i="7" s="1"/>
  <c r="Q11" i="7"/>
  <c r="Q10" i="7"/>
  <c r="Q9" i="7"/>
  <c r="S9" i="7" s="1"/>
  <c r="Q8" i="7"/>
  <c r="Q7" i="7"/>
  <c r="Q6" i="7"/>
  <c r="Q5" i="7"/>
  <c r="Q4" i="7"/>
  <c r="Q3" i="7"/>
  <c r="Q31" i="7"/>
  <c r="S31" i="7" s="1"/>
  <c r="Q68" i="7"/>
  <c r="S68" i="7" s="1"/>
  <c r="Q66" i="7"/>
  <c r="S66" i="7" s="1"/>
  <c r="Q35" i="7"/>
  <c r="S35" i="7" s="1"/>
  <c r="Q34" i="7"/>
  <c r="S34" i="7" s="1"/>
  <c r="Q33" i="7"/>
  <c r="S33" i="7" s="1"/>
  <c r="Q32" i="7"/>
  <c r="S32" i="7" s="1"/>
  <c r="Q62" i="7"/>
  <c r="S62" i="7" s="1"/>
  <c r="Q58" i="7"/>
  <c r="S58" i="7" s="1"/>
  <c r="Q54" i="7"/>
  <c r="S54" i="7" s="1"/>
  <c r="Q50" i="7"/>
  <c r="S50" i="7" s="1"/>
  <c r="Q46" i="7"/>
  <c r="S46" i="7" s="1"/>
  <c r="Q42" i="7"/>
  <c r="S42" i="7" s="1"/>
  <c r="Q38" i="7"/>
  <c r="S38" i="7" s="1"/>
  <c r="Q37" i="7"/>
  <c r="S37" i="7" s="1"/>
  <c r="Q36" i="7"/>
  <c r="S36" i="7" s="1"/>
  <c r="Q65" i="7"/>
  <c r="S65" i="7" s="1"/>
  <c r="Q61" i="7"/>
  <c r="S61" i="7" s="1"/>
  <c r="Q57" i="7"/>
  <c r="S57" i="7" s="1"/>
  <c r="Q53" i="7"/>
  <c r="S53" i="7" s="1"/>
  <c r="Q49" i="7"/>
  <c r="S49" i="7" s="1"/>
  <c r="Q45" i="7"/>
  <c r="S45" i="7" s="1"/>
  <c r="Q41" i="7"/>
  <c r="S41" i="7" s="1"/>
  <c r="Q63" i="7"/>
  <c r="S63" i="7" s="1"/>
  <c r="Q59" i="7"/>
  <c r="S59" i="7" s="1"/>
  <c r="Q55" i="7"/>
  <c r="S55" i="7" s="1"/>
  <c r="Q51" i="7"/>
  <c r="S51" i="7" s="1"/>
  <c r="Q47" i="7"/>
  <c r="S47" i="7" s="1"/>
  <c r="Q43" i="7"/>
  <c r="S43" i="7" s="1"/>
  <c r="Q39" i="7"/>
  <c r="S39" i="7" s="1"/>
  <c r="Q52" i="7"/>
  <c r="S52" i="7" s="1"/>
  <c r="Q44" i="7"/>
  <c r="S44" i="7" s="1"/>
  <c r="Q67" i="7"/>
  <c r="S67" i="7" s="1"/>
  <c r="Q64" i="7"/>
  <c r="S64" i="7" s="1"/>
  <c r="Q60" i="7"/>
  <c r="S60" i="7" s="1"/>
  <c r="Q56" i="7"/>
  <c r="S56" i="7" s="1"/>
  <c r="Q48" i="7"/>
  <c r="S48" i="7" s="1"/>
  <c r="Q40" i="7"/>
  <c r="S40" i="7" s="1"/>
  <c r="S4" i="7" l="1"/>
  <c r="S8" i="7"/>
  <c r="S5" i="7"/>
  <c r="S3" i="7"/>
  <c r="S7" i="7"/>
  <c r="S11" i="7"/>
  <c r="S6" i="7"/>
  <c r="S1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<sst xmlns="http://schemas.openxmlformats.org/spreadsheetml/2006/main" count="345" uniqueCount="177">
  <si>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</si>
  <si>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</si>
  <si>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</si>
  <si>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</si>
  <si>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</si>
  <si>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</si>
  <si>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</si>
  <si>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</si>
  <si>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</si>
  <si>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</si>
  <si>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</si>
  <si>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</si>
  <si>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</si>
  <si>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</si>
  <si>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</si>
  <si>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</si>
  <si>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</si>
  <si>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</si>
  <si>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</si>
  <si>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</si>
  <si>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</si>
  <si>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</si>
  <si>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</si>
  <si>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</si>
  <si>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Pixel data 0 (cols 0-6)</t>
  </si>
  <si>
    <t>Pixel data 1 (cols 7-13)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</si>
  <si>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</si>
  <si>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</si>
  <si>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</si>
  <si>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</si>
  <si>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</si>
  <si>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</si>
  <si>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</si>
  <si>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</si>
  <si>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</si>
  <si>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</si>
  <si>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</si>
  <si>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</si>
  <si>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82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</si>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</sst>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5" x14ac:knownFonts="1">
    <font>
      <sz val="11"/>
      <color theme="1"/>
      <name val="Calibri"/>
      <family val="2"/>
      <charset val="1"/>
    </font>
    <font>
      <b/>
      <sz val="14"/>
      <name val="Arial"/>
      <charset val="1"/>
    </font>
    <font>
      <sz val="9"/>
      <name val="Arial"/>
      <charset val="1"/>
    </font>
    <font>
      <b/>
      <sz val="10"/>
      <name val="Arial"/>
      <charset val="1"/>
    </font>
    <font>
      <sz val="10"/>
      <name val="Arial"/>
      <charset val="1"/>
    </font>
    <font>
      <b/>
      <sz val="12"/>
      <name val="Arial"/>
      <charset val="1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8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F2F2F2"/>
        <bgColor rgb="FFFFFFCC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ck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">
    <xf numFmtId="0" fontId="0" fillId="0" borderId="0"/>
    <xf numFmtId="43" fontId="12" fillId="0" borderId="0" applyFont="0" applyFill="0" applyBorder="0" applyAlignment="0" applyProtection="0"/>
  </cellStyleXfs>
  <cellXfs count="42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4" fillId="4" borderId="3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Continuous" vertical="center"/>
    </xf>
    <xf numFmtId="0" fontId="3" fillId="2" borderId="4" xfId="0" applyFont="1" applyFill="1" applyBorder="1" applyAlignment="1">
      <alignment horizontal="centerContinuous" vertical="center"/>
    </xf>
    <xf numFmtId="0" fontId="3" fillId="2" borderId="2" xfId="0" applyFont="1" applyFill="1" applyBorder="1" applyAlignment="1">
      <alignment horizontal="centerContinuous" vertical="center"/>
    </xf>
    <xf numFmtId="0" fontId="9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Continuous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13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1" applyNumberFormat="1" applyFont="1" applyFill="1"/>
    <xf numFmtId="0" fontId="14" fillId="0" borderId="0" xfId="0" applyFont="1" applyFill="1" applyAlignment="1">
      <alignment horizontal="center"/>
    </xf>
    <xf numFmtId="0" fontId="0" fillId="0" borderId="0" xfId="0" applyAlignment="1">
      <alignment horizontal="centerContinuous"/>
    </xf>
    <xf numFmtId="0" fontId="13" fillId="0" borderId="0" xfId="0" applyFont="1" applyAlignment="1">
      <alignment horizontal="centerContinuous"/>
    </xf>
    <xf numFmtId="0" fontId="0" fillId="0" borderId="0" xfId="1" applyNumberFormat="1" applyFont="1" applyFill="1" applyAlignment="1">
      <alignment horizontal="center"/>
    </xf>
    <xf numFmtId="0" fontId="0" fillId="13" borderId="0" xfId="1" applyNumberFormat="1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4" borderId="0" xfId="0" applyFill="1"/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1F0C61E9-1AF8-F211-A934-D58802547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5BE8FC74-7AC8-1BF6-CDB7-F80879AC3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6B090CAD-9BF4-844F-C6CE-3AA013DC0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BFA69FA9-801E-53DD-0929-7883B24FA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D0BE724F-167E-926F-6555-AD735CF5A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733C5860-6B11-6125-03CA-E6E76D4BA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D3443BC-1759-4FEC-43DB-3E83083B6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1FA472C2-7E59-EFFC-D01C-BBDDFE75E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183E0F87-45ED-5C08-C9B4-D4564EA35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A7C25A54-3F2D-30F2-AF82-33F7648C65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ED4820B1-308F-F3E5-3216-C7BB9FC59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301DFD7-B040-5E70-CB69-30A06F52D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327187C2-AEC8-5B99-8AF1-3FC3571853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1458F82-2E03-F944-A51E-5CC1FCF1D0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5C127146-B9B6-EBF8-4EF3-3BECD6884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D31D66BA-F6DA-09C2-CA9F-1F187BAD4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EC6145E1-0FC5-80A0-8B33-E2A600E59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3EB27D59-F7E2-9DF6-53E1-7EDBBD36F4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310FDDC-724A-D616-4CA5-0A74D1B67F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9190CA93-2C05-B9D1-6B7E-F264914743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/>
  <dimension ref="A1:S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4.25" x14ac:dyDescent="0.45"/>
  <cols>
    <col min="1" max="1" width="48.6640625" bestFit="1" customWidth="1"/>
    <col min="2" max="2" width="2.86328125" bestFit="1" customWidth="1"/>
    <col min="3" max="3" width="2.86328125" customWidth="1"/>
    <col min="4" max="6" width="2.86328125" bestFit="1" customWidth="1"/>
    <col min="7" max="7" width="2.9296875" bestFit="1" customWidth="1"/>
    <col min="8" max="9" width="2.86328125" bestFit="1" customWidth="1"/>
    <col min="10" max="10" width="2.73046875" bestFit="1" customWidth="1"/>
    <col min="11" max="13" width="2.86328125" bestFit="1" customWidth="1"/>
    <col min="14" max="14" width="2.796875" bestFit="1" customWidth="1"/>
    <col min="15" max="15" width="2.9296875" bestFit="1" customWidth="1"/>
    <col min="16" max="17" width="2.86328125" bestFit="1" customWidth="1"/>
    <col min="18" max="18" width="2.86328125" customWidth="1"/>
    <col min="19" max="19" width="4.73046875" bestFit="1" customWidth="1"/>
  </cols>
  <sheetData>
    <row r="1" spans="1:19" x14ac:dyDescent="0.45">
      <c r="B1" s="33">
        <v>0</v>
      </c>
      <c r="C1" s="33">
        <f>B1+1</f>
        <v>1</v>
      </c>
      <c r="D1" s="33">
        <f t="shared" ref="D1:Q1" si="0">C1+1</f>
        <v>2</v>
      </c>
      <c r="E1" s="33">
        <f t="shared" si="0"/>
        <v>3</v>
      </c>
      <c r="F1" s="33">
        <f t="shared" si="0"/>
        <v>4</v>
      </c>
      <c r="G1" s="33">
        <f t="shared" si="0"/>
        <v>5</v>
      </c>
      <c r="H1" s="33">
        <f t="shared" si="0"/>
        <v>6</v>
      </c>
      <c r="I1" s="33">
        <f t="shared" si="0"/>
        <v>7</v>
      </c>
      <c r="J1" s="33">
        <f t="shared" si="0"/>
        <v>8</v>
      </c>
      <c r="K1" s="33">
        <f t="shared" si="0"/>
        <v>9</v>
      </c>
      <c r="L1" s="33">
        <f t="shared" si="0"/>
        <v>10</v>
      </c>
      <c r="M1" s="33">
        <f t="shared" si="0"/>
        <v>11</v>
      </c>
      <c r="N1" s="33">
        <f t="shared" si="0"/>
        <v>12</v>
      </c>
      <c r="O1" s="33">
        <f t="shared" si="0"/>
        <v>13</v>
      </c>
      <c r="P1" s="33">
        <f t="shared" si="0"/>
        <v>14</v>
      </c>
      <c r="Q1" s="33">
        <f t="shared" si="0"/>
        <v>15</v>
      </c>
      <c r="R1" s="33"/>
    </row>
    <row r="2" spans="1:19" s="29" customFormat="1" x14ac:dyDescent="0.45">
      <c r="A2" s="29" t="s">
        <v>170</v>
      </c>
      <c r="B2" s="31">
        <v>0</v>
      </c>
      <c r="C2" s="31">
        <f>B2+1</f>
        <v>1</v>
      </c>
      <c r="D2" s="31">
        <f>C2+1</f>
        <v>2</v>
      </c>
      <c r="E2" s="31">
        <f>D2+1</f>
        <v>3</v>
      </c>
      <c r="F2" s="31">
        <f>E2+1</f>
        <v>4</v>
      </c>
      <c r="G2" s="31">
        <f t="shared" ref="G2:M2" si="1">F2+1</f>
        <v>5</v>
      </c>
      <c r="H2" s="31">
        <f t="shared" si="1"/>
        <v>6</v>
      </c>
      <c r="I2" s="31">
        <f t="shared" si="1"/>
        <v>7</v>
      </c>
      <c r="J2" s="31">
        <f t="shared" si="1"/>
        <v>8</v>
      </c>
      <c r="K2" s="31">
        <f t="shared" si="1"/>
        <v>9</v>
      </c>
      <c r="L2" s="31">
        <f t="shared" si="1"/>
        <v>10</v>
      </c>
      <c r="M2" s="31">
        <f t="shared" si="1"/>
        <v>11</v>
      </c>
      <c r="N2" s="31">
        <f t="shared" ref="N2:Q2" si="2">M2+1</f>
        <v>12</v>
      </c>
      <c r="O2" s="31">
        <f t="shared" si="2"/>
        <v>13</v>
      </c>
      <c r="P2" s="31">
        <f t="shared" si="2"/>
        <v>14</v>
      </c>
      <c r="Q2" s="31">
        <f t="shared" si="2"/>
        <v>15</v>
      </c>
      <c r="R2" s="31"/>
      <c r="S2" s="29">
        <f>SUM(S3:S156)</f>
        <v>2288</v>
      </c>
    </row>
    <row r="3" spans="1:19" x14ac:dyDescent="0.45">
      <c r="A3" t="s">
        <v>40</v>
      </c>
      <c r="B3" s="30" t="str">
        <f>MID($A3,13+B$2*3,2)</f>
        <v>00</v>
      </c>
      <c r="C3" s="30" t="str">
        <f>MID($A3,13+C$2*3,2)</f>
        <v>15</v>
      </c>
      <c r="D3" s="30" t="str">
        <f t="shared" ref="D3:Q18" si="3">MID($A3,13+D$2*3,2)</f>
        <v>55</v>
      </c>
      <c r="E3" s="30" t="str">
        <f t="shared" si="3"/>
        <v>06</v>
      </c>
      <c r="F3" s="30" t="str">
        <f t="shared" si="3"/>
        <v>00</v>
      </c>
      <c r="G3" s="30" t="str">
        <f t="shared" si="3"/>
        <v>55</v>
      </c>
      <c r="H3" s="30" t="str">
        <f t="shared" si="3"/>
        <v>06</v>
      </c>
      <c r="I3" s="30" t="str">
        <f t="shared" si="3"/>
        <v>00</v>
      </c>
      <c r="J3" s="30" t="str">
        <f t="shared" si="3"/>
        <v>10</v>
      </c>
      <c r="K3" s="30" t="str">
        <f t="shared" si="3"/>
        <v>40</v>
      </c>
      <c r="L3" s="30" t="str">
        <f t="shared" si="3"/>
        <v>7F</v>
      </c>
      <c r="M3" s="30" t="str">
        <f t="shared" si="3"/>
        <v>08</v>
      </c>
      <c r="N3" s="30" t="str">
        <f t="shared" si="3"/>
        <v>08</v>
      </c>
      <c r="O3" s="30" t="str">
        <f t="shared" si="3"/>
        <v>08</v>
      </c>
      <c r="P3" s="30" t="str">
        <f t="shared" si="3"/>
        <v>30</v>
      </c>
      <c r="Q3" s="30" t="str">
        <f t="shared" si="3"/>
        <v>40</v>
      </c>
      <c r="R3" s="30"/>
      <c r="S3" s="30">
        <f>LEN(_xlfn.CONCAT(B3:Q3))/2</f>
        <v>16</v>
      </c>
    </row>
    <row r="4" spans="1:19" x14ac:dyDescent="0.45">
      <c r="A4" t="s">
        <v>41</v>
      </c>
      <c r="B4" s="30" t="str">
        <f t="shared" ref="B4:Q35" si="4">MID($A4,13+B$2*3,2)</f>
        <v>40</v>
      </c>
      <c r="C4" s="30" t="str">
        <f t="shared" si="4"/>
        <v>40</v>
      </c>
      <c r="D4" s="30" t="str">
        <f t="shared" si="3"/>
        <v>30</v>
      </c>
      <c r="E4" s="30" t="str">
        <f t="shared" si="3"/>
        <v>26</v>
      </c>
      <c r="F4" s="30" t="str">
        <f t="shared" si="3"/>
        <v>13</v>
      </c>
      <c r="G4" s="30" t="str">
        <f t="shared" si="3"/>
        <v>06</v>
      </c>
      <c r="H4" s="30" t="str">
        <f t="shared" si="3"/>
        <v>60</v>
      </c>
      <c r="I4" s="30" t="str">
        <f t="shared" si="3"/>
        <v>18</v>
      </c>
      <c r="J4" s="30" t="str">
        <f t="shared" si="3"/>
        <v>06</v>
      </c>
      <c r="K4" s="30" t="str">
        <f t="shared" si="3"/>
        <v>18</v>
      </c>
      <c r="L4" s="30" t="str">
        <f t="shared" si="3"/>
        <v>60</v>
      </c>
      <c r="M4" s="30" t="str">
        <f t="shared" si="3"/>
        <v>00</v>
      </c>
      <c r="N4" s="30" t="str">
        <f t="shared" si="3"/>
        <v>00</v>
      </c>
      <c r="O4" s="30" t="str">
        <f t="shared" si="3"/>
        <v>10</v>
      </c>
      <c r="P4" s="30" t="str">
        <f t="shared" si="3"/>
        <v>00</v>
      </c>
      <c r="Q4" s="30" t="str">
        <f t="shared" si="3"/>
        <v>25</v>
      </c>
      <c r="R4" s="30"/>
      <c r="S4" s="30">
        <f t="shared" ref="S4:S67" si="5">LEN(_xlfn.CONCAT(B4:Q4))/2</f>
        <v>16</v>
      </c>
    </row>
    <row r="5" spans="1:19" x14ac:dyDescent="0.45">
      <c r="A5" t="s">
        <v>42</v>
      </c>
      <c r="B5" s="30" t="str">
        <f t="shared" si="4"/>
        <v>20</v>
      </c>
      <c r="C5" s="30" t="str">
        <f t="shared" si="4"/>
        <v>00</v>
      </c>
      <c r="D5" s="30" t="str">
        <f t="shared" si="3"/>
        <v>00</v>
      </c>
      <c r="E5" s="30" t="str">
        <f t="shared" si="3"/>
        <v>00</v>
      </c>
      <c r="F5" s="30" t="str">
        <f t="shared" si="3"/>
        <v>00</v>
      </c>
      <c r="G5" s="30" t="str">
        <f t="shared" si="3"/>
        <v>10</v>
      </c>
      <c r="H5" s="30" t="str">
        <f t="shared" si="3"/>
        <v>00</v>
      </c>
      <c r="I5" s="30" t="str">
        <f t="shared" si="3"/>
        <v>00</v>
      </c>
      <c r="J5" s="30" t="str">
        <f t="shared" si="3"/>
        <v>40</v>
      </c>
      <c r="K5" s="30" t="str">
        <f t="shared" si="3"/>
        <v>40</v>
      </c>
      <c r="L5" s="30" t="str">
        <f t="shared" si="3"/>
        <v>40</v>
      </c>
      <c r="M5" s="30" t="str">
        <f t="shared" si="3"/>
        <v>10</v>
      </c>
      <c r="N5" s="30" t="str">
        <f t="shared" si="3"/>
        <v>10</v>
      </c>
      <c r="O5" s="30" t="str">
        <f t="shared" si="3"/>
        <v>02</v>
      </c>
      <c r="P5" s="30" t="str">
        <f t="shared" si="3"/>
        <v>20</v>
      </c>
      <c r="Q5" s="30" t="str">
        <f t="shared" si="3"/>
        <v>08</v>
      </c>
      <c r="R5" s="30"/>
      <c r="S5" s="30">
        <f t="shared" si="5"/>
        <v>16</v>
      </c>
    </row>
    <row r="6" spans="1:19" x14ac:dyDescent="0.45">
      <c r="A6" t="s">
        <v>43</v>
      </c>
      <c r="B6" s="30" t="str">
        <f t="shared" si="4"/>
        <v>02</v>
      </c>
      <c r="C6" s="30" t="str">
        <f t="shared" si="4"/>
        <v>08</v>
      </c>
      <c r="D6" s="30" t="str">
        <f t="shared" si="3"/>
        <v>20</v>
      </c>
      <c r="E6" s="30" t="str">
        <f t="shared" si="3"/>
        <v>20</v>
      </c>
      <c r="F6" s="30" t="str">
        <f t="shared" si="3"/>
        <v>20</v>
      </c>
      <c r="G6" s="30" t="str">
        <f t="shared" si="3"/>
        <v>22</v>
      </c>
      <c r="H6" s="30" t="str">
        <f t="shared" si="3"/>
        <v>22</v>
      </c>
      <c r="I6" s="30" t="str">
        <f t="shared" si="3"/>
        <v>00</v>
      </c>
      <c r="J6" s="30" t="str">
        <f t="shared" si="3"/>
        <v>00</v>
      </c>
      <c r="K6" s="30" t="str">
        <f t="shared" si="3"/>
        <v>00</v>
      </c>
      <c r="L6" s="30" t="str">
        <f t="shared" si="3"/>
        <v>00</v>
      </c>
      <c r="M6" s="30" t="str">
        <f t="shared" si="3"/>
        <v>00</v>
      </c>
      <c r="N6" s="30" t="str">
        <f t="shared" si="3"/>
        <v>00</v>
      </c>
      <c r="O6" s="30" t="str">
        <f t="shared" si="3"/>
        <v>00</v>
      </c>
      <c r="P6" s="30" t="str">
        <f t="shared" si="3"/>
        <v>00</v>
      </c>
      <c r="Q6" s="30" t="str">
        <f t="shared" si="3"/>
        <v>00</v>
      </c>
      <c r="R6" s="30"/>
      <c r="S6" s="30">
        <f t="shared" si="5"/>
        <v>16</v>
      </c>
    </row>
    <row r="7" spans="1:19" x14ac:dyDescent="0.45">
      <c r="A7" t="s">
        <v>44</v>
      </c>
      <c r="B7" s="30" t="str">
        <f t="shared" si="4"/>
        <v>00</v>
      </c>
      <c r="C7" s="30" t="str">
        <f t="shared" si="4"/>
        <v>00</v>
      </c>
      <c r="D7" s="30" t="str">
        <f t="shared" si="3"/>
        <v>00</v>
      </c>
      <c r="E7" s="30" t="str">
        <f t="shared" si="3"/>
        <v>00</v>
      </c>
      <c r="F7" s="30" t="str">
        <f t="shared" si="3"/>
        <v>00</v>
      </c>
      <c r="G7" s="30" t="str">
        <f t="shared" si="3"/>
        <v>00</v>
      </c>
      <c r="H7" s="30" t="str">
        <f t="shared" si="3"/>
        <v>00</v>
      </c>
      <c r="I7" s="30" t="str">
        <f t="shared" si="3"/>
        <v>00</v>
      </c>
      <c r="J7" s="30" t="str">
        <f t="shared" si="3"/>
        <v>00</v>
      </c>
      <c r="K7" s="30" t="str">
        <f t="shared" si="3"/>
        <v>00</v>
      </c>
      <c r="L7" s="30" t="str">
        <f t="shared" si="3"/>
        <v>00</v>
      </c>
      <c r="M7" s="30" t="str">
        <f t="shared" si="3"/>
        <v>00</v>
      </c>
      <c r="N7" s="30" t="str">
        <f t="shared" si="3"/>
        <v>00</v>
      </c>
      <c r="O7" s="30" t="str">
        <f t="shared" si="3"/>
        <v>00</v>
      </c>
      <c r="P7" s="30" t="str">
        <f t="shared" si="3"/>
        <v>00</v>
      </c>
      <c r="Q7" s="30" t="str">
        <f t="shared" si="3"/>
        <v>00</v>
      </c>
      <c r="R7" s="30"/>
      <c r="S7" s="30">
        <f t="shared" si="5"/>
        <v>16</v>
      </c>
    </row>
    <row r="8" spans="1:19" x14ac:dyDescent="0.45">
      <c r="A8" t="s">
        <v>44</v>
      </c>
      <c r="B8" s="30" t="str">
        <f t="shared" si="4"/>
        <v>00</v>
      </c>
      <c r="C8" s="30" t="str">
        <f t="shared" si="4"/>
        <v>00</v>
      </c>
      <c r="D8" s="30" t="str">
        <f t="shared" si="3"/>
        <v>00</v>
      </c>
      <c r="E8" s="30" t="str">
        <f t="shared" si="3"/>
        <v>00</v>
      </c>
      <c r="F8" s="30" t="str">
        <f t="shared" si="3"/>
        <v>00</v>
      </c>
      <c r="G8" s="30" t="str">
        <f t="shared" si="3"/>
        <v>00</v>
      </c>
      <c r="H8" s="30" t="str">
        <f t="shared" si="3"/>
        <v>00</v>
      </c>
      <c r="I8" s="30" t="str">
        <f t="shared" si="3"/>
        <v>00</v>
      </c>
      <c r="J8" s="30" t="str">
        <f t="shared" si="3"/>
        <v>00</v>
      </c>
      <c r="K8" s="30" t="str">
        <f t="shared" si="3"/>
        <v>00</v>
      </c>
      <c r="L8" s="30" t="str">
        <f t="shared" si="3"/>
        <v>00</v>
      </c>
      <c r="M8" s="30" t="str">
        <f t="shared" si="3"/>
        <v>00</v>
      </c>
      <c r="N8" s="30" t="str">
        <f t="shared" si="3"/>
        <v>00</v>
      </c>
      <c r="O8" s="30" t="str">
        <f t="shared" si="3"/>
        <v>00</v>
      </c>
      <c r="P8" s="30" t="str">
        <f t="shared" si="3"/>
        <v>00</v>
      </c>
      <c r="Q8" s="30" t="str">
        <f t="shared" si="3"/>
        <v>00</v>
      </c>
      <c r="R8" s="30"/>
      <c r="S8" s="30">
        <f t="shared" si="5"/>
        <v>16</v>
      </c>
    </row>
    <row r="9" spans="1:19" x14ac:dyDescent="0.45">
      <c r="A9" t="s">
        <v>45</v>
      </c>
      <c r="B9" s="30" t="str">
        <f t="shared" si="4"/>
        <v>00</v>
      </c>
      <c r="C9" s="30" t="str">
        <f t="shared" si="4"/>
        <v>00</v>
      </c>
      <c r="D9" s="30" t="str">
        <f t="shared" si="3"/>
        <v>00</v>
      </c>
      <c r="E9" s="30" t="str">
        <f t="shared" si="3"/>
        <v>00</v>
      </c>
      <c r="F9" s="30" t="str">
        <f t="shared" si="3"/>
        <v>00</v>
      </c>
      <c r="G9" s="30" t="str">
        <f t="shared" si="3"/>
        <v>00</v>
      </c>
      <c r="H9" s="30" t="str">
        <f t="shared" si="3"/>
        <v>02</v>
      </c>
      <c r="I9" s="30" t="str">
        <f t="shared" si="3"/>
        <v>03</v>
      </c>
      <c r="J9" s="30" t="str">
        <f t="shared" si="3"/>
        <v/>
      </c>
      <c r="K9" s="30" t="str">
        <f t="shared" si="3"/>
        <v/>
      </c>
      <c r="L9" s="30" t="str">
        <f t="shared" si="3"/>
        <v/>
      </c>
      <c r="M9" s="30" t="str">
        <f t="shared" si="3"/>
        <v/>
      </c>
      <c r="N9" s="30" t="str">
        <f t="shared" si="3"/>
        <v/>
      </c>
      <c r="O9" s="30" t="str">
        <f t="shared" si="3"/>
        <v/>
      </c>
      <c r="P9" s="30" t="str">
        <f t="shared" si="3"/>
        <v/>
      </c>
      <c r="Q9" s="30" t="str">
        <f t="shared" si="3"/>
        <v/>
      </c>
      <c r="R9" s="30"/>
      <c r="S9" s="30">
        <f t="shared" si="5"/>
        <v>8</v>
      </c>
    </row>
    <row r="10" spans="1:19" x14ac:dyDescent="0.45">
      <c r="A10" t="s">
        <v>46</v>
      </c>
      <c r="B10" s="30" t="str">
        <f t="shared" si="4"/>
        <v>00</v>
      </c>
      <c r="C10" s="30" t="str">
        <f t="shared" si="4"/>
        <v>02</v>
      </c>
      <c r="D10" s="30" t="str">
        <f t="shared" si="3"/>
        <v>02</v>
      </c>
      <c r="E10" s="30" t="str">
        <f t="shared" si="3"/>
        <v>03</v>
      </c>
      <c r="F10" s="30" t="str">
        <f t="shared" si="3"/>
        <v>00</v>
      </c>
      <c r="G10" s="30" t="str">
        <f t="shared" si="3"/>
        <v>02</v>
      </c>
      <c r="H10" s="30" t="str">
        <f t="shared" si="3"/>
        <v>00</v>
      </c>
      <c r="I10" s="30" t="str">
        <f t="shared" si="3"/>
        <v>00</v>
      </c>
      <c r="J10" s="30" t="str">
        <f t="shared" si="3"/>
        <v>00</v>
      </c>
      <c r="K10" s="30" t="str">
        <f t="shared" si="3"/>
        <v>00</v>
      </c>
      <c r="L10" s="30" t="str">
        <f t="shared" si="3"/>
        <v>07</v>
      </c>
      <c r="M10" s="30" t="str">
        <f t="shared" si="3"/>
        <v>00</v>
      </c>
      <c r="N10" s="30" t="str">
        <f t="shared" si="3"/>
        <v>00</v>
      </c>
      <c r="O10" s="30" t="str">
        <f t="shared" si="3"/>
        <v>00</v>
      </c>
      <c r="P10" s="30" t="str">
        <f t="shared" si="3"/>
        <v>00</v>
      </c>
      <c r="Q10" s="30" t="str">
        <f t="shared" si="3"/>
        <v>00</v>
      </c>
      <c r="R10" s="30"/>
      <c r="S10" s="30">
        <f t="shared" si="5"/>
        <v>16</v>
      </c>
    </row>
    <row r="11" spans="1:19" x14ac:dyDescent="0.45">
      <c r="A11" t="s">
        <v>47</v>
      </c>
      <c r="B11" s="30" t="str">
        <f t="shared" si="4"/>
        <v>00</v>
      </c>
      <c r="C11" s="30" t="str">
        <f t="shared" si="4"/>
        <v>00</v>
      </c>
      <c r="D11" s="30" t="str">
        <f t="shared" si="3"/>
        <v>00</v>
      </c>
      <c r="E11" s="30" t="str">
        <f t="shared" si="3"/>
        <v>06</v>
      </c>
      <c r="F11" s="30" t="str">
        <f t="shared" si="3"/>
        <v>03</v>
      </c>
      <c r="G11" s="30" t="str">
        <f t="shared" si="3"/>
        <v>03</v>
      </c>
      <c r="H11" s="30" t="str">
        <f t="shared" si="3"/>
        <v>00</v>
      </c>
      <c r="I11" s="30" t="str">
        <f t="shared" si="3"/>
        <v>00</v>
      </c>
      <c r="J11" s="30" t="str">
        <f t="shared" si="3"/>
        <v>03</v>
      </c>
      <c r="K11" s="30" t="str">
        <f t="shared" si="3"/>
        <v>00</v>
      </c>
      <c r="L11" s="30" t="str">
        <f t="shared" si="3"/>
        <v>00</v>
      </c>
      <c r="M11" s="30" t="str">
        <f t="shared" si="3"/>
        <v>00</v>
      </c>
      <c r="N11" s="30" t="str">
        <f t="shared" si="3"/>
        <v>00</v>
      </c>
      <c r="O11" s="30" t="str">
        <f t="shared" si="3"/>
        <v>00</v>
      </c>
      <c r="P11" s="30" t="str">
        <f t="shared" si="3"/>
        <v>00</v>
      </c>
      <c r="Q11" s="30" t="str">
        <f t="shared" si="3"/>
        <v>02</v>
      </c>
      <c r="R11" s="30"/>
      <c r="S11" s="30">
        <f t="shared" si="5"/>
        <v>16</v>
      </c>
    </row>
    <row r="12" spans="1:19" x14ac:dyDescent="0.45">
      <c r="A12" t="s">
        <v>48</v>
      </c>
      <c r="B12" s="30" t="str">
        <f t="shared" si="4"/>
        <v>00</v>
      </c>
      <c r="C12" s="30" t="str">
        <f t="shared" si="4"/>
        <v>00</v>
      </c>
      <c r="D12" s="30" t="str">
        <f t="shared" si="3"/>
        <v>00</v>
      </c>
      <c r="E12" s="30" t="str">
        <f t="shared" si="3"/>
        <v>00</v>
      </c>
      <c r="F12" s="30" t="str">
        <f t="shared" si="3"/>
        <v>00</v>
      </c>
      <c r="G12" s="30" t="str">
        <f t="shared" si="3"/>
        <v>00</v>
      </c>
      <c r="H12" s="30" t="str">
        <f t="shared" si="3"/>
        <v>00</v>
      </c>
      <c r="I12" s="30" t="str">
        <f t="shared" si="3"/>
        <v>00</v>
      </c>
      <c r="J12" s="30" t="str">
        <f t="shared" si="3"/>
        <v>00</v>
      </c>
      <c r="K12" s="30" t="str">
        <f t="shared" si="3"/>
        <v>00</v>
      </c>
      <c r="L12" s="30" t="str">
        <f t="shared" si="3"/>
        <v>00</v>
      </c>
      <c r="M12" s="30" t="str">
        <f t="shared" si="3"/>
        <v>00</v>
      </c>
      <c r="N12" s="30" t="str">
        <f t="shared" si="3"/>
        <v>00</v>
      </c>
      <c r="O12" s="30" t="str">
        <f t="shared" si="3"/>
        <v>01</v>
      </c>
      <c r="P12" s="30" t="str">
        <f t="shared" si="3"/>
        <v>00</v>
      </c>
      <c r="Q12" s="30" t="str">
        <f t="shared" si="3"/>
        <v>00</v>
      </c>
      <c r="R12" s="30"/>
      <c r="S12" s="30">
        <f t="shared" si="5"/>
        <v>16</v>
      </c>
    </row>
    <row r="13" spans="1:19" x14ac:dyDescent="0.45">
      <c r="A13" t="s">
        <v>49</v>
      </c>
      <c r="B13" s="30" t="str">
        <f t="shared" si="4"/>
        <v>01</v>
      </c>
      <c r="C13" s="30" t="str">
        <f t="shared" si="4"/>
        <v>00</v>
      </c>
      <c r="D13" s="30" t="str">
        <f t="shared" si="3"/>
        <v>00</v>
      </c>
      <c r="E13" s="30" t="str">
        <f t="shared" si="3"/>
        <v>00</v>
      </c>
      <c r="F13" s="30" t="str">
        <f t="shared" si="3"/>
        <v>00</v>
      </c>
      <c r="G13" s="30" t="str">
        <f t="shared" si="3"/>
        <v>04</v>
      </c>
      <c r="H13" s="30" t="str">
        <f t="shared" si="3"/>
        <v>04</v>
      </c>
      <c r="I13" s="30" t="str">
        <f t="shared" si="3"/>
        <v>00</v>
      </c>
      <c r="J13" s="30" t="str">
        <f t="shared" si="3"/>
        <v>00</v>
      </c>
      <c r="K13" s="30" t="str">
        <f t="shared" si="3"/>
        <v>00</v>
      </c>
      <c r="L13" s="30" t="str">
        <f t="shared" si="3"/>
        <v>00</v>
      </c>
      <c r="M13" s="30" t="str">
        <f t="shared" si="3"/>
        <v>00</v>
      </c>
      <c r="N13" s="30" t="str">
        <f t="shared" si="3"/>
        <v>00</v>
      </c>
      <c r="O13" s="30" t="str">
        <f t="shared" si="3"/>
        <v>00</v>
      </c>
      <c r="P13" s="30" t="str">
        <f t="shared" si="3"/>
        <v>00</v>
      </c>
      <c r="Q13" s="30" t="str">
        <f t="shared" si="3"/>
        <v>00</v>
      </c>
      <c r="R13" s="30"/>
      <c r="S13" s="30">
        <f t="shared" si="5"/>
        <v>16</v>
      </c>
    </row>
    <row r="14" spans="1:19" x14ac:dyDescent="0.45">
      <c r="A14" t="s">
        <v>44</v>
      </c>
      <c r="B14" s="30" t="str">
        <f t="shared" si="4"/>
        <v>00</v>
      </c>
      <c r="C14" s="30" t="str">
        <f t="shared" si="4"/>
        <v>00</v>
      </c>
      <c r="D14" s="30" t="str">
        <f t="shared" si="3"/>
        <v>00</v>
      </c>
      <c r="E14" s="30" t="str">
        <f t="shared" si="3"/>
        <v>00</v>
      </c>
      <c r="F14" s="30" t="str">
        <f t="shared" si="3"/>
        <v>00</v>
      </c>
      <c r="G14" s="30" t="str">
        <f t="shared" si="3"/>
        <v>00</v>
      </c>
      <c r="H14" s="30" t="str">
        <f t="shared" si="3"/>
        <v>00</v>
      </c>
      <c r="I14" s="30" t="str">
        <f t="shared" si="3"/>
        <v>00</v>
      </c>
      <c r="J14" s="30" t="str">
        <f t="shared" si="3"/>
        <v>00</v>
      </c>
      <c r="K14" s="30" t="str">
        <f t="shared" si="3"/>
        <v>00</v>
      </c>
      <c r="L14" s="30" t="str">
        <f t="shared" si="3"/>
        <v>00</v>
      </c>
      <c r="M14" s="30" t="str">
        <f t="shared" si="3"/>
        <v>00</v>
      </c>
      <c r="N14" s="30" t="str">
        <f t="shared" si="3"/>
        <v>00</v>
      </c>
      <c r="O14" s="30" t="str">
        <f t="shared" si="3"/>
        <v>00</v>
      </c>
      <c r="P14" s="30" t="str">
        <f t="shared" si="3"/>
        <v>00</v>
      </c>
      <c r="Q14" s="30" t="str">
        <f t="shared" si="3"/>
        <v>00</v>
      </c>
      <c r="R14" s="30"/>
      <c r="S14" s="30">
        <f t="shared" si="5"/>
        <v>16</v>
      </c>
    </row>
    <row r="15" spans="1:19" x14ac:dyDescent="0.45">
      <c r="A15" t="s">
        <v>44</v>
      </c>
      <c r="B15" s="30" t="str">
        <f t="shared" si="4"/>
        <v>00</v>
      </c>
      <c r="C15" s="30" t="str">
        <f t="shared" si="4"/>
        <v>00</v>
      </c>
      <c r="D15" s="30" t="str">
        <f t="shared" si="3"/>
        <v>00</v>
      </c>
      <c r="E15" s="30" t="str">
        <f t="shared" si="3"/>
        <v>00</v>
      </c>
      <c r="F15" s="30" t="str">
        <f t="shared" si="3"/>
        <v>00</v>
      </c>
      <c r="G15" s="30" t="str">
        <f t="shared" si="3"/>
        <v>00</v>
      </c>
      <c r="H15" s="30" t="str">
        <f t="shared" si="3"/>
        <v>00</v>
      </c>
      <c r="I15" s="30" t="str">
        <f t="shared" si="3"/>
        <v>00</v>
      </c>
      <c r="J15" s="30" t="str">
        <f t="shared" si="3"/>
        <v>00</v>
      </c>
      <c r="K15" s="30" t="str">
        <f t="shared" si="3"/>
        <v>00</v>
      </c>
      <c r="L15" s="30" t="str">
        <f t="shared" si="3"/>
        <v>00</v>
      </c>
      <c r="M15" s="30" t="str">
        <f t="shared" si="3"/>
        <v>00</v>
      </c>
      <c r="N15" s="30" t="str">
        <f t="shared" si="3"/>
        <v>00</v>
      </c>
      <c r="O15" s="30" t="str">
        <f t="shared" si="3"/>
        <v>00</v>
      </c>
      <c r="P15" s="30" t="str">
        <f t="shared" si="3"/>
        <v>00</v>
      </c>
      <c r="Q15" s="30" t="str">
        <f t="shared" si="3"/>
        <v>00</v>
      </c>
      <c r="R15" s="30"/>
      <c r="S15" s="30">
        <f t="shared" si="5"/>
        <v>16</v>
      </c>
    </row>
    <row r="16" spans="1:19" x14ac:dyDescent="0.45">
      <c r="A16" t="s">
        <v>50</v>
      </c>
      <c r="B16" s="30" t="str">
        <f t="shared" si="4"/>
        <v>00</v>
      </c>
      <c r="C16" s="30" t="str">
        <f t="shared" si="4"/>
        <v>00</v>
      </c>
      <c r="D16" s="30" t="str">
        <f t="shared" si="3"/>
        <v>00</v>
      </c>
      <c r="E16" s="30" t="str">
        <f t="shared" si="3"/>
        <v>00</v>
      </c>
      <c r="F16" s="30" t="str">
        <f t="shared" si="3"/>
        <v>00</v>
      </c>
      <c r="G16" s="30" t="str">
        <f t="shared" si="3"/>
        <v>00</v>
      </c>
      <c r="H16" s="30" t="str">
        <f t="shared" si="3"/>
        <v>06</v>
      </c>
      <c r="I16" s="30" t="str">
        <f t="shared" si="3"/>
        <v>00</v>
      </c>
      <c r="J16" s="30" t="str">
        <f t="shared" si="3"/>
        <v/>
      </c>
      <c r="K16" s="30" t="str">
        <f t="shared" si="3"/>
        <v/>
      </c>
      <c r="L16" s="30" t="str">
        <f t="shared" si="3"/>
        <v/>
      </c>
      <c r="M16" s="30" t="str">
        <f t="shared" si="3"/>
        <v/>
      </c>
      <c r="N16" s="30" t="str">
        <f t="shared" si="3"/>
        <v/>
      </c>
      <c r="O16" s="30" t="str">
        <f t="shared" si="3"/>
        <v/>
      </c>
      <c r="P16" s="30" t="str">
        <f t="shared" si="3"/>
        <v/>
      </c>
      <c r="Q16" s="30" t="str">
        <f t="shared" si="3"/>
        <v/>
      </c>
      <c r="R16" s="30"/>
      <c r="S16" s="30">
        <f t="shared" si="5"/>
        <v>8</v>
      </c>
    </row>
    <row r="17" spans="1:19" x14ac:dyDescent="0.45">
      <c r="A17" t="s">
        <v>51</v>
      </c>
      <c r="B17" s="30" t="str">
        <f t="shared" si="4"/>
        <v>00</v>
      </c>
      <c r="C17" s="30" t="str">
        <f t="shared" si="4"/>
        <v>15</v>
      </c>
      <c r="D17" s="30" t="str">
        <f t="shared" si="3"/>
        <v>55</v>
      </c>
      <c r="E17" s="30" t="str">
        <f t="shared" si="3"/>
        <v>06</v>
      </c>
      <c r="F17" s="30" t="str">
        <f t="shared" si="3"/>
        <v>7F</v>
      </c>
      <c r="G17" s="30" t="str">
        <f t="shared" si="3"/>
        <v>55</v>
      </c>
      <c r="H17" s="30" t="str">
        <f t="shared" si="3"/>
        <v>06</v>
      </c>
      <c r="I17" s="30" t="str">
        <f t="shared" si="3"/>
        <v>00</v>
      </c>
      <c r="J17" s="30" t="str">
        <f t="shared" si="3"/>
        <v>28</v>
      </c>
      <c r="K17" s="30" t="str">
        <f t="shared" si="3"/>
        <v>60</v>
      </c>
      <c r="L17" s="30" t="str">
        <f t="shared" si="3"/>
        <v>7F</v>
      </c>
      <c r="M17" s="30" t="str">
        <f t="shared" si="3"/>
        <v>1C</v>
      </c>
      <c r="N17" s="30" t="str">
        <f t="shared" si="3"/>
        <v>1C</v>
      </c>
      <c r="O17" s="30" t="str">
        <f t="shared" si="3"/>
        <v>1C</v>
      </c>
      <c r="P17" s="30" t="str">
        <f t="shared" si="3"/>
        <v>30</v>
      </c>
      <c r="Q17" s="30" t="str">
        <f t="shared" si="3"/>
        <v>60</v>
      </c>
      <c r="R17" s="30"/>
      <c r="S17" s="30">
        <f t="shared" si="5"/>
        <v>16</v>
      </c>
    </row>
    <row r="18" spans="1:19" x14ac:dyDescent="0.45">
      <c r="A18" t="s">
        <v>52</v>
      </c>
      <c r="B18" s="30" t="str">
        <f t="shared" si="4"/>
        <v>60</v>
      </c>
      <c r="C18" s="30" t="str">
        <f t="shared" si="4"/>
        <v>60</v>
      </c>
      <c r="D18" s="30" t="str">
        <f t="shared" si="3"/>
        <v>31</v>
      </c>
      <c r="E18" s="30" t="str">
        <f t="shared" si="3"/>
        <v>76</v>
      </c>
      <c r="F18" s="30" t="str">
        <f t="shared" si="3"/>
        <v>3B</v>
      </c>
      <c r="G18" s="30" t="str">
        <f t="shared" si="3"/>
        <v>06</v>
      </c>
      <c r="H18" s="30" t="str">
        <f t="shared" si="3"/>
        <v>60</v>
      </c>
      <c r="I18" s="30" t="str">
        <f t="shared" si="3"/>
        <v>18</v>
      </c>
      <c r="J18" s="30" t="str">
        <f t="shared" si="3"/>
        <v>06</v>
      </c>
      <c r="K18" s="30" t="str">
        <f t="shared" si="3"/>
        <v>18</v>
      </c>
      <c r="L18" s="30" t="str">
        <f t="shared" si="3"/>
        <v>60</v>
      </c>
      <c r="M18" s="30" t="str">
        <f t="shared" si="3"/>
        <v>00</v>
      </c>
      <c r="N18" s="30" t="str">
        <f t="shared" si="3"/>
        <v>00</v>
      </c>
      <c r="O18" s="30" t="str">
        <f t="shared" si="3"/>
        <v>00</v>
      </c>
      <c r="P18" s="30" t="str">
        <f t="shared" si="3"/>
        <v>00</v>
      </c>
      <c r="Q18" s="30" t="str">
        <f t="shared" si="3"/>
        <v>15</v>
      </c>
      <c r="R18" s="30"/>
      <c r="S18" s="30">
        <f t="shared" si="5"/>
        <v>16</v>
      </c>
    </row>
    <row r="19" spans="1:19" x14ac:dyDescent="0.45">
      <c r="A19" t="s">
        <v>53</v>
      </c>
      <c r="B19" s="30" t="str">
        <f t="shared" si="4"/>
        <v>28</v>
      </c>
      <c r="C19" s="30" t="str">
        <f t="shared" si="4"/>
        <v>20</v>
      </c>
      <c r="D19" s="30" t="str">
        <f t="shared" si="4"/>
        <v>00</v>
      </c>
      <c r="E19" s="30" t="str">
        <f t="shared" si="4"/>
        <v>00</v>
      </c>
      <c r="F19" s="30" t="str">
        <f t="shared" si="4"/>
        <v>00</v>
      </c>
      <c r="G19" s="30" t="str">
        <f t="shared" si="4"/>
        <v>38</v>
      </c>
      <c r="H19" s="30" t="str">
        <f t="shared" si="4"/>
        <v>00</v>
      </c>
      <c r="I19" s="30" t="str">
        <f t="shared" si="4"/>
        <v>00</v>
      </c>
      <c r="J19" s="30" t="str">
        <f t="shared" si="4"/>
        <v>20</v>
      </c>
      <c r="K19" s="30" t="str">
        <f t="shared" si="4"/>
        <v>20</v>
      </c>
      <c r="L19" s="30" t="str">
        <f t="shared" si="4"/>
        <v>20</v>
      </c>
      <c r="M19" s="30" t="str">
        <f t="shared" si="4"/>
        <v>28</v>
      </c>
      <c r="N19" s="30" t="str">
        <f t="shared" si="4"/>
        <v>28</v>
      </c>
      <c r="O19" s="30" t="str">
        <f t="shared" si="4"/>
        <v>02</v>
      </c>
      <c r="P19" s="30" t="str">
        <f t="shared" si="4"/>
        <v>20</v>
      </c>
      <c r="Q19" s="30" t="str">
        <f t="shared" si="4"/>
        <v>08</v>
      </c>
      <c r="R19" s="30"/>
      <c r="S19" s="30">
        <f t="shared" si="5"/>
        <v>16</v>
      </c>
    </row>
    <row r="20" spans="1:19" x14ac:dyDescent="0.45">
      <c r="A20" t="s">
        <v>54</v>
      </c>
      <c r="B20" s="30" t="str">
        <f t="shared" si="4"/>
        <v>02</v>
      </c>
      <c r="C20" s="30" t="str">
        <f t="shared" si="4"/>
        <v>08</v>
      </c>
      <c r="D20" s="30" t="str">
        <f t="shared" si="4"/>
        <v>20</v>
      </c>
      <c r="E20" s="30" t="str">
        <f t="shared" si="4"/>
        <v>20</v>
      </c>
      <c r="F20" s="30" t="str">
        <f t="shared" si="4"/>
        <v>21</v>
      </c>
      <c r="G20" s="30" t="str">
        <f t="shared" si="4"/>
        <v>22</v>
      </c>
      <c r="H20" s="30" t="str">
        <f t="shared" si="4"/>
        <v>22</v>
      </c>
      <c r="I20" s="30" t="str">
        <f t="shared" si="4"/>
        <v>00</v>
      </c>
      <c r="J20" s="30" t="str">
        <f t="shared" si="4"/>
        <v>00</v>
      </c>
      <c r="K20" s="30" t="str">
        <f t="shared" si="4"/>
        <v>00</v>
      </c>
      <c r="L20" s="30" t="str">
        <f t="shared" si="4"/>
        <v>00</v>
      </c>
      <c r="M20" s="30" t="str">
        <f t="shared" si="4"/>
        <v>00</v>
      </c>
      <c r="N20" s="30" t="str">
        <f t="shared" si="4"/>
        <v>00</v>
      </c>
      <c r="O20" s="30" t="str">
        <f t="shared" si="4"/>
        <v>00</v>
      </c>
      <c r="P20" s="30" t="str">
        <f t="shared" si="4"/>
        <v>00</v>
      </c>
      <c r="Q20" s="30" t="str">
        <f t="shared" si="4"/>
        <v>00</v>
      </c>
      <c r="R20" s="30"/>
      <c r="S20" s="30">
        <f t="shared" si="5"/>
        <v>16</v>
      </c>
    </row>
    <row r="21" spans="1:19" x14ac:dyDescent="0.45">
      <c r="A21" t="s">
        <v>44</v>
      </c>
      <c r="B21" s="30" t="str">
        <f t="shared" si="4"/>
        <v>00</v>
      </c>
      <c r="C21" s="30" t="str">
        <f t="shared" si="4"/>
        <v>00</v>
      </c>
      <c r="D21" s="30" t="str">
        <f t="shared" si="4"/>
        <v>00</v>
      </c>
      <c r="E21" s="30" t="str">
        <f t="shared" si="4"/>
        <v>00</v>
      </c>
      <c r="F21" s="30" t="str">
        <f t="shared" si="4"/>
        <v>00</v>
      </c>
      <c r="G21" s="30" t="str">
        <f t="shared" si="4"/>
        <v>00</v>
      </c>
      <c r="H21" s="30" t="str">
        <f t="shared" si="4"/>
        <v>00</v>
      </c>
      <c r="I21" s="30" t="str">
        <f t="shared" si="4"/>
        <v>00</v>
      </c>
      <c r="J21" s="30" t="str">
        <f t="shared" si="4"/>
        <v>00</v>
      </c>
      <c r="K21" s="30" t="str">
        <f t="shared" si="4"/>
        <v>00</v>
      </c>
      <c r="L21" s="30" t="str">
        <f t="shared" si="4"/>
        <v>00</v>
      </c>
      <c r="M21" s="30" t="str">
        <f t="shared" si="4"/>
        <v>00</v>
      </c>
      <c r="N21" s="30" t="str">
        <f t="shared" si="4"/>
        <v>00</v>
      </c>
      <c r="O21" s="30" t="str">
        <f t="shared" si="4"/>
        <v>00</v>
      </c>
      <c r="P21" s="30" t="str">
        <f t="shared" si="4"/>
        <v>00</v>
      </c>
      <c r="Q21" s="30" t="str">
        <f t="shared" si="4"/>
        <v>00</v>
      </c>
      <c r="R21" s="30"/>
      <c r="S21" s="30">
        <f t="shared" si="5"/>
        <v>16</v>
      </c>
    </row>
    <row r="22" spans="1:19" x14ac:dyDescent="0.45">
      <c r="A22" t="s">
        <v>44</v>
      </c>
      <c r="B22" s="30" t="str">
        <f t="shared" si="4"/>
        <v>00</v>
      </c>
      <c r="C22" s="30" t="str">
        <f t="shared" si="4"/>
        <v>00</v>
      </c>
      <c r="D22" s="30" t="str">
        <f t="shared" si="4"/>
        <v>00</v>
      </c>
      <c r="E22" s="30" t="str">
        <f t="shared" si="4"/>
        <v>00</v>
      </c>
      <c r="F22" s="30" t="str">
        <f t="shared" si="4"/>
        <v>00</v>
      </c>
      <c r="G22" s="30" t="str">
        <f t="shared" si="4"/>
        <v>00</v>
      </c>
      <c r="H22" s="30" t="str">
        <f t="shared" si="4"/>
        <v>00</v>
      </c>
      <c r="I22" s="30" t="str">
        <f t="shared" si="4"/>
        <v>00</v>
      </c>
      <c r="J22" s="30" t="str">
        <f t="shared" si="4"/>
        <v>00</v>
      </c>
      <c r="K22" s="30" t="str">
        <f t="shared" si="4"/>
        <v>00</v>
      </c>
      <c r="L22" s="30" t="str">
        <f t="shared" si="4"/>
        <v>00</v>
      </c>
      <c r="M22" s="30" t="str">
        <f t="shared" si="4"/>
        <v>00</v>
      </c>
      <c r="N22" s="30" t="str">
        <f t="shared" si="4"/>
        <v>00</v>
      </c>
      <c r="O22" s="30" t="str">
        <f t="shared" si="4"/>
        <v>00</v>
      </c>
      <c r="P22" s="30" t="str">
        <f t="shared" si="4"/>
        <v>00</v>
      </c>
      <c r="Q22" s="30" t="str">
        <f t="shared" si="4"/>
        <v>00</v>
      </c>
      <c r="R22" s="30"/>
      <c r="S22" s="30">
        <f t="shared" si="5"/>
        <v>16</v>
      </c>
    </row>
    <row r="23" spans="1:19" x14ac:dyDescent="0.45">
      <c r="A23" t="s">
        <v>55</v>
      </c>
      <c r="B23" s="30" t="str">
        <f t="shared" si="4"/>
        <v>00</v>
      </c>
      <c r="C23" s="30" t="str">
        <f t="shared" si="4"/>
        <v>00</v>
      </c>
      <c r="D23" s="30" t="str">
        <f t="shared" si="4"/>
        <v>00</v>
      </c>
      <c r="E23" s="30" t="str">
        <f t="shared" si="4"/>
        <v>00</v>
      </c>
      <c r="F23" s="30" t="str">
        <f t="shared" si="4"/>
        <v>00</v>
      </c>
      <c r="G23" s="30" t="str">
        <f t="shared" si="4"/>
        <v>00</v>
      </c>
      <c r="H23" s="30" t="str">
        <f t="shared" si="4"/>
        <v>07</v>
      </c>
      <c r="I23" s="30" t="str">
        <f t="shared" si="4"/>
        <v>00</v>
      </c>
      <c r="J23" s="30" t="str">
        <f t="shared" si="4"/>
        <v/>
      </c>
      <c r="K23" s="30" t="str">
        <f t="shared" si="4"/>
        <v/>
      </c>
      <c r="L23" s="30" t="str">
        <f t="shared" si="4"/>
        <v/>
      </c>
      <c r="M23" s="30" t="str">
        <f t="shared" si="4"/>
        <v/>
      </c>
      <c r="N23" s="30" t="str">
        <f t="shared" si="4"/>
        <v/>
      </c>
      <c r="O23" s="30" t="str">
        <f t="shared" si="4"/>
        <v/>
      </c>
      <c r="P23" s="30" t="str">
        <f t="shared" si="4"/>
        <v/>
      </c>
      <c r="Q23" s="30" t="str">
        <f t="shared" si="4"/>
        <v/>
      </c>
      <c r="R23" s="30"/>
      <c r="S23" s="30">
        <f t="shared" si="5"/>
        <v>8</v>
      </c>
    </row>
    <row r="24" spans="1:19" x14ac:dyDescent="0.45">
      <c r="A24" t="s">
        <v>56</v>
      </c>
      <c r="B24" s="30" t="str">
        <f t="shared" si="4"/>
        <v>00</v>
      </c>
      <c r="C24" s="30" t="str">
        <f t="shared" si="4"/>
        <v>02</v>
      </c>
      <c r="D24" s="30" t="str">
        <f t="shared" si="4"/>
        <v>02</v>
      </c>
      <c r="E24" s="30" t="str">
        <f t="shared" si="4"/>
        <v>03</v>
      </c>
      <c r="F24" s="30" t="str">
        <f t="shared" si="4"/>
        <v>07</v>
      </c>
      <c r="G24" s="30" t="str">
        <f t="shared" si="4"/>
        <v>02</v>
      </c>
      <c r="H24" s="30" t="str">
        <f t="shared" si="4"/>
        <v>00</v>
      </c>
      <c r="I24" s="30" t="str">
        <f t="shared" si="4"/>
        <v>00</v>
      </c>
      <c r="J24" s="30" t="str">
        <f t="shared" si="4"/>
        <v>00</v>
      </c>
      <c r="K24" s="30" t="str">
        <f t="shared" si="4"/>
        <v>01</v>
      </c>
      <c r="L24" s="30" t="str">
        <f t="shared" si="4"/>
        <v>07</v>
      </c>
      <c r="M24" s="30" t="str">
        <f t="shared" si="4"/>
        <v>00</v>
      </c>
      <c r="N24" s="30" t="str">
        <f t="shared" si="4"/>
        <v>00</v>
      </c>
      <c r="O24" s="30" t="str">
        <f t="shared" si="4"/>
        <v>00</v>
      </c>
      <c r="P24" s="30" t="str">
        <f t="shared" si="4"/>
        <v>04</v>
      </c>
      <c r="Q24" s="30" t="str">
        <f t="shared" si="4"/>
        <v>01</v>
      </c>
      <c r="R24" s="30"/>
      <c r="S24" s="30">
        <f t="shared" si="5"/>
        <v>16</v>
      </c>
    </row>
    <row r="25" spans="1:19" x14ac:dyDescent="0.45">
      <c r="A25" t="s">
        <v>57</v>
      </c>
      <c r="B25" s="30" t="str">
        <f t="shared" si="4"/>
        <v>01</v>
      </c>
      <c r="C25" s="30" t="str">
        <f t="shared" si="4"/>
        <v>01</v>
      </c>
      <c r="D25" s="30" t="str">
        <f t="shared" si="4"/>
        <v>00</v>
      </c>
      <c r="E25" s="30" t="str">
        <f t="shared" si="4"/>
        <v>06</v>
      </c>
      <c r="F25" s="30" t="str">
        <f t="shared" si="4"/>
        <v>03</v>
      </c>
      <c r="G25" s="30" t="str">
        <f t="shared" si="4"/>
        <v>03</v>
      </c>
      <c r="H25" s="30" t="str">
        <f t="shared" si="4"/>
        <v>00</v>
      </c>
      <c r="I25" s="30" t="str">
        <f t="shared" si="4"/>
        <v>00</v>
      </c>
      <c r="J25" s="30" t="str">
        <f t="shared" si="4"/>
        <v>03</v>
      </c>
      <c r="K25" s="30" t="str">
        <f t="shared" si="4"/>
        <v>00</v>
      </c>
      <c r="L25" s="30" t="str">
        <f t="shared" si="4"/>
        <v>00</v>
      </c>
      <c r="M25" s="30" t="str">
        <f t="shared" si="4"/>
        <v>00</v>
      </c>
      <c r="N25" s="30" t="str">
        <f t="shared" si="4"/>
        <v>00</v>
      </c>
      <c r="O25" s="30" t="str">
        <f t="shared" si="4"/>
        <v>00</v>
      </c>
      <c r="P25" s="30" t="str">
        <f t="shared" si="4"/>
        <v>00</v>
      </c>
      <c r="Q25" s="30" t="str">
        <f t="shared" si="4"/>
        <v>02</v>
      </c>
      <c r="R25" s="30"/>
      <c r="S25" s="30">
        <f t="shared" si="5"/>
        <v>16</v>
      </c>
    </row>
    <row r="26" spans="1:19" x14ac:dyDescent="0.45">
      <c r="A26" t="s">
        <v>58</v>
      </c>
      <c r="B26" s="30" t="str">
        <f t="shared" si="4"/>
        <v>00</v>
      </c>
      <c r="C26" s="30" t="str">
        <f t="shared" si="4"/>
        <v>00</v>
      </c>
      <c r="D26" s="30" t="str">
        <f t="shared" si="4"/>
        <v>00</v>
      </c>
      <c r="E26" s="30" t="str">
        <f t="shared" si="4"/>
        <v>00</v>
      </c>
      <c r="F26" s="30" t="str">
        <f t="shared" si="4"/>
        <v>00</v>
      </c>
      <c r="G26" s="30" t="str">
        <f t="shared" si="4"/>
        <v>00</v>
      </c>
      <c r="H26" s="30" t="str">
        <f t="shared" si="4"/>
        <v>00</v>
      </c>
      <c r="I26" s="30" t="str">
        <f t="shared" si="4"/>
        <v>00</v>
      </c>
      <c r="J26" s="30" t="str">
        <f t="shared" si="4"/>
        <v>01</v>
      </c>
      <c r="K26" s="30" t="str">
        <f t="shared" si="4"/>
        <v>01</v>
      </c>
      <c r="L26" s="30" t="str">
        <f t="shared" si="4"/>
        <v>01</v>
      </c>
      <c r="M26" s="30" t="str">
        <f t="shared" si="4"/>
        <v>00</v>
      </c>
      <c r="N26" s="30" t="str">
        <f t="shared" si="4"/>
        <v>00</v>
      </c>
      <c r="O26" s="30" t="str">
        <f t="shared" si="4"/>
        <v>01</v>
      </c>
      <c r="P26" s="30" t="str">
        <f t="shared" si="4"/>
        <v>00</v>
      </c>
      <c r="Q26" s="30" t="str">
        <f t="shared" si="4"/>
        <v>00</v>
      </c>
      <c r="R26" s="30"/>
      <c r="S26" s="30">
        <f t="shared" si="5"/>
        <v>16</v>
      </c>
    </row>
    <row r="27" spans="1:19" x14ac:dyDescent="0.45">
      <c r="A27" t="s">
        <v>59</v>
      </c>
      <c r="B27" s="30" t="str">
        <f t="shared" si="4"/>
        <v>01</v>
      </c>
      <c r="C27" s="30" t="str">
        <f t="shared" si="4"/>
        <v>00</v>
      </c>
      <c r="D27" s="30" t="str">
        <f t="shared" si="4"/>
        <v>00</v>
      </c>
      <c r="E27" s="30" t="str">
        <f t="shared" si="4"/>
        <v>04</v>
      </c>
      <c r="F27" s="30" t="str">
        <f t="shared" si="4"/>
        <v>00</v>
      </c>
      <c r="G27" s="30" t="str">
        <f t="shared" si="4"/>
        <v>04</v>
      </c>
      <c r="H27" s="30" t="str">
        <f t="shared" si="4"/>
        <v>04</v>
      </c>
      <c r="I27" s="30" t="str">
        <f t="shared" si="4"/>
        <v>00</v>
      </c>
      <c r="J27" s="30" t="str">
        <f t="shared" si="4"/>
        <v>00</v>
      </c>
      <c r="K27" s="30" t="str">
        <f t="shared" si="4"/>
        <v>00</v>
      </c>
      <c r="L27" s="30" t="str">
        <f t="shared" si="4"/>
        <v>00</v>
      </c>
      <c r="M27" s="30" t="str">
        <f t="shared" si="4"/>
        <v>00</v>
      </c>
      <c r="N27" s="30" t="str">
        <f t="shared" si="4"/>
        <v>00</v>
      </c>
      <c r="O27" s="30" t="str">
        <f t="shared" si="4"/>
        <v>00</v>
      </c>
      <c r="P27" s="30" t="str">
        <f t="shared" si="4"/>
        <v>00</v>
      </c>
      <c r="Q27" s="30" t="str">
        <f t="shared" si="4"/>
        <v>00</v>
      </c>
      <c r="R27" s="30"/>
      <c r="S27" s="30">
        <f t="shared" si="5"/>
        <v>16</v>
      </c>
    </row>
    <row r="28" spans="1:19" x14ac:dyDescent="0.45">
      <c r="A28" t="s">
        <v>44</v>
      </c>
      <c r="B28" s="30" t="str">
        <f t="shared" si="4"/>
        <v>00</v>
      </c>
      <c r="C28" s="30" t="str">
        <f t="shared" si="4"/>
        <v>00</v>
      </c>
      <c r="D28" s="30" t="str">
        <f t="shared" si="4"/>
        <v>00</v>
      </c>
      <c r="E28" s="30" t="str">
        <f t="shared" si="4"/>
        <v>00</v>
      </c>
      <c r="F28" s="30" t="str">
        <f t="shared" si="4"/>
        <v>00</v>
      </c>
      <c r="G28" s="30" t="str">
        <f t="shared" si="4"/>
        <v>00</v>
      </c>
      <c r="H28" s="30" t="str">
        <f t="shared" si="4"/>
        <v>00</v>
      </c>
      <c r="I28" s="30" t="str">
        <f t="shared" si="4"/>
        <v>00</v>
      </c>
      <c r="J28" s="30" t="str">
        <f t="shared" si="4"/>
        <v>00</v>
      </c>
      <c r="K28" s="30" t="str">
        <f t="shared" si="4"/>
        <v>00</v>
      </c>
      <c r="L28" s="30" t="str">
        <f t="shared" si="4"/>
        <v>00</v>
      </c>
      <c r="M28" s="30" t="str">
        <f t="shared" si="4"/>
        <v>00</v>
      </c>
      <c r="N28" s="30" t="str">
        <f t="shared" si="4"/>
        <v>00</v>
      </c>
      <c r="O28" s="30" t="str">
        <f t="shared" si="4"/>
        <v>00</v>
      </c>
      <c r="P28" s="30" t="str">
        <f t="shared" si="4"/>
        <v>00</v>
      </c>
      <c r="Q28" s="30" t="str">
        <f t="shared" si="4"/>
        <v>00</v>
      </c>
      <c r="R28" s="30"/>
      <c r="S28" s="30">
        <f t="shared" si="5"/>
        <v>16</v>
      </c>
    </row>
    <row r="29" spans="1:19" x14ac:dyDescent="0.45">
      <c r="A29" t="s">
        <v>44</v>
      </c>
      <c r="B29" s="30" t="str">
        <f t="shared" si="4"/>
        <v>00</v>
      </c>
      <c r="C29" s="30" t="str">
        <f t="shared" si="4"/>
        <v>00</v>
      </c>
      <c r="D29" s="30" t="str">
        <f t="shared" si="4"/>
        <v>00</v>
      </c>
      <c r="E29" s="30" t="str">
        <f t="shared" si="4"/>
        <v>00</v>
      </c>
      <c r="F29" s="30" t="str">
        <f t="shared" si="4"/>
        <v>00</v>
      </c>
      <c r="G29" s="30" t="str">
        <f t="shared" si="4"/>
        <v>00</v>
      </c>
      <c r="H29" s="30" t="str">
        <f t="shared" si="4"/>
        <v>00</v>
      </c>
      <c r="I29" s="30" t="str">
        <f t="shared" si="4"/>
        <v>00</v>
      </c>
      <c r="J29" s="30" t="str">
        <f t="shared" si="4"/>
        <v>00</v>
      </c>
      <c r="K29" s="30" t="str">
        <f t="shared" si="4"/>
        <v>00</v>
      </c>
      <c r="L29" s="30" t="str">
        <f t="shared" si="4"/>
        <v>00</v>
      </c>
      <c r="M29" s="30" t="str">
        <f t="shared" si="4"/>
        <v>00</v>
      </c>
      <c r="N29" s="30" t="str">
        <f t="shared" si="4"/>
        <v>00</v>
      </c>
      <c r="O29" s="30" t="str">
        <f t="shared" si="4"/>
        <v>00</v>
      </c>
      <c r="P29" s="30" t="str">
        <f t="shared" si="4"/>
        <v>00</v>
      </c>
      <c r="Q29" s="30" t="str">
        <f t="shared" si="4"/>
        <v>00</v>
      </c>
      <c r="R29" s="30"/>
      <c r="S29" s="30">
        <f t="shared" si="5"/>
        <v>16</v>
      </c>
    </row>
    <row r="30" spans="1:19" x14ac:dyDescent="0.45">
      <c r="A30" t="s">
        <v>60</v>
      </c>
      <c r="B30" s="30" t="str">
        <f t="shared" si="4"/>
        <v>00</v>
      </c>
      <c r="C30" s="30" t="str">
        <f t="shared" si="4"/>
        <v>00</v>
      </c>
      <c r="D30" s="30" t="str">
        <f t="shared" si="4"/>
        <v>00</v>
      </c>
      <c r="E30" s="30" t="str">
        <f t="shared" si="4"/>
        <v>00</v>
      </c>
      <c r="F30" s="30" t="str">
        <f t="shared" si="4"/>
        <v>00</v>
      </c>
      <c r="G30" s="30" t="str">
        <f t="shared" si="4"/>
        <v>00</v>
      </c>
      <c r="H30" s="30" t="str">
        <f t="shared" si="4"/>
        <v>70</v>
      </c>
      <c r="I30" s="30" t="str">
        <f t="shared" si="4"/>
        <v>60</v>
      </c>
      <c r="J30" s="30" t="str">
        <f t="shared" si="4"/>
        <v/>
      </c>
      <c r="K30" s="30" t="str">
        <f t="shared" si="4"/>
        <v/>
      </c>
      <c r="L30" s="30" t="str">
        <f t="shared" si="4"/>
        <v/>
      </c>
      <c r="M30" s="30" t="str">
        <f t="shared" si="4"/>
        <v/>
      </c>
      <c r="N30" s="30" t="str">
        <f t="shared" si="4"/>
        <v/>
      </c>
      <c r="O30" s="30" t="str">
        <f t="shared" si="4"/>
        <v/>
      </c>
      <c r="P30" s="30" t="str">
        <f t="shared" si="4"/>
        <v/>
      </c>
      <c r="Q30" s="30" t="str">
        <f t="shared" si="4"/>
        <v/>
      </c>
      <c r="R30" s="30"/>
      <c r="S30" s="30">
        <f t="shared" si="5"/>
        <v>8</v>
      </c>
    </row>
    <row r="31" spans="1:19" x14ac:dyDescent="0.45">
      <c r="A31" t="s">
        <v>61</v>
      </c>
      <c r="B31" s="30" t="str">
        <f t="shared" si="4"/>
        <v>00</v>
      </c>
      <c r="C31" s="30" t="str">
        <f t="shared" si="4"/>
        <v>15</v>
      </c>
      <c r="D31" s="30" t="str">
        <f t="shared" si="4"/>
        <v>55</v>
      </c>
      <c r="E31" s="30" t="str">
        <f t="shared" si="4"/>
        <v>7E</v>
      </c>
      <c r="F31" s="30" t="str">
        <f t="shared" si="4"/>
        <v>00</v>
      </c>
      <c r="G31" s="30" t="str">
        <f t="shared" si="4"/>
        <v>00</v>
      </c>
      <c r="H31" s="30" t="str">
        <f t="shared" si="4"/>
        <v>7E</v>
      </c>
      <c r="I31" s="30" t="str">
        <f t="shared" si="4"/>
        <v>00</v>
      </c>
      <c r="J31" s="30" t="str">
        <f t="shared" si="4"/>
        <v>28</v>
      </c>
      <c r="K31" s="30" t="str">
        <f t="shared" si="4"/>
        <v>60</v>
      </c>
      <c r="L31" s="30" t="str">
        <f t="shared" si="4"/>
        <v>7F</v>
      </c>
      <c r="M31" s="30" t="str">
        <f t="shared" si="4"/>
        <v>1C</v>
      </c>
      <c r="N31" s="30" t="str">
        <f t="shared" si="4"/>
        <v>1C</v>
      </c>
      <c r="O31" s="30" t="str">
        <f t="shared" si="4"/>
        <v>1C</v>
      </c>
      <c r="P31" s="30" t="str">
        <f t="shared" si="4"/>
        <v>70</v>
      </c>
      <c r="Q31" s="30" t="str">
        <f t="shared" si="4"/>
        <v>60</v>
      </c>
      <c r="R31" s="30"/>
      <c r="S31" s="30">
        <f t="shared" si="5"/>
        <v>16</v>
      </c>
    </row>
    <row r="32" spans="1:19" x14ac:dyDescent="0.45">
      <c r="A32" t="s">
        <v>62</v>
      </c>
      <c r="B32" s="30" t="str">
        <f t="shared" si="4"/>
        <v>60</v>
      </c>
      <c r="C32" s="30" t="str">
        <f t="shared" si="4"/>
        <v>60</v>
      </c>
      <c r="D32" s="30" t="str">
        <f t="shared" si="4"/>
        <v>3F</v>
      </c>
      <c r="E32" s="30" t="str">
        <f t="shared" si="4"/>
        <v>76</v>
      </c>
      <c r="F32" s="30" t="str">
        <f t="shared" si="4"/>
        <v>3B</v>
      </c>
      <c r="G32" s="30" t="str">
        <f t="shared" si="4"/>
        <v>36</v>
      </c>
      <c r="H32" s="30" t="str">
        <f t="shared" si="4"/>
        <v>78</v>
      </c>
      <c r="I32" s="30" t="str">
        <f t="shared" si="4"/>
        <v>78</v>
      </c>
      <c r="J32" s="30" t="str">
        <f t="shared" si="4"/>
        <v>36</v>
      </c>
      <c r="K32" s="30" t="str">
        <f t="shared" si="4"/>
        <v>78</v>
      </c>
      <c r="L32" s="30" t="str">
        <f t="shared" si="4"/>
        <v>78</v>
      </c>
      <c r="M32" s="30" t="str">
        <f t="shared" si="4"/>
        <v>00</v>
      </c>
      <c r="N32" s="30" t="str">
        <f t="shared" si="4"/>
        <v>00</v>
      </c>
      <c r="O32" s="30" t="str">
        <f t="shared" si="4"/>
        <v>00</v>
      </c>
      <c r="P32" s="30" t="str">
        <f t="shared" si="4"/>
        <v>00</v>
      </c>
      <c r="Q32" s="30" t="str">
        <f t="shared" si="4"/>
        <v>15</v>
      </c>
      <c r="R32" s="30"/>
      <c r="S32" s="30">
        <f t="shared" si="5"/>
        <v>16</v>
      </c>
    </row>
    <row r="33" spans="1:19" x14ac:dyDescent="0.45">
      <c r="A33" t="s">
        <v>63</v>
      </c>
      <c r="B33" s="30" t="str">
        <f t="shared" si="4"/>
        <v>01</v>
      </c>
      <c r="C33" s="30" t="str">
        <f t="shared" ref="C33:Q64" si="6">MID($A33,13+C$2*3,2)</f>
        <v>28</v>
      </c>
      <c r="D33" s="30" t="str">
        <f t="shared" si="6"/>
        <v>00</v>
      </c>
      <c r="E33" s="30" t="str">
        <f t="shared" si="6"/>
        <v>00</v>
      </c>
      <c r="F33" s="30" t="str">
        <f t="shared" si="6"/>
        <v>00</v>
      </c>
      <c r="G33" s="30" t="str">
        <f t="shared" si="6"/>
        <v>38</v>
      </c>
      <c r="H33" s="30" t="str">
        <f t="shared" si="6"/>
        <v>00</v>
      </c>
      <c r="I33" s="30" t="str">
        <f t="shared" si="6"/>
        <v>00</v>
      </c>
      <c r="J33" s="30" t="str">
        <f t="shared" si="6"/>
        <v>20</v>
      </c>
      <c r="K33" s="30" t="str">
        <f t="shared" si="6"/>
        <v>20</v>
      </c>
      <c r="L33" s="30" t="str">
        <f t="shared" si="6"/>
        <v>20</v>
      </c>
      <c r="M33" s="30" t="str">
        <f t="shared" si="6"/>
        <v>28</v>
      </c>
      <c r="N33" s="30" t="str">
        <f t="shared" si="6"/>
        <v>28</v>
      </c>
      <c r="O33" s="30" t="str">
        <f t="shared" si="6"/>
        <v>22</v>
      </c>
      <c r="P33" s="30" t="str">
        <f t="shared" si="6"/>
        <v>28</v>
      </c>
      <c r="Q33" s="30" t="str">
        <f t="shared" si="6"/>
        <v>28</v>
      </c>
      <c r="R33" s="30"/>
      <c r="S33" s="30">
        <f t="shared" si="5"/>
        <v>16</v>
      </c>
    </row>
    <row r="34" spans="1:19" x14ac:dyDescent="0.45">
      <c r="A34" t="s">
        <v>64</v>
      </c>
      <c r="B34" s="30" t="str">
        <f t="shared" ref="B34:Q65" si="7">MID($A34,13+B$2*3,2)</f>
        <v>0A</v>
      </c>
      <c r="C34" s="30" t="str">
        <f t="shared" si="6"/>
        <v>28</v>
      </c>
      <c r="D34" s="30" t="str">
        <f t="shared" si="6"/>
        <v>28</v>
      </c>
      <c r="E34" s="30" t="str">
        <f t="shared" si="6"/>
        <v>20</v>
      </c>
      <c r="F34" s="30" t="str">
        <f t="shared" si="6"/>
        <v>2B</v>
      </c>
      <c r="G34" s="30" t="str">
        <f t="shared" si="6"/>
        <v>22</v>
      </c>
      <c r="H34" s="30" t="str">
        <f t="shared" si="6"/>
        <v>22</v>
      </c>
      <c r="I34" s="30" t="str">
        <f t="shared" si="6"/>
        <v>00</v>
      </c>
      <c r="J34" s="30" t="str">
        <f t="shared" si="6"/>
        <v>00</v>
      </c>
      <c r="K34" s="30" t="str">
        <f t="shared" si="6"/>
        <v>00</v>
      </c>
      <c r="L34" s="30" t="str">
        <f t="shared" si="6"/>
        <v>00</v>
      </c>
      <c r="M34" s="30" t="str">
        <f t="shared" si="6"/>
        <v>00</v>
      </c>
      <c r="N34" s="30" t="str">
        <f t="shared" si="6"/>
        <v>00</v>
      </c>
      <c r="O34" s="30" t="str">
        <f t="shared" si="6"/>
        <v>00</v>
      </c>
      <c r="P34" s="30" t="str">
        <f t="shared" si="6"/>
        <v>00</v>
      </c>
      <c r="Q34" s="30" t="str">
        <f t="shared" si="6"/>
        <v>00</v>
      </c>
      <c r="R34" s="30"/>
      <c r="S34" s="30">
        <f t="shared" si="5"/>
        <v>16</v>
      </c>
    </row>
    <row r="35" spans="1:19" x14ac:dyDescent="0.45">
      <c r="A35" t="s">
        <v>44</v>
      </c>
      <c r="B35" s="30" t="str">
        <f t="shared" si="7"/>
        <v>00</v>
      </c>
      <c r="C35" s="30" t="str">
        <f t="shared" si="6"/>
        <v>00</v>
      </c>
      <c r="D35" s="30" t="str">
        <f t="shared" si="6"/>
        <v>00</v>
      </c>
      <c r="E35" s="30" t="str">
        <f t="shared" si="6"/>
        <v>00</v>
      </c>
      <c r="F35" s="30" t="str">
        <f t="shared" si="6"/>
        <v>00</v>
      </c>
      <c r="G35" s="30" t="str">
        <f t="shared" si="6"/>
        <v>00</v>
      </c>
      <c r="H35" s="30" t="str">
        <f t="shared" si="6"/>
        <v>00</v>
      </c>
      <c r="I35" s="30" t="str">
        <f t="shared" si="6"/>
        <v>00</v>
      </c>
      <c r="J35" s="30" t="str">
        <f t="shared" si="6"/>
        <v>00</v>
      </c>
      <c r="K35" s="30" t="str">
        <f t="shared" si="6"/>
        <v>00</v>
      </c>
      <c r="L35" s="30" t="str">
        <f t="shared" si="6"/>
        <v>00</v>
      </c>
      <c r="M35" s="30" t="str">
        <f t="shared" si="6"/>
        <v>00</v>
      </c>
      <c r="N35" s="30" t="str">
        <f t="shared" si="6"/>
        <v>00</v>
      </c>
      <c r="O35" s="30" t="str">
        <f t="shared" si="6"/>
        <v>00</v>
      </c>
      <c r="P35" s="30" t="str">
        <f t="shared" si="6"/>
        <v>00</v>
      </c>
      <c r="Q35" s="30" t="str">
        <f t="shared" si="6"/>
        <v>00</v>
      </c>
      <c r="R35" s="30"/>
      <c r="S35" s="30">
        <f t="shared" si="5"/>
        <v>16</v>
      </c>
    </row>
    <row r="36" spans="1:19" x14ac:dyDescent="0.45">
      <c r="A36" t="s">
        <v>44</v>
      </c>
      <c r="B36" s="30" t="str">
        <f t="shared" si="7"/>
        <v>00</v>
      </c>
      <c r="C36" s="30" t="str">
        <f t="shared" si="6"/>
        <v>00</v>
      </c>
      <c r="D36" s="30" t="str">
        <f t="shared" si="6"/>
        <v>00</v>
      </c>
      <c r="E36" s="30" t="str">
        <f t="shared" si="6"/>
        <v>00</v>
      </c>
      <c r="F36" s="30" t="str">
        <f t="shared" si="6"/>
        <v>00</v>
      </c>
      <c r="G36" s="30" t="str">
        <f t="shared" si="6"/>
        <v>00</v>
      </c>
      <c r="H36" s="30" t="str">
        <f t="shared" si="6"/>
        <v>00</v>
      </c>
      <c r="I36" s="30" t="str">
        <f t="shared" si="6"/>
        <v>00</v>
      </c>
      <c r="J36" s="30" t="str">
        <f t="shared" si="6"/>
        <v>00</v>
      </c>
      <c r="K36" s="30" t="str">
        <f t="shared" si="6"/>
        <v>00</v>
      </c>
      <c r="L36" s="30" t="str">
        <f t="shared" si="6"/>
        <v>00</v>
      </c>
      <c r="M36" s="30" t="str">
        <f t="shared" si="6"/>
        <v>00</v>
      </c>
      <c r="N36" s="30" t="str">
        <f t="shared" si="6"/>
        <v>00</v>
      </c>
      <c r="O36" s="30" t="str">
        <f t="shared" si="6"/>
        <v>00</v>
      </c>
      <c r="P36" s="30" t="str">
        <f t="shared" si="6"/>
        <v>00</v>
      </c>
      <c r="Q36" s="30" t="str">
        <f t="shared" si="6"/>
        <v>00</v>
      </c>
      <c r="R36" s="30"/>
      <c r="S36" s="30">
        <f t="shared" si="5"/>
        <v>16</v>
      </c>
    </row>
    <row r="37" spans="1:19" x14ac:dyDescent="0.45">
      <c r="A37" t="s">
        <v>65</v>
      </c>
      <c r="B37" s="30" t="str">
        <f t="shared" si="7"/>
        <v>00</v>
      </c>
      <c r="C37" s="30" t="str">
        <f t="shared" si="6"/>
        <v>00</v>
      </c>
      <c r="D37" s="30" t="str">
        <f t="shared" si="6"/>
        <v>00</v>
      </c>
      <c r="E37" s="30" t="str">
        <f t="shared" si="6"/>
        <v>00</v>
      </c>
      <c r="F37" s="30" t="str">
        <f t="shared" si="6"/>
        <v>00</v>
      </c>
      <c r="G37" s="30" t="str">
        <f t="shared" si="6"/>
        <v>00</v>
      </c>
      <c r="H37" s="30" t="str">
        <f t="shared" si="6"/>
        <v>00</v>
      </c>
      <c r="I37" s="30" t="str">
        <f t="shared" si="6"/>
        <v>06</v>
      </c>
      <c r="J37" s="30" t="str">
        <f t="shared" si="6"/>
        <v/>
      </c>
      <c r="K37" s="30" t="str">
        <f t="shared" si="6"/>
        <v/>
      </c>
      <c r="L37" s="30" t="str">
        <f t="shared" si="6"/>
        <v/>
      </c>
      <c r="M37" s="30" t="str">
        <f t="shared" si="6"/>
        <v/>
      </c>
      <c r="N37" s="30" t="str">
        <f t="shared" si="6"/>
        <v/>
      </c>
      <c r="O37" s="30" t="str">
        <f t="shared" si="6"/>
        <v/>
      </c>
      <c r="P37" s="30" t="str">
        <f t="shared" si="6"/>
        <v/>
      </c>
      <c r="Q37" s="30" t="str">
        <f t="shared" si="6"/>
        <v/>
      </c>
      <c r="R37" s="30"/>
      <c r="S37" s="30">
        <f t="shared" si="5"/>
        <v>8</v>
      </c>
    </row>
    <row r="38" spans="1:19" x14ac:dyDescent="0.45">
      <c r="A38" t="s">
        <v>66</v>
      </c>
      <c r="B38" s="30" t="str">
        <f t="shared" si="7"/>
        <v>00</v>
      </c>
      <c r="C38" s="30" t="str">
        <f t="shared" si="6"/>
        <v>02</v>
      </c>
      <c r="D38" s="30" t="str">
        <f t="shared" si="6"/>
        <v>02</v>
      </c>
      <c r="E38" s="30" t="str">
        <f t="shared" si="6"/>
        <v>03</v>
      </c>
      <c r="F38" s="30" t="str">
        <f t="shared" si="6"/>
        <v>00</v>
      </c>
      <c r="G38" s="30" t="str">
        <f t="shared" si="6"/>
        <v>00</v>
      </c>
      <c r="H38" s="30" t="str">
        <f t="shared" si="6"/>
        <v>03</v>
      </c>
      <c r="I38" s="30" t="str">
        <f t="shared" si="6"/>
        <v>00</v>
      </c>
      <c r="J38" s="30" t="str">
        <f t="shared" si="6"/>
        <v>00</v>
      </c>
      <c r="K38" s="30" t="str">
        <f t="shared" si="6"/>
        <v>01</v>
      </c>
      <c r="L38" s="30" t="str">
        <f t="shared" si="6"/>
        <v>07</v>
      </c>
      <c r="M38" s="30" t="str">
        <f t="shared" si="6"/>
        <v>00</v>
      </c>
      <c r="N38" s="30" t="str">
        <f t="shared" si="6"/>
        <v>00</v>
      </c>
      <c r="O38" s="30" t="str">
        <f t="shared" si="6"/>
        <v>00</v>
      </c>
      <c r="P38" s="30" t="str">
        <f t="shared" si="6"/>
        <v>07</v>
      </c>
      <c r="Q38" s="30" t="str">
        <f t="shared" si="6"/>
        <v>01</v>
      </c>
      <c r="R38" s="30"/>
      <c r="S38" s="30">
        <f t="shared" si="5"/>
        <v>16</v>
      </c>
    </row>
    <row r="39" spans="1:19" x14ac:dyDescent="0.45">
      <c r="A39" t="s">
        <v>57</v>
      </c>
      <c r="B39" s="30" t="str">
        <f t="shared" si="7"/>
        <v>01</v>
      </c>
      <c r="C39" s="30" t="str">
        <f t="shared" si="6"/>
        <v>01</v>
      </c>
      <c r="D39" s="30" t="str">
        <f t="shared" si="6"/>
        <v>00</v>
      </c>
      <c r="E39" s="30" t="str">
        <f t="shared" si="6"/>
        <v>06</v>
      </c>
      <c r="F39" s="30" t="str">
        <f t="shared" si="6"/>
        <v>03</v>
      </c>
      <c r="G39" s="30" t="str">
        <f t="shared" si="6"/>
        <v>03</v>
      </c>
      <c r="H39" s="30" t="str">
        <f t="shared" si="6"/>
        <v>00</v>
      </c>
      <c r="I39" s="30" t="str">
        <f t="shared" si="6"/>
        <v>00</v>
      </c>
      <c r="J39" s="30" t="str">
        <f t="shared" si="6"/>
        <v>03</v>
      </c>
      <c r="K39" s="30" t="str">
        <f t="shared" si="6"/>
        <v>00</v>
      </c>
      <c r="L39" s="30" t="str">
        <f t="shared" si="6"/>
        <v>00</v>
      </c>
      <c r="M39" s="30" t="str">
        <f t="shared" si="6"/>
        <v>00</v>
      </c>
      <c r="N39" s="30" t="str">
        <f t="shared" si="6"/>
        <v>00</v>
      </c>
      <c r="O39" s="30" t="str">
        <f t="shared" si="6"/>
        <v>00</v>
      </c>
      <c r="P39" s="30" t="str">
        <f t="shared" si="6"/>
        <v>00</v>
      </c>
      <c r="Q39" s="30" t="str">
        <f t="shared" si="6"/>
        <v>02</v>
      </c>
      <c r="R39" s="30"/>
      <c r="S39" s="30">
        <f t="shared" si="5"/>
        <v>16</v>
      </c>
    </row>
    <row r="40" spans="1:19" x14ac:dyDescent="0.45">
      <c r="A40" t="s">
        <v>67</v>
      </c>
      <c r="B40" s="30" t="str">
        <f t="shared" si="7"/>
        <v>02</v>
      </c>
      <c r="C40" s="30" t="str">
        <f t="shared" si="6"/>
        <v>00</v>
      </c>
      <c r="D40" s="30" t="str">
        <f t="shared" si="6"/>
        <v>00</v>
      </c>
      <c r="E40" s="30" t="str">
        <f t="shared" si="6"/>
        <v>00</v>
      </c>
      <c r="F40" s="30" t="str">
        <f t="shared" si="6"/>
        <v>00</v>
      </c>
      <c r="G40" s="30" t="str">
        <f t="shared" si="6"/>
        <v>00</v>
      </c>
      <c r="H40" s="30" t="str">
        <f t="shared" si="6"/>
        <v>00</v>
      </c>
      <c r="I40" s="30" t="str">
        <f t="shared" si="6"/>
        <v>00</v>
      </c>
      <c r="J40" s="30" t="str">
        <f t="shared" si="6"/>
        <v>01</v>
      </c>
      <c r="K40" s="30" t="str">
        <f t="shared" si="6"/>
        <v>01</v>
      </c>
      <c r="L40" s="30" t="str">
        <f t="shared" si="6"/>
        <v>01</v>
      </c>
      <c r="M40" s="30" t="str">
        <f t="shared" si="6"/>
        <v>00</v>
      </c>
      <c r="N40" s="30" t="str">
        <f t="shared" si="6"/>
        <v>00</v>
      </c>
      <c r="O40" s="30" t="str">
        <f t="shared" si="6"/>
        <v>01</v>
      </c>
      <c r="P40" s="30" t="str">
        <f t="shared" si="6"/>
        <v>00</v>
      </c>
      <c r="Q40" s="30" t="str">
        <f t="shared" si="6"/>
        <v>00</v>
      </c>
      <c r="R40" s="30"/>
      <c r="S40" s="30">
        <f t="shared" si="5"/>
        <v>16</v>
      </c>
    </row>
    <row r="41" spans="1:19" x14ac:dyDescent="0.45">
      <c r="A41" t="s">
        <v>68</v>
      </c>
      <c r="B41" s="30" t="str">
        <f t="shared" si="7"/>
        <v>01</v>
      </c>
      <c r="C41" s="30" t="str">
        <f t="shared" si="6"/>
        <v>00</v>
      </c>
      <c r="D41" s="30" t="str">
        <f t="shared" si="6"/>
        <v>00</v>
      </c>
      <c r="E41" s="30" t="str">
        <f t="shared" si="6"/>
        <v>05</v>
      </c>
      <c r="F41" s="30" t="str">
        <f t="shared" si="6"/>
        <v>00</v>
      </c>
      <c r="G41" s="30" t="str">
        <f t="shared" si="6"/>
        <v>04</v>
      </c>
      <c r="H41" s="30" t="str">
        <f t="shared" si="6"/>
        <v>04</v>
      </c>
      <c r="I41" s="30" t="str">
        <f t="shared" si="6"/>
        <v>00</v>
      </c>
      <c r="J41" s="30" t="str">
        <f t="shared" si="6"/>
        <v>00</v>
      </c>
      <c r="K41" s="30" t="str">
        <f t="shared" si="6"/>
        <v>00</v>
      </c>
      <c r="L41" s="30" t="str">
        <f t="shared" si="6"/>
        <v>00</v>
      </c>
      <c r="M41" s="30" t="str">
        <f t="shared" si="6"/>
        <v>00</v>
      </c>
      <c r="N41" s="30" t="str">
        <f t="shared" si="6"/>
        <v>00</v>
      </c>
      <c r="O41" s="30" t="str">
        <f t="shared" si="6"/>
        <v>00</v>
      </c>
      <c r="P41" s="30" t="str">
        <f t="shared" si="6"/>
        <v>00</v>
      </c>
      <c r="Q41" s="30" t="str">
        <f t="shared" si="6"/>
        <v>00</v>
      </c>
      <c r="R41" s="30"/>
      <c r="S41" s="30">
        <f t="shared" si="5"/>
        <v>16</v>
      </c>
    </row>
    <row r="42" spans="1:19" x14ac:dyDescent="0.45">
      <c r="A42" t="s">
        <v>44</v>
      </c>
      <c r="B42" s="30" t="str">
        <f t="shared" si="7"/>
        <v>00</v>
      </c>
      <c r="C42" s="30" t="str">
        <f t="shared" si="6"/>
        <v>00</v>
      </c>
      <c r="D42" s="30" t="str">
        <f t="shared" si="6"/>
        <v>00</v>
      </c>
      <c r="E42" s="30" t="str">
        <f t="shared" si="6"/>
        <v>00</v>
      </c>
      <c r="F42" s="30" t="str">
        <f t="shared" si="6"/>
        <v>00</v>
      </c>
      <c r="G42" s="30" t="str">
        <f t="shared" si="6"/>
        <v>00</v>
      </c>
      <c r="H42" s="30" t="str">
        <f t="shared" si="6"/>
        <v>00</v>
      </c>
      <c r="I42" s="30" t="str">
        <f t="shared" si="6"/>
        <v>00</v>
      </c>
      <c r="J42" s="30" t="str">
        <f t="shared" si="6"/>
        <v>00</v>
      </c>
      <c r="K42" s="30" t="str">
        <f t="shared" si="6"/>
        <v>00</v>
      </c>
      <c r="L42" s="30" t="str">
        <f t="shared" si="6"/>
        <v>00</v>
      </c>
      <c r="M42" s="30" t="str">
        <f t="shared" si="6"/>
        <v>00</v>
      </c>
      <c r="N42" s="30" t="str">
        <f t="shared" si="6"/>
        <v>00</v>
      </c>
      <c r="O42" s="30" t="str">
        <f t="shared" si="6"/>
        <v>00</v>
      </c>
      <c r="P42" s="30" t="str">
        <f t="shared" si="6"/>
        <v>00</v>
      </c>
      <c r="Q42" s="30" t="str">
        <f t="shared" si="6"/>
        <v>00</v>
      </c>
      <c r="R42" s="30"/>
      <c r="S42" s="30">
        <f t="shared" si="5"/>
        <v>16</v>
      </c>
    </row>
    <row r="43" spans="1:19" x14ac:dyDescent="0.45">
      <c r="A43" t="s">
        <v>44</v>
      </c>
      <c r="B43" s="30" t="str">
        <f t="shared" si="7"/>
        <v>00</v>
      </c>
      <c r="C43" s="30" t="str">
        <f t="shared" si="6"/>
        <v>00</v>
      </c>
      <c r="D43" s="30" t="str">
        <f t="shared" si="6"/>
        <v>00</v>
      </c>
      <c r="E43" s="30" t="str">
        <f t="shared" si="6"/>
        <v>00</v>
      </c>
      <c r="F43" s="30" t="str">
        <f t="shared" si="6"/>
        <v>00</v>
      </c>
      <c r="G43" s="30" t="str">
        <f t="shared" si="6"/>
        <v>00</v>
      </c>
      <c r="H43" s="30" t="str">
        <f t="shared" si="6"/>
        <v>00</v>
      </c>
      <c r="I43" s="30" t="str">
        <f t="shared" si="6"/>
        <v>00</v>
      </c>
      <c r="J43" s="30" t="str">
        <f t="shared" si="6"/>
        <v>00</v>
      </c>
      <c r="K43" s="30" t="str">
        <f t="shared" si="6"/>
        <v>00</v>
      </c>
      <c r="L43" s="30" t="str">
        <f t="shared" si="6"/>
        <v>00</v>
      </c>
      <c r="M43" s="30" t="str">
        <f t="shared" si="6"/>
        <v>00</v>
      </c>
      <c r="N43" s="30" t="str">
        <f t="shared" si="6"/>
        <v>00</v>
      </c>
      <c r="O43" s="30" t="str">
        <f t="shared" si="6"/>
        <v>00</v>
      </c>
      <c r="P43" s="30" t="str">
        <f t="shared" si="6"/>
        <v>00</v>
      </c>
      <c r="Q43" s="30" t="str">
        <f t="shared" si="6"/>
        <v>00</v>
      </c>
      <c r="R43" s="30"/>
      <c r="S43" s="30">
        <f t="shared" si="5"/>
        <v>16</v>
      </c>
    </row>
    <row r="44" spans="1:19" x14ac:dyDescent="0.45">
      <c r="A44" t="s">
        <v>69</v>
      </c>
      <c r="B44" s="30" t="str">
        <f t="shared" si="7"/>
        <v>00</v>
      </c>
      <c r="C44" s="30" t="str">
        <f t="shared" si="6"/>
        <v>00</v>
      </c>
      <c r="D44" s="30" t="str">
        <f t="shared" si="6"/>
        <v>00</v>
      </c>
      <c r="E44" s="30" t="str">
        <f t="shared" si="6"/>
        <v>00</v>
      </c>
      <c r="F44" s="30" t="str">
        <f t="shared" si="6"/>
        <v>00</v>
      </c>
      <c r="G44" s="30" t="str">
        <f t="shared" si="6"/>
        <v>00</v>
      </c>
      <c r="H44" s="30" t="str">
        <f t="shared" si="6"/>
        <v>38</v>
      </c>
      <c r="I44" s="30" t="str">
        <f t="shared" si="6"/>
        <v>70</v>
      </c>
      <c r="J44" s="30" t="str">
        <f t="shared" si="6"/>
        <v/>
      </c>
      <c r="K44" s="30" t="str">
        <f t="shared" si="6"/>
        <v/>
      </c>
      <c r="L44" s="30" t="str">
        <f t="shared" si="6"/>
        <v/>
      </c>
      <c r="M44" s="30" t="str">
        <f t="shared" si="6"/>
        <v/>
      </c>
      <c r="N44" s="30" t="str">
        <f t="shared" si="6"/>
        <v/>
      </c>
      <c r="O44" s="30" t="str">
        <f t="shared" si="6"/>
        <v/>
      </c>
      <c r="P44" s="30" t="str">
        <f t="shared" si="6"/>
        <v/>
      </c>
      <c r="Q44" s="30" t="str">
        <f t="shared" si="6"/>
        <v/>
      </c>
      <c r="R44" s="30"/>
      <c r="S44" s="30">
        <f t="shared" si="5"/>
        <v>8</v>
      </c>
    </row>
    <row r="45" spans="1:19" x14ac:dyDescent="0.45">
      <c r="A45" t="s">
        <v>70</v>
      </c>
      <c r="B45" s="30" t="str">
        <f t="shared" si="7"/>
        <v>00</v>
      </c>
      <c r="C45" s="30" t="str">
        <f t="shared" si="6"/>
        <v>15</v>
      </c>
      <c r="D45" s="30" t="str">
        <f t="shared" si="6"/>
        <v>55</v>
      </c>
      <c r="E45" s="30" t="str">
        <f t="shared" si="6"/>
        <v>06</v>
      </c>
      <c r="F45" s="30" t="str">
        <f t="shared" si="6"/>
        <v>00</v>
      </c>
      <c r="G45" s="30" t="str">
        <f t="shared" si="6"/>
        <v>7C</v>
      </c>
      <c r="H45" s="30" t="str">
        <f t="shared" si="6"/>
        <v>06</v>
      </c>
      <c r="I45" s="30" t="str">
        <f t="shared" si="6"/>
        <v>00</v>
      </c>
      <c r="J45" s="30" t="str">
        <f t="shared" si="6"/>
        <v>20</v>
      </c>
      <c r="K45" s="30" t="str">
        <f t="shared" si="6"/>
        <v>70</v>
      </c>
      <c r="L45" s="30" t="str">
        <f t="shared" si="6"/>
        <v>7F</v>
      </c>
      <c r="M45" s="30" t="str">
        <f t="shared" si="6"/>
        <v>38</v>
      </c>
      <c r="N45" s="30" t="str">
        <f t="shared" si="6"/>
        <v>18</v>
      </c>
      <c r="O45" s="30" t="str">
        <f t="shared" si="6"/>
        <v>18</v>
      </c>
      <c r="P45" s="30" t="str">
        <f t="shared" si="6"/>
        <v>72</v>
      </c>
      <c r="Q45" s="30" t="str">
        <f t="shared" si="6"/>
        <v>40</v>
      </c>
      <c r="R45" s="30"/>
      <c r="S45" s="30">
        <f t="shared" si="5"/>
        <v>16</v>
      </c>
    </row>
    <row r="46" spans="1:19" x14ac:dyDescent="0.45">
      <c r="A46" t="s">
        <v>71</v>
      </c>
      <c r="B46" s="30" t="str">
        <f t="shared" si="7"/>
        <v>60</v>
      </c>
      <c r="C46" s="30" t="str">
        <f t="shared" si="6"/>
        <v>60</v>
      </c>
      <c r="D46" s="30" t="str">
        <f t="shared" si="6"/>
        <v>38</v>
      </c>
      <c r="E46" s="30" t="str">
        <f t="shared" si="6"/>
        <v>7C</v>
      </c>
      <c r="F46" s="30" t="str">
        <f t="shared" si="6"/>
        <v>7E</v>
      </c>
      <c r="G46" s="30" t="str">
        <f t="shared" si="6"/>
        <v>76</v>
      </c>
      <c r="H46" s="30" t="str">
        <f t="shared" si="6"/>
        <v>38</v>
      </c>
      <c r="I46" s="30" t="str">
        <f t="shared" si="6"/>
        <v>70</v>
      </c>
      <c r="J46" s="30" t="str">
        <f t="shared" si="6"/>
        <v>3C</v>
      </c>
      <c r="K46" s="30" t="str">
        <f t="shared" si="6"/>
        <v>70</v>
      </c>
      <c r="L46" s="30" t="str">
        <f t="shared" si="6"/>
        <v>3B</v>
      </c>
      <c r="M46" s="30" t="str">
        <f t="shared" si="6"/>
        <v>00</v>
      </c>
      <c r="N46" s="30" t="str">
        <f t="shared" si="6"/>
        <v>10</v>
      </c>
      <c r="O46" s="30" t="str">
        <f t="shared" si="6"/>
        <v>00</v>
      </c>
      <c r="P46" s="30" t="str">
        <f t="shared" si="6"/>
        <v>10</v>
      </c>
      <c r="Q46" s="30" t="str">
        <f t="shared" si="6"/>
        <v>15</v>
      </c>
      <c r="R46" s="30"/>
      <c r="S46" s="30">
        <f t="shared" si="5"/>
        <v>16</v>
      </c>
    </row>
    <row r="47" spans="1:19" x14ac:dyDescent="0.45">
      <c r="A47" t="s">
        <v>72</v>
      </c>
      <c r="B47" s="30" t="str">
        <f t="shared" si="7"/>
        <v>15</v>
      </c>
      <c r="C47" s="30" t="str">
        <f t="shared" si="6"/>
        <v>29</v>
      </c>
      <c r="D47" s="30" t="str">
        <f t="shared" si="6"/>
        <v>20</v>
      </c>
      <c r="E47" s="30" t="str">
        <f t="shared" si="6"/>
        <v>00</v>
      </c>
      <c r="F47" s="30" t="str">
        <f t="shared" si="6"/>
        <v>00</v>
      </c>
      <c r="G47" s="30" t="str">
        <f t="shared" si="6"/>
        <v>18</v>
      </c>
      <c r="H47" s="30" t="str">
        <f t="shared" si="6"/>
        <v>00</v>
      </c>
      <c r="I47" s="30" t="str">
        <f t="shared" si="6"/>
        <v>10</v>
      </c>
      <c r="J47" s="30" t="str">
        <f t="shared" si="6"/>
        <v>20</v>
      </c>
      <c r="K47" s="30" t="str">
        <f t="shared" si="6"/>
        <v>20</v>
      </c>
      <c r="L47" s="30" t="str">
        <f t="shared" si="6"/>
        <v>20</v>
      </c>
      <c r="M47" s="30" t="str">
        <f t="shared" si="6"/>
        <v>20</v>
      </c>
      <c r="N47" s="30" t="str">
        <f t="shared" si="6"/>
        <v>20</v>
      </c>
      <c r="O47" s="30" t="str">
        <f t="shared" si="6"/>
        <v>22</v>
      </c>
      <c r="P47" s="30" t="str">
        <f t="shared" si="6"/>
        <v>28</v>
      </c>
      <c r="Q47" s="30" t="str">
        <f t="shared" si="6"/>
        <v>20</v>
      </c>
      <c r="R47" s="30"/>
      <c r="S47" s="30">
        <f t="shared" si="5"/>
        <v>16</v>
      </c>
    </row>
    <row r="48" spans="1:19" x14ac:dyDescent="0.45">
      <c r="A48" t="s">
        <v>73</v>
      </c>
      <c r="B48" s="30" t="str">
        <f t="shared" si="7"/>
        <v>0A</v>
      </c>
      <c r="C48" s="30" t="str">
        <f t="shared" si="6"/>
        <v>28</v>
      </c>
      <c r="D48" s="30" t="str">
        <f t="shared" si="6"/>
        <v>08</v>
      </c>
      <c r="E48" s="30" t="str">
        <f t="shared" si="6"/>
        <v>22</v>
      </c>
      <c r="F48" s="30" t="str">
        <f t="shared" si="6"/>
        <v>28</v>
      </c>
      <c r="G48" s="30" t="str">
        <f t="shared" si="6"/>
        <v>28</v>
      </c>
      <c r="H48" s="30" t="str">
        <f t="shared" si="6"/>
        <v>28</v>
      </c>
      <c r="I48" s="30" t="str">
        <f t="shared" si="6"/>
        <v>00</v>
      </c>
      <c r="J48" s="30" t="str">
        <f t="shared" si="6"/>
        <v>00</v>
      </c>
      <c r="K48" s="30" t="str">
        <f t="shared" si="6"/>
        <v>00</v>
      </c>
      <c r="L48" s="30" t="str">
        <f t="shared" si="6"/>
        <v>00</v>
      </c>
      <c r="M48" s="30" t="str">
        <f t="shared" si="6"/>
        <v>2A</v>
      </c>
      <c r="N48" s="30" t="str">
        <f t="shared" si="6"/>
        <v>28</v>
      </c>
      <c r="O48" s="30" t="str">
        <f t="shared" si="6"/>
        <v>2A</v>
      </c>
      <c r="P48" s="30" t="str">
        <f t="shared" si="6"/>
        <v>2A</v>
      </c>
      <c r="Q48" s="30" t="str">
        <f t="shared" si="6"/>
        <v>0A</v>
      </c>
      <c r="R48" s="30"/>
      <c r="S48" s="30">
        <f t="shared" si="5"/>
        <v>16</v>
      </c>
    </row>
    <row r="49" spans="1:19" x14ac:dyDescent="0.45">
      <c r="A49" t="s">
        <v>74</v>
      </c>
      <c r="B49" s="30" t="str">
        <f t="shared" si="7"/>
        <v>2A</v>
      </c>
      <c r="C49" s="30" t="str">
        <f t="shared" si="6"/>
        <v>2A</v>
      </c>
      <c r="D49" s="30" t="str">
        <f t="shared" si="6"/>
        <v>2A</v>
      </c>
      <c r="E49" s="30" t="str">
        <f t="shared" si="6"/>
        <v>28</v>
      </c>
      <c r="F49" s="30" t="str">
        <f t="shared" si="6"/>
        <v>2A</v>
      </c>
      <c r="G49" s="30" t="str">
        <f t="shared" si="6"/>
        <v>54</v>
      </c>
      <c r="H49" s="30" t="str">
        <f t="shared" si="6"/>
        <v>15</v>
      </c>
      <c r="I49" s="30" t="str">
        <f t="shared" si="6"/>
        <v>55</v>
      </c>
      <c r="J49" s="30" t="str">
        <f t="shared" si="6"/>
        <v>15</v>
      </c>
      <c r="K49" s="30" t="str">
        <f t="shared" si="6"/>
        <v>55</v>
      </c>
      <c r="L49" s="30" t="str">
        <f t="shared" si="6"/>
        <v>55</v>
      </c>
      <c r="M49" s="30" t="str">
        <f t="shared" si="6"/>
        <v>55</v>
      </c>
      <c r="N49" s="30" t="str">
        <f t="shared" si="6"/>
        <v>41</v>
      </c>
      <c r="O49" s="30" t="str">
        <f t="shared" si="6"/>
        <v>04</v>
      </c>
      <c r="P49" s="30" t="str">
        <f t="shared" si="6"/>
        <v>10</v>
      </c>
      <c r="Q49" s="30" t="str">
        <f t="shared" si="6"/>
        <v>41</v>
      </c>
      <c r="R49" s="30"/>
      <c r="S49" s="30">
        <f t="shared" si="5"/>
        <v>16</v>
      </c>
    </row>
    <row r="50" spans="1:19" x14ac:dyDescent="0.45">
      <c r="A50" t="s">
        <v>75</v>
      </c>
      <c r="B50" s="30" t="str">
        <f t="shared" si="7"/>
        <v>01</v>
      </c>
      <c r="C50" s="30" t="str">
        <f t="shared" si="7"/>
        <v>41</v>
      </c>
      <c r="D50" s="30" t="str">
        <f t="shared" si="7"/>
        <v>41</v>
      </c>
      <c r="E50" s="30" t="str">
        <f t="shared" si="7"/>
        <v>55</v>
      </c>
      <c r="F50" s="30" t="str">
        <f t="shared" si="7"/>
        <v>55</v>
      </c>
      <c r="G50" s="30" t="str">
        <f t="shared" si="7"/>
        <v>55</v>
      </c>
      <c r="H50" s="30" t="str">
        <f t="shared" si="7"/>
        <v>55</v>
      </c>
      <c r="I50" s="30" t="str">
        <f t="shared" si="7"/>
        <v>55</v>
      </c>
      <c r="J50" s="30" t="str">
        <f t="shared" si="7"/>
        <v>55</v>
      </c>
      <c r="K50" s="30" t="str">
        <f t="shared" si="7"/>
        <v>41</v>
      </c>
      <c r="L50" s="30" t="str">
        <f t="shared" si="7"/>
        <v>45</v>
      </c>
      <c r="M50" s="30" t="str">
        <f t="shared" si="7"/>
        <v>41</v>
      </c>
      <c r="N50" s="30" t="str">
        <f t="shared" si="7"/>
        <v>41</v>
      </c>
      <c r="O50" s="30" t="str">
        <f t="shared" si="7"/>
        <v>51</v>
      </c>
      <c r="P50" s="30" t="str">
        <f t="shared" si="7"/>
        <v>55</v>
      </c>
      <c r="Q50" s="30" t="str">
        <f t="shared" si="7"/>
        <v>01</v>
      </c>
      <c r="R50" s="30"/>
      <c r="S50" s="30">
        <f t="shared" si="5"/>
        <v>16</v>
      </c>
    </row>
    <row r="51" spans="1:19" x14ac:dyDescent="0.45">
      <c r="A51" t="s">
        <v>76</v>
      </c>
      <c r="B51" s="30" t="str">
        <f t="shared" si="7"/>
        <v>00</v>
      </c>
      <c r="C51" s="30" t="str">
        <f t="shared" si="7"/>
        <v>14</v>
      </c>
      <c r="D51" s="30" t="str">
        <f t="shared" si="7"/>
        <v>14</v>
      </c>
      <c r="E51" s="30" t="str">
        <f t="shared" si="7"/>
        <v>40</v>
      </c>
      <c r="F51" s="30" t="str">
        <f t="shared" si="7"/>
        <v>00</v>
      </c>
      <c r="G51" s="30" t="str">
        <f t="shared" si="7"/>
        <v>40</v>
      </c>
      <c r="H51" s="30" t="str">
        <f t="shared" si="7"/>
        <v>00</v>
      </c>
      <c r="I51" s="30" t="str">
        <f t="shared" si="7"/>
        <v>00</v>
      </c>
      <c r="J51" s="30" t="str">
        <f t="shared" si="7"/>
        <v/>
      </c>
      <c r="K51" s="30" t="str">
        <f t="shared" si="7"/>
        <v/>
      </c>
      <c r="L51" s="30" t="str">
        <f t="shared" si="7"/>
        <v/>
      </c>
      <c r="M51" s="30" t="str">
        <f t="shared" si="7"/>
        <v/>
      </c>
      <c r="N51" s="30" t="str">
        <f t="shared" si="7"/>
        <v/>
      </c>
      <c r="O51" s="30" t="str">
        <f t="shared" si="7"/>
        <v/>
      </c>
      <c r="P51" s="30" t="str">
        <f t="shared" si="7"/>
        <v/>
      </c>
      <c r="Q51" s="30" t="str">
        <f t="shared" si="7"/>
        <v/>
      </c>
      <c r="R51" s="30"/>
      <c r="S51" s="30">
        <f t="shared" si="5"/>
        <v>8</v>
      </c>
    </row>
    <row r="52" spans="1:19" x14ac:dyDescent="0.45">
      <c r="A52" t="s">
        <v>77</v>
      </c>
      <c r="B52" s="30" t="str">
        <f t="shared" si="7"/>
        <v>00</v>
      </c>
      <c r="C52" s="30" t="str">
        <f t="shared" si="7"/>
        <v>02</v>
      </c>
      <c r="D52" s="30" t="str">
        <f t="shared" si="7"/>
        <v>02</v>
      </c>
      <c r="E52" s="30" t="str">
        <f t="shared" si="7"/>
        <v>03</v>
      </c>
      <c r="F52" s="30" t="str">
        <f t="shared" si="7"/>
        <v>00</v>
      </c>
      <c r="G52" s="30" t="str">
        <f t="shared" si="7"/>
        <v>01</v>
      </c>
      <c r="H52" s="30" t="str">
        <f t="shared" si="7"/>
        <v>03</v>
      </c>
      <c r="I52" s="30" t="str">
        <f t="shared" si="7"/>
        <v>00</v>
      </c>
      <c r="J52" s="30" t="str">
        <f t="shared" si="7"/>
        <v>00</v>
      </c>
      <c r="K52" s="30" t="str">
        <f t="shared" si="7"/>
        <v>00</v>
      </c>
      <c r="L52" s="30" t="str">
        <f t="shared" si="7"/>
        <v>07</v>
      </c>
      <c r="M52" s="30" t="str">
        <f t="shared" si="7"/>
        <v>00</v>
      </c>
      <c r="N52" s="30" t="str">
        <f t="shared" si="7"/>
        <v>00</v>
      </c>
      <c r="O52" s="30" t="str">
        <f t="shared" si="7"/>
        <v>00</v>
      </c>
      <c r="P52" s="30" t="str">
        <f t="shared" si="7"/>
        <v>00</v>
      </c>
      <c r="Q52" s="30" t="str">
        <f t="shared" si="7"/>
        <v>01</v>
      </c>
      <c r="R52" s="30"/>
      <c r="S52" s="30">
        <f t="shared" si="5"/>
        <v>16</v>
      </c>
    </row>
    <row r="53" spans="1:19" x14ac:dyDescent="0.45">
      <c r="A53" t="s">
        <v>78</v>
      </c>
      <c r="B53" s="30" t="str">
        <f t="shared" si="7"/>
        <v>00</v>
      </c>
      <c r="C53" s="30" t="str">
        <f t="shared" si="7"/>
        <v>00</v>
      </c>
      <c r="D53" s="30" t="str">
        <f t="shared" si="7"/>
        <v>02</v>
      </c>
      <c r="E53" s="30" t="str">
        <f t="shared" si="7"/>
        <v>03</v>
      </c>
      <c r="F53" s="30" t="str">
        <f t="shared" si="7"/>
        <v>01</v>
      </c>
      <c r="G53" s="30" t="str">
        <f t="shared" si="7"/>
        <v>01</v>
      </c>
      <c r="H53" s="30" t="str">
        <f t="shared" si="7"/>
        <v>00</v>
      </c>
      <c r="I53" s="30" t="str">
        <f t="shared" si="7"/>
        <v>06</v>
      </c>
      <c r="J53" s="30" t="str">
        <f t="shared" si="7"/>
        <v>03</v>
      </c>
      <c r="K53" s="30" t="str">
        <f t="shared" si="7"/>
        <v>00</v>
      </c>
      <c r="L53" s="30" t="str">
        <f t="shared" si="7"/>
        <v>00</v>
      </c>
      <c r="M53" s="30" t="str">
        <f t="shared" si="7"/>
        <v>00</v>
      </c>
      <c r="N53" s="30" t="str">
        <f t="shared" si="7"/>
        <v>00</v>
      </c>
      <c r="O53" s="30" t="str">
        <f t="shared" si="7"/>
        <v>00</v>
      </c>
      <c r="P53" s="30" t="str">
        <f t="shared" si="7"/>
        <v>00</v>
      </c>
      <c r="Q53" s="30" t="str">
        <f t="shared" si="7"/>
        <v>02</v>
      </c>
      <c r="R53" s="30"/>
      <c r="S53" s="30">
        <f t="shared" si="5"/>
        <v>16</v>
      </c>
    </row>
    <row r="54" spans="1:19" x14ac:dyDescent="0.45">
      <c r="A54" t="s">
        <v>79</v>
      </c>
      <c r="B54" s="30" t="str">
        <f t="shared" si="7"/>
        <v>02</v>
      </c>
      <c r="C54" s="30" t="str">
        <f t="shared" si="7"/>
        <v>02</v>
      </c>
      <c r="D54" s="30" t="str">
        <f t="shared" si="7"/>
        <v>00</v>
      </c>
      <c r="E54" s="30" t="str">
        <f t="shared" si="7"/>
        <v>00</v>
      </c>
      <c r="F54" s="30" t="str">
        <f t="shared" si="7"/>
        <v>00</v>
      </c>
      <c r="G54" s="30" t="str">
        <f t="shared" si="7"/>
        <v>00</v>
      </c>
      <c r="H54" s="30" t="str">
        <f t="shared" si="7"/>
        <v>00</v>
      </c>
      <c r="I54" s="30" t="str">
        <f t="shared" si="7"/>
        <v>00</v>
      </c>
      <c r="J54" s="30" t="str">
        <f t="shared" si="7"/>
        <v>00</v>
      </c>
      <c r="K54" s="30" t="str">
        <f t="shared" si="7"/>
        <v>00</v>
      </c>
      <c r="L54" s="30" t="str">
        <f t="shared" si="7"/>
        <v>00</v>
      </c>
      <c r="M54" s="30" t="str">
        <f t="shared" si="7"/>
        <v>00</v>
      </c>
      <c r="N54" s="30" t="str">
        <f t="shared" si="7"/>
        <v>00</v>
      </c>
      <c r="O54" s="30" t="str">
        <f t="shared" si="7"/>
        <v>01</v>
      </c>
      <c r="P54" s="30" t="str">
        <f t="shared" si="7"/>
        <v>00</v>
      </c>
      <c r="Q54" s="30" t="str">
        <f t="shared" si="7"/>
        <v>04</v>
      </c>
      <c r="R54" s="30"/>
      <c r="S54" s="30">
        <f t="shared" si="5"/>
        <v>16</v>
      </c>
    </row>
    <row r="55" spans="1:19" x14ac:dyDescent="0.45">
      <c r="A55" t="s">
        <v>80</v>
      </c>
      <c r="B55" s="30" t="str">
        <f t="shared" si="7"/>
        <v>01</v>
      </c>
      <c r="C55" s="30" t="str">
        <f t="shared" si="7"/>
        <v>00</v>
      </c>
      <c r="D55" s="30" t="str">
        <f t="shared" si="7"/>
        <v>00</v>
      </c>
      <c r="E55" s="30" t="str">
        <f t="shared" si="7"/>
        <v>00</v>
      </c>
      <c r="F55" s="30" t="str">
        <f t="shared" si="7"/>
        <v>02</v>
      </c>
      <c r="G55" s="30" t="str">
        <f t="shared" si="7"/>
        <v>01</v>
      </c>
      <c r="H55" s="30" t="str">
        <f t="shared" si="7"/>
        <v>01</v>
      </c>
      <c r="I55" s="30" t="str">
        <f t="shared" si="7"/>
        <v>00</v>
      </c>
      <c r="J55" s="30" t="str">
        <f t="shared" si="7"/>
        <v>00</v>
      </c>
      <c r="K55" s="30" t="str">
        <f t="shared" si="7"/>
        <v>00</v>
      </c>
      <c r="L55" s="30" t="str">
        <f t="shared" si="7"/>
        <v>00</v>
      </c>
      <c r="M55" s="30" t="str">
        <f t="shared" si="7"/>
        <v>01</v>
      </c>
      <c r="N55" s="30" t="str">
        <f t="shared" si="7"/>
        <v>00</v>
      </c>
      <c r="O55" s="30" t="str">
        <f t="shared" si="7"/>
        <v>01</v>
      </c>
      <c r="P55" s="30" t="str">
        <f t="shared" si="7"/>
        <v>01</v>
      </c>
      <c r="Q55" s="30" t="str">
        <f t="shared" si="7"/>
        <v>01</v>
      </c>
      <c r="R55" s="30"/>
      <c r="S55" s="30">
        <f t="shared" si="5"/>
        <v>16</v>
      </c>
    </row>
    <row r="56" spans="1:19" x14ac:dyDescent="0.45">
      <c r="A56" t="s">
        <v>81</v>
      </c>
      <c r="B56" s="30" t="str">
        <f t="shared" si="7"/>
        <v>01</v>
      </c>
      <c r="C56" s="30" t="str">
        <f t="shared" si="7"/>
        <v>01</v>
      </c>
      <c r="D56" s="30" t="str">
        <f t="shared" si="7"/>
        <v>01</v>
      </c>
      <c r="E56" s="30" t="str">
        <f t="shared" si="7"/>
        <v>01</v>
      </c>
      <c r="F56" s="30" t="str">
        <f t="shared" si="7"/>
        <v>01</v>
      </c>
      <c r="G56" s="30" t="str">
        <f t="shared" si="7"/>
        <v>00</v>
      </c>
      <c r="H56" s="30" t="str">
        <f t="shared" si="7"/>
        <v>00</v>
      </c>
      <c r="I56" s="30" t="str">
        <f t="shared" si="7"/>
        <v>00</v>
      </c>
      <c r="J56" s="30" t="str">
        <f t="shared" si="7"/>
        <v>00</v>
      </c>
      <c r="K56" s="30" t="str">
        <f t="shared" si="7"/>
        <v>00</v>
      </c>
      <c r="L56" s="30" t="str">
        <f t="shared" si="7"/>
        <v>00</v>
      </c>
      <c r="M56" s="30" t="str">
        <f t="shared" si="7"/>
        <v>00</v>
      </c>
      <c r="N56" s="30" t="str">
        <f t="shared" si="7"/>
        <v>00</v>
      </c>
      <c r="O56" s="30" t="str">
        <f t="shared" si="7"/>
        <v>00</v>
      </c>
      <c r="P56" s="30" t="str">
        <f t="shared" si="7"/>
        <v>00</v>
      </c>
      <c r="Q56" s="30" t="str">
        <f t="shared" si="7"/>
        <v>00</v>
      </c>
      <c r="R56" s="30"/>
      <c r="S56" s="30">
        <f t="shared" si="5"/>
        <v>16</v>
      </c>
    </row>
    <row r="57" spans="1:19" x14ac:dyDescent="0.45">
      <c r="A57" t="s">
        <v>44</v>
      </c>
      <c r="B57" s="30" t="str">
        <f t="shared" si="7"/>
        <v>00</v>
      </c>
      <c r="C57" s="30" t="str">
        <f t="shared" si="7"/>
        <v>00</v>
      </c>
      <c r="D57" s="30" t="str">
        <f t="shared" si="7"/>
        <v>00</v>
      </c>
      <c r="E57" s="30" t="str">
        <f t="shared" si="7"/>
        <v>00</v>
      </c>
      <c r="F57" s="30" t="str">
        <f t="shared" si="7"/>
        <v>00</v>
      </c>
      <c r="G57" s="30" t="str">
        <f t="shared" si="7"/>
        <v>00</v>
      </c>
      <c r="H57" s="30" t="str">
        <f t="shared" si="7"/>
        <v>00</v>
      </c>
      <c r="I57" s="30" t="str">
        <f t="shared" si="7"/>
        <v>00</v>
      </c>
      <c r="J57" s="30" t="str">
        <f t="shared" si="7"/>
        <v>00</v>
      </c>
      <c r="K57" s="30" t="str">
        <f t="shared" si="7"/>
        <v>00</v>
      </c>
      <c r="L57" s="30" t="str">
        <f t="shared" si="7"/>
        <v>00</v>
      </c>
      <c r="M57" s="30" t="str">
        <f t="shared" si="7"/>
        <v>00</v>
      </c>
      <c r="N57" s="30" t="str">
        <f t="shared" si="7"/>
        <v>00</v>
      </c>
      <c r="O57" s="30" t="str">
        <f t="shared" si="7"/>
        <v>00</v>
      </c>
      <c r="P57" s="30" t="str">
        <f t="shared" si="7"/>
        <v>00</v>
      </c>
      <c r="Q57" s="30" t="str">
        <f t="shared" si="7"/>
        <v>00</v>
      </c>
      <c r="R57" s="30"/>
      <c r="S57" s="30">
        <f t="shared" si="5"/>
        <v>16</v>
      </c>
    </row>
    <row r="58" spans="1:19" x14ac:dyDescent="0.45">
      <c r="A58" t="s">
        <v>82</v>
      </c>
      <c r="B58" s="30" t="str">
        <f t="shared" si="7"/>
        <v>00</v>
      </c>
      <c r="C58" s="30" t="str">
        <f t="shared" si="7"/>
        <v>00</v>
      </c>
      <c r="D58" s="30" t="str">
        <f t="shared" si="7"/>
        <v>00</v>
      </c>
      <c r="E58" s="30" t="str">
        <f t="shared" si="7"/>
        <v>00</v>
      </c>
      <c r="F58" s="30" t="str">
        <f t="shared" si="7"/>
        <v>00</v>
      </c>
      <c r="G58" s="30" t="str">
        <f t="shared" si="7"/>
        <v>00</v>
      </c>
      <c r="H58" s="30" t="str">
        <f t="shared" si="7"/>
        <v>00</v>
      </c>
      <c r="I58" s="30" t="str">
        <f t="shared" si="7"/>
        <v>00</v>
      </c>
      <c r="J58" s="30" t="str">
        <f t="shared" si="7"/>
        <v/>
      </c>
      <c r="K58" s="30" t="str">
        <f t="shared" si="7"/>
        <v/>
      </c>
      <c r="L58" s="30" t="str">
        <f t="shared" si="7"/>
        <v/>
      </c>
      <c r="M58" s="30" t="str">
        <f t="shared" si="7"/>
        <v/>
      </c>
      <c r="N58" s="30" t="str">
        <f t="shared" si="7"/>
        <v/>
      </c>
      <c r="O58" s="30" t="str">
        <f t="shared" si="7"/>
        <v/>
      </c>
      <c r="P58" s="30" t="str">
        <f t="shared" si="7"/>
        <v/>
      </c>
      <c r="Q58" s="30" t="str">
        <f t="shared" si="7"/>
        <v/>
      </c>
      <c r="R58" s="30"/>
      <c r="S58" s="30">
        <f t="shared" si="5"/>
        <v>8</v>
      </c>
    </row>
    <row r="59" spans="1:19" x14ac:dyDescent="0.45">
      <c r="A59" t="s">
        <v>83</v>
      </c>
      <c r="B59" s="30" t="str">
        <f t="shared" si="7"/>
        <v>00</v>
      </c>
      <c r="C59" s="30" t="str">
        <f t="shared" si="7"/>
        <v>00</v>
      </c>
      <c r="D59" s="30" t="str">
        <f t="shared" si="7"/>
        <v>55</v>
      </c>
      <c r="E59" s="30" t="str">
        <f t="shared" si="7"/>
        <v>06</v>
      </c>
      <c r="F59" s="30" t="str">
        <f t="shared" si="7"/>
        <v>00</v>
      </c>
      <c r="G59" s="30" t="str">
        <f t="shared" si="7"/>
        <v>30</v>
      </c>
      <c r="H59" s="30" t="str">
        <f t="shared" si="7"/>
        <v>00</v>
      </c>
      <c r="I59" s="30" t="str">
        <f t="shared" si="7"/>
        <v>00</v>
      </c>
      <c r="J59" s="30" t="str">
        <f t="shared" si="7"/>
        <v>28</v>
      </c>
      <c r="K59" s="30" t="str">
        <f t="shared" si="7"/>
        <v>6C</v>
      </c>
      <c r="L59" s="30" t="str">
        <f t="shared" si="7"/>
        <v>7F</v>
      </c>
      <c r="M59" s="30" t="str">
        <f t="shared" si="7"/>
        <v>5C</v>
      </c>
      <c r="N59" s="30" t="str">
        <f t="shared" si="7"/>
        <v>38</v>
      </c>
      <c r="O59" s="30" t="str">
        <f t="shared" si="7"/>
        <v>7A</v>
      </c>
      <c r="P59" s="30" t="str">
        <f t="shared" si="7"/>
        <v>7E</v>
      </c>
      <c r="Q59" s="30" t="str">
        <f t="shared" si="7"/>
        <v>70</v>
      </c>
      <c r="R59" s="30"/>
      <c r="S59" s="30">
        <f t="shared" si="5"/>
        <v>16</v>
      </c>
    </row>
    <row r="60" spans="1:19" x14ac:dyDescent="0.45">
      <c r="A60" t="s">
        <v>84</v>
      </c>
      <c r="B60" s="30" t="str">
        <f t="shared" si="7"/>
        <v>70</v>
      </c>
      <c r="C60" s="30" t="str">
        <f t="shared" si="7"/>
        <v>78</v>
      </c>
      <c r="D60" s="30" t="str">
        <f t="shared" si="7"/>
        <v>78</v>
      </c>
      <c r="E60" s="30" t="str">
        <f t="shared" si="7"/>
        <v>60</v>
      </c>
      <c r="F60" s="30" t="str">
        <f t="shared" si="7"/>
        <v>18</v>
      </c>
      <c r="G60" s="30" t="str">
        <f t="shared" si="7"/>
        <v>3C</v>
      </c>
      <c r="H60" s="30" t="str">
        <f t="shared" si="7"/>
        <v>1E</v>
      </c>
      <c r="I60" s="30" t="str">
        <f t="shared" si="7"/>
        <v>60</v>
      </c>
      <c r="J60" s="30" t="str">
        <f t="shared" si="7"/>
        <v>70</v>
      </c>
      <c r="K60" s="30" t="str">
        <f t="shared" si="7"/>
        <v>60</v>
      </c>
      <c r="L60" s="30" t="str">
        <f t="shared" si="7"/>
        <v>1E</v>
      </c>
      <c r="M60" s="30" t="str">
        <f t="shared" si="7"/>
        <v>00</v>
      </c>
      <c r="N60" s="30" t="str">
        <f t="shared" si="7"/>
        <v>00</v>
      </c>
      <c r="O60" s="30" t="str">
        <f t="shared" si="7"/>
        <v>00</v>
      </c>
      <c r="P60" s="30" t="str">
        <f t="shared" si="7"/>
        <v>00</v>
      </c>
      <c r="Q60" s="30" t="str">
        <f t="shared" si="7"/>
        <v>00</v>
      </c>
      <c r="R60" s="30"/>
      <c r="S60" s="30">
        <f t="shared" si="5"/>
        <v>16</v>
      </c>
    </row>
    <row r="61" spans="1:19" x14ac:dyDescent="0.45">
      <c r="A61" t="s">
        <v>85</v>
      </c>
      <c r="B61" s="30" t="str">
        <f t="shared" si="7"/>
        <v>00</v>
      </c>
      <c r="C61" s="30" t="str">
        <f t="shared" si="7"/>
        <v>00</v>
      </c>
      <c r="D61" s="30" t="str">
        <f t="shared" si="7"/>
        <v>28</v>
      </c>
      <c r="E61" s="30" t="str">
        <f t="shared" si="7"/>
        <v>00</v>
      </c>
      <c r="F61" s="30" t="str">
        <f t="shared" si="7"/>
        <v>00</v>
      </c>
      <c r="G61" s="30" t="str">
        <f t="shared" si="7"/>
        <v>7E</v>
      </c>
      <c r="H61" s="30" t="str">
        <f t="shared" si="7"/>
        <v>00</v>
      </c>
      <c r="I61" s="30" t="str">
        <f t="shared" si="7"/>
        <v>00</v>
      </c>
      <c r="J61" s="30" t="str">
        <f t="shared" si="7"/>
        <v>28</v>
      </c>
      <c r="K61" s="30" t="str">
        <f t="shared" si="7"/>
        <v>28</v>
      </c>
      <c r="L61" s="30" t="str">
        <f t="shared" si="7"/>
        <v>28</v>
      </c>
      <c r="M61" s="30" t="str">
        <f t="shared" si="7"/>
        <v>20</v>
      </c>
      <c r="N61" s="30" t="str">
        <f t="shared" si="7"/>
        <v>28</v>
      </c>
      <c r="O61" s="30" t="str">
        <f t="shared" si="7"/>
        <v>28</v>
      </c>
      <c r="P61" s="30" t="str">
        <f t="shared" si="7"/>
        <v>0A</v>
      </c>
      <c r="Q61" s="30" t="str">
        <f t="shared" si="7"/>
        <v>20</v>
      </c>
      <c r="R61" s="30"/>
      <c r="S61" s="30">
        <f t="shared" si="5"/>
        <v>16</v>
      </c>
    </row>
    <row r="62" spans="1:19" x14ac:dyDescent="0.45">
      <c r="A62" t="s">
        <v>86</v>
      </c>
      <c r="B62" s="30" t="str">
        <f t="shared" si="7"/>
        <v>28</v>
      </c>
      <c r="C62" s="30" t="str">
        <f t="shared" si="7"/>
        <v>20</v>
      </c>
      <c r="D62" s="30" t="str">
        <f t="shared" si="7"/>
        <v>0A</v>
      </c>
      <c r="E62" s="30" t="str">
        <f t="shared" si="7"/>
        <v>2A</v>
      </c>
      <c r="F62" s="30" t="str">
        <f t="shared" si="7"/>
        <v>28</v>
      </c>
      <c r="G62" s="30" t="str">
        <f t="shared" si="7"/>
        <v>20</v>
      </c>
      <c r="H62" s="30" t="str">
        <f t="shared" si="7"/>
        <v>20</v>
      </c>
      <c r="I62" s="30" t="str">
        <f t="shared" si="7"/>
        <v>00</v>
      </c>
      <c r="J62" s="30" t="str">
        <f t="shared" si="7"/>
        <v>00</v>
      </c>
      <c r="K62" s="30" t="str">
        <f t="shared" si="7"/>
        <v>00</v>
      </c>
      <c r="L62" s="30" t="str">
        <f t="shared" si="7"/>
        <v>00</v>
      </c>
      <c r="M62" s="30" t="str">
        <f t="shared" si="7"/>
        <v>02</v>
      </c>
      <c r="N62" s="30" t="str">
        <f t="shared" si="7"/>
        <v>28</v>
      </c>
      <c r="O62" s="30" t="str">
        <f t="shared" si="7"/>
        <v>02</v>
      </c>
      <c r="P62" s="30" t="str">
        <f t="shared" si="7"/>
        <v>02</v>
      </c>
      <c r="Q62" s="30" t="str">
        <f t="shared" si="7"/>
        <v>0A</v>
      </c>
      <c r="R62" s="30"/>
      <c r="S62" s="30">
        <f t="shared" si="5"/>
        <v>16</v>
      </c>
    </row>
    <row r="63" spans="1:19" x14ac:dyDescent="0.45">
      <c r="A63" t="s">
        <v>87</v>
      </c>
      <c r="B63" s="30" t="str">
        <f t="shared" si="7"/>
        <v>02</v>
      </c>
      <c r="C63" s="30" t="str">
        <f t="shared" si="7"/>
        <v>02</v>
      </c>
      <c r="D63" s="30" t="str">
        <f t="shared" si="7"/>
        <v>20</v>
      </c>
      <c r="E63" s="30" t="str">
        <f t="shared" si="7"/>
        <v>08</v>
      </c>
      <c r="F63" s="30" t="str">
        <f t="shared" si="7"/>
        <v>02</v>
      </c>
      <c r="G63" s="30" t="str">
        <f t="shared" si="7"/>
        <v>44</v>
      </c>
      <c r="H63" s="30" t="str">
        <f t="shared" si="7"/>
        <v>11</v>
      </c>
      <c r="I63" s="30" t="str">
        <f t="shared" si="7"/>
        <v>41</v>
      </c>
      <c r="J63" s="30" t="str">
        <f t="shared" si="7"/>
        <v>41</v>
      </c>
      <c r="K63" s="30" t="str">
        <f t="shared" si="7"/>
        <v>05</v>
      </c>
      <c r="L63" s="30" t="str">
        <f t="shared" si="7"/>
        <v>05</v>
      </c>
      <c r="M63" s="30" t="str">
        <f t="shared" si="7"/>
        <v>41</v>
      </c>
      <c r="N63" s="30" t="str">
        <f t="shared" si="7"/>
        <v>41</v>
      </c>
      <c r="O63" s="30" t="str">
        <f t="shared" si="7"/>
        <v>04</v>
      </c>
      <c r="P63" s="30" t="str">
        <f t="shared" si="7"/>
        <v>10</v>
      </c>
      <c r="Q63" s="30" t="str">
        <f t="shared" si="7"/>
        <v>51</v>
      </c>
      <c r="R63" s="30"/>
      <c r="S63" s="30">
        <f t="shared" si="5"/>
        <v>16</v>
      </c>
    </row>
    <row r="64" spans="1:19" x14ac:dyDescent="0.45">
      <c r="A64" t="s">
        <v>88</v>
      </c>
      <c r="B64" s="30" t="str">
        <f t="shared" si="7"/>
        <v>01</v>
      </c>
      <c r="C64" s="30" t="str">
        <f t="shared" si="7"/>
        <v>45</v>
      </c>
      <c r="D64" s="30" t="str">
        <f t="shared" si="7"/>
        <v>41</v>
      </c>
      <c r="E64" s="30" t="str">
        <f t="shared" si="7"/>
        <v>51</v>
      </c>
      <c r="F64" s="30" t="str">
        <f t="shared" si="7"/>
        <v>41</v>
      </c>
      <c r="G64" s="30" t="str">
        <f t="shared" si="7"/>
        <v>51</v>
      </c>
      <c r="H64" s="30" t="str">
        <f t="shared" si="7"/>
        <v>41</v>
      </c>
      <c r="I64" s="30" t="str">
        <f t="shared" si="7"/>
        <v>41</v>
      </c>
      <c r="J64" s="30" t="str">
        <f t="shared" si="7"/>
        <v>04</v>
      </c>
      <c r="K64" s="30" t="str">
        <f t="shared" si="7"/>
        <v>41</v>
      </c>
      <c r="L64" s="30" t="str">
        <f t="shared" si="7"/>
        <v>45</v>
      </c>
      <c r="M64" s="30" t="str">
        <f t="shared" si="7"/>
        <v>41</v>
      </c>
      <c r="N64" s="30" t="str">
        <f t="shared" si="7"/>
        <v>41</v>
      </c>
      <c r="O64" s="30" t="str">
        <f t="shared" si="7"/>
        <v>51</v>
      </c>
      <c r="P64" s="30" t="str">
        <f t="shared" si="7"/>
        <v>41</v>
      </c>
      <c r="Q64" s="30" t="str">
        <f t="shared" ref="D64:Q127" si="8">MID($A64,13+Q$2*3,2)</f>
        <v>05</v>
      </c>
      <c r="R64" s="30"/>
      <c r="S64" s="30">
        <f t="shared" si="5"/>
        <v>16</v>
      </c>
    </row>
    <row r="65" spans="1:19" x14ac:dyDescent="0.45">
      <c r="A65" t="s">
        <v>89</v>
      </c>
      <c r="B65" s="30" t="str">
        <f t="shared" ref="B65:C96" si="9">MID($A65,13+B$2*3,2)</f>
        <v>00</v>
      </c>
      <c r="C65" s="30" t="str">
        <f t="shared" si="9"/>
        <v>14</v>
      </c>
      <c r="D65" s="30" t="str">
        <f t="shared" si="8"/>
        <v>14</v>
      </c>
      <c r="E65" s="30" t="str">
        <f t="shared" si="8"/>
        <v>40</v>
      </c>
      <c r="F65" s="30" t="str">
        <f t="shared" si="8"/>
        <v>00</v>
      </c>
      <c r="G65" s="30" t="str">
        <f t="shared" si="8"/>
        <v>50</v>
      </c>
      <c r="H65" s="30" t="str">
        <f t="shared" si="8"/>
        <v>00</v>
      </c>
      <c r="I65" s="30" t="str">
        <f t="shared" si="8"/>
        <v>00</v>
      </c>
      <c r="J65" s="30" t="str">
        <f t="shared" si="8"/>
        <v/>
      </c>
      <c r="K65" s="30" t="str">
        <f t="shared" si="8"/>
        <v/>
      </c>
      <c r="L65" s="30" t="str">
        <f t="shared" si="8"/>
        <v/>
      </c>
      <c r="M65" s="30" t="str">
        <f t="shared" si="8"/>
        <v/>
      </c>
      <c r="N65" s="30" t="str">
        <f t="shared" si="8"/>
        <v/>
      </c>
      <c r="O65" s="30" t="str">
        <f t="shared" si="8"/>
        <v/>
      </c>
      <c r="P65" s="30" t="str">
        <f t="shared" si="8"/>
        <v/>
      </c>
      <c r="Q65" s="30" t="str">
        <f t="shared" si="8"/>
        <v/>
      </c>
      <c r="R65" s="30"/>
      <c r="S65" s="30">
        <f t="shared" si="5"/>
        <v>8</v>
      </c>
    </row>
    <row r="66" spans="1:19" x14ac:dyDescent="0.45">
      <c r="A66" t="s">
        <v>90</v>
      </c>
      <c r="B66" s="30" t="str">
        <f t="shared" si="9"/>
        <v>00</v>
      </c>
      <c r="C66" s="30" t="str">
        <f t="shared" si="9"/>
        <v>00</v>
      </c>
      <c r="D66" s="30" t="str">
        <f t="shared" si="8"/>
        <v>02</v>
      </c>
      <c r="E66" s="30" t="str">
        <f t="shared" si="8"/>
        <v>03</v>
      </c>
      <c r="F66" s="30" t="str">
        <f t="shared" si="8"/>
        <v>00</v>
      </c>
      <c r="G66" s="30" t="str">
        <f t="shared" si="8"/>
        <v>00</v>
      </c>
      <c r="H66" s="30" t="str">
        <f t="shared" si="8"/>
        <v>03</v>
      </c>
      <c r="I66" s="30" t="str">
        <f t="shared" si="8"/>
        <v>00</v>
      </c>
      <c r="J66" s="30" t="str">
        <f t="shared" si="8"/>
        <v>01</v>
      </c>
      <c r="K66" s="30" t="str">
        <f t="shared" si="8"/>
        <v>01</v>
      </c>
      <c r="L66" s="30" t="str">
        <f t="shared" si="8"/>
        <v>07</v>
      </c>
      <c r="M66" s="30" t="str">
        <f t="shared" si="8"/>
        <v>01</v>
      </c>
      <c r="N66" s="30" t="str">
        <f t="shared" si="8"/>
        <v>00</v>
      </c>
      <c r="O66" s="30" t="str">
        <f t="shared" si="8"/>
        <v>00</v>
      </c>
      <c r="P66" s="30" t="str">
        <f t="shared" si="8"/>
        <v>00</v>
      </c>
      <c r="Q66" s="30" t="str">
        <f t="shared" si="8"/>
        <v>07</v>
      </c>
      <c r="R66" s="30"/>
      <c r="S66" s="30">
        <f t="shared" si="5"/>
        <v>16</v>
      </c>
    </row>
    <row r="67" spans="1:19" x14ac:dyDescent="0.45">
      <c r="A67" t="s">
        <v>91</v>
      </c>
      <c r="B67" s="30" t="str">
        <f t="shared" si="9"/>
        <v>00</v>
      </c>
      <c r="C67" s="30" t="str">
        <f t="shared" si="9"/>
        <v>02</v>
      </c>
      <c r="D67" s="30" t="str">
        <f t="shared" si="8"/>
        <v>03</v>
      </c>
      <c r="E67" s="30" t="str">
        <f t="shared" si="8"/>
        <v>00</v>
      </c>
      <c r="F67" s="30" t="str">
        <f t="shared" si="8"/>
        <v>00</v>
      </c>
      <c r="G67" s="30" t="str">
        <f t="shared" si="8"/>
        <v>00</v>
      </c>
      <c r="H67" s="30" t="str">
        <f t="shared" si="8"/>
        <v>00</v>
      </c>
      <c r="I67" s="30" t="str">
        <f t="shared" si="8"/>
        <v>03</v>
      </c>
      <c r="J67" s="30" t="str">
        <f t="shared" si="8"/>
        <v>01</v>
      </c>
      <c r="K67" s="30" t="str">
        <f t="shared" si="8"/>
        <v>03</v>
      </c>
      <c r="L67" s="30" t="str">
        <f t="shared" si="8"/>
        <v>00</v>
      </c>
      <c r="M67" s="30" t="str">
        <f t="shared" si="8"/>
        <v>00</v>
      </c>
      <c r="N67" s="30" t="str">
        <f t="shared" si="8"/>
        <v>00</v>
      </c>
      <c r="O67" s="30" t="str">
        <f t="shared" si="8"/>
        <v>00</v>
      </c>
      <c r="P67" s="30" t="str">
        <f t="shared" si="8"/>
        <v>00</v>
      </c>
      <c r="Q67" s="30" t="str">
        <f t="shared" si="8"/>
        <v>00</v>
      </c>
      <c r="R67" s="30"/>
      <c r="S67" s="30">
        <f t="shared" si="5"/>
        <v>16</v>
      </c>
    </row>
    <row r="68" spans="1:19" x14ac:dyDescent="0.45">
      <c r="A68" t="s">
        <v>92</v>
      </c>
      <c r="B68" s="30" t="str">
        <f t="shared" si="9"/>
        <v>00</v>
      </c>
      <c r="C68" s="30" t="str">
        <f t="shared" si="9"/>
        <v>00</v>
      </c>
      <c r="D68" s="30" t="str">
        <f t="shared" si="8"/>
        <v>00</v>
      </c>
      <c r="E68" s="30" t="str">
        <f t="shared" si="8"/>
        <v>00</v>
      </c>
      <c r="F68" s="30" t="str">
        <f t="shared" si="8"/>
        <v>00</v>
      </c>
      <c r="G68" s="30" t="str">
        <f t="shared" si="8"/>
        <v>00</v>
      </c>
      <c r="H68" s="30" t="str">
        <f t="shared" si="8"/>
        <v>00</v>
      </c>
      <c r="I68" s="30" t="str">
        <f t="shared" si="8"/>
        <v>00</v>
      </c>
      <c r="J68" s="30" t="str">
        <f t="shared" si="8"/>
        <v>01</v>
      </c>
      <c r="K68" s="30" t="str">
        <f t="shared" si="8"/>
        <v>00</v>
      </c>
      <c r="L68" s="30" t="str">
        <f t="shared" si="8"/>
        <v>01</v>
      </c>
      <c r="M68" s="30" t="str">
        <f t="shared" si="8"/>
        <v>01</v>
      </c>
      <c r="N68" s="30" t="str">
        <f t="shared" si="8"/>
        <v>01</v>
      </c>
      <c r="O68" s="30" t="str">
        <f t="shared" si="8"/>
        <v>00</v>
      </c>
      <c r="P68" s="30" t="str">
        <f t="shared" si="8"/>
        <v>00</v>
      </c>
      <c r="Q68" s="30" t="str">
        <f t="shared" si="8"/>
        <v>01</v>
      </c>
      <c r="R68" s="30"/>
      <c r="S68" s="30">
        <f t="shared" ref="S68:S131" si="10">LEN(_xlfn.CONCAT(B68:Q68))/2</f>
        <v>16</v>
      </c>
    </row>
    <row r="69" spans="1:19" x14ac:dyDescent="0.45">
      <c r="A69" t="s">
        <v>93</v>
      </c>
      <c r="B69" s="30" t="str">
        <f t="shared" si="9"/>
        <v>00</v>
      </c>
      <c r="C69" s="30" t="str">
        <f t="shared" si="9"/>
        <v>01</v>
      </c>
      <c r="D69" s="30" t="str">
        <f t="shared" si="8"/>
        <v>00</v>
      </c>
      <c r="E69" s="30" t="str">
        <f t="shared" si="8"/>
        <v>00</v>
      </c>
      <c r="F69" s="30" t="str">
        <f t="shared" si="8"/>
        <v>03</v>
      </c>
      <c r="G69" s="30" t="str">
        <f t="shared" si="8"/>
        <v>00</v>
      </c>
      <c r="H69" s="30" t="str">
        <f t="shared" si="8"/>
        <v>00</v>
      </c>
      <c r="I69" s="30" t="str">
        <f t="shared" si="8"/>
        <v>00</v>
      </c>
      <c r="J69" s="30" t="str">
        <f t="shared" si="8"/>
        <v>00</v>
      </c>
      <c r="K69" s="30" t="str">
        <f t="shared" si="8"/>
        <v>00</v>
      </c>
      <c r="L69" s="30" t="str">
        <f t="shared" si="8"/>
        <v>00</v>
      </c>
      <c r="M69" s="30" t="str">
        <f t="shared" si="8"/>
        <v>01</v>
      </c>
      <c r="N69" s="30" t="str">
        <f t="shared" si="8"/>
        <v>00</v>
      </c>
      <c r="O69" s="30" t="str">
        <f t="shared" si="8"/>
        <v>01</v>
      </c>
      <c r="P69" s="30" t="str">
        <f t="shared" si="8"/>
        <v>01</v>
      </c>
      <c r="Q69" s="30" t="str">
        <f t="shared" si="8"/>
        <v>01</v>
      </c>
      <c r="R69" s="30"/>
      <c r="S69" s="30">
        <f t="shared" si="10"/>
        <v>16</v>
      </c>
    </row>
    <row r="70" spans="1:19" x14ac:dyDescent="0.45">
      <c r="A70" t="s">
        <v>94</v>
      </c>
      <c r="B70" s="30" t="str">
        <f t="shared" si="9"/>
        <v>00</v>
      </c>
      <c r="C70" s="30" t="str">
        <f t="shared" si="9"/>
        <v>01</v>
      </c>
      <c r="D70" s="30" t="str">
        <f t="shared" si="8"/>
        <v>01</v>
      </c>
      <c r="E70" s="30" t="str">
        <f t="shared" si="8"/>
        <v>01</v>
      </c>
      <c r="F70" s="30" t="str">
        <f t="shared" si="8"/>
        <v>01</v>
      </c>
      <c r="G70" s="30" t="str">
        <f t="shared" si="8"/>
        <v>00</v>
      </c>
      <c r="H70" s="30" t="str">
        <f t="shared" si="8"/>
        <v>00</v>
      </c>
      <c r="I70" s="30" t="str">
        <f t="shared" si="8"/>
        <v>00</v>
      </c>
      <c r="J70" s="30" t="str">
        <f t="shared" si="8"/>
        <v>00</v>
      </c>
      <c r="K70" s="30" t="str">
        <f t="shared" si="8"/>
        <v>00</v>
      </c>
      <c r="L70" s="30" t="str">
        <f t="shared" si="8"/>
        <v>00</v>
      </c>
      <c r="M70" s="30" t="str">
        <f t="shared" si="8"/>
        <v>00</v>
      </c>
      <c r="N70" s="30" t="str">
        <f t="shared" si="8"/>
        <v>00</v>
      </c>
      <c r="O70" s="30" t="str">
        <f t="shared" si="8"/>
        <v>00</v>
      </c>
      <c r="P70" s="30" t="str">
        <f t="shared" si="8"/>
        <v>00</v>
      </c>
      <c r="Q70" s="30" t="str">
        <f t="shared" si="8"/>
        <v>00</v>
      </c>
      <c r="R70" s="30"/>
      <c r="S70" s="30">
        <f t="shared" si="10"/>
        <v>16</v>
      </c>
    </row>
    <row r="71" spans="1:19" x14ac:dyDescent="0.45">
      <c r="A71" t="s">
        <v>44</v>
      </c>
      <c r="B71" s="30" t="str">
        <f t="shared" si="9"/>
        <v>00</v>
      </c>
      <c r="C71" s="30" t="str">
        <f t="shared" si="9"/>
        <v>00</v>
      </c>
      <c r="D71" s="30" t="str">
        <f t="shared" si="8"/>
        <v>00</v>
      </c>
      <c r="E71" s="30" t="str">
        <f t="shared" si="8"/>
        <v>00</v>
      </c>
      <c r="F71" s="30" t="str">
        <f t="shared" si="8"/>
        <v>00</v>
      </c>
      <c r="G71" s="30" t="str">
        <f t="shared" si="8"/>
        <v>00</v>
      </c>
      <c r="H71" s="30" t="str">
        <f t="shared" si="8"/>
        <v>00</v>
      </c>
      <c r="I71" s="30" t="str">
        <f t="shared" si="8"/>
        <v>00</v>
      </c>
      <c r="J71" s="30" t="str">
        <f t="shared" si="8"/>
        <v>00</v>
      </c>
      <c r="K71" s="30" t="str">
        <f t="shared" si="8"/>
        <v>00</v>
      </c>
      <c r="L71" s="30" t="str">
        <f t="shared" si="8"/>
        <v>00</v>
      </c>
      <c r="M71" s="30" t="str">
        <f t="shared" si="8"/>
        <v>00</v>
      </c>
      <c r="N71" s="30" t="str">
        <f t="shared" si="8"/>
        <v>00</v>
      </c>
      <c r="O71" s="30" t="str">
        <f t="shared" si="8"/>
        <v>00</v>
      </c>
      <c r="P71" s="30" t="str">
        <f t="shared" si="8"/>
        <v>00</v>
      </c>
      <c r="Q71" s="30" t="str">
        <f t="shared" si="8"/>
        <v>00</v>
      </c>
      <c r="R71" s="30"/>
      <c r="S71" s="30">
        <f t="shared" si="10"/>
        <v>16</v>
      </c>
    </row>
    <row r="72" spans="1:19" x14ac:dyDescent="0.45">
      <c r="A72" t="s">
        <v>82</v>
      </c>
      <c r="B72" s="30" t="str">
        <f t="shared" si="9"/>
        <v>00</v>
      </c>
      <c r="C72" s="30" t="str">
        <f t="shared" si="9"/>
        <v>00</v>
      </c>
      <c r="D72" s="30" t="str">
        <f t="shared" si="8"/>
        <v>00</v>
      </c>
      <c r="E72" s="30" t="str">
        <f t="shared" si="8"/>
        <v>00</v>
      </c>
      <c r="F72" s="30" t="str">
        <f t="shared" si="8"/>
        <v>00</v>
      </c>
      <c r="G72" s="30" t="str">
        <f t="shared" si="8"/>
        <v>00</v>
      </c>
      <c r="H72" s="30" t="str">
        <f t="shared" si="8"/>
        <v>00</v>
      </c>
      <c r="I72" s="30" t="str">
        <f t="shared" si="8"/>
        <v>00</v>
      </c>
      <c r="J72" s="30" t="str">
        <f t="shared" si="8"/>
        <v/>
      </c>
      <c r="K72" s="30" t="str">
        <f t="shared" si="8"/>
        <v/>
      </c>
      <c r="L72" s="30" t="str">
        <f t="shared" si="8"/>
        <v/>
      </c>
      <c r="M72" s="30" t="str">
        <f t="shared" si="8"/>
        <v/>
      </c>
      <c r="N72" s="30" t="str">
        <f t="shared" si="8"/>
        <v/>
      </c>
      <c r="O72" s="30" t="str">
        <f t="shared" si="8"/>
        <v/>
      </c>
      <c r="P72" s="30" t="str">
        <f t="shared" si="8"/>
        <v/>
      </c>
      <c r="Q72" s="30" t="str">
        <f t="shared" si="8"/>
        <v/>
      </c>
      <c r="R72" s="30"/>
      <c r="S72" s="30">
        <f t="shared" si="10"/>
        <v>8</v>
      </c>
    </row>
    <row r="73" spans="1:19" x14ac:dyDescent="0.45">
      <c r="A73" t="s">
        <v>95</v>
      </c>
      <c r="B73" s="30" t="str">
        <f t="shared" si="9"/>
        <v>00</v>
      </c>
      <c r="C73" s="30" t="str">
        <f t="shared" si="9"/>
        <v>51</v>
      </c>
      <c r="D73" s="30" t="str">
        <f t="shared" si="8"/>
        <v>55</v>
      </c>
      <c r="E73" s="30" t="str">
        <f t="shared" si="8"/>
        <v>06</v>
      </c>
      <c r="F73" s="30" t="str">
        <f t="shared" si="8"/>
        <v>00</v>
      </c>
      <c r="G73" s="30" t="str">
        <f t="shared" si="8"/>
        <v>30</v>
      </c>
      <c r="H73" s="30" t="str">
        <f t="shared" si="8"/>
        <v>00</v>
      </c>
      <c r="I73" s="30" t="str">
        <f t="shared" si="8"/>
        <v>78</v>
      </c>
      <c r="J73" s="30" t="str">
        <f t="shared" si="8"/>
        <v>22</v>
      </c>
      <c r="K73" s="30" t="str">
        <f t="shared" si="8"/>
        <v>36</v>
      </c>
      <c r="L73" s="30" t="str">
        <f t="shared" si="8"/>
        <v>7F</v>
      </c>
      <c r="M73" s="30" t="str">
        <f t="shared" si="8"/>
        <v>33</v>
      </c>
      <c r="N73" s="30" t="str">
        <f t="shared" si="8"/>
        <v>7C</v>
      </c>
      <c r="O73" s="30" t="str">
        <f t="shared" si="8"/>
        <v>5E</v>
      </c>
      <c r="P73" s="30" t="str">
        <f t="shared" si="8"/>
        <v>70</v>
      </c>
      <c r="Q73" s="30" t="str">
        <f t="shared" si="8"/>
        <v>5A</v>
      </c>
      <c r="R73" s="30"/>
      <c r="S73" s="30">
        <f t="shared" si="10"/>
        <v>16</v>
      </c>
    </row>
    <row r="74" spans="1:19" x14ac:dyDescent="0.45">
      <c r="A74" t="s">
        <v>96</v>
      </c>
      <c r="B74" s="30" t="str">
        <f t="shared" si="9"/>
        <v>78</v>
      </c>
      <c r="C74" s="30" t="str">
        <f t="shared" si="9"/>
        <v>6C</v>
      </c>
      <c r="D74" s="30" t="str">
        <f t="shared" si="8"/>
        <v>38</v>
      </c>
      <c r="E74" s="30" t="str">
        <f t="shared" si="8"/>
        <v>60</v>
      </c>
      <c r="F74" s="30" t="str">
        <f t="shared" si="8"/>
        <v>18</v>
      </c>
      <c r="G74" s="30" t="str">
        <f t="shared" si="8"/>
        <v>18</v>
      </c>
      <c r="H74" s="30" t="str">
        <f t="shared" si="8"/>
        <v>1B</v>
      </c>
      <c r="I74" s="30" t="str">
        <f t="shared" si="8"/>
        <v>60</v>
      </c>
      <c r="J74" s="30" t="str">
        <f t="shared" si="8"/>
        <v>60</v>
      </c>
      <c r="K74" s="30" t="str">
        <f t="shared" si="8"/>
        <v>60</v>
      </c>
      <c r="L74" s="30" t="str">
        <f t="shared" si="8"/>
        <v>18</v>
      </c>
      <c r="M74" s="30" t="str">
        <f t="shared" si="8"/>
        <v>00</v>
      </c>
      <c r="N74" s="30" t="str">
        <f t="shared" si="8"/>
        <v>00</v>
      </c>
      <c r="O74" s="30" t="str">
        <f t="shared" si="8"/>
        <v>11</v>
      </c>
      <c r="P74" s="30" t="str">
        <f t="shared" si="8"/>
        <v>01</v>
      </c>
      <c r="Q74" s="30" t="str">
        <f t="shared" si="8"/>
        <v>51</v>
      </c>
      <c r="R74" s="30"/>
      <c r="S74" s="30">
        <f t="shared" si="10"/>
        <v>16</v>
      </c>
    </row>
    <row r="75" spans="1:19" x14ac:dyDescent="0.45">
      <c r="A75" t="s">
        <v>97</v>
      </c>
      <c r="B75" s="30" t="str">
        <f t="shared" si="9"/>
        <v>51</v>
      </c>
      <c r="C75" s="30" t="str">
        <f t="shared" si="9"/>
        <v>51</v>
      </c>
      <c r="D75" s="30" t="str">
        <f t="shared" si="8"/>
        <v>28</v>
      </c>
      <c r="E75" s="30" t="str">
        <f t="shared" si="8"/>
        <v>20</v>
      </c>
      <c r="F75" s="30" t="str">
        <f t="shared" si="8"/>
        <v>00</v>
      </c>
      <c r="G75" s="30" t="str">
        <f t="shared" si="8"/>
        <v>5A</v>
      </c>
      <c r="H75" s="30" t="str">
        <f t="shared" si="8"/>
        <v>00</v>
      </c>
      <c r="I75" s="30" t="str">
        <f t="shared" si="8"/>
        <v>00</v>
      </c>
      <c r="J75" s="30" t="str">
        <f t="shared" si="8"/>
        <v>22</v>
      </c>
      <c r="K75" s="30" t="str">
        <f t="shared" si="8"/>
        <v>28</v>
      </c>
      <c r="L75" s="30" t="str">
        <f t="shared" si="8"/>
        <v>22</v>
      </c>
      <c r="M75" s="30" t="str">
        <f t="shared" si="8"/>
        <v>28</v>
      </c>
      <c r="N75" s="30" t="str">
        <f t="shared" si="8"/>
        <v>28</v>
      </c>
      <c r="O75" s="30" t="str">
        <f t="shared" si="8"/>
        <v>08</v>
      </c>
      <c r="P75" s="30" t="str">
        <f t="shared" si="8"/>
        <v>0A</v>
      </c>
      <c r="Q75" s="30" t="str">
        <f t="shared" si="8"/>
        <v>20</v>
      </c>
      <c r="R75" s="30"/>
      <c r="S75" s="30">
        <f t="shared" si="10"/>
        <v>16</v>
      </c>
    </row>
    <row r="76" spans="1:19" x14ac:dyDescent="0.45">
      <c r="A76" t="s">
        <v>98</v>
      </c>
      <c r="B76" s="30" t="str">
        <f t="shared" si="9"/>
        <v>20</v>
      </c>
      <c r="C76" s="30" t="str">
        <f t="shared" si="9"/>
        <v>20</v>
      </c>
      <c r="D76" s="30" t="str">
        <f t="shared" si="8"/>
        <v>08</v>
      </c>
      <c r="E76" s="30" t="str">
        <f t="shared" si="8"/>
        <v>20</v>
      </c>
      <c r="F76" s="30" t="str">
        <f t="shared" si="8"/>
        <v>28</v>
      </c>
      <c r="G76" s="30" t="str">
        <f t="shared" si="8"/>
        <v>20</v>
      </c>
      <c r="H76" s="30" t="str">
        <f t="shared" si="8"/>
        <v>20</v>
      </c>
      <c r="I76" s="30" t="str">
        <f t="shared" si="8"/>
        <v>00</v>
      </c>
      <c r="J76" s="30" t="str">
        <f t="shared" si="8"/>
        <v>00</v>
      </c>
      <c r="K76" s="30" t="str">
        <f t="shared" si="8"/>
        <v>00</v>
      </c>
      <c r="L76" s="30" t="str">
        <f t="shared" si="8"/>
        <v>00</v>
      </c>
      <c r="M76" s="30" t="str">
        <f t="shared" si="8"/>
        <v>02</v>
      </c>
      <c r="N76" s="30" t="str">
        <f t="shared" si="8"/>
        <v>20</v>
      </c>
      <c r="O76" s="30" t="str">
        <f t="shared" si="8"/>
        <v>00</v>
      </c>
      <c r="P76" s="30" t="str">
        <f t="shared" si="8"/>
        <v>00</v>
      </c>
      <c r="Q76" s="30" t="str">
        <f t="shared" si="8"/>
        <v>0A</v>
      </c>
      <c r="R76" s="30"/>
      <c r="S76" s="30">
        <f t="shared" si="10"/>
        <v>16</v>
      </c>
    </row>
    <row r="77" spans="1:19" x14ac:dyDescent="0.45">
      <c r="A77" t="s">
        <v>99</v>
      </c>
      <c r="B77" s="30" t="str">
        <f t="shared" si="9"/>
        <v>02</v>
      </c>
      <c r="C77" s="30" t="str">
        <f t="shared" si="9"/>
        <v>02</v>
      </c>
      <c r="D77" s="30" t="str">
        <f t="shared" si="8"/>
        <v>20</v>
      </c>
      <c r="E77" s="30" t="str">
        <f t="shared" si="8"/>
        <v>08</v>
      </c>
      <c r="F77" s="30" t="str">
        <f t="shared" si="8"/>
        <v>02</v>
      </c>
      <c r="G77" s="30" t="str">
        <f t="shared" si="8"/>
        <v>44</v>
      </c>
      <c r="H77" s="30" t="str">
        <f t="shared" si="8"/>
        <v>11</v>
      </c>
      <c r="I77" s="30" t="str">
        <f t="shared" si="8"/>
        <v>01</v>
      </c>
      <c r="J77" s="30" t="str">
        <f t="shared" si="8"/>
        <v>41</v>
      </c>
      <c r="K77" s="30" t="str">
        <f t="shared" si="8"/>
        <v>05</v>
      </c>
      <c r="L77" s="30" t="str">
        <f t="shared" si="8"/>
        <v>05</v>
      </c>
      <c r="M77" s="30" t="str">
        <f t="shared" si="8"/>
        <v>01</v>
      </c>
      <c r="N77" s="30" t="str">
        <f t="shared" si="8"/>
        <v>41</v>
      </c>
      <c r="O77" s="30" t="str">
        <f t="shared" si="8"/>
        <v>04</v>
      </c>
      <c r="P77" s="30" t="str">
        <f t="shared" si="8"/>
        <v>10</v>
      </c>
      <c r="Q77" s="30" t="str">
        <f t="shared" si="8"/>
        <v>11</v>
      </c>
      <c r="R77" s="30"/>
      <c r="S77" s="30">
        <f t="shared" si="10"/>
        <v>16</v>
      </c>
    </row>
    <row r="78" spans="1:19" x14ac:dyDescent="0.45">
      <c r="A78" t="s">
        <v>100</v>
      </c>
      <c r="B78" s="30" t="str">
        <f t="shared" si="9"/>
        <v>01</v>
      </c>
      <c r="C78" s="30" t="str">
        <f t="shared" si="9"/>
        <v>55</v>
      </c>
      <c r="D78" s="30" t="str">
        <f t="shared" si="8"/>
        <v>45</v>
      </c>
      <c r="E78" s="30" t="str">
        <f t="shared" si="8"/>
        <v>51</v>
      </c>
      <c r="F78" s="30" t="str">
        <f t="shared" si="8"/>
        <v>41</v>
      </c>
      <c r="G78" s="30" t="str">
        <f t="shared" si="8"/>
        <v>51</v>
      </c>
      <c r="H78" s="30" t="str">
        <f t="shared" si="8"/>
        <v>41</v>
      </c>
      <c r="I78" s="30" t="str">
        <f t="shared" si="8"/>
        <v>01</v>
      </c>
      <c r="J78" s="30" t="str">
        <f t="shared" si="8"/>
        <v>04</v>
      </c>
      <c r="K78" s="30" t="str">
        <f t="shared" si="8"/>
        <v>41</v>
      </c>
      <c r="L78" s="30" t="str">
        <f t="shared" si="8"/>
        <v>45</v>
      </c>
      <c r="M78" s="30" t="str">
        <f t="shared" si="8"/>
        <v>41</v>
      </c>
      <c r="N78" s="30" t="str">
        <f t="shared" si="8"/>
        <v>41</v>
      </c>
      <c r="O78" s="30" t="str">
        <f t="shared" si="8"/>
        <v>51</v>
      </c>
      <c r="P78" s="30" t="str">
        <f t="shared" si="8"/>
        <v>41</v>
      </c>
      <c r="Q78" s="30" t="str">
        <f t="shared" si="8"/>
        <v>14</v>
      </c>
      <c r="R78" s="30"/>
      <c r="S78" s="30">
        <f t="shared" si="10"/>
        <v>16</v>
      </c>
    </row>
    <row r="79" spans="1:19" x14ac:dyDescent="0.45">
      <c r="A79" t="s">
        <v>101</v>
      </c>
      <c r="B79" s="30" t="str">
        <f t="shared" si="9"/>
        <v>00</v>
      </c>
      <c r="C79" s="30" t="str">
        <f t="shared" si="9"/>
        <v>05</v>
      </c>
      <c r="D79" s="30" t="str">
        <f t="shared" si="8"/>
        <v>50</v>
      </c>
      <c r="E79" s="30" t="str">
        <f t="shared" si="8"/>
        <v>10</v>
      </c>
      <c r="F79" s="30" t="str">
        <f t="shared" si="8"/>
        <v>55</v>
      </c>
      <c r="G79" s="30" t="str">
        <f t="shared" si="8"/>
        <v>14</v>
      </c>
      <c r="H79" s="30" t="str">
        <f t="shared" si="8"/>
        <v>01</v>
      </c>
      <c r="I79" s="30" t="str">
        <f t="shared" si="8"/>
        <v>01</v>
      </c>
      <c r="J79" s="30" t="str">
        <f t="shared" si="8"/>
        <v/>
      </c>
      <c r="K79" s="30" t="str">
        <f t="shared" si="8"/>
        <v/>
      </c>
      <c r="L79" s="30" t="str">
        <f t="shared" si="8"/>
        <v/>
      </c>
      <c r="M79" s="30" t="str">
        <f t="shared" si="8"/>
        <v/>
      </c>
      <c r="N79" s="30" t="str">
        <f t="shared" si="8"/>
        <v/>
      </c>
      <c r="O79" s="30" t="str">
        <f t="shared" si="8"/>
        <v/>
      </c>
      <c r="P79" s="30" t="str">
        <f t="shared" si="8"/>
        <v/>
      </c>
      <c r="Q79" s="30" t="str">
        <f t="shared" si="8"/>
        <v/>
      </c>
      <c r="R79" s="30"/>
      <c r="S79" s="30">
        <f t="shared" si="10"/>
        <v>8</v>
      </c>
    </row>
    <row r="80" spans="1:19" x14ac:dyDescent="0.45">
      <c r="A80" t="s">
        <v>102</v>
      </c>
      <c r="B80" s="30" t="str">
        <f t="shared" si="9"/>
        <v>00</v>
      </c>
      <c r="C80" s="30" t="str">
        <f t="shared" si="9"/>
        <v>02</v>
      </c>
      <c r="D80" s="30" t="str">
        <f t="shared" si="8"/>
        <v>02</v>
      </c>
      <c r="E80" s="30" t="str">
        <f t="shared" si="8"/>
        <v>03</v>
      </c>
      <c r="F80" s="30" t="str">
        <f t="shared" si="8"/>
        <v>00</v>
      </c>
      <c r="G80" s="30" t="str">
        <f t="shared" si="8"/>
        <v>00</v>
      </c>
      <c r="H80" s="30" t="str">
        <f t="shared" si="8"/>
        <v>03</v>
      </c>
      <c r="I80" s="30" t="str">
        <f t="shared" si="8"/>
        <v>01</v>
      </c>
      <c r="J80" s="30" t="str">
        <f t="shared" si="8"/>
        <v>04</v>
      </c>
      <c r="K80" s="30" t="str">
        <f t="shared" si="8"/>
        <v>06</v>
      </c>
      <c r="L80" s="30" t="str">
        <f t="shared" si="8"/>
        <v>07</v>
      </c>
      <c r="M80" s="30" t="str">
        <f t="shared" si="8"/>
        <v>03</v>
      </c>
      <c r="N80" s="30" t="str">
        <f t="shared" si="8"/>
        <v>00</v>
      </c>
      <c r="O80" s="30" t="str">
        <f t="shared" si="8"/>
        <v>01</v>
      </c>
      <c r="P80" s="30" t="str">
        <f t="shared" si="8"/>
        <v>00</v>
      </c>
      <c r="Q80" s="30" t="str">
        <f t="shared" si="8"/>
        <v>05</v>
      </c>
      <c r="R80" s="30"/>
      <c r="S80" s="30">
        <f t="shared" si="10"/>
        <v>16</v>
      </c>
    </row>
    <row r="81" spans="1:19" x14ac:dyDescent="0.45">
      <c r="A81" t="s">
        <v>103</v>
      </c>
      <c r="B81" s="30" t="str">
        <f t="shared" si="9"/>
        <v>01</v>
      </c>
      <c r="C81" s="30" t="str">
        <f t="shared" si="9"/>
        <v>03</v>
      </c>
      <c r="D81" s="30" t="str">
        <f t="shared" si="8"/>
        <v>00</v>
      </c>
      <c r="E81" s="30" t="str">
        <f t="shared" si="8"/>
        <v>00</v>
      </c>
      <c r="F81" s="30" t="str">
        <f t="shared" si="8"/>
        <v>00</v>
      </c>
      <c r="G81" s="30" t="str">
        <f t="shared" si="8"/>
        <v>00</v>
      </c>
      <c r="H81" s="30" t="str">
        <f t="shared" si="8"/>
        <v>00</v>
      </c>
      <c r="I81" s="30" t="str">
        <f t="shared" si="8"/>
        <v>00</v>
      </c>
      <c r="J81" s="30" t="str">
        <f t="shared" si="8"/>
        <v>00</v>
      </c>
      <c r="K81" s="30" t="str">
        <f t="shared" si="8"/>
        <v>06</v>
      </c>
      <c r="L81" s="30" t="str">
        <f t="shared" si="8"/>
        <v>00</v>
      </c>
      <c r="M81" s="30" t="str">
        <f t="shared" si="8"/>
        <v>00</v>
      </c>
      <c r="N81" s="30" t="str">
        <f t="shared" si="8"/>
        <v>02</v>
      </c>
      <c r="O81" s="30" t="str">
        <f t="shared" si="8"/>
        <v>00</v>
      </c>
      <c r="P81" s="30" t="str">
        <f t="shared" si="8"/>
        <v>00</v>
      </c>
      <c r="Q81" s="30" t="str">
        <f t="shared" si="8"/>
        <v>02</v>
      </c>
      <c r="R81" s="30"/>
      <c r="S81" s="30">
        <f t="shared" si="10"/>
        <v>16</v>
      </c>
    </row>
    <row r="82" spans="1:19" x14ac:dyDescent="0.45">
      <c r="A82" t="s">
        <v>104</v>
      </c>
      <c r="B82" s="30" t="str">
        <f t="shared" si="9"/>
        <v>02</v>
      </c>
      <c r="C82" s="30" t="str">
        <f t="shared" si="9"/>
        <v>02</v>
      </c>
      <c r="D82" s="30" t="str">
        <f t="shared" si="8"/>
        <v>01</v>
      </c>
      <c r="E82" s="30" t="str">
        <f t="shared" si="8"/>
        <v>00</v>
      </c>
      <c r="F82" s="30" t="str">
        <f t="shared" si="8"/>
        <v>00</v>
      </c>
      <c r="G82" s="30" t="str">
        <f t="shared" si="8"/>
        <v>05</v>
      </c>
      <c r="H82" s="30" t="str">
        <f t="shared" si="8"/>
        <v>00</v>
      </c>
      <c r="I82" s="30" t="str">
        <f t="shared" si="8"/>
        <v>02</v>
      </c>
      <c r="J82" s="30" t="str">
        <f t="shared" si="8"/>
        <v>04</v>
      </c>
      <c r="K82" s="30" t="str">
        <f t="shared" si="8"/>
        <v>01</v>
      </c>
      <c r="L82" s="30" t="str">
        <f t="shared" si="8"/>
        <v>01</v>
      </c>
      <c r="M82" s="30" t="str">
        <f t="shared" si="8"/>
        <v>01</v>
      </c>
      <c r="N82" s="30" t="str">
        <f t="shared" si="8"/>
        <v>04</v>
      </c>
      <c r="O82" s="30" t="str">
        <f t="shared" si="8"/>
        <v>00</v>
      </c>
      <c r="P82" s="30" t="str">
        <f t="shared" si="8"/>
        <v>00</v>
      </c>
      <c r="Q82" s="30" t="str">
        <f t="shared" si="8"/>
        <v>00</v>
      </c>
      <c r="R82" s="30"/>
      <c r="S82" s="30">
        <f t="shared" si="10"/>
        <v>16</v>
      </c>
    </row>
    <row r="83" spans="1:19" x14ac:dyDescent="0.45">
      <c r="A83" t="s">
        <v>105</v>
      </c>
      <c r="B83" s="30" t="str">
        <f t="shared" si="9"/>
        <v>00</v>
      </c>
      <c r="C83" s="30" t="str">
        <f t="shared" si="9"/>
        <v>01</v>
      </c>
      <c r="D83" s="30" t="str">
        <f t="shared" si="8"/>
        <v>00</v>
      </c>
      <c r="E83" s="30" t="str">
        <f t="shared" si="8"/>
        <v>00</v>
      </c>
      <c r="F83" s="30" t="str">
        <f t="shared" ref="D83:Q146" si="11">MID($A83,13+F$2*3,2)</f>
        <v>00</v>
      </c>
      <c r="G83" s="30" t="str">
        <f t="shared" si="11"/>
        <v>00</v>
      </c>
      <c r="H83" s="30" t="str">
        <f t="shared" si="11"/>
        <v>00</v>
      </c>
      <c r="I83" s="30" t="str">
        <f t="shared" si="11"/>
        <v>00</v>
      </c>
      <c r="J83" s="30" t="str">
        <f t="shared" si="11"/>
        <v>00</v>
      </c>
      <c r="K83" s="30" t="str">
        <f t="shared" si="11"/>
        <v>00</v>
      </c>
      <c r="L83" s="30" t="str">
        <f t="shared" si="11"/>
        <v>00</v>
      </c>
      <c r="M83" s="30" t="str">
        <f t="shared" si="11"/>
        <v>01</v>
      </c>
      <c r="N83" s="30" t="str">
        <f t="shared" si="11"/>
        <v>00</v>
      </c>
      <c r="O83" s="30" t="str">
        <f t="shared" si="11"/>
        <v>01</v>
      </c>
      <c r="P83" s="30" t="str">
        <f t="shared" si="11"/>
        <v>01</v>
      </c>
      <c r="Q83" s="30" t="str">
        <f t="shared" si="11"/>
        <v>01</v>
      </c>
      <c r="R83" s="30"/>
      <c r="S83" s="30">
        <f t="shared" si="10"/>
        <v>16</v>
      </c>
    </row>
    <row r="84" spans="1:19" x14ac:dyDescent="0.45">
      <c r="A84" t="s">
        <v>106</v>
      </c>
      <c r="B84" s="30" t="str">
        <f t="shared" si="9"/>
        <v>00</v>
      </c>
      <c r="C84" s="30" t="str">
        <f t="shared" si="9"/>
        <v>00</v>
      </c>
      <c r="D84" s="30" t="str">
        <f t="shared" si="11"/>
        <v>01</v>
      </c>
      <c r="E84" s="30" t="str">
        <f t="shared" si="11"/>
        <v>01</v>
      </c>
      <c r="F84" s="30" t="str">
        <f t="shared" si="11"/>
        <v>01</v>
      </c>
      <c r="G84" s="30" t="str">
        <f t="shared" si="11"/>
        <v>00</v>
      </c>
      <c r="H84" s="30" t="str">
        <f t="shared" si="11"/>
        <v>00</v>
      </c>
      <c r="I84" s="30" t="str">
        <f t="shared" si="11"/>
        <v>00</v>
      </c>
      <c r="J84" s="30" t="str">
        <f t="shared" si="11"/>
        <v>00</v>
      </c>
      <c r="K84" s="30" t="str">
        <f t="shared" si="11"/>
        <v>00</v>
      </c>
      <c r="L84" s="30" t="str">
        <f t="shared" si="11"/>
        <v>00</v>
      </c>
      <c r="M84" s="30" t="str">
        <f t="shared" si="11"/>
        <v>00</v>
      </c>
      <c r="N84" s="30" t="str">
        <f t="shared" si="11"/>
        <v>00</v>
      </c>
      <c r="O84" s="30" t="str">
        <f t="shared" si="11"/>
        <v>00</v>
      </c>
      <c r="P84" s="30" t="str">
        <f t="shared" si="11"/>
        <v>00</v>
      </c>
      <c r="Q84" s="30" t="str">
        <f t="shared" si="11"/>
        <v>00</v>
      </c>
      <c r="R84" s="30"/>
      <c r="S84" s="30">
        <f t="shared" si="10"/>
        <v>16</v>
      </c>
    </row>
    <row r="85" spans="1:19" x14ac:dyDescent="0.45">
      <c r="A85" t="s">
        <v>44</v>
      </c>
      <c r="B85" s="30" t="str">
        <f t="shared" si="9"/>
        <v>00</v>
      </c>
      <c r="C85" s="30" t="str">
        <f t="shared" si="9"/>
        <v>00</v>
      </c>
      <c r="D85" s="30" t="str">
        <f t="shared" si="11"/>
        <v>00</v>
      </c>
      <c r="E85" s="30" t="str">
        <f t="shared" si="11"/>
        <v>00</v>
      </c>
      <c r="F85" s="30" t="str">
        <f t="shared" si="11"/>
        <v>00</v>
      </c>
      <c r="G85" s="30" t="str">
        <f t="shared" si="11"/>
        <v>00</v>
      </c>
      <c r="H85" s="30" t="str">
        <f t="shared" si="11"/>
        <v>00</v>
      </c>
      <c r="I85" s="30" t="str">
        <f t="shared" si="11"/>
        <v>00</v>
      </c>
      <c r="J85" s="30" t="str">
        <f t="shared" si="11"/>
        <v>00</v>
      </c>
      <c r="K85" s="30" t="str">
        <f t="shared" si="11"/>
        <v>00</v>
      </c>
      <c r="L85" s="30" t="str">
        <f t="shared" si="11"/>
        <v>00</v>
      </c>
      <c r="M85" s="30" t="str">
        <f t="shared" si="11"/>
        <v>00</v>
      </c>
      <c r="N85" s="30" t="str">
        <f t="shared" si="11"/>
        <v>00</v>
      </c>
      <c r="O85" s="30" t="str">
        <f t="shared" si="11"/>
        <v>00</v>
      </c>
      <c r="P85" s="30" t="str">
        <f t="shared" si="11"/>
        <v>00</v>
      </c>
      <c r="Q85" s="30" t="str">
        <f t="shared" si="11"/>
        <v>00</v>
      </c>
      <c r="R85" s="30"/>
      <c r="S85" s="30">
        <f t="shared" si="10"/>
        <v>16</v>
      </c>
    </row>
    <row r="86" spans="1:19" x14ac:dyDescent="0.45">
      <c r="A86" t="s">
        <v>107</v>
      </c>
      <c r="B86" s="30" t="str">
        <f t="shared" si="9"/>
        <v>00</v>
      </c>
      <c r="C86" s="30" t="str">
        <f t="shared" si="9"/>
        <v>00</v>
      </c>
      <c r="D86" s="30" t="str">
        <f t="shared" si="11"/>
        <v>00</v>
      </c>
      <c r="E86" s="30" t="str">
        <f t="shared" si="11"/>
        <v>00</v>
      </c>
      <c r="F86" s="30" t="str">
        <f t="shared" si="11"/>
        <v>02</v>
      </c>
      <c r="G86" s="30" t="str">
        <f t="shared" si="11"/>
        <v>00</v>
      </c>
      <c r="H86" s="30" t="str">
        <f t="shared" si="11"/>
        <v>08</v>
      </c>
      <c r="I86" s="30" t="str">
        <f t="shared" si="11"/>
        <v>20</v>
      </c>
      <c r="J86" s="30" t="str">
        <f t="shared" si="11"/>
        <v/>
      </c>
      <c r="K86" s="30" t="str">
        <f t="shared" si="11"/>
        <v/>
      </c>
      <c r="L86" s="30" t="str">
        <f t="shared" si="11"/>
        <v/>
      </c>
      <c r="M86" s="30" t="str">
        <f t="shared" si="11"/>
        <v/>
      </c>
      <c r="N86" s="30" t="str">
        <f t="shared" si="11"/>
        <v/>
      </c>
      <c r="O86" s="30" t="str">
        <f t="shared" si="11"/>
        <v/>
      </c>
      <c r="P86" s="30" t="str">
        <f t="shared" si="11"/>
        <v/>
      </c>
      <c r="Q86" s="30" t="str">
        <f t="shared" si="11"/>
        <v/>
      </c>
      <c r="R86" s="30"/>
      <c r="S86" s="30">
        <f t="shared" si="10"/>
        <v>8</v>
      </c>
    </row>
    <row r="87" spans="1:19" x14ac:dyDescent="0.45">
      <c r="A87" t="s">
        <v>108</v>
      </c>
      <c r="B87" s="30" t="str">
        <f t="shared" si="9"/>
        <v>00</v>
      </c>
      <c r="C87" s="30" t="str">
        <f t="shared" si="9"/>
        <v>51</v>
      </c>
      <c r="D87" s="30" t="str">
        <f t="shared" si="11"/>
        <v>55</v>
      </c>
      <c r="E87" s="30" t="str">
        <f t="shared" si="11"/>
        <v>06</v>
      </c>
      <c r="F87" s="30" t="str">
        <f t="shared" si="11"/>
        <v>00</v>
      </c>
      <c r="G87" s="30" t="str">
        <f t="shared" si="11"/>
        <v>30</v>
      </c>
      <c r="H87" s="30" t="str">
        <f t="shared" si="11"/>
        <v>00</v>
      </c>
      <c r="I87" s="30" t="str">
        <f t="shared" si="11"/>
        <v>28</v>
      </c>
      <c r="J87" s="30" t="str">
        <f t="shared" si="11"/>
        <v>60</v>
      </c>
      <c r="K87" s="30" t="str">
        <f t="shared" si="11"/>
        <v>30</v>
      </c>
      <c r="L87" s="30" t="str">
        <f t="shared" si="11"/>
        <v>7F</v>
      </c>
      <c r="M87" s="30" t="str">
        <f t="shared" si="11"/>
        <v>30</v>
      </c>
      <c r="N87" s="30" t="str">
        <f t="shared" si="11"/>
        <v>7B</v>
      </c>
      <c r="O87" s="30" t="str">
        <f t="shared" si="11"/>
        <v>18</v>
      </c>
      <c r="P87" s="30" t="str">
        <f t="shared" si="11"/>
        <v>70</v>
      </c>
      <c r="Q87" s="30" t="str">
        <f t="shared" si="11"/>
        <v>42</v>
      </c>
      <c r="R87" s="30"/>
      <c r="S87" s="30">
        <f t="shared" si="10"/>
        <v>16</v>
      </c>
    </row>
    <row r="88" spans="1:19" x14ac:dyDescent="0.45">
      <c r="A88" t="s">
        <v>109</v>
      </c>
      <c r="B88" s="30" t="str">
        <f t="shared" si="9"/>
        <v>78</v>
      </c>
      <c r="C88" s="30" t="str">
        <f t="shared" si="9"/>
        <v>60</v>
      </c>
      <c r="D88" s="30" t="str">
        <f t="shared" si="11"/>
        <v>38</v>
      </c>
      <c r="E88" s="30" t="str">
        <f t="shared" si="11"/>
        <v>78</v>
      </c>
      <c r="F88" s="30" t="str">
        <f t="shared" si="11"/>
        <v>78</v>
      </c>
      <c r="G88" s="30" t="str">
        <f t="shared" si="11"/>
        <v>18</v>
      </c>
      <c r="H88" s="30" t="str">
        <f t="shared" si="11"/>
        <v>18</v>
      </c>
      <c r="I88" s="30" t="str">
        <f t="shared" si="11"/>
        <v>60</v>
      </c>
      <c r="J88" s="30" t="str">
        <f t="shared" si="11"/>
        <v>60</v>
      </c>
      <c r="K88" s="30" t="str">
        <f t="shared" si="11"/>
        <v>60</v>
      </c>
      <c r="L88" s="30" t="str">
        <f t="shared" si="11"/>
        <v>18</v>
      </c>
      <c r="M88" s="30" t="str">
        <f t="shared" si="11"/>
        <v>10</v>
      </c>
      <c r="N88" s="30" t="str">
        <f t="shared" si="11"/>
        <v>01</v>
      </c>
      <c r="O88" s="30" t="str">
        <f t="shared" si="11"/>
        <v>00</v>
      </c>
      <c r="P88" s="30" t="str">
        <f t="shared" si="11"/>
        <v>00</v>
      </c>
      <c r="Q88" s="30" t="str">
        <f t="shared" si="11"/>
        <v>51</v>
      </c>
      <c r="R88" s="30"/>
      <c r="S88" s="30">
        <f t="shared" si="10"/>
        <v>16</v>
      </c>
    </row>
    <row r="89" spans="1:19" x14ac:dyDescent="0.45">
      <c r="A89" t="s">
        <v>110</v>
      </c>
      <c r="B89" s="30" t="str">
        <f t="shared" si="9"/>
        <v>51</v>
      </c>
      <c r="C89" s="30" t="str">
        <f t="shared" si="9"/>
        <v>51</v>
      </c>
      <c r="D89" s="30" t="str">
        <f t="shared" si="11"/>
        <v>00</v>
      </c>
      <c r="E89" s="30" t="str">
        <f t="shared" si="11"/>
        <v>20</v>
      </c>
      <c r="F89" s="30" t="str">
        <f t="shared" si="11"/>
        <v>00</v>
      </c>
      <c r="G89" s="30" t="str">
        <f t="shared" si="11"/>
        <v>18</v>
      </c>
      <c r="H89" s="30" t="str">
        <f t="shared" si="11"/>
        <v>10</v>
      </c>
      <c r="I89" s="30" t="str">
        <f t="shared" si="11"/>
        <v>05</v>
      </c>
      <c r="J89" s="30" t="str">
        <f t="shared" si="11"/>
        <v>30</v>
      </c>
      <c r="K89" s="30" t="str">
        <f t="shared" si="11"/>
        <v>60</v>
      </c>
      <c r="L89" s="30" t="str">
        <f t="shared" si="11"/>
        <v>60</v>
      </c>
      <c r="M89" s="30" t="str">
        <f t="shared" si="11"/>
        <v>32</v>
      </c>
      <c r="N89" s="30" t="str">
        <f t="shared" si="11"/>
        <v>30</v>
      </c>
      <c r="O89" s="30" t="str">
        <f t="shared" si="11"/>
        <v>08</v>
      </c>
      <c r="P89" s="30" t="str">
        <f t="shared" si="11"/>
        <v>08</v>
      </c>
      <c r="Q89" s="30" t="str">
        <f t="shared" si="11"/>
        <v>20</v>
      </c>
      <c r="R89" s="30"/>
      <c r="S89" s="30">
        <f t="shared" si="10"/>
        <v>16</v>
      </c>
    </row>
    <row r="90" spans="1:19" x14ac:dyDescent="0.45">
      <c r="A90" t="s">
        <v>111</v>
      </c>
      <c r="B90" s="30" t="str">
        <f t="shared" si="9"/>
        <v>20</v>
      </c>
      <c r="C90" s="30" t="str">
        <f t="shared" si="9"/>
        <v>20</v>
      </c>
      <c r="D90" s="30" t="str">
        <f t="shared" si="11"/>
        <v>08</v>
      </c>
      <c r="E90" s="30" t="str">
        <f t="shared" si="11"/>
        <v>70</v>
      </c>
      <c r="F90" s="30" t="str">
        <f t="shared" si="11"/>
        <v>38</v>
      </c>
      <c r="G90" s="30" t="str">
        <f t="shared" si="11"/>
        <v>70</v>
      </c>
      <c r="H90" s="30" t="str">
        <f t="shared" si="11"/>
        <v>78</v>
      </c>
      <c r="I90" s="30" t="str">
        <f t="shared" si="11"/>
        <v>00</v>
      </c>
      <c r="J90" s="30" t="str">
        <f t="shared" si="11"/>
        <v>01</v>
      </c>
      <c r="K90" s="30" t="str">
        <f t="shared" si="11"/>
        <v>00</v>
      </c>
      <c r="L90" s="30" t="str">
        <f t="shared" si="11"/>
        <v>00</v>
      </c>
      <c r="M90" s="30" t="str">
        <f t="shared" si="11"/>
        <v>02</v>
      </c>
      <c r="N90" s="30" t="str">
        <f t="shared" si="11"/>
        <v>20</v>
      </c>
      <c r="O90" s="30" t="str">
        <f t="shared" si="11"/>
        <v>2A</v>
      </c>
      <c r="P90" s="30" t="str">
        <f t="shared" si="11"/>
        <v>28</v>
      </c>
      <c r="Q90" s="30" t="str">
        <f t="shared" si="11"/>
        <v>2A</v>
      </c>
      <c r="R90" s="30"/>
      <c r="S90" s="30">
        <f t="shared" si="10"/>
        <v>16</v>
      </c>
    </row>
    <row r="91" spans="1:19" x14ac:dyDescent="0.45">
      <c r="A91" t="s">
        <v>112</v>
      </c>
      <c r="B91" s="30" t="str">
        <f t="shared" si="9"/>
        <v>2A</v>
      </c>
      <c r="C91" s="30" t="str">
        <f t="shared" si="9"/>
        <v>02</v>
      </c>
      <c r="D91" s="30" t="str">
        <f t="shared" si="11"/>
        <v>20</v>
      </c>
      <c r="E91" s="30" t="str">
        <f t="shared" si="11"/>
        <v>2A</v>
      </c>
      <c r="F91" s="30" t="str">
        <f t="shared" si="11"/>
        <v>2A</v>
      </c>
      <c r="G91" s="30" t="str">
        <f t="shared" si="11"/>
        <v>55</v>
      </c>
      <c r="H91" s="30" t="str">
        <f t="shared" si="11"/>
        <v>55</v>
      </c>
      <c r="I91" s="30" t="str">
        <f t="shared" si="11"/>
        <v>01</v>
      </c>
      <c r="J91" s="30" t="str">
        <f t="shared" si="11"/>
        <v>41</v>
      </c>
      <c r="K91" s="30" t="str">
        <f t="shared" si="11"/>
        <v>15</v>
      </c>
      <c r="L91" s="30" t="str">
        <f t="shared" si="11"/>
        <v>15</v>
      </c>
      <c r="M91" s="30" t="str">
        <f t="shared" si="11"/>
        <v>01</v>
      </c>
      <c r="N91" s="30" t="str">
        <f t="shared" si="11"/>
        <v>55</v>
      </c>
      <c r="O91" s="30" t="str">
        <f t="shared" si="11"/>
        <v>14</v>
      </c>
      <c r="P91" s="30" t="str">
        <f t="shared" si="11"/>
        <v>50</v>
      </c>
      <c r="Q91" s="30" t="str">
        <f t="shared" si="11"/>
        <v>15</v>
      </c>
      <c r="R91" s="30"/>
      <c r="S91" s="30">
        <f t="shared" si="10"/>
        <v>16</v>
      </c>
    </row>
    <row r="92" spans="1:19" x14ac:dyDescent="0.45">
      <c r="A92" t="s">
        <v>113</v>
      </c>
      <c r="B92" s="30" t="str">
        <f t="shared" si="9"/>
        <v>01</v>
      </c>
      <c r="C92" s="30" t="str">
        <f t="shared" si="9"/>
        <v>55</v>
      </c>
      <c r="D92" s="30" t="str">
        <f t="shared" si="11"/>
        <v>55</v>
      </c>
      <c r="E92" s="30" t="str">
        <f t="shared" si="11"/>
        <v>41</v>
      </c>
      <c r="F92" s="30" t="str">
        <f t="shared" si="11"/>
        <v>55</v>
      </c>
      <c r="G92" s="30" t="str">
        <f t="shared" si="11"/>
        <v>41</v>
      </c>
      <c r="H92" s="30" t="str">
        <f t="shared" si="11"/>
        <v>55</v>
      </c>
      <c r="I92" s="30" t="str">
        <f t="shared" si="11"/>
        <v>55</v>
      </c>
      <c r="J92" s="30" t="str">
        <f t="shared" si="11"/>
        <v>04</v>
      </c>
      <c r="K92" s="30" t="str">
        <f t="shared" si="11"/>
        <v>41</v>
      </c>
      <c r="L92" s="30" t="str">
        <f t="shared" si="11"/>
        <v>45</v>
      </c>
      <c r="M92" s="30" t="str">
        <f t="shared" si="11"/>
        <v>41</v>
      </c>
      <c r="N92" s="30" t="str">
        <f t="shared" si="11"/>
        <v>14</v>
      </c>
      <c r="O92" s="30" t="str">
        <f t="shared" si="11"/>
        <v>55</v>
      </c>
      <c r="P92" s="30" t="str">
        <f t="shared" si="11"/>
        <v>10</v>
      </c>
      <c r="Q92" s="30" t="str">
        <f t="shared" si="11"/>
        <v>50</v>
      </c>
      <c r="R92" s="30"/>
      <c r="S92" s="30">
        <f t="shared" si="10"/>
        <v>16</v>
      </c>
    </row>
    <row r="93" spans="1:19" x14ac:dyDescent="0.45">
      <c r="A93" t="s">
        <v>114</v>
      </c>
      <c r="B93" s="30" t="str">
        <f t="shared" si="9"/>
        <v>00</v>
      </c>
      <c r="C93" s="30" t="str">
        <f t="shared" si="9"/>
        <v>05</v>
      </c>
      <c r="D93" s="30" t="str">
        <f t="shared" si="11"/>
        <v>50</v>
      </c>
      <c r="E93" s="30" t="str">
        <f t="shared" si="11"/>
        <v>10</v>
      </c>
      <c r="F93" s="30" t="str">
        <f t="shared" si="11"/>
        <v>55</v>
      </c>
      <c r="G93" s="30" t="str">
        <f t="shared" si="11"/>
        <v>05</v>
      </c>
      <c r="H93" s="30" t="str">
        <f t="shared" si="11"/>
        <v>00</v>
      </c>
      <c r="I93" s="30" t="str">
        <f t="shared" si="11"/>
        <v>00</v>
      </c>
      <c r="J93" s="30" t="str">
        <f t="shared" si="11"/>
        <v/>
      </c>
      <c r="K93" s="30" t="str">
        <f t="shared" si="11"/>
        <v/>
      </c>
      <c r="L93" s="30" t="str">
        <f t="shared" si="11"/>
        <v/>
      </c>
      <c r="M93" s="30" t="str">
        <f t="shared" si="11"/>
        <v/>
      </c>
      <c r="N93" s="30" t="str">
        <f t="shared" si="11"/>
        <v/>
      </c>
      <c r="O93" s="30" t="str">
        <f t="shared" si="11"/>
        <v/>
      </c>
      <c r="P93" s="30" t="str">
        <f t="shared" si="11"/>
        <v/>
      </c>
      <c r="Q93" s="30" t="str">
        <f t="shared" si="11"/>
        <v/>
      </c>
      <c r="R93" s="30"/>
      <c r="S93" s="30">
        <f t="shared" si="10"/>
        <v>8</v>
      </c>
    </row>
    <row r="94" spans="1:19" x14ac:dyDescent="0.45">
      <c r="A94" t="s">
        <v>115</v>
      </c>
      <c r="B94" s="30" t="str">
        <f t="shared" si="9"/>
        <v>00</v>
      </c>
      <c r="C94" s="30" t="str">
        <f t="shared" si="9"/>
        <v>02</v>
      </c>
      <c r="D94" s="30" t="str">
        <f t="shared" si="11"/>
        <v>02</v>
      </c>
      <c r="E94" s="30" t="str">
        <f t="shared" si="11"/>
        <v>03</v>
      </c>
      <c r="F94" s="30" t="str">
        <f t="shared" si="11"/>
        <v>00</v>
      </c>
      <c r="G94" s="30" t="str">
        <f t="shared" si="11"/>
        <v>00</v>
      </c>
      <c r="H94" s="30" t="str">
        <f t="shared" si="11"/>
        <v>03</v>
      </c>
      <c r="I94" s="30" t="str">
        <f t="shared" si="11"/>
        <v>01</v>
      </c>
      <c r="J94" s="30" t="str">
        <f t="shared" si="11"/>
        <v>00</v>
      </c>
      <c r="K94" s="30" t="str">
        <f t="shared" si="11"/>
        <v>00</v>
      </c>
      <c r="L94" s="30" t="str">
        <f t="shared" si="11"/>
        <v>07</v>
      </c>
      <c r="M94" s="30" t="str">
        <f t="shared" si="11"/>
        <v>00</v>
      </c>
      <c r="N94" s="30" t="str">
        <f t="shared" si="11"/>
        <v>00</v>
      </c>
      <c r="O94" s="30" t="str">
        <f t="shared" si="11"/>
        <v>00</v>
      </c>
      <c r="P94" s="30" t="str">
        <f t="shared" si="11"/>
        <v>00</v>
      </c>
      <c r="Q94" s="30" t="str">
        <f t="shared" si="11"/>
        <v>01</v>
      </c>
      <c r="R94" s="30"/>
      <c r="S94" s="30">
        <f t="shared" si="10"/>
        <v>16</v>
      </c>
    </row>
    <row r="95" spans="1:19" x14ac:dyDescent="0.45">
      <c r="A95" t="s">
        <v>116</v>
      </c>
      <c r="B95" s="30" t="str">
        <f t="shared" si="9"/>
        <v>06</v>
      </c>
      <c r="C95" s="30" t="str">
        <f t="shared" si="9"/>
        <v>00</v>
      </c>
      <c r="D95" s="30" t="str">
        <f t="shared" si="11"/>
        <v>00</v>
      </c>
      <c r="E95" s="30" t="str">
        <f t="shared" si="11"/>
        <v>00</v>
      </c>
      <c r="F95" s="30" t="str">
        <f t="shared" si="11"/>
        <v>00</v>
      </c>
      <c r="G95" s="30" t="str">
        <f t="shared" si="11"/>
        <v>00</v>
      </c>
      <c r="H95" s="30" t="str">
        <f t="shared" si="11"/>
        <v>00</v>
      </c>
      <c r="I95" s="30" t="str">
        <f t="shared" si="11"/>
        <v>00</v>
      </c>
      <c r="J95" s="30" t="str">
        <f t="shared" si="11"/>
        <v>00</v>
      </c>
      <c r="K95" s="30" t="str">
        <f t="shared" si="11"/>
        <v>00</v>
      </c>
      <c r="L95" s="30" t="str">
        <f t="shared" si="11"/>
        <v>00</v>
      </c>
      <c r="M95" s="30" t="str">
        <f t="shared" si="11"/>
        <v>00</v>
      </c>
      <c r="N95" s="30" t="str">
        <f t="shared" si="11"/>
        <v>00</v>
      </c>
      <c r="O95" s="30" t="str">
        <f t="shared" si="11"/>
        <v>02</v>
      </c>
      <c r="P95" s="30" t="str">
        <f t="shared" si="11"/>
        <v>00</v>
      </c>
      <c r="Q95" s="30" t="str">
        <f t="shared" si="11"/>
        <v>02</v>
      </c>
      <c r="R95" s="30"/>
      <c r="S95" s="30">
        <f t="shared" si="10"/>
        <v>16</v>
      </c>
    </row>
    <row r="96" spans="1:19" x14ac:dyDescent="0.45">
      <c r="A96" t="s">
        <v>117</v>
      </c>
      <c r="B96" s="30" t="str">
        <f t="shared" si="9"/>
        <v>02</v>
      </c>
      <c r="C96" s="30" t="str">
        <f t="shared" si="9"/>
        <v>02</v>
      </c>
      <c r="D96" s="30" t="str">
        <f t="shared" si="11"/>
        <v>00</v>
      </c>
      <c r="E96" s="30" t="str">
        <f t="shared" si="11"/>
        <v>01</v>
      </c>
      <c r="F96" s="30" t="str">
        <f t="shared" si="11"/>
        <v>00</v>
      </c>
      <c r="G96" s="30" t="str">
        <f t="shared" si="11"/>
        <v>04</v>
      </c>
      <c r="H96" s="30" t="str">
        <f t="shared" si="11"/>
        <v>00</v>
      </c>
      <c r="I96" s="30" t="str">
        <f t="shared" si="11"/>
        <v>00</v>
      </c>
      <c r="J96" s="30" t="str">
        <f t="shared" si="11"/>
        <v>00</v>
      </c>
      <c r="K96" s="30" t="str">
        <f t="shared" si="11"/>
        <v>04</v>
      </c>
      <c r="L96" s="30" t="str">
        <f t="shared" si="11"/>
        <v>00</v>
      </c>
      <c r="M96" s="30" t="str">
        <f t="shared" si="11"/>
        <v>00</v>
      </c>
      <c r="N96" s="30" t="str">
        <f t="shared" si="11"/>
        <v>00</v>
      </c>
      <c r="O96" s="30" t="str">
        <f t="shared" si="11"/>
        <v>00</v>
      </c>
      <c r="P96" s="30" t="str">
        <f t="shared" si="11"/>
        <v>00</v>
      </c>
      <c r="Q96" s="30" t="str">
        <f t="shared" si="11"/>
        <v>00</v>
      </c>
      <c r="R96" s="30"/>
      <c r="S96" s="30">
        <f t="shared" si="10"/>
        <v>16</v>
      </c>
    </row>
    <row r="97" spans="1:19" x14ac:dyDescent="0.45">
      <c r="A97" t="s">
        <v>118</v>
      </c>
      <c r="B97" s="30" t="str">
        <f t="shared" ref="B97:C128" si="12">MID($A97,13+B$2*3,2)</f>
        <v>00</v>
      </c>
      <c r="C97" s="30" t="str">
        <f t="shared" si="12"/>
        <v>00</v>
      </c>
      <c r="D97" s="30" t="str">
        <f t="shared" si="11"/>
        <v>00</v>
      </c>
      <c r="E97" s="30" t="str">
        <f t="shared" si="11"/>
        <v>00</v>
      </c>
      <c r="F97" s="30" t="str">
        <f t="shared" si="11"/>
        <v>00</v>
      </c>
      <c r="G97" s="30" t="str">
        <f t="shared" si="11"/>
        <v>01</v>
      </c>
      <c r="H97" s="30" t="str">
        <f t="shared" si="11"/>
        <v>00</v>
      </c>
      <c r="I97" s="30" t="str">
        <f t="shared" si="11"/>
        <v>00</v>
      </c>
      <c r="J97" s="30" t="str">
        <f t="shared" si="11"/>
        <v>02</v>
      </c>
      <c r="K97" s="30" t="str">
        <f t="shared" si="11"/>
        <v>00</v>
      </c>
      <c r="L97" s="30" t="str">
        <f t="shared" si="11"/>
        <v>00</v>
      </c>
      <c r="M97" s="30" t="str">
        <f t="shared" si="11"/>
        <v>01</v>
      </c>
      <c r="N97" s="30" t="str">
        <f t="shared" si="11"/>
        <v>00</v>
      </c>
      <c r="O97" s="30" t="str">
        <f t="shared" si="11"/>
        <v>01</v>
      </c>
      <c r="P97" s="30" t="str">
        <f t="shared" si="11"/>
        <v>01</v>
      </c>
      <c r="Q97" s="30" t="str">
        <f t="shared" si="11"/>
        <v>01</v>
      </c>
      <c r="R97" s="30"/>
      <c r="S97" s="30">
        <f t="shared" si="10"/>
        <v>16</v>
      </c>
    </row>
    <row r="98" spans="1:19" x14ac:dyDescent="0.45">
      <c r="A98" t="s">
        <v>119</v>
      </c>
      <c r="B98" s="30" t="str">
        <f t="shared" si="12"/>
        <v>01</v>
      </c>
      <c r="C98" s="30" t="str">
        <f t="shared" si="12"/>
        <v>00</v>
      </c>
      <c r="D98" s="30" t="str">
        <f t="shared" si="11"/>
        <v>01</v>
      </c>
      <c r="E98" s="30" t="str">
        <f t="shared" si="11"/>
        <v>01</v>
      </c>
      <c r="F98" s="30" t="str">
        <f t="shared" si="11"/>
        <v>01</v>
      </c>
      <c r="G98" s="30" t="str">
        <f t="shared" si="11"/>
        <v>00</v>
      </c>
      <c r="H98" s="30" t="str">
        <f t="shared" si="11"/>
        <v>00</v>
      </c>
      <c r="I98" s="30" t="str">
        <f t="shared" si="11"/>
        <v>00</v>
      </c>
      <c r="J98" s="30" t="str">
        <f t="shared" si="11"/>
        <v>00</v>
      </c>
      <c r="K98" s="30" t="str">
        <f t="shared" si="11"/>
        <v>00</v>
      </c>
      <c r="L98" s="30" t="str">
        <f t="shared" si="11"/>
        <v>00</v>
      </c>
      <c r="M98" s="30" t="str">
        <f t="shared" si="11"/>
        <v>00</v>
      </c>
      <c r="N98" s="30" t="str">
        <f t="shared" si="11"/>
        <v>00</v>
      </c>
      <c r="O98" s="30" t="str">
        <f t="shared" si="11"/>
        <v>00</v>
      </c>
      <c r="P98" s="30" t="str">
        <f t="shared" si="11"/>
        <v>00</v>
      </c>
      <c r="Q98" s="30" t="str">
        <f t="shared" si="11"/>
        <v>00</v>
      </c>
      <c r="R98" s="30"/>
      <c r="S98" s="30">
        <f t="shared" si="10"/>
        <v>16</v>
      </c>
    </row>
    <row r="99" spans="1:19" x14ac:dyDescent="0.45">
      <c r="A99" t="s">
        <v>44</v>
      </c>
      <c r="B99" s="30" t="str">
        <f t="shared" si="12"/>
        <v>00</v>
      </c>
      <c r="C99" s="30" t="str">
        <f t="shared" si="12"/>
        <v>00</v>
      </c>
      <c r="D99" s="30" t="str">
        <f t="shared" si="11"/>
        <v>00</v>
      </c>
      <c r="E99" s="30" t="str">
        <f t="shared" si="11"/>
        <v>00</v>
      </c>
      <c r="F99" s="30" t="str">
        <f t="shared" si="11"/>
        <v>00</v>
      </c>
      <c r="G99" s="30" t="str">
        <f t="shared" si="11"/>
        <v>00</v>
      </c>
      <c r="H99" s="30" t="str">
        <f t="shared" si="11"/>
        <v>00</v>
      </c>
      <c r="I99" s="30" t="str">
        <f t="shared" si="11"/>
        <v>00</v>
      </c>
      <c r="J99" s="30" t="str">
        <f t="shared" si="11"/>
        <v>00</v>
      </c>
      <c r="K99" s="30" t="str">
        <f t="shared" si="11"/>
        <v>00</v>
      </c>
      <c r="L99" s="30" t="str">
        <f t="shared" si="11"/>
        <v>00</v>
      </c>
      <c r="M99" s="30" t="str">
        <f t="shared" si="11"/>
        <v>00</v>
      </c>
      <c r="N99" s="30" t="str">
        <f t="shared" si="11"/>
        <v>00</v>
      </c>
      <c r="O99" s="30" t="str">
        <f t="shared" si="11"/>
        <v>00</v>
      </c>
      <c r="P99" s="30" t="str">
        <f t="shared" si="11"/>
        <v>00</v>
      </c>
      <c r="Q99" s="30" t="str">
        <f t="shared" si="11"/>
        <v>00</v>
      </c>
      <c r="R99" s="30"/>
      <c r="S99" s="30">
        <f t="shared" si="10"/>
        <v>16</v>
      </c>
    </row>
    <row r="100" spans="1:19" x14ac:dyDescent="0.45">
      <c r="A100" t="s">
        <v>120</v>
      </c>
      <c r="B100" s="30" t="str">
        <f t="shared" si="12"/>
        <v>00</v>
      </c>
      <c r="C100" s="30" t="str">
        <f t="shared" si="12"/>
        <v>00</v>
      </c>
      <c r="D100" s="30" t="str">
        <f t="shared" si="11"/>
        <v>00</v>
      </c>
      <c r="E100" s="30" t="str">
        <f t="shared" si="11"/>
        <v>00</v>
      </c>
      <c r="F100" s="30" t="str">
        <f t="shared" si="11"/>
        <v>02</v>
      </c>
      <c r="G100" s="30" t="str">
        <f t="shared" si="11"/>
        <v>00</v>
      </c>
      <c r="H100" s="30" t="str">
        <f t="shared" si="11"/>
        <v>6C</v>
      </c>
      <c r="I100" s="30" t="str">
        <f t="shared" si="11"/>
        <v>00</v>
      </c>
      <c r="J100" s="30" t="str">
        <f t="shared" si="11"/>
        <v/>
      </c>
      <c r="K100" s="30" t="str">
        <f t="shared" si="11"/>
        <v/>
      </c>
      <c r="L100" s="30" t="str">
        <f t="shared" si="11"/>
        <v/>
      </c>
      <c r="M100" s="30" t="str">
        <f t="shared" si="11"/>
        <v/>
      </c>
      <c r="N100" s="30" t="str">
        <f t="shared" si="11"/>
        <v/>
      </c>
      <c r="O100" s="30" t="str">
        <f t="shared" si="11"/>
        <v/>
      </c>
      <c r="P100" s="30" t="str">
        <f t="shared" si="11"/>
        <v/>
      </c>
      <c r="Q100" s="30" t="str">
        <f t="shared" si="11"/>
        <v/>
      </c>
      <c r="R100" s="30"/>
      <c r="S100" s="30">
        <f t="shared" si="10"/>
        <v>8</v>
      </c>
    </row>
    <row r="101" spans="1:19" x14ac:dyDescent="0.45">
      <c r="A101" t="s">
        <v>121</v>
      </c>
      <c r="B101" s="30" t="str">
        <f t="shared" si="12"/>
        <v>00</v>
      </c>
      <c r="C101" s="30" t="str">
        <f t="shared" si="12"/>
        <v>51</v>
      </c>
      <c r="D101" s="30" t="str">
        <f t="shared" si="11"/>
        <v>55</v>
      </c>
      <c r="E101" s="30" t="str">
        <f t="shared" si="11"/>
        <v>7E</v>
      </c>
      <c r="F101" s="30" t="str">
        <f t="shared" si="11"/>
        <v>00</v>
      </c>
      <c r="G101" s="30" t="str">
        <f t="shared" si="11"/>
        <v>30</v>
      </c>
      <c r="H101" s="30" t="str">
        <f t="shared" si="11"/>
        <v>06</v>
      </c>
      <c r="I101" s="30" t="str">
        <f t="shared" ref="D101:Q156" si="13">MID($A101,13+I$2*3,2)</f>
        <v>78</v>
      </c>
      <c r="J101" s="30" t="str">
        <f t="shared" si="13"/>
        <v>70</v>
      </c>
      <c r="K101" s="30" t="str">
        <f t="shared" si="13"/>
        <v>70</v>
      </c>
      <c r="L101" s="30" t="str">
        <f t="shared" si="13"/>
        <v>7F</v>
      </c>
      <c r="M101" s="30" t="str">
        <f t="shared" si="13"/>
        <v>38</v>
      </c>
      <c r="N101" s="30" t="str">
        <f t="shared" si="13"/>
        <v>1C</v>
      </c>
      <c r="O101" s="30" t="str">
        <f t="shared" si="13"/>
        <v>3C</v>
      </c>
      <c r="P101" s="30" t="str">
        <f t="shared" si="13"/>
        <v>58</v>
      </c>
      <c r="Q101" s="30" t="str">
        <f t="shared" si="13"/>
        <v>60</v>
      </c>
      <c r="R101" s="30"/>
      <c r="S101" s="30">
        <f t="shared" si="10"/>
        <v>16</v>
      </c>
    </row>
    <row r="102" spans="1:19" x14ac:dyDescent="0.45">
      <c r="A102" t="s">
        <v>122</v>
      </c>
      <c r="B102" s="30" t="str">
        <f t="shared" si="12"/>
        <v>60</v>
      </c>
      <c r="C102" s="30" t="str">
        <f t="shared" si="12"/>
        <v>70</v>
      </c>
      <c r="D102" s="30" t="str">
        <f t="shared" si="13"/>
        <v>6C</v>
      </c>
      <c r="E102" s="30" t="str">
        <f t="shared" si="13"/>
        <v>6C</v>
      </c>
      <c r="F102" s="30" t="str">
        <f t="shared" si="13"/>
        <v>58</v>
      </c>
      <c r="G102" s="30" t="str">
        <f t="shared" si="13"/>
        <v>1E</v>
      </c>
      <c r="H102" s="30" t="str">
        <f t="shared" si="13"/>
        <v>1C</v>
      </c>
      <c r="I102" s="30" t="str">
        <f t="shared" si="13"/>
        <v>70</v>
      </c>
      <c r="J102" s="30" t="str">
        <f t="shared" si="13"/>
        <v>60</v>
      </c>
      <c r="K102" s="30" t="str">
        <f t="shared" si="13"/>
        <v>60</v>
      </c>
      <c r="L102" s="30" t="str">
        <f t="shared" si="13"/>
        <v>38</v>
      </c>
      <c r="M102" s="30" t="str">
        <f t="shared" si="13"/>
        <v>40</v>
      </c>
      <c r="N102" s="30" t="str">
        <f t="shared" si="13"/>
        <v>04</v>
      </c>
      <c r="O102" s="30" t="str">
        <f t="shared" si="13"/>
        <v>01</v>
      </c>
      <c r="P102" s="30" t="str">
        <f t="shared" si="13"/>
        <v>00</v>
      </c>
      <c r="Q102" s="30" t="str">
        <f t="shared" si="13"/>
        <v>51</v>
      </c>
      <c r="R102" s="30"/>
      <c r="S102" s="30">
        <f t="shared" si="10"/>
        <v>16</v>
      </c>
    </row>
    <row r="103" spans="1:19" x14ac:dyDescent="0.45">
      <c r="A103" t="s">
        <v>123</v>
      </c>
      <c r="B103" s="30" t="str">
        <f t="shared" si="12"/>
        <v>51</v>
      </c>
      <c r="C103" s="30" t="str">
        <f t="shared" si="12"/>
        <v>51</v>
      </c>
      <c r="D103" s="30" t="str">
        <f t="shared" si="13"/>
        <v>51</v>
      </c>
      <c r="E103" s="30" t="str">
        <f t="shared" si="13"/>
        <v>29</v>
      </c>
      <c r="F103" s="30" t="str">
        <f t="shared" si="13"/>
        <v>20</v>
      </c>
      <c r="G103" s="30" t="str">
        <f t="shared" si="13"/>
        <v>38</v>
      </c>
      <c r="H103" s="30" t="str">
        <f t="shared" si="13"/>
        <v>44</v>
      </c>
      <c r="I103" s="30" t="str">
        <f t="shared" si="13"/>
        <v>02</v>
      </c>
      <c r="J103" s="30" t="str">
        <f t="shared" si="13"/>
        <v>70</v>
      </c>
      <c r="K103" s="30" t="str">
        <f t="shared" si="13"/>
        <v>60</v>
      </c>
      <c r="L103" s="30" t="str">
        <f t="shared" si="13"/>
        <v>70</v>
      </c>
      <c r="M103" s="30" t="str">
        <f t="shared" si="13"/>
        <v>38</v>
      </c>
      <c r="N103" s="30" t="str">
        <f t="shared" si="13"/>
        <v>78</v>
      </c>
      <c r="O103" s="30" t="str">
        <f t="shared" si="13"/>
        <v>1E</v>
      </c>
      <c r="P103" s="30" t="str">
        <f t="shared" si="13"/>
        <v>1C</v>
      </c>
      <c r="Q103" s="30" t="str">
        <f t="shared" si="13"/>
        <v>70</v>
      </c>
      <c r="R103" s="30"/>
      <c r="S103" s="30">
        <f t="shared" si="10"/>
        <v>16</v>
      </c>
    </row>
    <row r="104" spans="1:19" x14ac:dyDescent="0.45">
      <c r="A104" t="s">
        <v>124</v>
      </c>
      <c r="B104" s="30" t="str">
        <f t="shared" si="12"/>
        <v>70</v>
      </c>
      <c r="C104" s="30" t="str">
        <f t="shared" si="12"/>
        <v>70</v>
      </c>
      <c r="D104" s="30" t="str">
        <f t="shared" si="13"/>
        <v>1C</v>
      </c>
      <c r="E104" s="30" t="str">
        <f t="shared" si="13"/>
        <v>58</v>
      </c>
      <c r="F104" s="30" t="str">
        <f t="shared" si="13"/>
        <v>6C</v>
      </c>
      <c r="G104" s="30" t="str">
        <f t="shared" si="13"/>
        <v>30</v>
      </c>
      <c r="H104" s="30" t="str">
        <f t="shared" si="13"/>
        <v>6C</v>
      </c>
      <c r="I104" s="30" t="str">
        <f t="shared" si="13"/>
        <v>00</v>
      </c>
      <c r="J104" s="30" t="str">
        <f t="shared" si="13"/>
        <v>01</v>
      </c>
      <c r="K104" s="30" t="str">
        <f t="shared" si="13"/>
        <v>00</v>
      </c>
      <c r="L104" s="30" t="str">
        <f t="shared" si="13"/>
        <v>00</v>
      </c>
      <c r="M104" s="30" t="str">
        <f t="shared" si="13"/>
        <v>22</v>
      </c>
      <c r="N104" s="30" t="str">
        <f t="shared" si="13"/>
        <v>20</v>
      </c>
      <c r="O104" s="30" t="str">
        <f t="shared" si="13"/>
        <v>02</v>
      </c>
      <c r="P104" s="30" t="str">
        <f t="shared" si="13"/>
        <v>00</v>
      </c>
      <c r="Q104" s="30" t="str">
        <f t="shared" si="13"/>
        <v>00</v>
      </c>
      <c r="R104" s="30"/>
      <c r="S104" s="30">
        <f t="shared" si="10"/>
        <v>16</v>
      </c>
    </row>
    <row r="105" spans="1:19" x14ac:dyDescent="0.45">
      <c r="A105" t="s">
        <v>125</v>
      </c>
      <c r="B105" s="30" t="str">
        <f t="shared" si="12"/>
        <v>20</v>
      </c>
      <c r="C105" s="30" t="str">
        <f t="shared" si="12"/>
        <v>2A</v>
      </c>
      <c r="D105" s="30" t="str">
        <f t="shared" si="13"/>
        <v>28</v>
      </c>
      <c r="E105" s="30" t="str">
        <f t="shared" si="13"/>
        <v>02</v>
      </c>
      <c r="F105" s="30" t="str">
        <f t="shared" si="13"/>
        <v>20</v>
      </c>
      <c r="G105" s="30" t="str">
        <f t="shared" si="13"/>
        <v>41</v>
      </c>
      <c r="H105" s="30" t="str">
        <f t="shared" si="13"/>
        <v>41</v>
      </c>
      <c r="I105" s="30" t="str">
        <f t="shared" si="13"/>
        <v>05</v>
      </c>
      <c r="J105" s="30" t="str">
        <f t="shared" si="13"/>
        <v>45</v>
      </c>
      <c r="K105" s="30" t="str">
        <f t="shared" si="13"/>
        <v>01</v>
      </c>
      <c r="L105" s="30" t="str">
        <f t="shared" si="13"/>
        <v>01</v>
      </c>
      <c r="M105" s="30" t="str">
        <f t="shared" si="13"/>
        <v>51</v>
      </c>
      <c r="N105" s="30" t="str">
        <f t="shared" si="13"/>
        <v>45</v>
      </c>
      <c r="O105" s="30" t="str">
        <f t="shared" si="13"/>
        <v>14</v>
      </c>
      <c r="P105" s="30" t="str">
        <f t="shared" si="13"/>
        <v>50</v>
      </c>
      <c r="Q105" s="30" t="str">
        <f t="shared" si="13"/>
        <v>55</v>
      </c>
      <c r="R105" s="30"/>
      <c r="S105" s="30">
        <f t="shared" si="10"/>
        <v>16</v>
      </c>
    </row>
    <row r="106" spans="1:19" x14ac:dyDescent="0.45">
      <c r="A106" t="s">
        <v>126</v>
      </c>
      <c r="B106" s="30" t="str">
        <f t="shared" si="12"/>
        <v>05</v>
      </c>
      <c r="C106" s="30" t="str">
        <f t="shared" si="12"/>
        <v>41</v>
      </c>
      <c r="D106" s="30" t="str">
        <f t="shared" si="13"/>
        <v>55</v>
      </c>
      <c r="E106" s="30" t="str">
        <f t="shared" si="13"/>
        <v>41</v>
      </c>
      <c r="F106" s="30" t="str">
        <f t="shared" si="13"/>
        <v>05</v>
      </c>
      <c r="G106" s="30" t="str">
        <f t="shared" si="13"/>
        <v>41</v>
      </c>
      <c r="H106" s="30" t="str">
        <f t="shared" si="13"/>
        <v>15</v>
      </c>
      <c r="I106" s="30" t="str">
        <f t="shared" si="13"/>
        <v>50</v>
      </c>
      <c r="J106" s="30" t="str">
        <f t="shared" si="13"/>
        <v>14</v>
      </c>
      <c r="K106" s="30" t="str">
        <f t="shared" si="13"/>
        <v>45</v>
      </c>
      <c r="L106" s="30" t="str">
        <f t="shared" si="13"/>
        <v>45</v>
      </c>
      <c r="M106" s="30" t="str">
        <f t="shared" si="13"/>
        <v>55</v>
      </c>
      <c r="N106" s="30" t="str">
        <f t="shared" si="13"/>
        <v>14</v>
      </c>
      <c r="O106" s="30" t="str">
        <f t="shared" si="13"/>
        <v>14</v>
      </c>
      <c r="P106" s="30" t="str">
        <f t="shared" si="13"/>
        <v>14</v>
      </c>
      <c r="Q106" s="30" t="str">
        <f t="shared" si="13"/>
        <v>50</v>
      </c>
      <c r="R106" s="30"/>
      <c r="S106" s="30">
        <f t="shared" si="10"/>
        <v>16</v>
      </c>
    </row>
    <row r="107" spans="1:19" x14ac:dyDescent="0.45">
      <c r="A107" t="s">
        <v>127</v>
      </c>
      <c r="B107" s="30" t="str">
        <f t="shared" si="12"/>
        <v>00</v>
      </c>
      <c r="C107" s="30" t="str">
        <f t="shared" si="12"/>
        <v>05</v>
      </c>
      <c r="D107" s="30" t="str">
        <f t="shared" si="13"/>
        <v>50</v>
      </c>
      <c r="E107" s="30" t="str">
        <f t="shared" si="13"/>
        <v>04</v>
      </c>
      <c r="F107" s="30" t="str">
        <f t="shared" si="13"/>
        <v>55</v>
      </c>
      <c r="G107" s="30" t="str">
        <f t="shared" si="13"/>
        <v>05</v>
      </c>
      <c r="H107" s="30" t="str">
        <f t="shared" si="13"/>
        <v>00</v>
      </c>
      <c r="I107" s="30" t="str">
        <f t="shared" si="13"/>
        <v>01</v>
      </c>
      <c r="J107" s="30" t="str">
        <f t="shared" si="13"/>
        <v/>
      </c>
      <c r="K107" s="30" t="str">
        <f t="shared" si="13"/>
        <v/>
      </c>
      <c r="L107" s="30" t="str">
        <f t="shared" si="13"/>
        <v/>
      </c>
      <c r="M107" s="30" t="str">
        <f t="shared" si="13"/>
        <v/>
      </c>
      <c r="N107" s="30" t="str">
        <f t="shared" si="13"/>
        <v/>
      </c>
      <c r="O107" s="30" t="str">
        <f t="shared" si="13"/>
        <v/>
      </c>
      <c r="P107" s="30" t="str">
        <f t="shared" si="13"/>
        <v/>
      </c>
      <c r="Q107" s="30" t="str">
        <f t="shared" si="13"/>
        <v/>
      </c>
      <c r="R107" s="30"/>
      <c r="S107" s="30">
        <f t="shared" si="10"/>
        <v>8</v>
      </c>
    </row>
    <row r="108" spans="1:19" x14ac:dyDescent="0.45">
      <c r="A108" t="s">
        <v>128</v>
      </c>
      <c r="B108" s="30" t="str">
        <f t="shared" si="12"/>
        <v>00</v>
      </c>
      <c r="C108" s="30" t="str">
        <f t="shared" si="12"/>
        <v>02</v>
      </c>
      <c r="D108" s="30" t="str">
        <f t="shared" si="13"/>
        <v>02</v>
      </c>
      <c r="E108" s="30" t="str">
        <f t="shared" si="13"/>
        <v>03</v>
      </c>
      <c r="F108" s="30" t="str">
        <f t="shared" si="13"/>
        <v>00</v>
      </c>
      <c r="G108" s="30" t="str">
        <f t="shared" si="13"/>
        <v>00</v>
      </c>
      <c r="H108" s="30" t="str">
        <f t="shared" si="13"/>
        <v>03</v>
      </c>
      <c r="I108" s="30" t="str">
        <f t="shared" si="13"/>
        <v>01</v>
      </c>
      <c r="J108" s="30" t="str">
        <f t="shared" si="13"/>
        <v>00</v>
      </c>
      <c r="K108" s="30" t="str">
        <f t="shared" si="13"/>
        <v>00</v>
      </c>
      <c r="L108" s="30" t="str">
        <f t="shared" si="13"/>
        <v>07</v>
      </c>
      <c r="M108" s="30" t="str">
        <f t="shared" si="13"/>
        <v>00</v>
      </c>
      <c r="N108" s="30" t="str">
        <f t="shared" si="13"/>
        <v>00</v>
      </c>
      <c r="O108" s="30" t="str">
        <f t="shared" si="13"/>
        <v>00</v>
      </c>
      <c r="P108" s="30" t="str">
        <f t="shared" si="13"/>
        <v>01</v>
      </c>
      <c r="Q108" s="30" t="str">
        <f t="shared" si="13"/>
        <v>01</v>
      </c>
      <c r="R108" s="30"/>
      <c r="S108" s="30">
        <f t="shared" si="10"/>
        <v>16</v>
      </c>
    </row>
    <row r="109" spans="1:19" x14ac:dyDescent="0.45">
      <c r="A109" t="s">
        <v>129</v>
      </c>
      <c r="B109" s="30" t="str">
        <f t="shared" si="12"/>
        <v>01</v>
      </c>
      <c r="C109" s="30" t="str">
        <f t="shared" si="12"/>
        <v>01</v>
      </c>
      <c r="D109" s="30" t="str">
        <f t="shared" si="13"/>
        <v>00</v>
      </c>
      <c r="E109" s="30" t="str">
        <f t="shared" si="13"/>
        <v>00</v>
      </c>
      <c r="F109" s="30" t="str">
        <f t="shared" si="13"/>
        <v>01</v>
      </c>
      <c r="G109" s="30" t="str">
        <f t="shared" si="13"/>
        <v>00</v>
      </c>
      <c r="H109" s="30" t="str">
        <f t="shared" si="13"/>
        <v>00</v>
      </c>
      <c r="I109" s="30" t="str">
        <f t="shared" si="13"/>
        <v>00</v>
      </c>
      <c r="J109" s="30" t="str">
        <f t="shared" si="13"/>
        <v>03</v>
      </c>
      <c r="K109" s="30" t="str">
        <f t="shared" si="13"/>
        <v>01</v>
      </c>
      <c r="L109" s="30" t="str">
        <f t="shared" si="13"/>
        <v>00</v>
      </c>
      <c r="M109" s="30" t="str">
        <f t="shared" si="13"/>
        <v>04</v>
      </c>
      <c r="N109" s="30" t="str">
        <f t="shared" si="13"/>
        <v>00</v>
      </c>
      <c r="O109" s="30" t="str">
        <f t="shared" si="13"/>
        <v>00</v>
      </c>
      <c r="P109" s="30" t="str">
        <f t="shared" si="13"/>
        <v>02</v>
      </c>
      <c r="Q109" s="30" t="str">
        <f t="shared" si="13"/>
        <v>02</v>
      </c>
      <c r="R109" s="30"/>
      <c r="S109" s="30">
        <f t="shared" si="10"/>
        <v>16</v>
      </c>
    </row>
    <row r="110" spans="1:19" x14ac:dyDescent="0.45">
      <c r="A110" t="s">
        <v>130</v>
      </c>
      <c r="B110" s="30" t="str">
        <f t="shared" si="12"/>
        <v>02</v>
      </c>
      <c r="C110" s="30" t="str">
        <f t="shared" si="12"/>
        <v>02</v>
      </c>
      <c r="D110" s="30" t="str">
        <f t="shared" si="13"/>
        <v>02</v>
      </c>
      <c r="E110" s="30" t="str">
        <f t="shared" si="13"/>
        <v>01</v>
      </c>
      <c r="F110" s="30" t="str">
        <f t="shared" si="13"/>
        <v>00</v>
      </c>
      <c r="G110" s="30" t="str">
        <f t="shared" si="13"/>
        <v>00</v>
      </c>
      <c r="H110" s="30" t="str">
        <f t="shared" si="13"/>
        <v>00</v>
      </c>
      <c r="I110" s="30" t="str">
        <f t="shared" si="13"/>
        <v>00</v>
      </c>
      <c r="J110" s="30" t="str">
        <f t="shared" si="13"/>
        <v>00</v>
      </c>
      <c r="K110" s="30" t="str">
        <f t="shared" si="13"/>
        <v>01</v>
      </c>
      <c r="L110" s="30" t="str">
        <f t="shared" si="13"/>
        <v>01</v>
      </c>
      <c r="M110" s="30" t="str">
        <f t="shared" si="13"/>
        <v>00</v>
      </c>
      <c r="N110" s="30" t="str">
        <f t="shared" si="13"/>
        <v>00</v>
      </c>
      <c r="O110" s="30" t="str">
        <f t="shared" si="13"/>
        <v>00</v>
      </c>
      <c r="P110" s="30" t="str">
        <f t="shared" si="13"/>
        <v>00</v>
      </c>
      <c r="Q110" s="30" t="str">
        <f t="shared" si="13"/>
        <v>00</v>
      </c>
      <c r="R110" s="30"/>
      <c r="S110" s="30">
        <f t="shared" si="10"/>
        <v>16</v>
      </c>
    </row>
    <row r="111" spans="1:19" x14ac:dyDescent="0.45">
      <c r="A111" t="s">
        <v>131</v>
      </c>
      <c r="B111" s="30" t="str">
        <f t="shared" si="12"/>
        <v>01</v>
      </c>
      <c r="C111" s="30" t="str">
        <f t="shared" si="12"/>
        <v>00</v>
      </c>
      <c r="D111" s="30" t="str">
        <f t="shared" si="13"/>
        <v>00</v>
      </c>
      <c r="E111" s="30" t="str">
        <f t="shared" si="13"/>
        <v>01</v>
      </c>
      <c r="F111" s="30" t="str">
        <f t="shared" si="13"/>
        <v>00</v>
      </c>
      <c r="G111" s="30" t="str">
        <f t="shared" si="13"/>
        <v>03</v>
      </c>
      <c r="H111" s="30" t="str">
        <f t="shared" si="13"/>
        <v>00</v>
      </c>
      <c r="I111" s="30" t="str">
        <f t="shared" si="13"/>
        <v>00</v>
      </c>
      <c r="J111" s="30" t="str">
        <f t="shared" si="13"/>
        <v>02</v>
      </c>
      <c r="K111" s="30" t="str">
        <f t="shared" si="13"/>
        <v>00</v>
      </c>
      <c r="L111" s="30" t="str">
        <f t="shared" si="13"/>
        <v>00</v>
      </c>
      <c r="M111" s="30" t="str">
        <f t="shared" si="13"/>
        <v>01</v>
      </c>
      <c r="N111" s="30" t="str">
        <f t="shared" si="13"/>
        <v>00</v>
      </c>
      <c r="O111" s="30" t="str">
        <f t="shared" si="13"/>
        <v>00</v>
      </c>
      <c r="P111" s="30" t="str">
        <f t="shared" si="13"/>
        <v>01</v>
      </c>
      <c r="Q111" s="30" t="str">
        <f t="shared" si="13"/>
        <v>01</v>
      </c>
      <c r="R111" s="30"/>
      <c r="S111" s="30">
        <f t="shared" si="10"/>
        <v>16</v>
      </c>
    </row>
    <row r="112" spans="1:19" x14ac:dyDescent="0.45">
      <c r="A112" t="s">
        <v>132</v>
      </c>
      <c r="B112" s="30" t="str">
        <f t="shared" si="12"/>
        <v>01</v>
      </c>
      <c r="C112" s="30" t="str">
        <f t="shared" si="12"/>
        <v>01</v>
      </c>
      <c r="D112" s="30" t="str">
        <f t="shared" si="13"/>
        <v>00</v>
      </c>
      <c r="E112" s="30" t="str">
        <f t="shared" si="13"/>
        <v>01</v>
      </c>
      <c r="F112" s="30" t="str">
        <f t="shared" si="13"/>
        <v>01</v>
      </c>
      <c r="G112" s="30" t="str">
        <f t="shared" si="13"/>
        <v>00</v>
      </c>
      <c r="H112" s="30" t="str">
        <f t="shared" si="13"/>
        <v>00</v>
      </c>
      <c r="I112" s="30" t="str">
        <f t="shared" si="13"/>
        <v>00</v>
      </c>
      <c r="J112" s="30" t="str">
        <f t="shared" si="13"/>
        <v>00</v>
      </c>
      <c r="K112" s="30" t="str">
        <f t="shared" si="13"/>
        <v>00</v>
      </c>
      <c r="L112" s="30" t="str">
        <f t="shared" si="13"/>
        <v>00</v>
      </c>
      <c r="M112" s="30" t="str">
        <f t="shared" si="13"/>
        <v>00</v>
      </c>
      <c r="N112" s="30" t="str">
        <f t="shared" si="13"/>
        <v>00</v>
      </c>
      <c r="O112" s="30" t="str">
        <f t="shared" si="13"/>
        <v>00</v>
      </c>
      <c r="P112" s="30" t="str">
        <f t="shared" si="13"/>
        <v>00</v>
      </c>
      <c r="Q112" s="30" t="str">
        <f t="shared" si="13"/>
        <v>00</v>
      </c>
      <c r="R112" s="30"/>
      <c r="S112" s="30">
        <f t="shared" si="10"/>
        <v>16</v>
      </c>
    </row>
    <row r="113" spans="1:19" x14ac:dyDescent="0.45">
      <c r="A113" t="s">
        <v>44</v>
      </c>
      <c r="B113" s="30" t="str">
        <f t="shared" si="12"/>
        <v>00</v>
      </c>
      <c r="C113" s="30" t="str">
        <f t="shared" si="12"/>
        <v>00</v>
      </c>
      <c r="D113" s="30" t="str">
        <f t="shared" si="13"/>
        <v>00</v>
      </c>
      <c r="E113" s="30" t="str">
        <f t="shared" si="13"/>
        <v>00</v>
      </c>
      <c r="F113" s="30" t="str">
        <f t="shared" si="13"/>
        <v>00</v>
      </c>
      <c r="G113" s="30" t="str">
        <f t="shared" si="13"/>
        <v>00</v>
      </c>
      <c r="H113" s="30" t="str">
        <f t="shared" si="13"/>
        <v>00</v>
      </c>
      <c r="I113" s="30" t="str">
        <f t="shared" si="13"/>
        <v>00</v>
      </c>
      <c r="J113" s="30" t="str">
        <f t="shared" si="13"/>
        <v>00</v>
      </c>
      <c r="K113" s="30" t="str">
        <f t="shared" si="13"/>
        <v>00</v>
      </c>
      <c r="L113" s="30" t="str">
        <f t="shared" si="13"/>
        <v>00</v>
      </c>
      <c r="M113" s="30" t="str">
        <f t="shared" si="13"/>
        <v>00</v>
      </c>
      <c r="N113" s="30" t="str">
        <f t="shared" si="13"/>
        <v>00</v>
      </c>
      <c r="O113" s="30" t="str">
        <f t="shared" si="13"/>
        <v>00</v>
      </c>
      <c r="P113" s="30" t="str">
        <f t="shared" si="13"/>
        <v>00</v>
      </c>
      <c r="Q113" s="30" t="str">
        <f t="shared" si="13"/>
        <v>00</v>
      </c>
      <c r="R113" s="30"/>
      <c r="S113" s="30">
        <f t="shared" si="10"/>
        <v>16</v>
      </c>
    </row>
    <row r="114" spans="1:19" x14ac:dyDescent="0.45">
      <c r="A114" t="s">
        <v>133</v>
      </c>
      <c r="B114" s="30" t="str">
        <f t="shared" si="12"/>
        <v>00</v>
      </c>
      <c r="C114" s="30" t="str">
        <f t="shared" si="12"/>
        <v>00</v>
      </c>
      <c r="D114" s="30" t="str">
        <f t="shared" si="13"/>
        <v>00</v>
      </c>
      <c r="E114" s="30" t="str">
        <f t="shared" si="13"/>
        <v>00</v>
      </c>
      <c r="F114" s="30" t="str">
        <f t="shared" si="13"/>
        <v>02</v>
      </c>
      <c r="G114" s="30" t="str">
        <f t="shared" si="13"/>
        <v>00</v>
      </c>
      <c r="H114" s="30" t="str">
        <f t="shared" si="13"/>
        <v>00</v>
      </c>
      <c r="I114" s="30" t="str">
        <f t="shared" si="13"/>
        <v>00</v>
      </c>
      <c r="J114" s="30" t="str">
        <f t="shared" si="13"/>
        <v/>
      </c>
      <c r="K114" s="30" t="str">
        <f t="shared" si="13"/>
        <v/>
      </c>
      <c r="L114" s="30" t="str">
        <f t="shared" si="13"/>
        <v/>
      </c>
      <c r="M114" s="30" t="str">
        <f t="shared" si="13"/>
        <v/>
      </c>
      <c r="N114" s="30" t="str">
        <f t="shared" si="13"/>
        <v/>
      </c>
      <c r="O114" s="30" t="str">
        <f t="shared" si="13"/>
        <v/>
      </c>
      <c r="P114" s="30" t="str">
        <f t="shared" si="13"/>
        <v/>
      </c>
      <c r="Q114" s="30" t="str">
        <f t="shared" si="13"/>
        <v/>
      </c>
      <c r="R114" s="30"/>
      <c r="S114" s="30">
        <f t="shared" si="10"/>
        <v>8</v>
      </c>
    </row>
    <row r="115" spans="1:19" x14ac:dyDescent="0.45">
      <c r="A115" t="s">
        <v>134</v>
      </c>
      <c r="B115" s="30" t="str">
        <f t="shared" si="12"/>
        <v>00</v>
      </c>
      <c r="C115" s="30" t="str">
        <f t="shared" si="12"/>
        <v>51</v>
      </c>
      <c r="D115" s="30" t="str">
        <f t="shared" si="13"/>
        <v>55</v>
      </c>
      <c r="E115" s="30" t="str">
        <f t="shared" si="13"/>
        <v>06</v>
      </c>
      <c r="F115" s="30" t="str">
        <f t="shared" si="13"/>
        <v>00</v>
      </c>
      <c r="G115" s="30" t="str">
        <f t="shared" si="13"/>
        <v>55</v>
      </c>
      <c r="H115" s="30" t="str">
        <f t="shared" si="13"/>
        <v>7E</v>
      </c>
      <c r="I115" s="30" t="str">
        <f t="shared" si="13"/>
        <v>28</v>
      </c>
      <c r="J115" s="30" t="str">
        <f t="shared" si="13"/>
        <v>58</v>
      </c>
      <c r="K115" s="30" t="str">
        <f t="shared" si="13"/>
        <v>5E</v>
      </c>
      <c r="L115" s="30" t="str">
        <f t="shared" si="13"/>
        <v>7F</v>
      </c>
      <c r="M115" s="30" t="str">
        <f t="shared" si="13"/>
        <v>6C</v>
      </c>
      <c r="N115" s="30" t="str">
        <f t="shared" si="13"/>
        <v>3C</v>
      </c>
      <c r="O115" s="30" t="str">
        <f t="shared" si="13"/>
        <v>66</v>
      </c>
      <c r="P115" s="30" t="str">
        <f t="shared" si="13"/>
        <v>58</v>
      </c>
      <c r="Q115" s="30" t="str">
        <f t="shared" si="13"/>
        <v>30</v>
      </c>
      <c r="R115" s="30"/>
      <c r="S115" s="30">
        <f t="shared" si="10"/>
        <v>16</v>
      </c>
    </row>
    <row r="116" spans="1:19" x14ac:dyDescent="0.45">
      <c r="A116" t="s">
        <v>135</v>
      </c>
      <c r="B116" s="30" t="str">
        <f t="shared" si="12"/>
        <v>70</v>
      </c>
      <c r="C116" s="30" t="str">
        <f t="shared" si="12"/>
        <v>18</v>
      </c>
      <c r="D116" s="30" t="str">
        <f t="shared" si="13"/>
        <v>6E</v>
      </c>
      <c r="E116" s="30" t="str">
        <f t="shared" si="13"/>
        <v>6C</v>
      </c>
      <c r="F116" s="30" t="str">
        <f t="shared" si="13"/>
        <v>58</v>
      </c>
      <c r="G116" s="30" t="str">
        <f t="shared" si="13"/>
        <v>13</v>
      </c>
      <c r="H116" s="30" t="str">
        <f t="shared" si="13"/>
        <v>36</v>
      </c>
      <c r="I116" s="30" t="str">
        <f t="shared" si="13"/>
        <v>58</v>
      </c>
      <c r="J116" s="30" t="str">
        <f t="shared" si="13"/>
        <v>20</v>
      </c>
      <c r="K116" s="30" t="str">
        <f t="shared" si="13"/>
        <v>30</v>
      </c>
      <c r="L116" s="30" t="str">
        <f t="shared" si="13"/>
        <v>6C</v>
      </c>
      <c r="M116" s="30" t="str">
        <f t="shared" si="13"/>
        <v>04</v>
      </c>
      <c r="N116" s="30" t="str">
        <f t="shared" si="13"/>
        <v>50</v>
      </c>
      <c r="O116" s="30" t="str">
        <f t="shared" si="13"/>
        <v>04</v>
      </c>
      <c r="P116" s="30" t="str">
        <f t="shared" si="13"/>
        <v>00</v>
      </c>
      <c r="Q116" s="30" t="str">
        <f t="shared" si="13"/>
        <v>51</v>
      </c>
      <c r="R116" s="30"/>
      <c r="S116" s="30">
        <f t="shared" si="10"/>
        <v>16</v>
      </c>
    </row>
    <row r="117" spans="1:19" x14ac:dyDescent="0.45">
      <c r="A117" t="s">
        <v>136</v>
      </c>
      <c r="B117" s="30" t="str">
        <f t="shared" si="12"/>
        <v>51</v>
      </c>
      <c r="C117" s="30" t="str">
        <f t="shared" si="12"/>
        <v>51</v>
      </c>
      <c r="D117" s="30" t="str">
        <f t="shared" si="13"/>
        <v>51</v>
      </c>
      <c r="E117" s="30" t="str">
        <f t="shared" si="13"/>
        <v>01</v>
      </c>
      <c r="F117" s="30" t="str">
        <f t="shared" si="13"/>
        <v>28</v>
      </c>
      <c r="G117" s="30" t="str">
        <f t="shared" si="13"/>
        <v>6C</v>
      </c>
      <c r="H117" s="30" t="str">
        <f t="shared" si="13"/>
        <v>12</v>
      </c>
      <c r="I117" s="30" t="str">
        <f t="shared" si="13"/>
        <v>52</v>
      </c>
      <c r="J117" s="30" t="str">
        <f t="shared" si="13"/>
        <v>5E</v>
      </c>
      <c r="K117" s="30" t="str">
        <f t="shared" si="13"/>
        <v>70</v>
      </c>
      <c r="L117" s="30" t="str">
        <f t="shared" si="13"/>
        <v>18</v>
      </c>
      <c r="M117" s="30" t="str">
        <f t="shared" si="13"/>
        <v>78</v>
      </c>
      <c r="N117" s="30" t="str">
        <f t="shared" si="13"/>
        <v>4C</v>
      </c>
      <c r="O117" s="30" t="str">
        <f t="shared" si="13"/>
        <v>13</v>
      </c>
      <c r="P117" s="30" t="str">
        <f t="shared" si="13"/>
        <v>36</v>
      </c>
      <c r="Q117" s="30" t="str">
        <f t="shared" si="13"/>
        <v>58</v>
      </c>
      <c r="R117" s="30"/>
      <c r="S117" s="30">
        <f t="shared" si="10"/>
        <v>16</v>
      </c>
    </row>
    <row r="118" spans="1:19" x14ac:dyDescent="0.45">
      <c r="A118" t="s">
        <v>137</v>
      </c>
      <c r="B118" s="30" t="str">
        <f t="shared" si="12"/>
        <v>10</v>
      </c>
      <c r="C118" s="30" t="str">
        <f t="shared" si="12"/>
        <v>58</v>
      </c>
      <c r="D118" s="30" t="str">
        <f t="shared" si="13"/>
        <v>36</v>
      </c>
      <c r="E118" s="30" t="str">
        <f t="shared" si="13"/>
        <v>58</v>
      </c>
      <c r="F118" s="30" t="str">
        <f t="shared" si="13"/>
        <v>6E</v>
      </c>
      <c r="G118" s="30" t="str">
        <f t="shared" si="13"/>
        <v>30</v>
      </c>
      <c r="H118" s="30" t="str">
        <f t="shared" si="13"/>
        <v>6C</v>
      </c>
      <c r="I118" s="30" t="str">
        <f t="shared" si="13"/>
        <v>01</v>
      </c>
      <c r="J118" s="30" t="str">
        <f t="shared" si="13"/>
        <v>01</v>
      </c>
      <c r="K118" s="30" t="str">
        <f t="shared" si="13"/>
        <v>00</v>
      </c>
      <c r="L118" s="30" t="str">
        <f t="shared" si="13"/>
        <v>28</v>
      </c>
      <c r="M118" s="30" t="str">
        <f t="shared" si="13"/>
        <v>22</v>
      </c>
      <c r="N118" s="30" t="str">
        <f t="shared" si="13"/>
        <v>20</v>
      </c>
      <c r="O118" s="30" t="str">
        <f t="shared" si="13"/>
        <v>02</v>
      </c>
      <c r="P118" s="30" t="str">
        <f t="shared" si="13"/>
        <v>00</v>
      </c>
      <c r="Q118" s="30" t="str">
        <f t="shared" si="13"/>
        <v>00</v>
      </c>
      <c r="R118" s="30"/>
      <c r="S118" s="30">
        <f t="shared" si="10"/>
        <v>16</v>
      </c>
    </row>
    <row r="119" spans="1:19" x14ac:dyDescent="0.45">
      <c r="A119" t="s">
        <v>138</v>
      </c>
      <c r="B119" s="30" t="str">
        <f t="shared" si="12"/>
        <v>20</v>
      </c>
      <c r="C119" s="30" t="str">
        <f t="shared" si="12"/>
        <v>22</v>
      </c>
      <c r="D119" s="30" t="str">
        <f t="shared" si="13"/>
        <v>08</v>
      </c>
      <c r="E119" s="30" t="str">
        <f t="shared" si="13"/>
        <v>02</v>
      </c>
      <c r="F119" s="30" t="str">
        <f t="shared" si="13"/>
        <v>20</v>
      </c>
      <c r="G119" s="30" t="str">
        <f t="shared" si="13"/>
        <v>41</v>
      </c>
      <c r="H119" s="30" t="str">
        <f t="shared" si="13"/>
        <v>41</v>
      </c>
      <c r="I119" s="30" t="str">
        <f t="shared" si="13"/>
        <v>05</v>
      </c>
      <c r="J119" s="30" t="str">
        <f t="shared" si="13"/>
        <v>45</v>
      </c>
      <c r="K119" s="30" t="str">
        <f t="shared" si="13"/>
        <v>01</v>
      </c>
      <c r="L119" s="30" t="str">
        <f t="shared" ref="D119:Q156" si="14">MID($A119,13+L$2*3,2)</f>
        <v>01</v>
      </c>
      <c r="M119" s="30" t="str">
        <f t="shared" si="14"/>
        <v>51</v>
      </c>
      <c r="N119" s="30" t="str">
        <f t="shared" si="14"/>
        <v>45</v>
      </c>
      <c r="O119" s="30" t="str">
        <f t="shared" si="14"/>
        <v>14</v>
      </c>
      <c r="P119" s="30" t="str">
        <f t="shared" si="14"/>
        <v>50</v>
      </c>
      <c r="Q119" s="30" t="str">
        <f t="shared" si="14"/>
        <v>45</v>
      </c>
      <c r="R119" s="30"/>
      <c r="S119" s="30">
        <f t="shared" si="10"/>
        <v>16</v>
      </c>
    </row>
    <row r="120" spans="1:19" x14ac:dyDescent="0.45">
      <c r="A120" t="s">
        <v>139</v>
      </c>
      <c r="B120" s="30" t="str">
        <f t="shared" si="12"/>
        <v>05</v>
      </c>
      <c r="C120" s="30" t="str">
        <f t="shared" si="12"/>
        <v>41</v>
      </c>
      <c r="D120" s="30" t="str">
        <f t="shared" si="14"/>
        <v>51</v>
      </c>
      <c r="E120" s="30" t="str">
        <f t="shared" si="14"/>
        <v>41</v>
      </c>
      <c r="F120" s="30" t="str">
        <f t="shared" si="14"/>
        <v>05</v>
      </c>
      <c r="G120" s="30" t="str">
        <f t="shared" si="14"/>
        <v>41</v>
      </c>
      <c r="H120" s="30" t="str">
        <f t="shared" si="14"/>
        <v>15</v>
      </c>
      <c r="I120" s="30" t="str">
        <f t="shared" si="14"/>
        <v>50</v>
      </c>
      <c r="J120" s="30" t="str">
        <f t="shared" si="14"/>
        <v>14</v>
      </c>
      <c r="K120" s="30" t="str">
        <f t="shared" si="14"/>
        <v>45</v>
      </c>
      <c r="L120" s="30" t="str">
        <f t="shared" si="14"/>
        <v>55</v>
      </c>
      <c r="M120" s="30" t="str">
        <f t="shared" si="14"/>
        <v>55</v>
      </c>
      <c r="N120" s="30" t="str">
        <f t="shared" si="14"/>
        <v>41</v>
      </c>
      <c r="O120" s="30" t="str">
        <f t="shared" si="14"/>
        <v>14</v>
      </c>
      <c r="P120" s="30" t="str">
        <f t="shared" si="14"/>
        <v>01</v>
      </c>
      <c r="Q120" s="30" t="str">
        <f t="shared" si="14"/>
        <v>14</v>
      </c>
      <c r="R120" s="30"/>
      <c r="S120" s="30">
        <f t="shared" si="10"/>
        <v>16</v>
      </c>
    </row>
    <row r="121" spans="1:19" x14ac:dyDescent="0.45">
      <c r="A121" t="s">
        <v>140</v>
      </c>
      <c r="B121" s="30" t="str">
        <f t="shared" si="12"/>
        <v>14</v>
      </c>
      <c r="C121" s="30" t="str">
        <f t="shared" si="12"/>
        <v>05</v>
      </c>
      <c r="D121" s="30" t="str">
        <f t="shared" si="14"/>
        <v>50</v>
      </c>
      <c r="E121" s="30" t="str">
        <f t="shared" si="14"/>
        <v>04</v>
      </c>
      <c r="F121" s="30" t="str">
        <f t="shared" si="14"/>
        <v>55</v>
      </c>
      <c r="G121" s="30" t="str">
        <f t="shared" si="14"/>
        <v>14</v>
      </c>
      <c r="H121" s="30" t="str">
        <f t="shared" si="14"/>
        <v>00</v>
      </c>
      <c r="I121" s="30" t="str">
        <f t="shared" si="14"/>
        <v>01</v>
      </c>
      <c r="J121" s="30" t="str">
        <f t="shared" si="14"/>
        <v/>
      </c>
      <c r="K121" s="30" t="str">
        <f t="shared" si="14"/>
        <v/>
      </c>
      <c r="L121" s="30" t="str">
        <f t="shared" si="14"/>
        <v/>
      </c>
      <c r="M121" s="30" t="str">
        <f t="shared" si="14"/>
        <v/>
      </c>
      <c r="N121" s="30" t="str">
        <f t="shared" si="14"/>
        <v/>
      </c>
      <c r="O121" s="30" t="str">
        <f t="shared" si="14"/>
        <v/>
      </c>
      <c r="P121" s="30" t="str">
        <f t="shared" si="14"/>
        <v/>
      </c>
      <c r="Q121" s="30" t="str">
        <f t="shared" si="14"/>
        <v/>
      </c>
      <c r="R121" s="30"/>
      <c r="S121" s="30">
        <f t="shared" si="10"/>
        <v>8</v>
      </c>
    </row>
    <row r="122" spans="1:19" x14ac:dyDescent="0.45">
      <c r="A122" t="s">
        <v>141</v>
      </c>
      <c r="B122" s="30" t="str">
        <f t="shared" si="12"/>
        <v>00</v>
      </c>
      <c r="C122" s="30" t="str">
        <f t="shared" si="12"/>
        <v>02</v>
      </c>
      <c r="D122" s="30" t="str">
        <f t="shared" si="14"/>
        <v>02</v>
      </c>
      <c r="E122" s="30" t="str">
        <f t="shared" si="14"/>
        <v>03</v>
      </c>
      <c r="F122" s="30" t="str">
        <f t="shared" si="14"/>
        <v>00</v>
      </c>
      <c r="G122" s="30" t="str">
        <f t="shared" si="14"/>
        <v>02</v>
      </c>
      <c r="H122" s="30" t="str">
        <f t="shared" si="14"/>
        <v>03</v>
      </c>
      <c r="I122" s="30" t="str">
        <f t="shared" si="14"/>
        <v>01</v>
      </c>
      <c r="J122" s="30" t="str">
        <f t="shared" si="14"/>
        <v>07</v>
      </c>
      <c r="K122" s="30" t="str">
        <f t="shared" si="14"/>
        <v>01</v>
      </c>
      <c r="L122" s="30" t="str">
        <f t="shared" si="14"/>
        <v>07</v>
      </c>
      <c r="M122" s="30" t="str">
        <f t="shared" si="14"/>
        <v>03</v>
      </c>
      <c r="N122" s="30" t="str">
        <f t="shared" si="14"/>
        <v>00</v>
      </c>
      <c r="O122" s="30" t="str">
        <f t="shared" si="14"/>
        <v>00</v>
      </c>
      <c r="P122" s="30" t="str">
        <f t="shared" si="14"/>
        <v>03</v>
      </c>
      <c r="Q122" s="30" t="str">
        <f t="shared" si="14"/>
        <v>03</v>
      </c>
      <c r="R122" s="30"/>
      <c r="S122" s="30">
        <f t="shared" si="10"/>
        <v>16</v>
      </c>
    </row>
    <row r="123" spans="1:19" x14ac:dyDescent="0.45">
      <c r="A123" t="s">
        <v>142</v>
      </c>
      <c r="B123" s="30" t="str">
        <f t="shared" si="12"/>
        <v>01</v>
      </c>
      <c r="C123" s="30" t="str">
        <f t="shared" si="12"/>
        <v>03</v>
      </c>
      <c r="D123" s="30" t="str">
        <f t="shared" si="14"/>
        <v>00</v>
      </c>
      <c r="E123" s="30" t="str">
        <f t="shared" si="14"/>
        <v>00</v>
      </c>
      <c r="F123" s="30" t="str">
        <f t="shared" si="14"/>
        <v>01</v>
      </c>
      <c r="G123" s="30" t="str">
        <f t="shared" si="14"/>
        <v>00</v>
      </c>
      <c r="H123" s="30" t="str">
        <f t="shared" si="14"/>
        <v>00</v>
      </c>
      <c r="I123" s="30" t="str">
        <f t="shared" si="14"/>
        <v>01</v>
      </c>
      <c r="J123" s="30" t="str">
        <f t="shared" si="14"/>
        <v>06</v>
      </c>
      <c r="K123" s="30" t="str">
        <f t="shared" si="14"/>
        <v>03</v>
      </c>
      <c r="L123" s="30" t="str">
        <f t="shared" si="14"/>
        <v>00</v>
      </c>
      <c r="M123" s="30" t="str">
        <f t="shared" si="14"/>
        <v>04</v>
      </c>
      <c r="N123" s="30" t="str">
        <f t="shared" si="14"/>
        <v>04</v>
      </c>
      <c r="O123" s="30" t="str">
        <f t="shared" si="14"/>
        <v>00</v>
      </c>
      <c r="P123" s="30" t="str">
        <f t="shared" si="14"/>
        <v>00</v>
      </c>
      <c r="Q123" s="30" t="str">
        <f t="shared" si="14"/>
        <v>02</v>
      </c>
      <c r="R123" s="30"/>
      <c r="S123" s="30">
        <f t="shared" si="10"/>
        <v>16</v>
      </c>
    </row>
    <row r="124" spans="1:19" x14ac:dyDescent="0.45">
      <c r="A124" t="s">
        <v>143</v>
      </c>
      <c r="B124" s="30" t="str">
        <f t="shared" si="12"/>
        <v>02</v>
      </c>
      <c r="C124" s="30" t="str">
        <f t="shared" si="12"/>
        <v>02</v>
      </c>
      <c r="D124" s="30" t="str">
        <f t="shared" si="14"/>
        <v>02</v>
      </c>
      <c r="E124" s="30" t="str">
        <f t="shared" si="14"/>
        <v>00</v>
      </c>
      <c r="F124" s="30" t="str">
        <f t="shared" si="14"/>
        <v>00</v>
      </c>
      <c r="G124" s="30" t="str">
        <f t="shared" si="14"/>
        <v>00</v>
      </c>
      <c r="H124" s="30" t="str">
        <f t="shared" si="14"/>
        <v>00</v>
      </c>
      <c r="I124" s="30" t="str">
        <f t="shared" si="14"/>
        <v>00</v>
      </c>
      <c r="J124" s="30" t="str">
        <f t="shared" si="14"/>
        <v>01</v>
      </c>
      <c r="K124" s="30" t="str">
        <f t="shared" si="14"/>
        <v>01</v>
      </c>
      <c r="L124" s="30" t="str">
        <f t="shared" si="14"/>
        <v>03</v>
      </c>
      <c r="M124" s="30" t="str">
        <f t="shared" si="14"/>
        <v>00</v>
      </c>
      <c r="N124" s="30" t="str">
        <f t="shared" si="14"/>
        <v>01</v>
      </c>
      <c r="O124" s="30" t="str">
        <f t="shared" si="14"/>
        <v>00</v>
      </c>
      <c r="P124" s="30" t="str">
        <f t="shared" si="14"/>
        <v>00</v>
      </c>
      <c r="Q124" s="30" t="str">
        <f t="shared" si="14"/>
        <v>01</v>
      </c>
      <c r="R124" s="30"/>
      <c r="S124" s="30">
        <f t="shared" si="10"/>
        <v>16</v>
      </c>
    </row>
    <row r="125" spans="1:19" x14ac:dyDescent="0.45">
      <c r="A125" t="s">
        <v>144</v>
      </c>
      <c r="B125" s="30" t="str">
        <f t="shared" si="12"/>
        <v>03</v>
      </c>
      <c r="C125" s="30" t="str">
        <f t="shared" si="12"/>
        <v>01</v>
      </c>
      <c r="D125" s="30" t="str">
        <f t="shared" si="14"/>
        <v>00</v>
      </c>
      <c r="E125" s="30" t="str">
        <f t="shared" si="14"/>
        <v>03</v>
      </c>
      <c r="F125" s="30" t="str">
        <f t="shared" si="14"/>
        <v>00</v>
      </c>
      <c r="G125" s="30" t="str">
        <f t="shared" si="14"/>
        <v>03</v>
      </c>
      <c r="H125" s="30" t="str">
        <f t="shared" si="14"/>
        <v>00</v>
      </c>
      <c r="I125" s="30" t="str">
        <f t="shared" si="14"/>
        <v>02</v>
      </c>
      <c r="J125" s="30" t="str">
        <f t="shared" si="14"/>
        <v>02</v>
      </c>
      <c r="K125" s="30" t="str">
        <f t="shared" si="14"/>
        <v>00</v>
      </c>
      <c r="L125" s="30" t="str">
        <f t="shared" si="14"/>
        <v>00</v>
      </c>
      <c r="M125" s="30" t="str">
        <f t="shared" si="14"/>
        <v>01</v>
      </c>
      <c r="N125" s="30" t="str">
        <f t="shared" si="14"/>
        <v>00</v>
      </c>
      <c r="O125" s="30" t="str">
        <f t="shared" si="14"/>
        <v>00</v>
      </c>
      <c r="P125" s="30" t="str">
        <f t="shared" si="14"/>
        <v>01</v>
      </c>
      <c r="Q125" s="30" t="str">
        <f t="shared" si="14"/>
        <v>01</v>
      </c>
      <c r="R125" s="30"/>
      <c r="S125" s="30">
        <f t="shared" si="10"/>
        <v>16</v>
      </c>
    </row>
    <row r="126" spans="1:19" x14ac:dyDescent="0.45">
      <c r="A126" t="s">
        <v>132</v>
      </c>
      <c r="B126" s="30" t="str">
        <f t="shared" si="12"/>
        <v>01</v>
      </c>
      <c r="C126" s="30" t="str">
        <f t="shared" si="12"/>
        <v>01</v>
      </c>
      <c r="D126" s="30" t="str">
        <f t="shared" si="14"/>
        <v>00</v>
      </c>
      <c r="E126" s="30" t="str">
        <f t="shared" si="14"/>
        <v>01</v>
      </c>
      <c r="F126" s="30" t="str">
        <f t="shared" si="14"/>
        <v>01</v>
      </c>
      <c r="G126" s="30" t="str">
        <f t="shared" si="14"/>
        <v>00</v>
      </c>
      <c r="H126" s="30" t="str">
        <f t="shared" si="14"/>
        <v>00</v>
      </c>
      <c r="I126" s="30" t="str">
        <f t="shared" si="14"/>
        <v>00</v>
      </c>
      <c r="J126" s="30" t="str">
        <f t="shared" si="14"/>
        <v>00</v>
      </c>
      <c r="K126" s="30" t="str">
        <f t="shared" si="14"/>
        <v>00</v>
      </c>
      <c r="L126" s="30" t="str">
        <f t="shared" si="14"/>
        <v>00</v>
      </c>
      <c r="M126" s="30" t="str">
        <f t="shared" si="14"/>
        <v>00</v>
      </c>
      <c r="N126" s="30" t="str">
        <f t="shared" si="14"/>
        <v>00</v>
      </c>
      <c r="O126" s="30" t="str">
        <f t="shared" si="14"/>
        <v>00</v>
      </c>
      <c r="P126" s="30" t="str">
        <f t="shared" si="14"/>
        <v>00</v>
      </c>
      <c r="Q126" s="30" t="str">
        <f t="shared" si="14"/>
        <v>00</v>
      </c>
      <c r="R126" s="30"/>
      <c r="S126" s="30">
        <f t="shared" si="10"/>
        <v>16</v>
      </c>
    </row>
    <row r="127" spans="1:19" x14ac:dyDescent="0.45">
      <c r="A127" t="s">
        <v>44</v>
      </c>
      <c r="B127" s="30" t="str">
        <f t="shared" si="12"/>
        <v>00</v>
      </c>
      <c r="C127" s="30" t="str">
        <f t="shared" si="12"/>
        <v>00</v>
      </c>
      <c r="D127" s="30" t="str">
        <f t="shared" si="14"/>
        <v>00</v>
      </c>
      <c r="E127" s="30" t="str">
        <f t="shared" si="14"/>
        <v>00</v>
      </c>
      <c r="F127" s="30" t="str">
        <f t="shared" si="14"/>
        <v>00</v>
      </c>
      <c r="G127" s="30" t="str">
        <f t="shared" si="14"/>
        <v>00</v>
      </c>
      <c r="H127" s="30" t="str">
        <f t="shared" si="14"/>
        <v>00</v>
      </c>
      <c r="I127" s="30" t="str">
        <f t="shared" si="14"/>
        <v>00</v>
      </c>
      <c r="J127" s="30" t="str">
        <f t="shared" si="14"/>
        <v>00</v>
      </c>
      <c r="K127" s="30" t="str">
        <f t="shared" si="14"/>
        <v>00</v>
      </c>
      <c r="L127" s="30" t="str">
        <f t="shared" si="14"/>
        <v>00</v>
      </c>
      <c r="M127" s="30" t="str">
        <f t="shared" si="14"/>
        <v>00</v>
      </c>
      <c r="N127" s="30" t="str">
        <f t="shared" si="14"/>
        <v>00</v>
      </c>
      <c r="O127" s="30" t="str">
        <f t="shared" si="14"/>
        <v>00</v>
      </c>
      <c r="P127" s="30" t="str">
        <f t="shared" si="14"/>
        <v>00</v>
      </c>
      <c r="Q127" s="30" t="str">
        <f t="shared" si="14"/>
        <v>00</v>
      </c>
      <c r="R127" s="30"/>
      <c r="S127" s="30">
        <f t="shared" si="10"/>
        <v>16</v>
      </c>
    </row>
    <row r="128" spans="1:19" x14ac:dyDescent="0.45">
      <c r="A128" t="s">
        <v>145</v>
      </c>
      <c r="B128" s="30" t="str">
        <f t="shared" si="12"/>
        <v>00</v>
      </c>
      <c r="C128" s="30" t="str">
        <f t="shared" si="12"/>
        <v>00</v>
      </c>
      <c r="D128" s="30" t="str">
        <f t="shared" si="14"/>
        <v>00</v>
      </c>
      <c r="E128" s="30" t="str">
        <f t="shared" si="14"/>
        <v>00</v>
      </c>
      <c r="F128" s="30" t="str">
        <f t="shared" si="14"/>
        <v>02</v>
      </c>
      <c r="G128" s="30" t="str">
        <f t="shared" si="14"/>
        <v>00</v>
      </c>
      <c r="H128" s="30" t="str">
        <f t="shared" si="14"/>
        <v>41</v>
      </c>
      <c r="I128" s="30" t="str">
        <f t="shared" si="14"/>
        <v>45</v>
      </c>
      <c r="J128" s="30" t="str">
        <f t="shared" si="14"/>
        <v/>
      </c>
      <c r="K128" s="30" t="str">
        <f t="shared" si="14"/>
        <v/>
      </c>
      <c r="L128" s="30" t="str">
        <f t="shared" si="14"/>
        <v/>
      </c>
      <c r="M128" s="30" t="str">
        <f t="shared" si="14"/>
        <v/>
      </c>
      <c r="N128" s="30" t="str">
        <f t="shared" si="14"/>
        <v/>
      </c>
      <c r="O128" s="30" t="str">
        <f t="shared" si="14"/>
        <v/>
      </c>
      <c r="P128" s="30" t="str">
        <f t="shared" si="14"/>
        <v/>
      </c>
      <c r="Q128" s="30" t="str">
        <f t="shared" si="14"/>
        <v/>
      </c>
      <c r="R128" s="30"/>
      <c r="S128" s="30">
        <f t="shared" si="10"/>
        <v>8</v>
      </c>
    </row>
    <row r="129" spans="1:19" x14ac:dyDescent="0.45">
      <c r="A129" t="s">
        <v>146</v>
      </c>
      <c r="B129" s="30" t="str">
        <f t="shared" ref="B129:Q156" si="15">MID($A129,13+B$2*3,2)</f>
        <v>00</v>
      </c>
      <c r="C129" s="30" t="str">
        <f t="shared" si="15"/>
        <v>51</v>
      </c>
      <c r="D129" s="30" t="str">
        <f t="shared" si="14"/>
        <v>55</v>
      </c>
      <c r="E129" s="30" t="str">
        <f t="shared" si="14"/>
        <v>06</v>
      </c>
      <c r="F129" s="30" t="str">
        <f t="shared" si="14"/>
        <v>00</v>
      </c>
      <c r="G129" s="30" t="str">
        <f t="shared" si="14"/>
        <v>55</v>
      </c>
      <c r="H129" s="30" t="str">
        <f t="shared" si="14"/>
        <v>06</v>
      </c>
      <c r="I129" s="30" t="str">
        <f t="shared" si="14"/>
        <v>78</v>
      </c>
      <c r="J129" s="30" t="str">
        <f t="shared" si="14"/>
        <v>18</v>
      </c>
      <c r="K129" s="30" t="str">
        <f t="shared" si="14"/>
        <v>40</v>
      </c>
      <c r="L129" s="30" t="str">
        <f t="shared" si="14"/>
        <v>7F</v>
      </c>
      <c r="M129" s="30" t="str">
        <f t="shared" si="14"/>
        <v>0C</v>
      </c>
      <c r="N129" s="30" t="str">
        <f t="shared" si="14"/>
        <v>70</v>
      </c>
      <c r="O129" s="30" t="str">
        <f t="shared" si="14"/>
        <v>46</v>
      </c>
      <c r="P129" s="30" t="str">
        <f t="shared" si="14"/>
        <v>18</v>
      </c>
      <c r="Q129" s="30" t="str">
        <f t="shared" si="14"/>
        <v>30</v>
      </c>
      <c r="R129" s="30"/>
      <c r="S129" s="30">
        <f t="shared" si="10"/>
        <v>16</v>
      </c>
    </row>
    <row r="130" spans="1:19" x14ac:dyDescent="0.45">
      <c r="A130" t="s">
        <v>147</v>
      </c>
      <c r="B130" s="30" t="str">
        <f t="shared" si="15"/>
        <v>38</v>
      </c>
      <c r="C130" s="30" t="str">
        <f t="shared" si="15"/>
        <v>0C</v>
      </c>
      <c r="D130" s="30" t="str">
        <f t="shared" si="14"/>
        <v>60</v>
      </c>
      <c r="E130" s="30" t="str">
        <f t="shared" si="14"/>
        <v>6C</v>
      </c>
      <c r="F130" s="30" t="str">
        <f t="shared" si="14"/>
        <v>58</v>
      </c>
      <c r="G130" s="30" t="str">
        <f t="shared" si="14"/>
        <v>1B</v>
      </c>
      <c r="H130" s="30" t="str">
        <f t="shared" si="14"/>
        <v>36</v>
      </c>
      <c r="I130" s="30" t="str">
        <f t="shared" si="14"/>
        <v>58</v>
      </c>
      <c r="J130" s="30" t="str">
        <f t="shared" si="14"/>
        <v>60</v>
      </c>
      <c r="K130" s="30" t="str">
        <f t="shared" si="14"/>
        <v>30</v>
      </c>
      <c r="L130" s="30" t="str">
        <f t="shared" si="14"/>
        <v>6C</v>
      </c>
      <c r="M130" s="30" t="str">
        <f t="shared" si="14"/>
        <v>10</v>
      </c>
      <c r="N130" s="30" t="str">
        <f t="shared" si="14"/>
        <v>04</v>
      </c>
      <c r="O130" s="30" t="str">
        <f t="shared" si="14"/>
        <v>40</v>
      </c>
      <c r="P130" s="30" t="str">
        <f t="shared" si="14"/>
        <v>00</v>
      </c>
      <c r="Q130" s="30" t="str">
        <f t="shared" si="14"/>
        <v>51</v>
      </c>
      <c r="R130" s="30"/>
      <c r="S130" s="30">
        <f t="shared" si="10"/>
        <v>16</v>
      </c>
    </row>
    <row r="131" spans="1:19" x14ac:dyDescent="0.45">
      <c r="A131" t="s">
        <v>148</v>
      </c>
      <c r="B131" s="30" t="str">
        <f t="shared" si="15"/>
        <v>51</v>
      </c>
      <c r="C131" s="30" t="str">
        <f t="shared" si="15"/>
        <v>51</v>
      </c>
      <c r="D131" s="30" t="str">
        <f t="shared" si="14"/>
        <v>51</v>
      </c>
      <c r="E131" s="30" t="str">
        <f t="shared" si="14"/>
        <v>51</v>
      </c>
      <c r="F131" s="30" t="str">
        <f t="shared" si="14"/>
        <v>28</v>
      </c>
      <c r="G131" s="30" t="str">
        <f t="shared" si="14"/>
        <v>6C</v>
      </c>
      <c r="H131" s="30" t="str">
        <f t="shared" si="14"/>
        <v>0A</v>
      </c>
      <c r="I131" s="30" t="str">
        <f t="shared" si="14"/>
        <v>08</v>
      </c>
      <c r="J131" s="30" t="str">
        <f t="shared" si="14"/>
        <v>40</v>
      </c>
      <c r="K131" s="30" t="str">
        <f t="shared" si="14"/>
        <v>38</v>
      </c>
      <c r="L131" s="30" t="str">
        <f t="shared" si="14"/>
        <v>0C</v>
      </c>
      <c r="M131" s="30" t="str">
        <f t="shared" si="14"/>
        <v>60</v>
      </c>
      <c r="N131" s="30" t="str">
        <f t="shared" si="14"/>
        <v>0C</v>
      </c>
      <c r="O131" s="30" t="str">
        <f t="shared" si="14"/>
        <v>1B</v>
      </c>
      <c r="P131" s="30" t="str">
        <f t="shared" si="14"/>
        <v>36</v>
      </c>
      <c r="Q131" s="30" t="str">
        <f t="shared" si="14"/>
        <v>58</v>
      </c>
      <c r="R131" s="30"/>
      <c r="S131" s="30">
        <f t="shared" si="10"/>
        <v>16</v>
      </c>
    </row>
    <row r="132" spans="1:19" x14ac:dyDescent="0.45">
      <c r="A132" t="s">
        <v>149</v>
      </c>
      <c r="B132" s="30" t="str">
        <f t="shared" si="15"/>
        <v>30</v>
      </c>
      <c r="C132" s="30" t="str">
        <f t="shared" si="15"/>
        <v>58</v>
      </c>
      <c r="D132" s="30" t="str">
        <f t="shared" si="14"/>
        <v>36</v>
      </c>
      <c r="E132" s="30" t="str">
        <f t="shared" si="14"/>
        <v>18</v>
      </c>
      <c r="F132" s="30" t="str">
        <f t="shared" si="14"/>
        <v>60</v>
      </c>
      <c r="G132" s="30" t="str">
        <f t="shared" si="14"/>
        <v>30</v>
      </c>
      <c r="H132" s="30" t="str">
        <f t="shared" si="14"/>
        <v>6C</v>
      </c>
      <c r="I132" s="30" t="str">
        <f t="shared" si="14"/>
        <v>01</v>
      </c>
      <c r="J132" s="30" t="str">
        <f t="shared" si="14"/>
        <v>01</v>
      </c>
      <c r="K132" s="30" t="str">
        <f t="shared" si="14"/>
        <v>28</v>
      </c>
      <c r="L132" s="30" t="str">
        <f t="shared" si="14"/>
        <v>2A</v>
      </c>
      <c r="M132" s="30" t="str">
        <f t="shared" si="14"/>
        <v>22</v>
      </c>
      <c r="N132" s="30" t="str">
        <f t="shared" si="14"/>
        <v>28</v>
      </c>
      <c r="O132" s="30" t="str">
        <f t="shared" si="14"/>
        <v>22</v>
      </c>
      <c r="P132" s="30" t="str">
        <f t="shared" si="14"/>
        <v>02</v>
      </c>
      <c r="Q132" s="30" t="str">
        <f t="shared" si="14"/>
        <v>00</v>
      </c>
      <c r="R132" s="30"/>
      <c r="S132" s="30">
        <f t="shared" ref="S132:S156" si="16">LEN(_xlfn.CONCAT(B132:Q132))/2</f>
        <v>16</v>
      </c>
    </row>
    <row r="133" spans="1:19" x14ac:dyDescent="0.45">
      <c r="A133" t="s">
        <v>150</v>
      </c>
      <c r="B133" s="30" t="str">
        <f t="shared" si="15"/>
        <v>20</v>
      </c>
      <c r="C133" s="30" t="str">
        <f t="shared" si="15"/>
        <v>22</v>
      </c>
      <c r="D133" s="30" t="str">
        <f t="shared" si="14"/>
        <v>08</v>
      </c>
      <c r="E133" s="30" t="str">
        <f t="shared" si="14"/>
        <v>02</v>
      </c>
      <c r="F133" s="30" t="str">
        <f t="shared" si="14"/>
        <v>20</v>
      </c>
      <c r="G133" s="30" t="str">
        <f t="shared" si="14"/>
        <v>51</v>
      </c>
      <c r="H133" s="30" t="str">
        <f t="shared" si="14"/>
        <v>41</v>
      </c>
      <c r="I133" s="30" t="str">
        <f t="shared" si="14"/>
        <v>45</v>
      </c>
      <c r="J133" s="30" t="str">
        <f t="shared" si="14"/>
        <v>45</v>
      </c>
      <c r="K133" s="30" t="str">
        <f t="shared" si="14"/>
        <v>01</v>
      </c>
      <c r="L133" s="30" t="str">
        <f t="shared" si="14"/>
        <v>01</v>
      </c>
      <c r="M133" s="30" t="str">
        <f t="shared" si="14"/>
        <v>41</v>
      </c>
      <c r="N133" s="30" t="str">
        <f t="shared" si="14"/>
        <v>45</v>
      </c>
      <c r="O133" s="30" t="str">
        <f t="shared" si="14"/>
        <v>14</v>
      </c>
      <c r="P133" s="30" t="str">
        <f t="shared" si="14"/>
        <v>51</v>
      </c>
      <c r="Q133" s="30" t="str">
        <f t="shared" si="14"/>
        <v>45</v>
      </c>
      <c r="R133" s="30"/>
      <c r="S133" s="30">
        <f t="shared" si="16"/>
        <v>16</v>
      </c>
    </row>
    <row r="134" spans="1:19" x14ac:dyDescent="0.45">
      <c r="A134" t="s">
        <v>151</v>
      </c>
      <c r="B134" s="30" t="str">
        <f t="shared" si="15"/>
        <v>05</v>
      </c>
      <c r="C134" s="30" t="str">
        <f t="shared" si="15"/>
        <v>41</v>
      </c>
      <c r="D134" s="30" t="str">
        <f t="shared" si="14"/>
        <v>41</v>
      </c>
      <c r="E134" s="30" t="str">
        <f t="shared" si="14"/>
        <v>41</v>
      </c>
      <c r="F134" s="30" t="str">
        <f t="shared" si="14"/>
        <v>05</v>
      </c>
      <c r="G134" s="30" t="str">
        <f t="shared" si="14"/>
        <v>11</v>
      </c>
      <c r="H134" s="30" t="str">
        <f t="shared" si="14"/>
        <v>45</v>
      </c>
      <c r="I134" s="30" t="str">
        <f t="shared" si="14"/>
        <v>51</v>
      </c>
      <c r="J134" s="30" t="str">
        <f t="shared" si="14"/>
        <v>14</v>
      </c>
      <c r="K134" s="30" t="str">
        <f t="shared" si="14"/>
        <v>45</v>
      </c>
      <c r="L134" s="30" t="str">
        <f t="shared" si="14"/>
        <v>14</v>
      </c>
      <c r="M134" s="30" t="str">
        <f t="shared" si="14"/>
        <v>45</v>
      </c>
      <c r="N134" s="30" t="str">
        <f t="shared" si="14"/>
        <v>41</v>
      </c>
      <c r="O134" s="30" t="str">
        <f t="shared" si="14"/>
        <v>14</v>
      </c>
      <c r="P134" s="30" t="str">
        <f t="shared" si="14"/>
        <v>51</v>
      </c>
      <c r="Q134" s="30" t="str">
        <f t="shared" si="14"/>
        <v>05</v>
      </c>
      <c r="R134" s="30"/>
      <c r="S134" s="30">
        <f t="shared" si="16"/>
        <v>16</v>
      </c>
    </row>
    <row r="135" spans="1:19" x14ac:dyDescent="0.45">
      <c r="A135" t="s">
        <v>152</v>
      </c>
      <c r="B135" s="30" t="str">
        <f t="shared" si="15"/>
        <v>14</v>
      </c>
      <c r="C135" s="30" t="str">
        <f t="shared" si="15"/>
        <v>14</v>
      </c>
      <c r="D135" s="30" t="str">
        <f t="shared" si="14"/>
        <v>14</v>
      </c>
      <c r="E135" s="30" t="str">
        <f t="shared" si="14"/>
        <v>01</v>
      </c>
      <c r="F135" s="30" t="str">
        <f t="shared" si="14"/>
        <v>00</v>
      </c>
      <c r="G135" s="30" t="str">
        <f t="shared" si="14"/>
        <v>50</v>
      </c>
      <c r="H135" s="30" t="str">
        <f t="shared" si="14"/>
        <v>00</v>
      </c>
      <c r="I135" s="30" t="str">
        <f t="shared" si="14"/>
        <v>00</v>
      </c>
      <c r="J135" s="30" t="str">
        <f t="shared" si="14"/>
        <v/>
      </c>
      <c r="K135" s="30" t="str">
        <f t="shared" si="14"/>
        <v/>
      </c>
      <c r="L135" s="30" t="str">
        <f t="shared" si="14"/>
        <v/>
      </c>
      <c r="M135" s="30" t="str">
        <f t="shared" si="14"/>
        <v/>
      </c>
      <c r="N135" s="30" t="str">
        <f t="shared" si="14"/>
        <v/>
      </c>
      <c r="O135" s="30" t="str">
        <f t="shared" si="14"/>
        <v/>
      </c>
      <c r="P135" s="30" t="str">
        <f t="shared" si="14"/>
        <v/>
      </c>
      <c r="Q135" s="30" t="str">
        <f t="shared" si="14"/>
        <v/>
      </c>
      <c r="R135" s="30"/>
      <c r="S135" s="30">
        <f t="shared" si="16"/>
        <v>8</v>
      </c>
    </row>
    <row r="136" spans="1:19" x14ac:dyDescent="0.45">
      <c r="A136" t="s">
        <v>153</v>
      </c>
      <c r="B136" s="30" t="str">
        <f t="shared" si="15"/>
        <v>00</v>
      </c>
      <c r="C136" s="30" t="str">
        <f t="shared" si="15"/>
        <v>02</v>
      </c>
      <c r="D136" s="30" t="str">
        <f t="shared" si="14"/>
        <v>02</v>
      </c>
      <c r="E136" s="30" t="str">
        <f t="shared" si="14"/>
        <v>03</v>
      </c>
      <c r="F136" s="30" t="str">
        <f t="shared" si="14"/>
        <v>00</v>
      </c>
      <c r="G136" s="30" t="str">
        <f t="shared" si="14"/>
        <v>02</v>
      </c>
      <c r="H136" s="30" t="str">
        <f t="shared" si="14"/>
        <v>00</v>
      </c>
      <c r="I136" s="30" t="str">
        <f t="shared" si="14"/>
        <v>01</v>
      </c>
      <c r="J136" s="30" t="str">
        <f t="shared" si="14"/>
        <v>00</v>
      </c>
      <c r="K136" s="30" t="str">
        <f t="shared" si="14"/>
        <v>01</v>
      </c>
      <c r="L136" s="30" t="str">
        <f t="shared" si="14"/>
        <v>07</v>
      </c>
      <c r="M136" s="30" t="str">
        <f t="shared" si="14"/>
        <v>00</v>
      </c>
      <c r="N136" s="30" t="str">
        <f t="shared" si="14"/>
        <v>00</v>
      </c>
      <c r="O136" s="30" t="str">
        <f t="shared" si="14"/>
        <v>01</v>
      </c>
      <c r="P136" s="30" t="str">
        <f t="shared" si="14"/>
        <v>00</v>
      </c>
      <c r="Q136" s="30" t="str">
        <f t="shared" si="14"/>
        <v>03</v>
      </c>
      <c r="R136" s="30"/>
      <c r="S136" s="30">
        <f t="shared" si="16"/>
        <v>16</v>
      </c>
    </row>
    <row r="137" spans="1:19" x14ac:dyDescent="0.45">
      <c r="A137" t="s">
        <v>154</v>
      </c>
      <c r="B137" s="30" t="str">
        <f t="shared" si="15"/>
        <v>00</v>
      </c>
      <c r="C137" s="30" t="str">
        <f t="shared" si="15"/>
        <v>03</v>
      </c>
      <c r="D137" s="30" t="str">
        <f t="shared" si="14"/>
        <v>00</v>
      </c>
      <c r="E137" s="30" t="str">
        <f t="shared" si="14"/>
        <v>00</v>
      </c>
      <c r="F137" s="30" t="str">
        <f t="shared" si="14"/>
        <v>01</v>
      </c>
      <c r="G137" s="30" t="str">
        <f t="shared" si="14"/>
        <v>00</v>
      </c>
      <c r="H137" s="30" t="str">
        <f t="shared" si="14"/>
        <v>00</v>
      </c>
      <c r="I137" s="30" t="str">
        <f t="shared" si="14"/>
        <v>01</v>
      </c>
      <c r="J137" s="30" t="str">
        <f t="shared" si="14"/>
        <v>06</v>
      </c>
      <c r="K137" s="30" t="str">
        <f t="shared" si="14"/>
        <v>03</v>
      </c>
      <c r="L137" s="30" t="str">
        <f t="shared" si="14"/>
        <v>00</v>
      </c>
      <c r="M137" s="30" t="str">
        <f t="shared" si="14"/>
        <v>01</v>
      </c>
      <c r="N137" s="30" t="str">
        <f t="shared" si="14"/>
        <v>05</v>
      </c>
      <c r="O137" s="30" t="str">
        <f t="shared" ref="D137:Q156" si="17">MID($A137,13+O$2*3,2)</f>
        <v>00</v>
      </c>
      <c r="P137" s="30" t="str">
        <f t="shared" si="17"/>
        <v>00</v>
      </c>
      <c r="Q137" s="30" t="str">
        <f t="shared" si="17"/>
        <v>02</v>
      </c>
      <c r="R137" s="30"/>
      <c r="S137" s="30">
        <f t="shared" si="16"/>
        <v>16</v>
      </c>
    </row>
    <row r="138" spans="1:19" x14ac:dyDescent="0.45">
      <c r="A138" t="s">
        <v>155</v>
      </c>
      <c r="B138" s="30" t="str">
        <f t="shared" si="15"/>
        <v>02</v>
      </c>
      <c r="C138" s="30" t="str">
        <f t="shared" si="15"/>
        <v>02</v>
      </c>
      <c r="D138" s="30" t="str">
        <f t="shared" si="17"/>
        <v>02</v>
      </c>
      <c r="E138" s="30" t="str">
        <f t="shared" si="17"/>
        <v>02</v>
      </c>
      <c r="F138" s="30" t="str">
        <f t="shared" si="17"/>
        <v>01</v>
      </c>
      <c r="G138" s="30" t="str">
        <f t="shared" si="17"/>
        <v>00</v>
      </c>
      <c r="H138" s="30" t="str">
        <f t="shared" si="17"/>
        <v>02</v>
      </c>
      <c r="I138" s="30" t="str">
        <f t="shared" si="17"/>
        <v>01</v>
      </c>
      <c r="J138" s="30" t="str">
        <f t="shared" si="17"/>
        <v>01</v>
      </c>
      <c r="K138" s="30" t="str">
        <f t="shared" si="17"/>
        <v>00</v>
      </c>
      <c r="L138" s="30" t="str">
        <f t="shared" si="17"/>
        <v>03</v>
      </c>
      <c r="M138" s="30" t="str">
        <f t="shared" si="17"/>
        <v>01</v>
      </c>
      <c r="N138" s="30" t="str">
        <f t="shared" si="17"/>
        <v>03</v>
      </c>
      <c r="O138" s="30" t="str">
        <f t="shared" si="17"/>
        <v>00</v>
      </c>
      <c r="P138" s="30" t="str">
        <f t="shared" si="17"/>
        <v>00</v>
      </c>
      <c r="Q138" s="30" t="str">
        <f t="shared" si="17"/>
        <v>01</v>
      </c>
      <c r="R138" s="30"/>
      <c r="S138" s="30">
        <f t="shared" si="16"/>
        <v>16</v>
      </c>
    </row>
    <row r="139" spans="1:19" x14ac:dyDescent="0.45">
      <c r="A139" t="s">
        <v>156</v>
      </c>
      <c r="B139" s="30" t="str">
        <f t="shared" si="15"/>
        <v>03</v>
      </c>
      <c r="C139" s="30" t="str">
        <f t="shared" si="15"/>
        <v>01</v>
      </c>
      <c r="D139" s="30" t="str">
        <f t="shared" si="17"/>
        <v>00</v>
      </c>
      <c r="E139" s="30" t="str">
        <f t="shared" si="17"/>
        <v>00</v>
      </c>
      <c r="F139" s="30" t="str">
        <f t="shared" si="17"/>
        <v>00</v>
      </c>
      <c r="G139" s="30" t="str">
        <f t="shared" si="17"/>
        <v>03</v>
      </c>
      <c r="H139" s="30" t="str">
        <f t="shared" si="17"/>
        <v>00</v>
      </c>
      <c r="I139" s="30" t="str">
        <f t="shared" si="17"/>
        <v>02</v>
      </c>
      <c r="J139" s="30" t="str">
        <f t="shared" si="17"/>
        <v>02</v>
      </c>
      <c r="K139" s="30" t="str">
        <f t="shared" si="17"/>
        <v>00</v>
      </c>
      <c r="L139" s="30" t="str">
        <f t="shared" si="17"/>
        <v>01</v>
      </c>
      <c r="M139" s="30" t="str">
        <f t="shared" si="17"/>
        <v>01</v>
      </c>
      <c r="N139" s="30" t="str">
        <f t="shared" si="17"/>
        <v>01</v>
      </c>
      <c r="O139" s="30" t="str">
        <f t="shared" si="17"/>
        <v>01</v>
      </c>
      <c r="P139" s="30" t="str">
        <f t="shared" si="17"/>
        <v>01</v>
      </c>
      <c r="Q139" s="30" t="str">
        <f t="shared" si="17"/>
        <v>01</v>
      </c>
      <c r="R139" s="30"/>
      <c r="S139" s="30">
        <f t="shared" si="16"/>
        <v>16</v>
      </c>
    </row>
    <row r="140" spans="1:19" x14ac:dyDescent="0.45">
      <c r="A140" t="s">
        <v>132</v>
      </c>
      <c r="B140" s="30" t="str">
        <f t="shared" si="15"/>
        <v>01</v>
      </c>
      <c r="C140" s="30" t="str">
        <f t="shared" si="15"/>
        <v>01</v>
      </c>
      <c r="D140" s="30" t="str">
        <f t="shared" si="17"/>
        <v>00</v>
      </c>
      <c r="E140" s="30" t="str">
        <f t="shared" si="17"/>
        <v>01</v>
      </c>
      <c r="F140" s="30" t="str">
        <f t="shared" si="17"/>
        <v>01</v>
      </c>
      <c r="G140" s="30" t="str">
        <f t="shared" si="17"/>
        <v>00</v>
      </c>
      <c r="H140" s="30" t="str">
        <f t="shared" si="17"/>
        <v>00</v>
      </c>
      <c r="I140" s="30" t="str">
        <f t="shared" si="17"/>
        <v>00</v>
      </c>
      <c r="J140" s="30" t="str">
        <f t="shared" si="17"/>
        <v>00</v>
      </c>
      <c r="K140" s="30" t="str">
        <f t="shared" si="17"/>
        <v>00</v>
      </c>
      <c r="L140" s="30" t="str">
        <f t="shared" si="17"/>
        <v>00</v>
      </c>
      <c r="M140" s="30" t="str">
        <f t="shared" si="17"/>
        <v>00</v>
      </c>
      <c r="N140" s="30" t="str">
        <f t="shared" si="17"/>
        <v>00</v>
      </c>
      <c r="O140" s="30" t="str">
        <f t="shared" si="17"/>
        <v>00</v>
      </c>
      <c r="P140" s="30" t="str">
        <f t="shared" si="17"/>
        <v>00</v>
      </c>
      <c r="Q140" s="30" t="str">
        <f t="shared" si="17"/>
        <v>00</v>
      </c>
      <c r="R140" s="30"/>
      <c r="S140" s="30">
        <f t="shared" si="16"/>
        <v>16</v>
      </c>
    </row>
    <row r="141" spans="1:19" x14ac:dyDescent="0.45">
      <c r="A141" t="s">
        <v>44</v>
      </c>
      <c r="B141" s="30" t="str">
        <f t="shared" si="15"/>
        <v>00</v>
      </c>
      <c r="C141" s="30" t="str">
        <f t="shared" si="15"/>
        <v>00</v>
      </c>
      <c r="D141" s="30" t="str">
        <f t="shared" si="17"/>
        <v>00</v>
      </c>
      <c r="E141" s="30" t="str">
        <f t="shared" si="17"/>
        <v>00</v>
      </c>
      <c r="F141" s="30" t="str">
        <f t="shared" si="17"/>
        <v>00</v>
      </c>
      <c r="G141" s="30" t="str">
        <f t="shared" si="17"/>
        <v>00</v>
      </c>
      <c r="H141" s="30" t="str">
        <f t="shared" si="17"/>
        <v>00</v>
      </c>
      <c r="I141" s="30" t="str">
        <f t="shared" si="17"/>
        <v>00</v>
      </c>
      <c r="J141" s="30" t="str">
        <f t="shared" si="17"/>
        <v>00</v>
      </c>
      <c r="K141" s="30" t="str">
        <f t="shared" si="17"/>
        <v>00</v>
      </c>
      <c r="L141" s="30" t="str">
        <f t="shared" si="17"/>
        <v>00</v>
      </c>
      <c r="M141" s="30" t="str">
        <f t="shared" si="17"/>
        <v>00</v>
      </c>
      <c r="N141" s="30" t="str">
        <f t="shared" si="17"/>
        <v>00</v>
      </c>
      <c r="O141" s="30" t="str">
        <f t="shared" si="17"/>
        <v>00</v>
      </c>
      <c r="P141" s="30" t="str">
        <f t="shared" si="17"/>
        <v>00</v>
      </c>
      <c r="Q141" s="30" t="str">
        <f t="shared" si="17"/>
        <v>00</v>
      </c>
      <c r="R141" s="30"/>
      <c r="S141" s="30">
        <f t="shared" si="16"/>
        <v>16</v>
      </c>
    </row>
    <row r="142" spans="1:19" x14ac:dyDescent="0.45">
      <c r="A142" t="s">
        <v>157</v>
      </c>
      <c r="B142" s="30" t="str">
        <f t="shared" si="15"/>
        <v>00</v>
      </c>
      <c r="C142" s="30" t="str">
        <f t="shared" si="15"/>
        <v>00</v>
      </c>
      <c r="D142" s="30" t="str">
        <f t="shared" si="17"/>
        <v>00</v>
      </c>
      <c r="E142" s="30" t="str">
        <f t="shared" si="17"/>
        <v>00</v>
      </c>
      <c r="F142" s="30" t="str">
        <f t="shared" si="17"/>
        <v>00</v>
      </c>
      <c r="G142" s="30" t="str">
        <f t="shared" si="17"/>
        <v>00</v>
      </c>
      <c r="H142" s="30" t="str">
        <f t="shared" si="17"/>
        <v>55</v>
      </c>
      <c r="I142" s="30" t="str">
        <f t="shared" si="17"/>
        <v>45</v>
      </c>
      <c r="J142" s="30" t="str">
        <f t="shared" si="17"/>
        <v/>
      </c>
      <c r="K142" s="30" t="str">
        <f t="shared" si="17"/>
        <v/>
      </c>
      <c r="L142" s="30" t="str">
        <f t="shared" si="17"/>
        <v/>
      </c>
      <c r="M142" s="30" t="str">
        <f t="shared" si="17"/>
        <v/>
      </c>
      <c r="N142" s="30" t="str">
        <f t="shared" si="17"/>
        <v/>
      </c>
      <c r="O142" s="30" t="str">
        <f t="shared" si="17"/>
        <v/>
      </c>
      <c r="P142" s="30" t="str">
        <f t="shared" si="17"/>
        <v/>
      </c>
      <c r="Q142" s="30" t="str">
        <f t="shared" si="17"/>
        <v/>
      </c>
      <c r="R142" s="30"/>
      <c r="S142" s="30">
        <f t="shared" si="16"/>
        <v>8</v>
      </c>
    </row>
    <row r="143" spans="1:19" x14ac:dyDescent="0.45">
      <c r="A143" t="s">
        <v>158</v>
      </c>
      <c r="B143" s="30" t="str">
        <f t="shared" si="15"/>
        <v>00</v>
      </c>
      <c r="C143" s="30" t="str">
        <f t="shared" si="15"/>
        <v>00</v>
      </c>
      <c r="D143" s="30" t="str">
        <f t="shared" si="17"/>
        <v>00</v>
      </c>
      <c r="E143" s="30" t="str">
        <f t="shared" si="17"/>
        <v>06</v>
      </c>
      <c r="F143" s="30" t="str">
        <f t="shared" si="17"/>
        <v>00</v>
      </c>
      <c r="G143" s="30" t="str">
        <f t="shared" si="17"/>
        <v>00</v>
      </c>
      <c r="H143" s="30" t="str">
        <f t="shared" si="17"/>
        <v>06</v>
      </c>
      <c r="I143" s="30" t="str">
        <f t="shared" si="17"/>
        <v>00</v>
      </c>
      <c r="J143" s="30" t="str">
        <f t="shared" si="17"/>
        <v>18</v>
      </c>
      <c r="K143" s="30" t="str">
        <f t="shared" si="17"/>
        <v>40</v>
      </c>
      <c r="L143" s="30" t="str">
        <f t="shared" si="17"/>
        <v>7F</v>
      </c>
      <c r="M143" s="30" t="str">
        <f t="shared" si="17"/>
        <v>0C</v>
      </c>
      <c r="N143" s="30" t="str">
        <f t="shared" si="17"/>
        <v>30</v>
      </c>
      <c r="O143" s="30" t="str">
        <f t="shared" si="17"/>
        <v>40</v>
      </c>
      <c r="P143" s="30" t="str">
        <f t="shared" si="17"/>
        <v>1C</v>
      </c>
      <c r="Q143" s="30" t="str">
        <f t="shared" si="17"/>
        <v>30</v>
      </c>
      <c r="R143" s="30"/>
      <c r="S143" s="30">
        <f t="shared" si="16"/>
        <v>16</v>
      </c>
    </row>
    <row r="144" spans="1:19" x14ac:dyDescent="0.45">
      <c r="A144" t="s">
        <v>159</v>
      </c>
      <c r="B144" s="30" t="str">
        <f t="shared" si="15"/>
        <v>30</v>
      </c>
      <c r="C144" s="30" t="str">
        <f t="shared" si="15"/>
        <v>0C</v>
      </c>
      <c r="D144" s="30" t="str">
        <f t="shared" si="17"/>
        <v>60</v>
      </c>
      <c r="E144" s="30" t="str">
        <f t="shared" si="17"/>
        <v>60</v>
      </c>
      <c r="F144" s="30" t="str">
        <f t="shared" si="17"/>
        <v>18</v>
      </c>
      <c r="G144" s="30" t="str">
        <f t="shared" si="17"/>
        <v>0D</v>
      </c>
      <c r="H144" s="30" t="str">
        <f t="shared" si="17"/>
        <v>36</v>
      </c>
      <c r="I144" s="30" t="str">
        <f t="shared" si="17"/>
        <v>58</v>
      </c>
      <c r="J144" s="30" t="str">
        <f t="shared" si="17"/>
        <v>40</v>
      </c>
      <c r="K144" s="30" t="str">
        <f t="shared" si="17"/>
        <v>30</v>
      </c>
      <c r="L144" s="30" t="str">
        <f t="shared" si="17"/>
        <v>6C</v>
      </c>
      <c r="M144" s="30" t="str">
        <f t="shared" si="17"/>
        <v>00</v>
      </c>
      <c r="N144" s="30" t="str">
        <f t="shared" si="17"/>
        <v>10</v>
      </c>
      <c r="O144" s="30" t="str">
        <f t="shared" si="17"/>
        <v>00</v>
      </c>
      <c r="P144" s="30" t="str">
        <f t="shared" si="17"/>
        <v>00</v>
      </c>
      <c r="Q144" s="30" t="str">
        <f t="shared" si="17"/>
        <v>00</v>
      </c>
      <c r="R144" s="30"/>
      <c r="S144" s="30">
        <f t="shared" si="16"/>
        <v>16</v>
      </c>
    </row>
    <row r="145" spans="1:19" x14ac:dyDescent="0.45">
      <c r="A145" t="s">
        <v>160</v>
      </c>
      <c r="B145" s="30" t="str">
        <f t="shared" si="15"/>
        <v>00</v>
      </c>
      <c r="C145" s="30" t="str">
        <f t="shared" si="15"/>
        <v>00</v>
      </c>
      <c r="D145" s="30" t="str">
        <f t="shared" si="17"/>
        <v>00</v>
      </c>
      <c r="E145" s="30" t="str">
        <f t="shared" si="17"/>
        <v>00</v>
      </c>
      <c r="F145" s="30" t="str">
        <f t="shared" si="17"/>
        <v>00</v>
      </c>
      <c r="G145" s="30" t="str">
        <f t="shared" si="17"/>
        <v>6C</v>
      </c>
      <c r="H145" s="30" t="str">
        <f t="shared" si="17"/>
        <v>08</v>
      </c>
      <c r="I145" s="30" t="str">
        <f t="shared" si="17"/>
        <v>08</v>
      </c>
      <c r="J145" s="30" t="str">
        <f t="shared" si="17"/>
        <v>40</v>
      </c>
      <c r="K145" s="30" t="str">
        <f t="shared" si="17"/>
        <v>30</v>
      </c>
      <c r="L145" s="30" t="str">
        <f t="shared" si="17"/>
        <v>0C</v>
      </c>
      <c r="M145" s="30" t="str">
        <f t="shared" si="17"/>
        <v>60</v>
      </c>
      <c r="N145" s="30" t="str">
        <f t="shared" si="17"/>
        <v>00</v>
      </c>
      <c r="O145" s="30" t="str">
        <f t="shared" si="17"/>
        <v>0D</v>
      </c>
      <c r="P145" s="30" t="str">
        <f t="shared" si="17"/>
        <v>30</v>
      </c>
      <c r="Q145" s="30" t="str">
        <f t="shared" si="17"/>
        <v>58</v>
      </c>
      <c r="R145" s="30"/>
      <c r="S145" s="30">
        <f t="shared" si="16"/>
        <v>16</v>
      </c>
    </row>
    <row r="146" spans="1:19" x14ac:dyDescent="0.45">
      <c r="A146" t="s">
        <v>161</v>
      </c>
      <c r="B146" s="30" t="str">
        <f t="shared" si="15"/>
        <v>60</v>
      </c>
      <c r="C146" s="30" t="str">
        <f t="shared" si="15"/>
        <v>58</v>
      </c>
      <c r="D146" s="30" t="str">
        <f t="shared" si="17"/>
        <v>36</v>
      </c>
      <c r="E146" s="30" t="str">
        <f t="shared" si="17"/>
        <v>1C</v>
      </c>
      <c r="F146" s="30" t="str">
        <f t="shared" si="17"/>
        <v>60</v>
      </c>
      <c r="G146" s="30" t="str">
        <f t="shared" si="17"/>
        <v>30</v>
      </c>
      <c r="H146" s="30" t="str">
        <f t="shared" si="17"/>
        <v>60</v>
      </c>
      <c r="I146" s="30" t="str">
        <f t="shared" si="17"/>
        <v>00</v>
      </c>
      <c r="J146" s="30" t="str">
        <f t="shared" si="17"/>
        <v>00</v>
      </c>
      <c r="K146" s="30" t="str">
        <f t="shared" si="17"/>
        <v>2A</v>
      </c>
      <c r="L146" s="30" t="str">
        <f t="shared" si="17"/>
        <v>2A</v>
      </c>
      <c r="M146" s="30" t="str">
        <f t="shared" si="17"/>
        <v>2A</v>
      </c>
      <c r="N146" s="30" t="str">
        <f t="shared" si="17"/>
        <v>28</v>
      </c>
      <c r="O146" s="30" t="str">
        <f t="shared" si="17"/>
        <v>2A</v>
      </c>
      <c r="P146" s="30" t="str">
        <f t="shared" si="17"/>
        <v>2A</v>
      </c>
      <c r="Q146" s="30" t="str">
        <f t="shared" si="17"/>
        <v>00</v>
      </c>
      <c r="R146" s="30"/>
      <c r="S146" s="30">
        <f t="shared" si="16"/>
        <v>16</v>
      </c>
    </row>
    <row r="147" spans="1:19" x14ac:dyDescent="0.45">
      <c r="A147" t="s">
        <v>162</v>
      </c>
      <c r="B147" s="30" t="str">
        <f t="shared" si="15"/>
        <v>2A</v>
      </c>
      <c r="C147" s="30" t="str">
        <f t="shared" si="15"/>
        <v>2A</v>
      </c>
      <c r="D147" s="30" t="str">
        <f t="shared" si="17"/>
        <v>08</v>
      </c>
      <c r="E147" s="30" t="str">
        <f t="shared" si="17"/>
        <v>2A</v>
      </c>
      <c r="F147" s="30" t="str">
        <f t="shared" si="17"/>
        <v>20</v>
      </c>
      <c r="G147" s="30" t="str">
        <f t="shared" si="17"/>
        <v>51</v>
      </c>
      <c r="H147" s="30" t="str">
        <f t="shared" si="17"/>
        <v>55</v>
      </c>
      <c r="I147" s="30" t="str">
        <f t="shared" si="17"/>
        <v>55</v>
      </c>
      <c r="J147" s="30" t="str">
        <f t="shared" si="17"/>
        <v>15</v>
      </c>
      <c r="K147" s="30" t="str">
        <f t="shared" si="17"/>
        <v>55</v>
      </c>
      <c r="L147" s="30" t="str">
        <f t="shared" si="17"/>
        <v>01</v>
      </c>
      <c r="M147" s="30" t="str">
        <f t="shared" si="17"/>
        <v>55</v>
      </c>
      <c r="N147" s="30" t="str">
        <f t="shared" si="17"/>
        <v>45</v>
      </c>
      <c r="O147" s="30" t="str">
        <f t="shared" si="17"/>
        <v>14</v>
      </c>
      <c r="P147" s="30" t="str">
        <f t="shared" si="17"/>
        <v>55</v>
      </c>
      <c r="Q147" s="30" t="str">
        <f t="shared" si="17"/>
        <v>45</v>
      </c>
      <c r="R147" s="30"/>
      <c r="S147" s="30">
        <f t="shared" si="16"/>
        <v>16</v>
      </c>
    </row>
    <row r="148" spans="1:19" x14ac:dyDescent="0.45">
      <c r="A148" t="s">
        <v>163</v>
      </c>
      <c r="B148" s="30" t="str">
        <f t="shared" si="15"/>
        <v>55</v>
      </c>
      <c r="C148" s="30" t="str">
        <f t="shared" si="15"/>
        <v>41</v>
      </c>
      <c r="D148" s="30" t="str">
        <f t="shared" si="17"/>
        <v>41</v>
      </c>
      <c r="E148" s="30" t="str">
        <f t="shared" si="17"/>
        <v>55</v>
      </c>
      <c r="F148" s="30" t="str">
        <f t="shared" si="17"/>
        <v>05</v>
      </c>
      <c r="G148" s="30" t="str">
        <f t="shared" si="17"/>
        <v>45</v>
      </c>
      <c r="H148" s="30" t="str">
        <f t="shared" si="17"/>
        <v>45</v>
      </c>
      <c r="I148" s="30" t="str">
        <f t="shared" si="17"/>
        <v>55</v>
      </c>
      <c r="J148" s="30" t="str">
        <f t="shared" si="17"/>
        <v>14</v>
      </c>
      <c r="K148" s="30" t="str">
        <f t="shared" si="17"/>
        <v>55</v>
      </c>
      <c r="L148" s="30" t="str">
        <f t="shared" si="17"/>
        <v>04</v>
      </c>
      <c r="M148" s="30" t="str">
        <f t="shared" si="17"/>
        <v>41</v>
      </c>
      <c r="N148" s="30" t="str">
        <f t="shared" si="17"/>
        <v>41</v>
      </c>
      <c r="O148" s="30" t="str">
        <f t="shared" si="17"/>
        <v>14</v>
      </c>
      <c r="P148" s="30" t="str">
        <f t="shared" si="17"/>
        <v>55</v>
      </c>
      <c r="Q148" s="30" t="str">
        <f t="shared" si="17"/>
        <v>01</v>
      </c>
      <c r="R148" s="30"/>
      <c r="S148" s="30">
        <f t="shared" si="16"/>
        <v>16</v>
      </c>
    </row>
    <row r="149" spans="1:19" x14ac:dyDescent="0.45">
      <c r="A149" t="s">
        <v>164</v>
      </c>
      <c r="B149" s="30" t="str">
        <f t="shared" si="15"/>
        <v>14</v>
      </c>
      <c r="C149" s="30" t="str">
        <f t="shared" si="15"/>
        <v>14</v>
      </c>
      <c r="D149" s="30" t="str">
        <f t="shared" si="17"/>
        <v>14</v>
      </c>
      <c r="E149" s="30" t="str">
        <f t="shared" si="17"/>
        <v>01</v>
      </c>
      <c r="F149" s="30" t="str">
        <f t="shared" si="17"/>
        <v>00</v>
      </c>
      <c r="G149" s="30" t="str">
        <f t="shared" si="17"/>
        <v>40</v>
      </c>
      <c r="H149" s="30" t="str">
        <f t="shared" si="17"/>
        <v>00</v>
      </c>
      <c r="I149" s="30" t="str">
        <f t="shared" si="17"/>
        <v>00</v>
      </c>
      <c r="J149" s="30" t="str">
        <f t="shared" si="17"/>
        <v/>
      </c>
      <c r="K149" s="30" t="str">
        <f t="shared" si="17"/>
        <v/>
      </c>
      <c r="L149" s="30" t="str">
        <f t="shared" si="17"/>
        <v/>
      </c>
      <c r="M149" s="30" t="str">
        <f t="shared" si="17"/>
        <v/>
      </c>
      <c r="N149" s="30" t="str">
        <f t="shared" si="17"/>
        <v/>
      </c>
      <c r="O149" s="30" t="str">
        <f t="shared" si="17"/>
        <v/>
      </c>
      <c r="P149" s="30" t="str">
        <f t="shared" si="17"/>
        <v/>
      </c>
      <c r="Q149" s="30" t="str">
        <f t="shared" si="17"/>
        <v/>
      </c>
      <c r="R149" s="30"/>
      <c r="S149" s="30">
        <f t="shared" si="16"/>
        <v>8</v>
      </c>
    </row>
    <row r="150" spans="1:19" x14ac:dyDescent="0.45">
      <c r="A150" t="s">
        <v>165</v>
      </c>
      <c r="B150" s="30" t="str">
        <f t="shared" si="15"/>
        <v>00</v>
      </c>
      <c r="C150" s="30" t="str">
        <f t="shared" si="15"/>
        <v>00</v>
      </c>
      <c r="D150" s="30" t="str">
        <f t="shared" si="17"/>
        <v>00</v>
      </c>
      <c r="E150" s="30" t="str">
        <f t="shared" si="17"/>
        <v>03</v>
      </c>
      <c r="F150" s="30" t="str">
        <f t="shared" si="17"/>
        <v>00</v>
      </c>
      <c r="G150" s="30" t="str">
        <f t="shared" si="17"/>
        <v>00</v>
      </c>
      <c r="H150" s="30" t="str">
        <f t="shared" si="17"/>
        <v>00</v>
      </c>
      <c r="I150" s="30" t="str">
        <f t="shared" si="17"/>
        <v>00</v>
      </c>
      <c r="J150" s="30" t="str">
        <f t="shared" si="17"/>
        <v>00</v>
      </c>
      <c r="K150" s="30" t="str">
        <f t="shared" si="17"/>
        <v>01</v>
      </c>
      <c r="L150" s="30" t="str">
        <f t="shared" si="17"/>
        <v>07</v>
      </c>
      <c r="M150" s="30" t="str">
        <f t="shared" si="17"/>
        <v>00</v>
      </c>
      <c r="N150" s="30" t="str">
        <f t="shared" si="17"/>
        <v>00</v>
      </c>
      <c r="O150" s="30" t="str">
        <f t="shared" si="17"/>
        <v>01</v>
      </c>
      <c r="P150" s="30" t="str">
        <f t="shared" si="17"/>
        <v>00</v>
      </c>
      <c r="Q150" s="30" t="str">
        <f t="shared" si="17"/>
        <v>03</v>
      </c>
      <c r="R150" s="30"/>
      <c r="S150" s="30">
        <f t="shared" si="16"/>
        <v>16</v>
      </c>
    </row>
    <row r="151" spans="1:19" x14ac:dyDescent="0.45">
      <c r="A151" t="s">
        <v>166</v>
      </c>
      <c r="B151" s="30" t="str">
        <f t="shared" si="15"/>
        <v>00</v>
      </c>
      <c r="C151" s="30" t="str">
        <f t="shared" si="15"/>
        <v>00</v>
      </c>
      <c r="D151" s="30" t="str">
        <f t="shared" si="17"/>
        <v>01</v>
      </c>
      <c r="E151" s="30" t="str">
        <f t="shared" si="17"/>
        <v>00</v>
      </c>
      <c r="F151" s="30" t="str">
        <f t="shared" si="17"/>
        <v>00</v>
      </c>
      <c r="G151" s="30" t="str">
        <f t="shared" si="17"/>
        <v>00</v>
      </c>
      <c r="H151" s="30" t="str">
        <f t="shared" si="17"/>
        <v>00</v>
      </c>
      <c r="I151" s="30" t="str">
        <f t="shared" si="17"/>
        <v>01</v>
      </c>
      <c r="J151" s="30" t="str">
        <f t="shared" si="17"/>
        <v>05</v>
      </c>
      <c r="K151" s="30" t="str">
        <f t="shared" si="17"/>
        <v>03</v>
      </c>
      <c r="L151" s="30" t="str">
        <f t="shared" si="17"/>
        <v>00</v>
      </c>
      <c r="M151" s="30" t="str">
        <f t="shared" si="17"/>
        <v>01</v>
      </c>
      <c r="N151" s="30" t="str">
        <f t="shared" si="17"/>
        <v>01</v>
      </c>
      <c r="O151" s="30" t="str">
        <f t="shared" si="17"/>
        <v>00</v>
      </c>
      <c r="P151" s="30" t="str">
        <f t="shared" si="17"/>
        <v>00</v>
      </c>
      <c r="Q151" s="30" t="str">
        <f t="shared" si="17"/>
        <v>00</v>
      </c>
      <c r="R151" s="30"/>
      <c r="S151" s="30">
        <f t="shared" si="16"/>
        <v>16</v>
      </c>
    </row>
    <row r="152" spans="1:19" x14ac:dyDescent="0.45">
      <c r="A152" t="s">
        <v>167</v>
      </c>
      <c r="B152" s="30" t="str">
        <f t="shared" si="15"/>
        <v>00</v>
      </c>
      <c r="C152" s="30" t="str">
        <f t="shared" si="15"/>
        <v>00</v>
      </c>
      <c r="D152" s="30" t="str">
        <f t="shared" si="17"/>
        <v>00</v>
      </c>
      <c r="E152" s="30" t="str">
        <f t="shared" si="17"/>
        <v>00</v>
      </c>
      <c r="F152" s="30" t="str">
        <f t="shared" si="17"/>
        <v>00</v>
      </c>
      <c r="G152" s="30" t="str">
        <f t="shared" si="17"/>
        <v>00</v>
      </c>
      <c r="H152" s="30" t="str">
        <f t="shared" si="17"/>
        <v>00</v>
      </c>
      <c r="I152" s="30" t="str">
        <f t="shared" si="17"/>
        <v>01</v>
      </c>
      <c r="J152" s="30" t="str">
        <f t="shared" si="17"/>
        <v>01</v>
      </c>
      <c r="K152" s="30" t="str">
        <f t="shared" si="17"/>
        <v>00</v>
      </c>
      <c r="L152" s="30" t="str">
        <f t="shared" si="17"/>
        <v>00</v>
      </c>
      <c r="M152" s="30" t="str">
        <f t="shared" si="17"/>
        <v>00</v>
      </c>
      <c r="N152" s="30" t="str">
        <f t="shared" si="17"/>
        <v>03</v>
      </c>
      <c r="O152" s="30" t="str">
        <f t="shared" si="17"/>
        <v>00</v>
      </c>
      <c r="P152" s="30" t="str">
        <f t="shared" si="17"/>
        <v>00</v>
      </c>
      <c r="Q152" s="30" t="str">
        <f t="shared" si="17"/>
        <v>01</v>
      </c>
      <c r="R152" s="30"/>
      <c r="S152" s="30">
        <f t="shared" si="16"/>
        <v>16</v>
      </c>
    </row>
    <row r="153" spans="1:19" x14ac:dyDescent="0.45">
      <c r="A153" t="s">
        <v>168</v>
      </c>
      <c r="B153" s="30" t="str">
        <f t="shared" si="15"/>
        <v>02</v>
      </c>
      <c r="C153" s="30" t="str">
        <f t="shared" si="15"/>
        <v>01</v>
      </c>
      <c r="D153" s="30" t="str">
        <f t="shared" si="17"/>
        <v>00</v>
      </c>
      <c r="E153" s="30" t="str">
        <f t="shared" si="17"/>
        <v>00</v>
      </c>
      <c r="F153" s="30" t="str">
        <f t="shared" si="17"/>
        <v>01</v>
      </c>
      <c r="G153" s="30" t="str">
        <f t="shared" si="17"/>
        <v>00</v>
      </c>
      <c r="H153" s="30" t="str">
        <f t="shared" si="17"/>
        <v>00</v>
      </c>
      <c r="I153" s="30" t="str">
        <f t="shared" si="17"/>
        <v>00</v>
      </c>
      <c r="J153" s="30" t="str">
        <f t="shared" si="17"/>
        <v>00</v>
      </c>
      <c r="K153" s="30" t="str">
        <f t="shared" si="17"/>
        <v>01</v>
      </c>
      <c r="L153" s="30" t="str">
        <f t="shared" si="17"/>
        <v>01</v>
      </c>
      <c r="M153" s="30" t="str">
        <f t="shared" si="17"/>
        <v>01</v>
      </c>
      <c r="N153" s="30" t="str">
        <f t="shared" si="17"/>
        <v>01</v>
      </c>
      <c r="O153" s="30" t="str">
        <f t="shared" si="17"/>
        <v>01</v>
      </c>
      <c r="P153" s="30" t="str">
        <f t="shared" si="17"/>
        <v>01</v>
      </c>
      <c r="Q153" s="30" t="str">
        <f t="shared" si="17"/>
        <v>01</v>
      </c>
      <c r="R153" s="30"/>
      <c r="S153" s="30">
        <f t="shared" si="16"/>
        <v>16</v>
      </c>
    </row>
    <row r="154" spans="1:19" x14ac:dyDescent="0.45">
      <c r="A154" t="s">
        <v>132</v>
      </c>
      <c r="B154" s="30" t="str">
        <f t="shared" si="15"/>
        <v>01</v>
      </c>
      <c r="C154" s="30" t="str">
        <f t="shared" si="15"/>
        <v>01</v>
      </c>
      <c r="D154" s="30" t="str">
        <f t="shared" si="17"/>
        <v>00</v>
      </c>
      <c r="E154" s="30" t="str">
        <f t="shared" si="17"/>
        <v>01</v>
      </c>
      <c r="F154" s="30" t="str">
        <f t="shared" si="17"/>
        <v>01</v>
      </c>
      <c r="G154" s="30" t="str">
        <f t="shared" si="17"/>
        <v>00</v>
      </c>
      <c r="H154" s="30" t="str">
        <f t="shared" si="17"/>
        <v>00</v>
      </c>
      <c r="I154" s="30" t="str">
        <f t="shared" si="17"/>
        <v>00</v>
      </c>
      <c r="J154" s="30" t="str">
        <f t="shared" si="17"/>
        <v>00</v>
      </c>
      <c r="K154" s="30" t="str">
        <f t="shared" si="17"/>
        <v>00</v>
      </c>
      <c r="L154" s="30" t="str">
        <f t="shared" si="17"/>
        <v>00</v>
      </c>
      <c r="M154" s="30" t="str">
        <f t="shared" si="17"/>
        <v>00</v>
      </c>
      <c r="N154" s="30" t="str">
        <f t="shared" si="17"/>
        <v>00</v>
      </c>
      <c r="O154" s="30" t="str">
        <f t="shared" si="17"/>
        <v>00</v>
      </c>
      <c r="P154" s="30" t="str">
        <f t="shared" si="17"/>
        <v>00</v>
      </c>
      <c r="Q154" s="30" t="str">
        <f t="shared" si="17"/>
        <v>00</v>
      </c>
      <c r="R154" s="30"/>
      <c r="S154" s="30">
        <f t="shared" si="16"/>
        <v>16</v>
      </c>
    </row>
    <row r="155" spans="1:19" x14ac:dyDescent="0.45">
      <c r="A155" t="s">
        <v>44</v>
      </c>
      <c r="B155" s="30" t="str">
        <f t="shared" si="15"/>
        <v>00</v>
      </c>
      <c r="C155" s="30" t="str">
        <f t="shared" si="15"/>
        <v>00</v>
      </c>
      <c r="D155" s="30" t="str">
        <f t="shared" si="17"/>
        <v>00</v>
      </c>
      <c r="E155" s="30" t="str">
        <f t="shared" si="17"/>
        <v>00</v>
      </c>
      <c r="F155" s="30" t="str">
        <f t="shared" si="17"/>
        <v>00</v>
      </c>
      <c r="G155" s="30" t="str">
        <f t="shared" si="17"/>
        <v>00</v>
      </c>
      <c r="H155" s="30" t="str">
        <f t="shared" si="17"/>
        <v>00</v>
      </c>
      <c r="I155" s="30" t="str">
        <f t="shared" si="17"/>
        <v>00</v>
      </c>
      <c r="J155" s="30" t="str">
        <f t="shared" si="17"/>
        <v>00</v>
      </c>
      <c r="K155" s="30" t="str">
        <f t="shared" si="17"/>
        <v>00</v>
      </c>
      <c r="L155" s="30" t="str">
        <f t="shared" si="17"/>
        <v>00</v>
      </c>
      <c r="M155" s="30" t="str">
        <f t="shared" si="17"/>
        <v>00</v>
      </c>
      <c r="N155" s="30" t="str">
        <f t="shared" si="17"/>
        <v>00</v>
      </c>
      <c r="O155" s="30" t="str">
        <f t="shared" si="17"/>
        <v>00</v>
      </c>
      <c r="P155" s="30" t="str">
        <f t="shared" si="17"/>
        <v>00</v>
      </c>
      <c r="Q155" s="30" t="str">
        <f t="shared" si="17"/>
        <v>00</v>
      </c>
      <c r="R155" s="30"/>
      <c r="S155" s="30">
        <f t="shared" si="16"/>
        <v>16</v>
      </c>
    </row>
    <row r="156" spans="1:19" x14ac:dyDescent="0.45">
      <c r="A156" t="s">
        <v>169</v>
      </c>
      <c r="B156" s="30" t="str">
        <f t="shared" si="15"/>
        <v>00</v>
      </c>
      <c r="C156" s="30" t="str">
        <f t="shared" si="15"/>
        <v>00</v>
      </c>
      <c r="D156" s="30" t="str">
        <f t="shared" si="15"/>
        <v>00</v>
      </c>
      <c r="E156" s="30" t="str">
        <f t="shared" si="15"/>
        <v>00</v>
      </c>
      <c r="F156" s="30" t="str">
        <f t="shared" si="15"/>
        <v>00</v>
      </c>
      <c r="G156" s="30" t="str">
        <f t="shared" si="15"/>
        <v>00</v>
      </c>
      <c r="H156" s="34" t="str">
        <f t="shared" si="15"/>
        <v>81</v>
      </c>
      <c r="I156" s="30" t="str">
        <f t="shared" si="15"/>
        <v>A8</v>
      </c>
      <c r="J156" s="30" t="str">
        <f t="shared" si="15"/>
        <v/>
      </c>
      <c r="K156" s="30" t="str">
        <f t="shared" si="15"/>
        <v/>
      </c>
      <c r="L156" s="30" t="str">
        <f t="shared" si="15"/>
        <v/>
      </c>
      <c r="M156" s="30" t="str">
        <f t="shared" si="15"/>
        <v/>
      </c>
      <c r="N156" s="30" t="str">
        <f t="shared" si="15"/>
        <v/>
      </c>
      <c r="O156" s="30" t="str">
        <f t="shared" si="15"/>
        <v/>
      </c>
      <c r="P156" s="30" t="str">
        <f t="shared" si="15"/>
        <v/>
      </c>
      <c r="Q156" s="30" t="str">
        <f t="shared" si="15"/>
        <v/>
      </c>
      <c r="R156" s="30"/>
      <c r="S156" s="30">
        <f t="shared" si="16"/>
        <v>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T14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baseColWidth="10" defaultRowHeight="14.25" x14ac:dyDescent="0.45"/>
  <cols>
    <col min="1" max="1" width="6.59765625" customWidth="1"/>
    <col min="2" max="2" width="5.59765625" customWidth="1"/>
    <col min="3" max="19" width="2.86328125" customWidth="1"/>
    <col min="20" max="20" width="4.73046875" bestFit="1" customWidth="1"/>
  </cols>
  <sheetData>
    <row r="1" spans="1:20" x14ac:dyDescent="0.45">
      <c r="C1" s="33">
        <v>0</v>
      </c>
      <c r="D1" s="33">
        <f>C1+1</f>
        <v>1</v>
      </c>
      <c r="E1" s="33">
        <f t="shared" ref="E1:R1" si="0">D1+1</f>
        <v>2</v>
      </c>
      <c r="F1" s="33">
        <f t="shared" si="0"/>
        <v>3</v>
      </c>
      <c r="G1" s="33">
        <f t="shared" si="0"/>
        <v>4</v>
      </c>
      <c r="H1" s="33">
        <f t="shared" si="0"/>
        <v>5</v>
      </c>
      <c r="I1" s="33">
        <f t="shared" si="0"/>
        <v>6</v>
      </c>
      <c r="J1" s="33">
        <f t="shared" si="0"/>
        <v>7</v>
      </c>
      <c r="K1" s="33">
        <f t="shared" si="0"/>
        <v>8</v>
      </c>
      <c r="L1" s="33">
        <f t="shared" si="0"/>
        <v>9</v>
      </c>
      <c r="M1" s="33">
        <f t="shared" si="0"/>
        <v>10</v>
      </c>
      <c r="N1" s="33">
        <f t="shared" si="0"/>
        <v>11</v>
      </c>
      <c r="O1" s="33">
        <f t="shared" si="0"/>
        <v>12</v>
      </c>
      <c r="P1" s="33">
        <f t="shared" si="0"/>
        <v>13</v>
      </c>
      <c r="Q1" s="35">
        <f t="shared" si="0"/>
        <v>14</v>
      </c>
      <c r="R1" s="33">
        <f t="shared" si="0"/>
        <v>15</v>
      </c>
    </row>
    <row r="2" spans="1:20" x14ac:dyDescent="0.45">
      <c r="B2" s="32"/>
      <c r="C2" s="31" t="str">
        <f>DEC2HEX(C1)</f>
        <v>0</v>
      </c>
      <c r="D2" s="31" t="str">
        <f t="shared" ref="D2:R2" si="1">DEC2HEX(D1)</f>
        <v>1</v>
      </c>
      <c r="E2" s="31" t="str">
        <f t="shared" si="1"/>
        <v>2</v>
      </c>
      <c r="F2" s="31" t="str">
        <f t="shared" si="1"/>
        <v>3</v>
      </c>
      <c r="G2" s="31" t="str">
        <f t="shared" si="1"/>
        <v>4</v>
      </c>
      <c r="H2" s="31" t="str">
        <f t="shared" si="1"/>
        <v>5</v>
      </c>
      <c r="I2" s="31" t="str">
        <f t="shared" si="1"/>
        <v>6</v>
      </c>
      <c r="J2" s="31" t="str">
        <f t="shared" si="1"/>
        <v>7</v>
      </c>
      <c r="K2" s="31" t="str">
        <f t="shared" si="1"/>
        <v>8</v>
      </c>
      <c r="L2" s="31" t="str">
        <f t="shared" si="1"/>
        <v>9</v>
      </c>
      <c r="M2" s="31" t="str">
        <f t="shared" si="1"/>
        <v>A</v>
      </c>
      <c r="N2" s="31" t="str">
        <f t="shared" si="1"/>
        <v>B</v>
      </c>
      <c r="O2" s="31" t="str">
        <f t="shared" si="1"/>
        <v>C</v>
      </c>
      <c r="P2" s="31" t="str">
        <f t="shared" si="1"/>
        <v>D</v>
      </c>
      <c r="Q2" s="31" t="str">
        <f t="shared" si="1"/>
        <v>E</v>
      </c>
      <c r="R2" s="31" t="str">
        <f t="shared" si="1"/>
        <v>F</v>
      </c>
      <c r="T2" s="31">
        <f>COUNTA($C$3:$R$145)</f>
        <v>2288</v>
      </c>
    </row>
    <row r="3" spans="1:20" x14ac:dyDescent="0.45">
      <c r="A3">
        <f>HEX2DEC(B3)</f>
        <v>44288</v>
      </c>
      <c r="B3" s="39" t="str">
        <f>SpriteBaseAddress</f>
        <v>AD00</v>
      </c>
      <c r="C3" t="str" cm="1">
        <f t="array" ref="C3">_xlfn.LET(
  _xlpm.idx, (ROW()-3)*16 + C$1,
  _xlpm.r, MOD(_xlpm.idx, SpriteCount),
  INDEX(
    sprite_data.asm!$B$3:$Q$156,
    INT(_xlpm.idx / SpriteCount) * 7 + INT(_xlpm.r / 16) + 1,
    MOD(_xlpm.r, 16) + 1
  )
)</f>
        <v>00</v>
      </c>
      <c r="D3" t="str" cm="1">
        <f t="array" ref="D3">_xlfn.LET(
  _xlpm.idx, (ROW()-3)*16 + D$1,
  _xlpm.r, MOD(_xlpm.idx, SpriteCount),
  INDEX(
    sprite_data.asm!$B$3:$Q$156,
    INT(_xlpm.idx / SpriteCount) * 7 + INT(_xlpm.r / 16) + 1,
    MOD(_xlpm.r, 16) + 1
  )
)</f>
        <v>15</v>
      </c>
      <c r="E3" t="str" cm="1">
        <f t="array" ref="E3">_xlfn.LET(
  _xlpm.idx, (ROW()-3)*16 + E$1,
  _xlpm.r, MOD(_xlpm.idx, SpriteCount),
  INDEX(
    sprite_data.asm!$B$3:$Q$156,
    INT(_xlpm.idx / SpriteCount) * 7 + INT(_xlpm.r / 16) + 1,
    MOD(_xlpm.r, 16) + 1
  )
)</f>
        <v>55</v>
      </c>
      <c r="F3" t="str" cm="1">
        <f t="array" ref="F3">_xlfn.LET(
  _xlpm.idx, (ROW()-3)*16 + F$1,
  _xlpm.r, MOD(_xlpm.idx, SpriteCount),
  INDEX(
    sprite_data.asm!$B$3:$Q$156,
    INT(_xlpm.idx / SpriteCount) * 7 + INT(_xlpm.r / 16) + 1,
    MOD(_xlpm.r, 16) + 1
  )
)</f>
        <v>06</v>
      </c>
      <c r="G3" t="str" cm="1">
        <f t="array" ref="G3">_xlfn.LET(
  _xlpm.idx, (ROW()-3)*16 + G$1,
  _xlpm.r, MOD(_xlpm.idx, SpriteCount),
  INDEX(
    sprite_data.asm!$B$3:$Q$156,
    INT(_xlpm.idx / SpriteCount) * 7 + INT(_xlpm.r / 16) + 1,
    MOD(_xlpm.r, 16) + 1
  )
)</f>
        <v>00</v>
      </c>
      <c r="H3" t="str" cm="1">
        <f t="array" ref="H3">_xlfn.LET(
  _xlpm.idx, (ROW()-3)*16 + H$1,
  _xlpm.r, MOD(_xlpm.idx, SpriteCount),
  INDEX(
    sprite_data.asm!$B$3:$Q$156,
    INT(_xlpm.idx / SpriteCount) * 7 + INT(_xlpm.r / 16) + 1,
    MOD(_xlpm.r, 16) + 1
  )
)</f>
        <v>55</v>
      </c>
      <c r="I3" t="str" cm="1">
        <f t="array" ref="I3">_xlfn.LET(
  _xlpm.idx, (ROW()-3)*16 + I$1,
  _xlpm.r, MOD(_xlpm.idx, SpriteCount),
  INDEX(
    sprite_data.asm!$B$3:$Q$156,
    INT(_xlpm.idx / SpriteCount) * 7 + INT(_xlpm.r / 16) + 1,
    MOD(_xlpm.r, 16) + 1
  )
)</f>
        <v>06</v>
      </c>
      <c r="J3" t="str" cm="1">
        <f t="array" ref="J3">_xlfn.LET(
  _xlpm.idx, (ROW()-3)*16 + J$1,
  _xlpm.r, MOD(_xlpm.idx, SpriteCount),
  INDEX(
    sprite_data.asm!$B$3:$Q$156,
    INT(_xlpm.idx / SpriteCount) * 7 + INT(_xlpm.r / 16) + 1,
    MOD(_xlpm.r, 16) + 1
  )
)</f>
        <v>00</v>
      </c>
      <c r="K3" t="str" cm="1">
        <f t="array" ref="K3">_xlfn.LET(
  _xlpm.idx, (ROW()-3)*16 + K$1,
  _xlpm.r, MOD(_xlpm.idx, SpriteCount),
  INDEX(
    sprite_data.asm!$B$3:$Q$156,
    INT(_xlpm.idx / SpriteCount) * 7 + INT(_xlpm.r / 16) + 1,
    MOD(_xlpm.r, 16) + 1
  )
)</f>
        <v>10</v>
      </c>
      <c r="L3" t="str" cm="1">
        <f t="array" ref="L3">_xlfn.LET(
  _xlpm.idx, (ROW()-3)*16 + L$1,
  _xlpm.r, MOD(_xlpm.idx, SpriteCount),
  INDEX(
    sprite_data.asm!$B$3:$Q$156,
    INT(_xlpm.idx / SpriteCount) * 7 + INT(_xlpm.r / 16) + 1,
    MOD(_xlpm.r, 16) + 1
  )
)</f>
        <v>40</v>
      </c>
      <c r="M3" t="str" cm="1">
        <f t="array" ref="M3">_xlfn.LET(
  _xlpm.idx, (ROW()-3)*16 + M$1,
  _xlpm.r, MOD(_xlpm.idx, SpriteCount),
  INDEX(
    sprite_data.asm!$B$3:$Q$156,
    INT(_xlpm.idx / SpriteCount) * 7 + INT(_xlpm.r / 16) + 1,
    MOD(_xlpm.r, 16) + 1
  )
)</f>
        <v>7F</v>
      </c>
      <c r="N3" t="str" cm="1">
        <f t="array" ref="N3">_xlfn.LET(
  _xlpm.idx, (ROW()-3)*16 + N$1,
  _xlpm.r, MOD(_xlpm.idx, SpriteCount),
  INDEX(
    sprite_data.asm!$B$3:$Q$156,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sprite_data.asm!$B$3:$Q$156,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sprite_data.asm!$B$3:$Q$156,
    INT(_xlpm.idx / SpriteCount) * 7 + INT(_xlpm.r / 16) + 1,
    MOD(_xlpm.r, 16) + 1
  )
)</f>
        <v>08</v>
      </c>
      <c r="Q3" t="str" cm="1">
        <f t="array" ref="Q3">_xlfn.LET(
  _xlpm.idx, (ROW()-3)*16 + Q$1,
  _xlpm.r, MOD(_xlpm.idx, SpriteCount),
  INDEX(
    sprite_data.asm!$B$3:$Q$156,
    INT(_xlpm.idx / SpriteCount) * 7 + INT(_xlpm.r / 16) + 1,
    MOD(_xlpm.r, 16) + 1
  )
)</f>
        <v>30</v>
      </c>
      <c r="R3" t="str" cm="1">
        <f t="array" ref="R3">_xlfn.LET(
  _xlpm.idx, (ROW()-3)*16 + R$1,
  _xlpm.r, MOD(_xlpm.idx, SpriteCount),
  INDEX(
    sprite_data.asm!$B$3:$Q$156,
    INT(_xlpm.idx / SpriteCount) * 7 + INT(_xlpm.r / 16) + 1,
    MOD(_xlpm.r, 16) + 1
  )
)</f>
        <v>40</v>
      </c>
    </row>
    <row r="4" spans="1:20" x14ac:dyDescent="0.45">
      <c r="A4">
        <f>A3+16</f>
        <v>44304</v>
      </c>
      <c r="B4" s="32" t="str">
        <f>DEC2HEX(HEX2DEC(B3)+16)</f>
        <v>AD10</v>
      </c>
      <c r="C4" t="str" cm="1">
        <f t="array" ref="C4">_xlfn.LET(
  _xlpm.idx, (ROW()-3)*16 + C$1,
  _xlpm.r, MOD(_xlpm.idx, SpriteCount),
  INDEX(
    sprite_data.asm!$B$3:$Q$156,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sprite_data.asm!$B$3:$Q$156,
    INT(_xlpm.idx / SpriteCount) * 7 + INT(_xlpm.r / 16) + 1,
    MOD(_xlpm.r, 16) + 1
  )
)</f>
        <v>40</v>
      </c>
      <c r="E4" t="str" cm="1">
        <f t="array" ref="E4">_xlfn.LET(
  _xlpm.idx, (ROW()-3)*16 + E$1,
  _xlpm.r, MOD(_xlpm.idx, SpriteCount),
  INDEX(
    sprite_data.asm!$B$3:$Q$156,
    INT(_xlpm.idx / SpriteCount) * 7 + INT(_xlpm.r / 16) + 1,
    MOD(_xlpm.r, 16) + 1
  )
)</f>
        <v>30</v>
      </c>
      <c r="F4" t="str" cm="1">
        <f t="array" ref="F4">_xlfn.LET(
  _xlpm.idx, (ROW()-3)*16 + F$1,
  _xlpm.r, MOD(_xlpm.idx, SpriteCount),
  INDEX(
    sprite_data.asm!$B$3:$Q$156,
    INT(_xlpm.idx / SpriteCount) * 7 + INT(_xlpm.r / 16) + 1,
    MOD(_xlpm.r, 16) + 1
  )
)</f>
        <v>26</v>
      </c>
      <c r="G4" t="str" cm="1">
        <f t="array" ref="G4">_xlfn.LET(
  _xlpm.idx, (ROW()-3)*16 + G$1,
  _xlpm.r, MOD(_xlpm.idx, SpriteCount),
  INDEX(
    sprite_data.asm!$B$3:$Q$156,
    INT(_xlpm.idx / SpriteCount) * 7 + INT(_xlpm.r / 16) + 1,
    MOD(_xlpm.r, 16) + 1
  )
)</f>
        <v>13</v>
      </c>
      <c r="H4" t="str" cm="1">
        <f t="array" ref="H4">_xlfn.LET(
  _xlpm.idx, (ROW()-3)*16 + H$1,
  _xlpm.r, MOD(_xlpm.idx, SpriteCount),
  INDEX(
    sprite_data.asm!$B$3:$Q$156,
    INT(_xlpm.idx / SpriteCount) * 7 + INT(_xlpm.r / 16) + 1,
    MOD(_xlpm.r, 16) + 1
  )
)</f>
        <v>06</v>
      </c>
      <c r="I4" t="str" cm="1">
        <f t="array" ref="I4">_xlfn.LET(
  _xlpm.idx, (ROW()-3)*16 + I$1,
  _xlpm.r, MOD(_xlpm.idx, SpriteCount),
  INDEX(
    sprite_data.asm!$B$3:$Q$156,
    INT(_xlpm.idx / SpriteCount) * 7 + INT(_xlpm.r / 16) + 1,
    MOD(_xlpm.r, 16) + 1
  )
)</f>
        <v>60</v>
      </c>
      <c r="J4" t="str" cm="1">
        <f t="array" ref="J4">_xlfn.LET(
  _xlpm.idx, (ROW()-3)*16 + J$1,
  _xlpm.r, MOD(_xlpm.idx, SpriteCount),
  INDEX(
    sprite_data.asm!$B$3:$Q$156,
    INT(_xlpm.idx / SpriteCount) * 7 + INT(_xlpm.r / 16) + 1,
    MOD(_xlpm.r, 16) + 1
  )
)</f>
        <v>18</v>
      </c>
      <c r="K4" t="str" cm="1">
        <f t="array" ref="K4">_xlfn.LET(
  _xlpm.idx, (ROW()-3)*16 + K$1,
  _xlpm.r, MOD(_xlpm.idx, SpriteCount),
  INDEX(
    sprite_data.asm!$B$3:$Q$156,
    INT(_xlpm.idx / SpriteCount) * 7 + INT(_xlpm.r / 16) + 1,
    MOD(_xlpm.r, 16) + 1
  )
)</f>
        <v>06</v>
      </c>
      <c r="L4" t="str" cm="1">
        <f t="array" ref="L4">_xlfn.LET(
  _xlpm.idx, (ROW()-3)*16 + L$1,
  _xlpm.r, MOD(_xlpm.idx, SpriteCount),
  INDEX(
    sprite_data.asm!$B$3:$Q$156,
    INT(_xlpm.idx / SpriteCount) * 7 + INT(_xlpm.r / 16) + 1,
    MOD(_xlpm.r, 16) + 1
  )
)</f>
        <v>18</v>
      </c>
      <c r="M4" t="str" cm="1">
        <f t="array" ref="M4">_xlfn.LET(
  _xlpm.idx, (ROW()-3)*16 + M$1,
  _xlpm.r, MOD(_xlpm.idx, SpriteCount),
  INDEX(
    sprite_data.asm!$B$3:$Q$156,
    INT(_xlpm.idx / SpriteCount) * 7 + INT(_xlpm.r / 16) + 1,
    MOD(_xlpm.r, 16) + 1
  )
)</f>
        <v>60</v>
      </c>
      <c r="N4" t="str" cm="1">
        <f t="array" ref="N4">_xlfn.LET(
  _xlpm.idx, (ROW()-3)*16 + N$1,
  _xlpm.r, MOD(_xlpm.idx, SpriteCount),
  INDEX(
    sprite_data.asm!$B$3:$Q$156,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sprite_data.asm!$B$3:$Q$156,
    INT(_xlpm.idx / SpriteCount) * 7 + INT(_xlpm.r / 16) + 1,
    MOD(_xlpm.r, 16) + 1
  )
)</f>
        <v>00</v>
      </c>
      <c r="P4" t="str" cm="1">
        <f t="array" ref="P4">_xlfn.LET(
  _xlpm.idx, (ROW()-3)*16 + P$1,
  _xlpm.r, MOD(_xlpm.idx, SpriteCount),
  INDEX(
    sprite_data.asm!$B$3:$Q$156,
    INT(_xlpm.idx / SpriteCount) * 7 + INT(_xlpm.r / 16) + 1,
    MOD(_xlpm.r, 16) + 1
  )
)</f>
        <v>10</v>
      </c>
      <c r="Q4" t="str" cm="1">
        <f t="array" ref="Q4">_xlfn.LET(
  _xlpm.idx, (ROW()-3)*16 + Q$1,
  _xlpm.r, MOD(_xlpm.idx, SpriteCount),
  INDEX(
    sprite_data.asm!$B$3:$Q$156,
    INT(_xlpm.idx / SpriteCount) * 7 + INT(_xlpm.r / 16) + 1,
    MOD(_xlpm.r, 16) + 1
  )
)</f>
        <v>00</v>
      </c>
      <c r="R4" t="str" cm="1">
        <f t="array" ref="R4">_xlfn.LET(
  _xlpm.idx, (ROW()-3)*16 + R$1,
  _xlpm.r, MOD(_xlpm.idx, SpriteCount),
  INDEX(
    sprite_data.asm!$B$3:$Q$156,
    INT(_xlpm.idx / SpriteCount) * 7 + INT(_xlpm.r / 16) + 1,
    MOD(_xlpm.r, 16) + 1
  )
)</f>
        <v>25</v>
      </c>
    </row>
    <row r="5" spans="1:20" x14ac:dyDescent="0.45">
      <c r="A5">
        <f t="shared" ref="A5:A11" si="2">A4+16</f>
        <v>44320</v>
      </c>
      <c r="B5" s="32" t="str">
        <f t="shared" ref="B5:B11" si="3">DEC2HEX(HEX2DEC(B4)+16)</f>
        <v>AD20</v>
      </c>
      <c r="C5" t="str" cm="1">
        <f t="array" ref="C5">_xlfn.LET(
  _xlpm.idx, (ROW()-3)*16 + C$1,
  _xlpm.r, MOD(_xlpm.idx, SpriteCount),
  INDEX(
    sprite_data.asm!$B$3:$Q$156,
    INT(_xlpm.idx / SpriteCount) * 7 + INT(_xlpm.r / 16) + 1,
    MOD(_xlpm.r, 16) + 1
  )
)</f>
        <v>20</v>
      </c>
      <c r="D5" t="str" cm="1">
        <f t="array" ref="D5">_xlfn.LET(
  _xlpm.idx, (ROW()-3)*16 + D$1,
  _xlpm.r, MOD(_xlpm.idx, SpriteCount),
  INDEX(
    sprite_data.asm!$B$3:$Q$156,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sprite_data.asm!$B$3:$Q$156,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sprite_data.asm!$B$3:$Q$156,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sprite_data.asm!$B$3:$Q$156,
    INT(_xlpm.idx / SpriteCount) * 7 + INT(_xlpm.r / 16) + 1,
    MOD(_xlpm.r, 16) + 1
  )
)</f>
        <v>00</v>
      </c>
      <c r="H5" t="str" cm="1">
        <f t="array" ref="H5">_xlfn.LET(
  _xlpm.idx, (ROW()-3)*16 + H$1,
  _xlpm.r, MOD(_xlpm.idx, SpriteCount),
  INDEX(
    sprite_data.asm!$B$3:$Q$156,
    INT(_xlpm.idx / SpriteCount) * 7 + INT(_xlpm.r / 16) + 1,
    MOD(_xlpm.r, 16) + 1
  )
)</f>
        <v>10</v>
      </c>
      <c r="I5" t="str" cm="1">
        <f t="array" ref="I5">_xlfn.LET(
  _xlpm.idx, (ROW()-3)*16 + I$1,
  _xlpm.r, MOD(_xlpm.idx, SpriteCount),
  INDEX(
    sprite_data.asm!$B$3:$Q$156,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sprite_data.asm!$B$3:$Q$156,
    INT(_xlpm.idx / SpriteCount) * 7 + INT(_xlpm.r / 16) + 1,
    MOD(_xlpm.r, 16) + 1
  )
)</f>
        <v>00</v>
      </c>
      <c r="K5" t="str" cm="1">
        <f t="array" ref="K5">_xlfn.LET(
  _xlpm.idx, (ROW()-3)*16 + K$1,
  _xlpm.r, MOD(_xlpm.idx, SpriteCount),
  INDEX(
    sprite_data.asm!$B$3:$Q$156,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sprite_data.asm!$B$3:$Q$156,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sprite_data.asm!$B$3:$Q$156,
    INT(_xlpm.idx / SpriteCount) * 7 + INT(_xlpm.r / 16) + 1,
    MOD(_xlpm.r, 16) + 1
  )
)</f>
        <v>40</v>
      </c>
      <c r="N5" t="str" cm="1">
        <f t="array" ref="N5">_xlfn.LET(
  _xlpm.idx, (ROW()-3)*16 + N$1,
  _xlpm.r, MOD(_xlpm.idx, SpriteCount),
  INDEX(
    sprite_data.asm!$B$3:$Q$156,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sprite_data.asm!$B$3:$Q$156,
    INT(_xlpm.idx / SpriteCount) * 7 + INT(_xlpm.r / 16) + 1,
    MOD(_xlpm.r, 16) + 1
  )
)</f>
        <v>10</v>
      </c>
      <c r="P5" t="str" cm="1">
        <f t="array" ref="P5">_xlfn.LET(
  _xlpm.idx, (ROW()-3)*16 + P$1,
  _xlpm.r, MOD(_xlpm.idx, SpriteCount),
  INDEX(
    sprite_data.asm!$B$3:$Q$156,
    INT(_xlpm.idx / SpriteCount) * 7 + INT(_xlpm.r / 16) + 1,
    MOD(_xlpm.r, 16) + 1
  )
)</f>
        <v>02</v>
      </c>
      <c r="Q5" t="str" cm="1">
        <f t="array" ref="Q5">_xlfn.LET(
  _xlpm.idx, (ROW()-3)*16 + Q$1,
  _xlpm.r, MOD(_xlpm.idx, SpriteCount),
  INDEX(
    sprite_data.asm!$B$3:$Q$156,
    INT(_xlpm.idx / SpriteCount) * 7 + INT(_xlpm.r / 16) + 1,
    MOD(_xlpm.r, 16) + 1
  )
)</f>
        <v>20</v>
      </c>
      <c r="R5" t="str" cm="1">
        <f t="array" ref="R5">_xlfn.LET(
  _xlpm.idx, (ROW()-3)*16 + R$1,
  _xlpm.r, MOD(_xlpm.idx, SpriteCount),
  INDEX(
    sprite_data.asm!$B$3:$Q$156,
    INT(_xlpm.idx / SpriteCount) * 7 + INT(_xlpm.r / 16) + 1,
    MOD(_xlpm.r, 16) + 1
  )
)</f>
        <v>08</v>
      </c>
    </row>
    <row r="6" spans="1:20" x14ac:dyDescent="0.45">
      <c r="A6">
        <f t="shared" si="2"/>
        <v>44336</v>
      </c>
      <c r="B6" s="32" t="str">
        <f t="shared" si="3"/>
        <v>AD30</v>
      </c>
      <c r="C6" t="str" cm="1">
        <f t="array" ref="C6">_xlfn.LET(
  _xlpm.idx, (ROW()-3)*16 + C$1,
  _xlpm.r, MOD(_xlpm.idx, SpriteCount),
  INDEX(
    sprite_data.asm!$B$3:$Q$156,
    INT(_xlpm.idx / SpriteCount) * 7 + INT(_xlpm.r / 16) + 1,
    MOD(_xlpm.r, 16) + 1
  )
)</f>
        <v>02</v>
      </c>
      <c r="D6" t="str" cm="1">
        <f t="array" ref="D6">_xlfn.LET(
  _xlpm.idx, (ROW()-3)*16 + D$1,
  _xlpm.r, MOD(_xlpm.idx, SpriteCount),
  INDEX(
    sprite_data.asm!$B$3:$Q$156,
    INT(_xlpm.idx / SpriteCount) * 7 + INT(_xlpm.r / 16) + 1,
    MOD(_xlpm.r, 16) + 1
  )
)</f>
        <v>08</v>
      </c>
      <c r="E6" t="str" cm="1">
        <f t="array" ref="E6">_xlfn.LET(
  _xlpm.idx, (ROW()-3)*16 + E$1,
  _xlpm.r, MOD(_xlpm.idx, SpriteCount),
  INDEX(
    sprite_data.asm!$B$3:$Q$156,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sprite_data.asm!$B$3:$Q$156,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sprite_data.asm!$B$3:$Q$156,
    INT(_xlpm.idx / SpriteCount) * 7 + INT(_xlpm.r / 16) + 1,
    MOD(_xlpm.r, 16) + 1
  )
)</f>
        <v>20</v>
      </c>
      <c r="H6" t="str" cm="1">
        <f t="array" ref="H6">_xlfn.LET(
  _xlpm.idx, (ROW()-3)*16 + H$1,
  _xlpm.r, MOD(_xlpm.idx, SpriteCount),
  INDEX(
    sprite_data.asm!$B$3:$Q$156,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sprite_data.asm!$B$3:$Q$156,
    INT(_xlpm.idx / SpriteCount) * 7 + INT(_xlpm.r / 16) + 1,
    MOD(_xlpm.r, 16) + 1
  )
)</f>
        <v>22</v>
      </c>
      <c r="J6" t="str" cm="1">
        <f t="array" ref="J6">_xlfn.LET(
  _xlpm.idx, (ROW()-3)*16 + J$1,
  _xlpm.r, MOD(_xlpm.idx, SpriteCount),
  INDEX(
    sprite_data.asm!$B$3:$Q$156,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sprite_data.asm!$B$3:$Q$156,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sprite_data.asm!$B$3:$Q$156,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sprite_data.asm!$B$3:$Q$156,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sprite_data.asm!$B$3:$Q$156,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sprite_data.asm!$B$3:$Q$156,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sprite_data.asm!$B$3:$Q$156,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sprite_data.asm!$B$3:$Q$156,
    INT(_xlpm.idx / SpriteCount) * 7 + INT(_xlpm.r / 16) + 1,
    MOD(_xlpm.r, 16) + 1
  )
)</f>
        <v>00</v>
      </c>
      <c r="R6" t="str" cm="1">
        <f t="array" ref="R6">_xlfn.LET(
  _xlpm.idx, (ROW()-3)*16 + R$1,
  _xlpm.r, MOD(_xlpm.idx, SpriteCount),
  INDEX(
    sprite_data.asm!$B$3:$Q$156,
    INT(_xlpm.idx / SpriteCount) * 7 + INT(_xlpm.r / 16) + 1,
    MOD(_xlpm.r, 16) + 1
  )
)</f>
        <v>00</v>
      </c>
    </row>
    <row r="7" spans="1:20" x14ac:dyDescent="0.45">
      <c r="A7">
        <f t="shared" si="2"/>
        <v>44352</v>
      </c>
      <c r="B7" s="32" t="str">
        <f t="shared" si="3"/>
        <v>AD40</v>
      </c>
      <c r="C7" t="str" cm="1">
        <f t="array" ref="C7">_xlfn.LET(
  _xlpm.idx, (ROW()-3)*16 + C$1,
  _xlpm.r, MOD(_xlpm.idx, SpriteCount),
  INDEX(
    sprite_data.asm!$B$3:$Q$156,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sprite_data.asm!$B$3:$Q$156,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sprite_data.asm!$B$3:$Q$156,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sprite_data.asm!$B$3:$Q$156,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sprite_data.asm!$B$3:$Q$156,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sprite_data.asm!$B$3:$Q$156,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sprite_data.asm!$B$3:$Q$156,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sprite_data.asm!$B$3:$Q$156,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sprite_data.asm!$B$3:$Q$156,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sprite_data.asm!$B$3:$Q$156,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sprite_data.asm!$B$3:$Q$156,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sprite_data.asm!$B$3:$Q$156,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sprite_data.asm!$B$3:$Q$156,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sprite_data.asm!$B$3:$Q$156,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sprite_data.asm!$B$3:$Q$156,
    INT(_xlpm.idx / SpriteCount) * 7 + INT(_xlpm.r / 16) + 1,
    MOD(_xlpm.r, 16) + 1
  )
)</f>
        <v>00</v>
      </c>
      <c r="R7" t="str" cm="1">
        <f t="array" ref="R7">_xlfn.LET(
  _xlpm.idx, (ROW()-3)*16 + R$1,
  _xlpm.r, MOD(_xlpm.idx, SpriteCount),
  INDEX(
    sprite_data.asm!$B$3:$Q$156,
    INT(_xlpm.idx / SpriteCount) * 7 + INT(_xlpm.r / 16) + 1,
    MOD(_xlpm.r, 16) + 1
  )
)</f>
        <v>00</v>
      </c>
    </row>
    <row r="8" spans="1:20" x14ac:dyDescent="0.45">
      <c r="A8">
        <f t="shared" si="2"/>
        <v>44368</v>
      </c>
      <c r="B8" s="32" t="str">
        <f t="shared" si="3"/>
        <v>AD50</v>
      </c>
      <c r="C8" t="str" cm="1">
        <f t="array" ref="C8">_xlfn.LET(
  _xlpm.idx, (ROW()-3)*16 + C$1,
  _xlpm.r, MOD(_xlpm.idx, SpriteCount),
  INDEX(
    sprite_data.asm!$B$3:$Q$156,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sprite_data.asm!$B$3:$Q$156,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sprite_data.asm!$B$3:$Q$156,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sprite_data.asm!$B$3:$Q$156,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sprite_data.asm!$B$3:$Q$156,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sprite_data.asm!$B$3:$Q$156,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sprite_data.asm!$B$3:$Q$156,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sprite_data.asm!$B$3:$Q$156,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sprite_data.asm!$B$3:$Q$156,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sprite_data.asm!$B$3:$Q$156,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sprite_data.asm!$B$3:$Q$156,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sprite_data.asm!$B$3:$Q$156,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sprite_data.asm!$B$3:$Q$156,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sprite_data.asm!$B$3:$Q$156,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sprite_data.asm!$B$3:$Q$156,
    INT(_xlpm.idx / SpriteCount) * 7 + INT(_xlpm.r / 16) + 1,
    MOD(_xlpm.r, 16) + 1
  )
)</f>
        <v>00</v>
      </c>
      <c r="R8" t="str" cm="1">
        <f t="array" ref="R8">_xlfn.LET(
  _xlpm.idx, (ROW()-3)*16 + R$1,
  _xlpm.r, MOD(_xlpm.idx, SpriteCount),
  INDEX(
    sprite_data.asm!$B$3:$Q$156,
    INT(_xlpm.idx / SpriteCount) * 7 + INT(_xlpm.r / 16) + 1,
    MOD(_xlpm.r, 16) + 1
  )
)</f>
        <v>00</v>
      </c>
    </row>
    <row r="9" spans="1:20" x14ac:dyDescent="0.45">
      <c r="A9">
        <f t="shared" si="2"/>
        <v>44384</v>
      </c>
      <c r="B9" s="32" t="str">
        <f t="shared" si="3"/>
        <v>AD60</v>
      </c>
      <c r="C9" t="str" cm="1">
        <f t="array" ref="C9">_xlfn.LET(
  _xlpm.idx, (ROW()-3)*16 + C$1,
  _xlpm.r, MOD(_xlpm.idx, SpriteCount),
  INDEX(
    sprite_data.asm!$B$3:$Q$156,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sprite_data.asm!$B$3:$Q$156,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sprite_data.asm!$B$3:$Q$156,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sprite_data.asm!$B$3:$Q$156,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sprite_data.asm!$B$3:$Q$156,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sprite_data.asm!$B$3:$Q$156,
    INT(_xlpm.idx / SpriteCount) * 7 + INT(_xlpm.r / 16) + 1,
    MOD(_xlpm.r, 16) + 1
  )
)</f>
        <v>00</v>
      </c>
      <c r="I9" t="str" cm="1">
        <f t="array" ref="I9">_xlfn.LET(
  _xlpm.idx, (ROW()-3)*16 + I$1,
  _xlpm.r, MOD(_xlpm.idx, SpriteCount),
  INDEX(
    sprite_data.asm!$B$3:$Q$156,
    INT(_xlpm.idx / SpriteCount) * 7 + INT(_xlpm.r / 16) + 1,
    MOD(_xlpm.r, 16) + 1
  )
)</f>
        <v>02</v>
      </c>
      <c r="J9" t="str" cm="1">
        <f t="array" ref="J9">_xlfn.LET(
  _xlpm.idx, (ROW()-3)*16 + J$1,
  _xlpm.r, MOD(_xlpm.idx, SpriteCount),
  INDEX(
    sprite_data.asm!$B$3:$Q$156,
    INT(_xlpm.idx / SpriteCount) * 7 + INT(_xlpm.r / 16) + 1,
    MOD(_xlpm.r, 16) + 1
  )
)</f>
        <v>03</v>
      </c>
      <c r="K9" t="str" cm="1">
        <f t="array" ref="K9">_xlfn.LET(
  _xlpm.idx, (ROW()-3)*16 + K$1,
  _xlpm.r, MOD(_xlpm.idx, SpriteCount),
  INDEX(
    sprite_data.asm!$B$3:$Q$156,
    INT(_xlpm.idx / SpriteCount) * 7 + INT(_xlpm.r / 16) + 1,
    MOD(_xlpm.r, 16) + 1
  )
)</f>
        <v>00</v>
      </c>
      <c r="L9" t="str" cm="1">
        <f t="array" ref="L9">_xlfn.LET(
  _xlpm.idx, (ROW()-3)*16 + L$1,
  _xlpm.r, MOD(_xlpm.idx, SpriteCount),
  INDEX(
    sprite_data.asm!$B$3:$Q$156,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sprite_data.asm!$B$3:$Q$156,
    INT(_xlpm.idx / SpriteCount) * 7 + INT(_xlpm.r / 16) + 1,
    MOD(_xlpm.r, 16) + 1
  )
)</f>
        <v>02</v>
      </c>
      <c r="N9" t="str" cm="1">
        <f t="array" ref="N9">_xlfn.LET(
  _xlpm.idx, (ROW()-3)*16 + N$1,
  _xlpm.r, MOD(_xlpm.idx, SpriteCount),
  INDEX(
    sprite_data.asm!$B$3:$Q$156,
    INT(_xlpm.idx / SpriteCount) * 7 + INT(_xlpm.r / 16) + 1,
    MOD(_xlpm.r, 16) + 1
  )
)</f>
        <v>03</v>
      </c>
      <c r="O9" t="str" cm="1">
        <f t="array" ref="O9">_xlfn.LET(
  _xlpm.idx, (ROW()-3)*16 + O$1,
  _xlpm.r, MOD(_xlpm.idx, SpriteCount),
  INDEX(
    sprite_data.asm!$B$3:$Q$156,
    INT(_xlpm.idx / SpriteCount) * 7 + INT(_xlpm.r / 16) + 1,
    MOD(_xlpm.r, 16) + 1
  )
)</f>
        <v>00</v>
      </c>
      <c r="P9" t="str" cm="1">
        <f t="array" ref="P9">_xlfn.LET(
  _xlpm.idx, (ROW()-3)*16 + P$1,
  _xlpm.r, MOD(_xlpm.idx, SpriteCount),
  INDEX(
    sprite_data.asm!$B$3:$Q$156,
    INT(_xlpm.idx / SpriteCount) * 7 + INT(_xlpm.r / 16) + 1,
    MOD(_xlpm.r, 16) + 1
  )
)</f>
        <v>02</v>
      </c>
      <c r="Q9" t="str" cm="1">
        <f t="array" ref="Q9">_xlfn.LET(
  _xlpm.idx, (ROW()-3)*16 + Q$1,
  _xlpm.r, MOD(_xlpm.idx, SpriteCount),
  INDEX(
    sprite_data.asm!$B$3:$Q$156,
    INT(_xlpm.idx / SpriteCount) * 7 + INT(_xlpm.r / 16) + 1,
    MOD(_xlpm.r, 16) + 1
  )
)</f>
        <v>00</v>
      </c>
      <c r="R9" t="str" cm="1">
        <f t="array" ref="R9">_xlfn.LET(
  _xlpm.idx, (ROW()-3)*16 + R$1,
  _xlpm.r, MOD(_xlpm.idx, SpriteCount),
  INDEX(
    sprite_data.asm!$B$3:$Q$156,
    INT(_xlpm.idx / SpriteCount) * 7 + INT(_xlpm.r / 16) + 1,
    MOD(_xlpm.r, 16) + 1
  )
)</f>
        <v>00</v>
      </c>
    </row>
    <row r="10" spans="1:20" x14ac:dyDescent="0.45">
      <c r="A10">
        <f t="shared" si="2"/>
        <v>44400</v>
      </c>
      <c r="B10" s="32" t="str">
        <f t="shared" si="3"/>
        <v>AD70</v>
      </c>
      <c r="C10" t="str" cm="1">
        <f t="array" ref="C10">_xlfn.LET(
  _xlpm.idx, (ROW()-3)*16 + C$1,
  _xlpm.r, MOD(_xlpm.idx, SpriteCount),
  INDEX(
    sprite_data.asm!$B$3:$Q$156,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sprite_data.asm!$B$3:$Q$156,
    INT(_xlpm.idx / SpriteCount) * 7 + INT(_xlpm.r / 16) + 1,
    MOD(_xlpm.r, 16) + 1
  )
)</f>
        <v>00</v>
      </c>
      <c r="E10" t="str" cm="1">
        <f t="array" ref="E10">_xlfn.LET(
  _xlpm.idx, (ROW()-3)*16 + E$1,
  _xlpm.r, MOD(_xlpm.idx, SpriteCount),
  INDEX(
    sprite_data.asm!$B$3:$Q$156,
    INT(_xlpm.idx / SpriteCount) * 7 + INT(_xlpm.r / 16) + 1,
    MOD(_xlpm.r, 16) + 1
  )
)</f>
        <v>07</v>
      </c>
      <c r="F10" t="str" cm="1">
        <f t="array" ref="F10">_xlfn.LET(
  _xlpm.idx, (ROW()-3)*16 + F$1,
  _xlpm.r, MOD(_xlpm.idx, SpriteCount),
  INDEX(
    sprite_data.asm!$B$3:$Q$156,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sprite_data.asm!$B$3:$Q$156,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sprite_data.asm!$B$3:$Q$156,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sprite_data.asm!$B$3:$Q$156,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sprite_data.asm!$B$3:$Q$156,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sprite_data.asm!$B$3:$Q$156,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sprite_data.asm!$B$3:$Q$156,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sprite_data.asm!$B$3:$Q$156,
    INT(_xlpm.idx / SpriteCount) * 7 + INT(_xlpm.r / 16) + 1,
    MOD(_xlpm.r, 16) + 1
  )
)</f>
        <v>00</v>
      </c>
      <c r="N10" t="str" cm="1">
        <f t="array" ref="N10">_xlfn.LET(
  _xlpm.idx, (ROW()-3)*16 + N$1,
  _xlpm.r, MOD(_xlpm.idx, SpriteCount),
  INDEX(
    sprite_data.asm!$B$3:$Q$156,
    INT(_xlpm.idx / SpriteCount) * 7 + INT(_xlpm.r / 16) + 1,
    MOD(_xlpm.r, 16) + 1
  )
)</f>
        <v>06</v>
      </c>
      <c r="O10" t="str" cm="1">
        <f t="array" ref="O10">_xlfn.LET(
  _xlpm.idx, (ROW()-3)*16 + O$1,
  _xlpm.r, MOD(_xlpm.idx, SpriteCount),
  INDEX(
    sprite_data.asm!$B$3:$Q$156,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sprite_data.asm!$B$3:$Q$156,
    INT(_xlpm.idx / SpriteCount) * 7 + INT(_xlpm.r / 16) + 1,
    MOD(_xlpm.r, 16) + 1
  )
)</f>
        <v>03</v>
      </c>
      <c r="Q10" t="str" cm="1">
        <f t="array" ref="Q10">_xlfn.LET(
  _xlpm.idx, (ROW()-3)*16 + Q$1,
  _xlpm.r, MOD(_xlpm.idx, SpriteCount),
  INDEX(
    sprite_data.asm!$B$3:$Q$156,
    INT(_xlpm.idx / SpriteCount) * 7 + INT(_xlpm.r / 16) + 1,
    MOD(_xlpm.r, 16) + 1
  )
)</f>
        <v>00</v>
      </c>
      <c r="R10" t="str" cm="1">
        <f t="array" ref="R10">_xlfn.LET(
  _xlpm.idx, (ROW()-3)*16 + R$1,
  _xlpm.r, MOD(_xlpm.idx, SpriteCount),
  INDEX(
    sprite_data.asm!$B$3:$Q$156,
    INT(_xlpm.idx / SpriteCount) * 7 + INT(_xlpm.r / 16) + 1,
    MOD(_xlpm.r, 16) + 1
  )
)</f>
        <v>00</v>
      </c>
    </row>
    <row r="11" spans="1:20" x14ac:dyDescent="0.45">
      <c r="A11">
        <f t="shared" si="2"/>
        <v>44416</v>
      </c>
      <c r="B11" s="32" t="str">
        <f t="shared" si="3"/>
        <v>AD80</v>
      </c>
      <c r="C11" t="str" cm="1">
        <f t="array" ref="C11">_xlfn.LET(
  _xlpm.idx, (ROW()-3)*16 + C$1,
  _xlpm.r, MOD(_xlpm.idx, SpriteCount),
  INDEX(
    sprite_data.asm!$B$3:$Q$156,
    INT(_xlpm.idx / SpriteCount) * 7 + INT(_xlpm.r / 16) + 1,
    MOD(_xlpm.r, 16) + 1
  )
)</f>
        <v>03</v>
      </c>
      <c r="D11" t="str" cm="1">
        <f t="array" ref="D11">_xlfn.LET(
  _xlpm.idx, (ROW()-3)*16 + D$1,
  _xlpm.r, MOD(_xlpm.idx, SpriteCount),
  INDEX(
    sprite_data.asm!$B$3:$Q$156,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sprite_data.asm!$B$3:$Q$156,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sprite_data.asm!$B$3:$Q$156,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sprite_data.asm!$B$3:$Q$156,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sprite_data.asm!$B$3:$Q$156,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sprite_data.asm!$B$3:$Q$156,
    INT(_xlpm.idx / SpriteCount) * 7 + INT(_xlpm.r / 16) + 1,
    MOD(_xlpm.r, 16) + 1
  )
)</f>
        <v>00</v>
      </c>
      <c r="J11" t="str" cm="1">
        <f t="array" ref="J11">_xlfn.LET(
  _xlpm.idx, (ROW()-3)*16 + J$1,
  _xlpm.r, MOD(_xlpm.idx, SpriteCount),
  INDEX(
    sprite_data.asm!$B$3:$Q$156,
    INT(_xlpm.idx / SpriteCount) * 7 + INT(_xlpm.r / 16) + 1,
    MOD(_xlpm.r, 16) + 1
  )
)</f>
        <v>02</v>
      </c>
      <c r="K11" t="str" cm="1">
        <f t="array" ref="K11">_xlfn.LET(
  _xlpm.idx, (ROW()-3)*16 + K$1,
  _xlpm.r, MOD(_xlpm.idx, SpriteCount),
  INDEX(
    sprite_data.asm!$B$3:$Q$156,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sprite_data.asm!$B$3:$Q$156,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sprite_data.asm!$B$3:$Q$156,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sprite_data.asm!$B$3:$Q$156,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sprite_data.asm!$B$3:$Q$156,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sprite_data.asm!$B$3:$Q$156,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sprite_data.asm!$B$3:$Q$156,
    INT(_xlpm.idx / SpriteCount) * 7 + INT(_xlpm.r / 16) + 1,
    MOD(_xlpm.r, 16) + 1
  )
)</f>
        <v>00</v>
      </c>
      <c r="R11" t="str" cm="1">
        <f t="array" ref="R11">_xlfn.LET(
  _xlpm.idx, (ROW()-3)*16 + R$1,
  _xlpm.r, MOD(_xlpm.idx, SpriteCount),
  INDEX(
    sprite_data.asm!$B$3:$Q$156,
    INT(_xlpm.idx / SpriteCount) * 7 + INT(_xlpm.r / 16) + 1,
    MOD(_xlpm.r, 16) + 1
  )
)</f>
        <v>00</v>
      </c>
    </row>
    <row r="12" spans="1:20" x14ac:dyDescent="0.45">
      <c r="A12">
        <f t="shared" ref="A12:A30" si="4">A11+16</f>
        <v>44432</v>
      </c>
      <c r="B12" s="32" t="str">
        <f t="shared" ref="B12:B30" si="5">DEC2HEX(HEX2DEC(B11)+16)</f>
        <v>AD90</v>
      </c>
      <c r="C12" t="str" cm="1">
        <f t="array" ref="C12">_xlfn.LET(
  _xlpm.idx, (ROW()-3)*16 + C$1,
  _xlpm.r, MOD(_xlpm.idx, SpriteCount),
  INDEX(
    sprite_data.asm!$B$3:$Q$156,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sprite_data.asm!$B$3:$Q$156,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sprite_data.asm!$B$3:$Q$156,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sprite_data.asm!$B$3:$Q$156,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sprite_data.asm!$B$3:$Q$156,
    INT(_xlpm.idx / SpriteCount) * 7 + INT(_xlpm.r / 16) + 1,
    MOD(_xlpm.r, 16) + 1
  )
)</f>
        <v>00</v>
      </c>
      <c r="H12" t="str" cm="1">
        <f t="array" ref="H12">_xlfn.LET(
  _xlpm.idx, (ROW()-3)*16 + H$1,
  _xlpm.r, MOD(_xlpm.idx, SpriteCount),
  INDEX(
    sprite_data.asm!$B$3:$Q$156,
    INT(_xlpm.idx / SpriteCount) * 7 + INT(_xlpm.r / 16) + 1,
    MOD(_xlpm.r, 16) + 1
  )
)</f>
        <v>01</v>
      </c>
      <c r="I12" t="str" cm="1">
        <f t="array" ref="I12">_xlfn.LET(
  _xlpm.idx, (ROW()-3)*16 + I$1,
  _xlpm.r, MOD(_xlpm.idx, SpriteCount),
  INDEX(
    sprite_data.asm!$B$3:$Q$156,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sprite_data.asm!$B$3:$Q$156,
    INT(_xlpm.idx / SpriteCount) * 7 + INT(_xlpm.r / 16) + 1,
    MOD(_xlpm.r, 16) + 1
  )
)</f>
        <v>00</v>
      </c>
      <c r="K12" t="str" cm="1">
        <f t="array" ref="K12">_xlfn.LET(
  _xlpm.idx, (ROW()-3)*16 + K$1,
  _xlpm.r, MOD(_xlpm.idx, SpriteCount),
  INDEX(
    sprite_data.asm!$B$3:$Q$156,
    INT(_xlpm.idx / SpriteCount) * 7 + INT(_xlpm.r / 16) + 1,
    MOD(_xlpm.r, 16) + 1
  )
)</f>
        <v>01</v>
      </c>
      <c r="L12" t="str" cm="1">
        <f t="array" ref="L12">_xlfn.LET(
  _xlpm.idx, (ROW()-3)*16 + L$1,
  _xlpm.r, MOD(_xlpm.idx, SpriteCount),
  INDEX(
    sprite_data.asm!$B$3:$Q$156,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sprite_data.asm!$B$3:$Q$156,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sprite_data.asm!$B$3:$Q$156,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sprite_data.asm!$B$3:$Q$156,
    INT(_xlpm.idx / SpriteCount) * 7 + INT(_xlpm.r / 16) + 1,
    MOD(_xlpm.r, 16) + 1
  )
)</f>
        <v>00</v>
      </c>
      <c r="P12" t="str" cm="1">
        <f t="array" ref="P12">_xlfn.LET(
  _xlpm.idx, (ROW()-3)*16 + P$1,
  _xlpm.r, MOD(_xlpm.idx, SpriteCount),
  INDEX(
    sprite_data.asm!$B$3:$Q$156,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sprite_data.asm!$B$3:$Q$156,
    INT(_xlpm.idx / SpriteCount) * 7 + INT(_xlpm.r / 16) + 1,
    MOD(_xlpm.r, 16) + 1
  )
)</f>
        <v>04</v>
      </c>
      <c r="R12" t="str" cm="1">
        <f t="array" ref="R12">_xlfn.LET(
  _xlpm.idx, (ROW()-3)*16 + R$1,
  _xlpm.r, MOD(_xlpm.idx, SpriteCount),
  INDEX(
    sprite_data.asm!$B$3:$Q$156,
    INT(_xlpm.idx / SpriteCount) * 7 + INT(_xlpm.r / 16) + 1,
    MOD(_xlpm.r, 16) + 1
  )
)</f>
        <v>00</v>
      </c>
    </row>
    <row r="13" spans="1:20" x14ac:dyDescent="0.45">
      <c r="A13">
        <f t="shared" si="4"/>
        <v>44448</v>
      </c>
      <c r="B13" s="32" t="str">
        <f t="shared" si="5"/>
        <v>ADA0</v>
      </c>
      <c r="C13" t="str" cm="1">
        <f t="array" ref="C13">_xlfn.LET(
  _xlpm.idx, (ROW()-3)*16 + C$1,
  _xlpm.r, MOD(_xlpm.idx, SpriteCount),
  INDEX(
    sprite_data.asm!$B$3:$Q$156,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sprite_data.asm!$B$3:$Q$156,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sprite_data.asm!$B$3:$Q$156,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sprite_data.asm!$B$3:$Q$156,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sprite_data.asm!$B$3:$Q$156,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sprite_data.asm!$B$3:$Q$156,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sprite_data.asm!$B$3:$Q$156,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sprite_data.asm!$B$3:$Q$156,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sprite_data.asm!$B$3:$Q$156,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sprite_data.asm!$B$3:$Q$156,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sprite_data.asm!$B$3:$Q$156,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sprite_data.asm!$B$3:$Q$156,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sprite_data.asm!$B$3:$Q$156,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sprite_data.asm!$B$3:$Q$156,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sprite_data.asm!$B$3:$Q$156,
    INT(_xlpm.idx / SpriteCount) * 7 + INT(_xlpm.r / 16) + 1,
    MOD(_xlpm.r, 16) + 1
  )
)</f>
        <v>00</v>
      </c>
      <c r="R13" t="str" cm="1">
        <f t="array" ref="R13">_xlfn.LET(
  _xlpm.idx, (ROW()-3)*16 + R$1,
  _xlpm.r, MOD(_xlpm.idx, SpriteCount),
  INDEX(
    sprite_data.asm!$B$3:$Q$156,
    INT(_xlpm.idx / SpriteCount) * 7 + INT(_xlpm.r / 16) + 1,
    MOD(_xlpm.r, 16) + 1
  )
)</f>
        <v>00</v>
      </c>
    </row>
    <row r="14" spans="1:20" x14ac:dyDescent="0.45">
      <c r="A14">
        <f t="shared" si="4"/>
        <v>44464</v>
      </c>
      <c r="B14" s="32" t="str">
        <f t="shared" si="5"/>
        <v>ADB0</v>
      </c>
      <c r="C14" t="str" cm="1">
        <f t="array" ref="C14">_xlfn.LET(
  _xlpm.idx, (ROW()-3)*16 + C$1,
  _xlpm.r, MOD(_xlpm.idx, SpriteCount),
  INDEX(
    sprite_data.asm!$B$3:$Q$156,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sprite_data.asm!$B$3:$Q$156,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sprite_data.asm!$B$3:$Q$156,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sprite_data.asm!$B$3:$Q$156,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sprite_data.asm!$B$3:$Q$156,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sprite_data.asm!$B$3:$Q$156,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sprite_data.asm!$B$3:$Q$156,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sprite_data.asm!$B$3:$Q$156,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sprite_data.asm!$B$3:$Q$156,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sprite_data.asm!$B$3:$Q$156,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sprite_data.asm!$B$3:$Q$156,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sprite_data.asm!$B$3:$Q$156,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sprite_data.asm!$B$3:$Q$156,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sprite_data.asm!$B$3:$Q$156,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sprite_data.asm!$B$3:$Q$156,
    INT(_xlpm.idx / SpriteCount) * 7 + INT(_xlpm.r / 16) + 1,
    MOD(_xlpm.r, 16) + 1
  )
)</f>
        <v>00</v>
      </c>
      <c r="R14" t="str" cm="1">
        <f t="array" ref="R14">_xlfn.LET(
  _xlpm.idx, (ROW()-3)*16 + R$1,
  _xlpm.r, MOD(_xlpm.idx, SpriteCount),
  INDEX(
    sprite_data.asm!$B$3:$Q$156,
    INT(_xlpm.idx / SpriteCount) * 7 + INT(_xlpm.r / 16) + 1,
    MOD(_xlpm.r, 16) + 1
  )
)</f>
        <v>00</v>
      </c>
    </row>
    <row r="15" spans="1:20" x14ac:dyDescent="0.45">
      <c r="A15">
        <f t="shared" si="4"/>
        <v>44480</v>
      </c>
      <c r="B15" s="32" t="str">
        <f t="shared" si="5"/>
        <v>ADC0</v>
      </c>
      <c r="C15" t="str" cm="1">
        <f t="array" ref="C15">_xlfn.LET(
  _xlpm.idx, (ROW()-3)*16 + C$1,
  _xlpm.r, MOD(_xlpm.idx, SpriteCount),
  INDEX(
    sprite_data.asm!$B$3:$Q$156,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sprite_data.asm!$B$3:$Q$156,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sprite_data.asm!$B$3:$Q$156,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sprite_data.asm!$B$3:$Q$156,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sprite_data.asm!$B$3:$Q$156,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sprite_data.asm!$B$3:$Q$156,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sprite_data.asm!$B$3:$Q$156,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sprite_data.asm!$B$3:$Q$156,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sprite_data.asm!$B$3:$Q$156,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sprite_data.asm!$B$3:$Q$156,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sprite_data.asm!$B$3:$Q$156,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sprite_data.asm!$B$3:$Q$156,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sprite_data.asm!$B$3:$Q$156,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sprite_data.asm!$B$3:$Q$156,
    INT(_xlpm.idx / SpriteCount) * 7 + INT(_xlpm.r / 16) + 1,
    MOD(_xlpm.r, 16) + 1
  )
)</f>
        <v>00</v>
      </c>
      <c r="Q15" t="str" cm="1">
        <f t="array" ref="Q15">_xlfn.LET(
  _xlpm.idx, (ROW()-3)*16 + Q$1,
  _xlpm.r, MOD(_xlpm.idx, SpriteCount),
  INDEX(
    sprite_data.asm!$B$3:$Q$156,
    INT(_xlpm.idx / SpriteCount) * 7 + INT(_xlpm.r / 16) + 1,
    MOD(_xlpm.r, 16) + 1
  )
)</f>
        <v>06</v>
      </c>
      <c r="R15" t="str" cm="1">
        <f t="array" ref="R15">_xlfn.LET(
  _xlpm.idx, (ROW()-3)*16 + R$1,
  _xlpm.r, MOD(_xlpm.idx, SpriteCount),
  INDEX(
    sprite_data.asm!$B$3:$Q$156,
    INT(_xlpm.idx / SpriteCount) * 7 + INT(_xlpm.r / 16) + 1,
    MOD(_xlpm.r, 16) + 1
  )
)</f>
        <v>00</v>
      </c>
    </row>
    <row r="16" spans="1:20" x14ac:dyDescent="0.45">
      <c r="A16">
        <f t="shared" si="4"/>
        <v>44496</v>
      </c>
      <c r="B16" s="32" t="str">
        <f t="shared" si="5"/>
        <v>ADD0</v>
      </c>
      <c r="C16" t="str" cm="1">
        <f t="array" ref="C16">_xlfn.LET(
  _xlpm.idx, (ROW()-3)*16 + C$1,
  _xlpm.r, MOD(_xlpm.idx, SpriteCount),
  INDEX(
    sprite_data.asm!$B$3:$Q$156,
    INT(_xlpm.idx / SpriteCount) * 7 + INT(_xlpm.r / 16) + 1,
    MOD(_xlpm.r, 16) + 1
  )
)</f>
        <v>00</v>
      </c>
      <c r="D16" t="str" cm="1">
        <f t="array" ref="D16">_xlfn.LET(
  _xlpm.idx, (ROW()-3)*16 + D$1,
  _xlpm.r, MOD(_xlpm.idx, SpriteCount),
  INDEX(
    sprite_data.asm!$B$3:$Q$156,
    INT(_xlpm.idx / SpriteCount) * 7 + INT(_xlpm.r / 16) + 1,
    MOD(_xlpm.r, 16) + 1
  )
)</f>
        <v>15</v>
      </c>
      <c r="E16" t="str" cm="1">
        <f t="array" ref="E16">_xlfn.LET(
  _xlpm.idx, (ROW()-3)*16 + E$1,
  _xlpm.r, MOD(_xlpm.idx, SpriteCount),
  INDEX(
    sprite_data.asm!$B$3:$Q$156,
    INT(_xlpm.idx / SpriteCount) * 7 + INT(_xlpm.r / 16) + 1,
    MOD(_xlpm.r, 16) + 1
  )
)</f>
        <v>55</v>
      </c>
      <c r="F16" t="str" cm="1">
        <f t="array" ref="F16">_xlfn.LET(
  _xlpm.idx, (ROW()-3)*16 + F$1,
  _xlpm.r, MOD(_xlpm.idx, SpriteCount),
  INDEX(
    sprite_data.asm!$B$3:$Q$156,
    INT(_xlpm.idx / SpriteCount) * 7 + INT(_xlpm.r / 16) + 1,
    MOD(_xlpm.r, 16) + 1
  )
)</f>
        <v>06</v>
      </c>
      <c r="G16" t="str" cm="1">
        <f t="array" ref="G16">_xlfn.LET(
  _xlpm.idx, (ROW()-3)*16 + G$1,
  _xlpm.r, MOD(_xlpm.idx, SpriteCount),
  INDEX(
    sprite_data.asm!$B$3:$Q$156,
    INT(_xlpm.idx / SpriteCount) * 7 + INT(_xlpm.r / 16) + 1,
    MOD(_xlpm.r, 16) + 1
  )
)</f>
        <v>7F</v>
      </c>
      <c r="H16" t="str" cm="1">
        <f t="array" ref="H16">_xlfn.LET(
  _xlpm.idx, (ROW()-3)*16 + H$1,
  _xlpm.r, MOD(_xlpm.idx, SpriteCount),
  INDEX(
    sprite_data.asm!$B$3:$Q$156,
    INT(_xlpm.idx / SpriteCount) * 7 + INT(_xlpm.r / 16) + 1,
    MOD(_xlpm.r, 16) + 1
  )
)</f>
        <v>55</v>
      </c>
      <c r="I16" t="str" cm="1">
        <f t="array" ref="I16">_xlfn.LET(
  _xlpm.idx, (ROW()-3)*16 + I$1,
  _xlpm.r, MOD(_xlpm.idx, SpriteCount),
  INDEX(
    sprite_data.asm!$B$3:$Q$156,
    INT(_xlpm.idx / SpriteCount) * 7 + INT(_xlpm.r / 16) + 1,
    MOD(_xlpm.r, 16) + 1
  )
)</f>
        <v>06</v>
      </c>
      <c r="J16" t="str" cm="1">
        <f t="array" ref="J16">_xlfn.LET(
  _xlpm.idx, (ROW()-3)*16 + J$1,
  _xlpm.r, MOD(_xlpm.idx, SpriteCount),
  INDEX(
    sprite_data.asm!$B$3:$Q$156,
    INT(_xlpm.idx / SpriteCount) * 7 + INT(_xlpm.r / 16) + 1,
    MOD(_xlpm.r, 16) + 1
  )
)</f>
        <v>00</v>
      </c>
      <c r="K16" t="str" cm="1">
        <f t="array" ref="K16">_xlfn.LET(
  _xlpm.idx, (ROW()-3)*16 + K$1,
  _xlpm.r, MOD(_xlpm.idx, SpriteCount),
  INDEX(
    sprite_data.asm!$B$3:$Q$156,
    INT(_xlpm.idx / SpriteCount) * 7 + INT(_xlpm.r / 16) + 1,
    MOD(_xlpm.r, 16) + 1
  )
)</f>
        <v>28</v>
      </c>
      <c r="L16" t="str" cm="1">
        <f t="array" ref="L16">_xlfn.LET(
  _xlpm.idx, (ROW()-3)*16 + L$1,
  _xlpm.r, MOD(_xlpm.idx, SpriteCount),
  INDEX(
    sprite_data.asm!$B$3:$Q$156,
    INT(_xlpm.idx / SpriteCount) * 7 + INT(_xlpm.r / 16) + 1,
    MOD(_xlpm.r, 16) + 1
  )
)</f>
        <v>60</v>
      </c>
      <c r="M16" t="str" cm="1">
        <f t="array" ref="M16">_xlfn.LET(
  _xlpm.idx, (ROW()-3)*16 + M$1,
  _xlpm.r, MOD(_xlpm.idx, SpriteCount),
  INDEX(
    sprite_data.asm!$B$3:$Q$156,
    INT(_xlpm.idx / SpriteCount) * 7 + INT(_xlpm.r / 16) + 1,
    MOD(_xlpm.r, 16) + 1
  )
)</f>
        <v>7F</v>
      </c>
      <c r="N16" t="str" cm="1">
        <f t="array" ref="N16">_xlfn.LET(
  _xlpm.idx, (ROW()-3)*16 + N$1,
  _xlpm.r, MOD(_xlpm.idx, SpriteCount),
  INDEX(
    sprite_data.asm!$B$3:$Q$156,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sprite_data.asm!$B$3:$Q$156,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sprite_data.asm!$B$3:$Q$156,
    INT(_xlpm.idx / SpriteCount) * 7 + INT(_xlpm.r / 16) + 1,
    MOD(_xlpm.r, 16) + 1
  )
)</f>
        <v>1C</v>
      </c>
      <c r="Q16" t="str" cm="1">
        <f t="array" ref="Q16">_xlfn.LET(
  _xlpm.idx, (ROW()-3)*16 + Q$1,
  _xlpm.r, MOD(_xlpm.idx, SpriteCount),
  INDEX(
    sprite_data.asm!$B$3:$Q$156,
    INT(_xlpm.idx / SpriteCount) * 7 + INT(_xlpm.r / 16) + 1,
    MOD(_xlpm.r, 16) + 1
  )
)</f>
        <v>30</v>
      </c>
      <c r="R16" t="str" cm="1">
        <f t="array" ref="R16">_xlfn.LET(
  _xlpm.idx, (ROW()-3)*16 + R$1,
  _xlpm.r, MOD(_xlpm.idx, SpriteCount),
  INDEX(
    sprite_data.asm!$B$3:$Q$156,
    INT(_xlpm.idx / SpriteCount) * 7 + INT(_xlpm.r / 16) + 1,
    MOD(_xlpm.r, 16) + 1
  )
)</f>
        <v>60</v>
      </c>
    </row>
    <row r="17" spans="1:18" x14ac:dyDescent="0.45">
      <c r="A17">
        <f t="shared" si="4"/>
        <v>44512</v>
      </c>
      <c r="B17" s="32" t="str">
        <f t="shared" si="5"/>
        <v>ADE0</v>
      </c>
      <c r="C17" t="str" cm="1">
        <f t="array" ref="C17">_xlfn.LET(
  _xlpm.idx, (ROW()-3)*16 + C$1,
  _xlpm.r, MOD(_xlpm.idx, SpriteCount),
  INDEX(
    sprite_data.asm!$B$3:$Q$156,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sprite_data.asm!$B$3:$Q$156,
    INT(_xlpm.idx / SpriteCount) * 7 + INT(_xlpm.r / 16) + 1,
    MOD(_xlpm.r, 16) + 1
  )
)</f>
        <v>60</v>
      </c>
      <c r="E17" t="str" cm="1">
        <f t="array" ref="E17">_xlfn.LET(
  _xlpm.idx, (ROW()-3)*16 + E$1,
  _xlpm.r, MOD(_xlpm.idx, SpriteCount),
  INDEX(
    sprite_data.asm!$B$3:$Q$156,
    INT(_xlpm.idx / SpriteCount) * 7 + INT(_xlpm.r / 16) + 1,
    MOD(_xlpm.r, 16) + 1
  )
)</f>
        <v>31</v>
      </c>
      <c r="F17" t="str" cm="1">
        <f t="array" ref="F17">_xlfn.LET(
  _xlpm.idx, (ROW()-3)*16 + F$1,
  _xlpm.r, MOD(_xlpm.idx, SpriteCount),
  INDEX(
    sprite_data.asm!$B$3:$Q$156,
    INT(_xlpm.idx / SpriteCount) * 7 + INT(_xlpm.r / 16) + 1,
    MOD(_xlpm.r, 16) + 1
  )
)</f>
        <v>76</v>
      </c>
      <c r="G17" t="str" cm="1">
        <f t="array" ref="G17">_xlfn.LET(
  _xlpm.idx, (ROW()-3)*16 + G$1,
  _xlpm.r, MOD(_xlpm.idx, SpriteCount),
  INDEX(
    sprite_data.asm!$B$3:$Q$156,
    INT(_xlpm.idx / SpriteCount) * 7 + INT(_xlpm.r / 16) + 1,
    MOD(_xlpm.r, 16) + 1
  )
)</f>
        <v>3B</v>
      </c>
      <c r="H17" t="str" cm="1">
        <f t="array" ref="H17">_xlfn.LET(
  _xlpm.idx, (ROW()-3)*16 + H$1,
  _xlpm.r, MOD(_xlpm.idx, SpriteCount),
  INDEX(
    sprite_data.asm!$B$3:$Q$156,
    INT(_xlpm.idx / SpriteCount) * 7 + INT(_xlpm.r / 16) + 1,
    MOD(_xlpm.r, 16) + 1
  )
)</f>
        <v>06</v>
      </c>
      <c r="I17" t="str" cm="1">
        <f t="array" ref="I17">_xlfn.LET(
  _xlpm.idx, (ROW()-3)*16 + I$1,
  _xlpm.r, MOD(_xlpm.idx, SpriteCount),
  INDEX(
    sprite_data.asm!$B$3:$Q$156,
    INT(_xlpm.idx / SpriteCount) * 7 + INT(_xlpm.r / 16) + 1,
    MOD(_xlpm.r, 16) + 1
  )
)</f>
        <v>60</v>
      </c>
      <c r="J17" t="str" cm="1">
        <f t="array" ref="J17">_xlfn.LET(
  _xlpm.idx, (ROW()-3)*16 + J$1,
  _xlpm.r, MOD(_xlpm.idx, SpriteCount),
  INDEX(
    sprite_data.asm!$B$3:$Q$156,
    INT(_xlpm.idx / SpriteCount) * 7 + INT(_xlpm.r / 16) + 1,
    MOD(_xlpm.r, 16) + 1
  )
)</f>
        <v>18</v>
      </c>
      <c r="K17" t="str" cm="1">
        <f t="array" ref="K17">_xlfn.LET(
  _xlpm.idx, (ROW()-3)*16 + K$1,
  _xlpm.r, MOD(_xlpm.idx, SpriteCount),
  INDEX(
    sprite_data.asm!$B$3:$Q$156,
    INT(_xlpm.idx / SpriteCount) * 7 + INT(_xlpm.r / 16) + 1,
    MOD(_xlpm.r, 16) + 1
  )
)</f>
        <v>06</v>
      </c>
      <c r="L17" t="str" cm="1">
        <f t="array" ref="L17">_xlfn.LET(
  _xlpm.idx, (ROW()-3)*16 + L$1,
  _xlpm.r, MOD(_xlpm.idx, SpriteCount),
  INDEX(
    sprite_data.asm!$B$3:$Q$156,
    INT(_xlpm.idx / SpriteCount) * 7 + INT(_xlpm.r / 16) + 1,
    MOD(_xlpm.r, 16) + 1
  )
)</f>
        <v>18</v>
      </c>
      <c r="M17" t="str" cm="1">
        <f t="array" ref="M17">_xlfn.LET(
  _xlpm.idx, (ROW()-3)*16 + M$1,
  _xlpm.r, MOD(_xlpm.idx, SpriteCount),
  INDEX(
    sprite_data.asm!$B$3:$Q$156,
    INT(_xlpm.idx / SpriteCount) * 7 + INT(_xlpm.r / 16) + 1,
    MOD(_xlpm.r, 16) + 1
  )
)</f>
        <v>60</v>
      </c>
      <c r="N17" t="str" cm="1">
        <f t="array" ref="N17">_xlfn.LET(
  _xlpm.idx, (ROW()-3)*16 + N$1,
  _xlpm.r, MOD(_xlpm.idx, SpriteCount),
  INDEX(
    sprite_data.asm!$B$3:$Q$156,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sprite_data.asm!$B$3:$Q$156,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sprite_data.asm!$B$3:$Q$156,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sprite_data.asm!$B$3:$Q$156,
    INT(_xlpm.idx / SpriteCount) * 7 + INT(_xlpm.r / 16) + 1,
    MOD(_xlpm.r, 16) + 1
  )
)</f>
        <v>00</v>
      </c>
      <c r="R17" t="str" cm="1">
        <f t="array" ref="R17">_xlfn.LET(
  _xlpm.idx, (ROW()-3)*16 + R$1,
  _xlpm.r, MOD(_xlpm.idx, SpriteCount),
  INDEX(
    sprite_data.asm!$B$3:$Q$156,
    INT(_xlpm.idx / SpriteCount) * 7 + INT(_xlpm.r / 16) + 1,
    MOD(_xlpm.r, 16) + 1
  )
)</f>
        <v>15</v>
      </c>
    </row>
    <row r="18" spans="1:18" x14ac:dyDescent="0.45">
      <c r="A18">
        <f t="shared" si="4"/>
        <v>44528</v>
      </c>
      <c r="B18" s="32" t="str">
        <f t="shared" si="5"/>
        <v>ADF0</v>
      </c>
      <c r="C18" t="str" cm="1">
        <f t="array" ref="C18">_xlfn.LET(
  _xlpm.idx, (ROW()-3)*16 + C$1,
  _xlpm.r, MOD(_xlpm.idx, SpriteCount),
  INDEX(
    sprite_data.asm!$B$3:$Q$156,
    INT(_xlpm.idx / SpriteCount) * 7 + INT(_xlpm.r / 16) + 1,
    MOD(_xlpm.r, 16) + 1
  )
)</f>
        <v>28</v>
      </c>
      <c r="D18" t="str" cm="1">
        <f t="array" ref="D18">_xlfn.LET(
  _xlpm.idx, (ROW()-3)*16 + D$1,
  _xlpm.r, MOD(_xlpm.idx, SpriteCount),
  INDEX(
    sprite_data.asm!$B$3:$Q$156,
    INT(_xlpm.idx / SpriteCount) * 7 + INT(_xlpm.r / 16) + 1,
    MOD(_xlpm.r, 16) + 1
  )
)</f>
        <v>20</v>
      </c>
      <c r="E18" t="str" cm="1">
        <f t="array" ref="E18">_xlfn.LET(
  _xlpm.idx, (ROW()-3)*16 + E$1,
  _xlpm.r, MOD(_xlpm.idx, SpriteCount),
  INDEX(
    sprite_data.asm!$B$3:$Q$156,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sprite_data.asm!$B$3:$Q$156,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sprite_data.asm!$B$3:$Q$156,
    INT(_xlpm.idx / SpriteCount) * 7 + INT(_xlpm.r / 16) + 1,
    MOD(_xlpm.r, 16) + 1
  )
)</f>
        <v>00</v>
      </c>
      <c r="H18" t="str" cm="1">
        <f t="array" ref="H18">_xlfn.LET(
  _xlpm.idx, (ROW()-3)*16 + H$1,
  _xlpm.r, MOD(_xlpm.idx, SpriteCount),
  INDEX(
    sprite_data.asm!$B$3:$Q$156,
    INT(_xlpm.idx / SpriteCount) * 7 + INT(_xlpm.r / 16) + 1,
    MOD(_xlpm.r, 16) + 1
  )
)</f>
        <v>38</v>
      </c>
      <c r="I18" t="str" cm="1">
        <f t="array" ref="I18">_xlfn.LET(
  _xlpm.idx, (ROW()-3)*16 + I$1,
  _xlpm.r, MOD(_xlpm.idx, SpriteCount),
  INDEX(
    sprite_data.asm!$B$3:$Q$156,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sprite_data.asm!$B$3:$Q$156,
    INT(_xlpm.idx / SpriteCount) * 7 + INT(_xlpm.r / 16) + 1,
    MOD(_xlpm.r, 16) + 1
  )
)</f>
        <v>00</v>
      </c>
      <c r="K18" t="str" cm="1">
        <f t="array" ref="K18">_xlfn.LET(
  _xlpm.idx, (ROW()-3)*16 + K$1,
  _xlpm.r, MOD(_xlpm.idx, SpriteCount),
  INDEX(
    sprite_data.asm!$B$3:$Q$156,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sprite_data.asm!$B$3:$Q$156,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sprite_data.asm!$B$3:$Q$156,
    INT(_xlpm.idx / SpriteCount) * 7 + INT(_xlpm.r / 16) + 1,
    MOD(_xlpm.r, 16) + 1
  )
)</f>
        <v>20</v>
      </c>
      <c r="N18" t="str" cm="1">
        <f t="array" ref="N18">_xlfn.LET(
  _xlpm.idx, (ROW()-3)*16 + N$1,
  _xlpm.r, MOD(_xlpm.idx, SpriteCount),
  INDEX(
    sprite_data.asm!$B$3:$Q$156,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sprite_data.asm!$B$3:$Q$156,
    INT(_xlpm.idx / SpriteCount) * 7 + INT(_xlpm.r / 16) + 1,
    MOD(_xlpm.r, 16) + 1
  )
)</f>
        <v>28</v>
      </c>
      <c r="P18" t="str" cm="1">
        <f t="array" ref="P18">_xlfn.LET(
  _xlpm.idx, (ROW()-3)*16 + P$1,
  _xlpm.r, MOD(_xlpm.idx, SpriteCount),
  INDEX(
    sprite_data.asm!$B$3:$Q$156,
    INT(_xlpm.idx / SpriteCount) * 7 + INT(_xlpm.r / 16) + 1,
    MOD(_xlpm.r, 16) + 1
  )
)</f>
        <v>02</v>
      </c>
      <c r="Q18" t="str" cm="1">
        <f t="array" ref="Q18">_xlfn.LET(
  _xlpm.idx, (ROW()-3)*16 + Q$1,
  _xlpm.r, MOD(_xlpm.idx, SpriteCount),
  INDEX(
    sprite_data.asm!$B$3:$Q$156,
    INT(_xlpm.idx / SpriteCount) * 7 + INT(_xlpm.r / 16) + 1,
    MOD(_xlpm.r, 16) + 1
  )
)</f>
        <v>20</v>
      </c>
      <c r="R18" t="str" cm="1">
        <f t="array" ref="R18">_xlfn.LET(
  _xlpm.idx, (ROW()-3)*16 + R$1,
  _xlpm.r, MOD(_xlpm.idx, SpriteCount),
  INDEX(
    sprite_data.asm!$B$3:$Q$156,
    INT(_xlpm.idx / SpriteCount) * 7 + INT(_xlpm.r / 16) + 1,
    MOD(_xlpm.r, 16) + 1
  )
)</f>
        <v>08</v>
      </c>
    </row>
    <row r="19" spans="1:18" x14ac:dyDescent="0.45">
      <c r="A19">
        <f t="shared" si="4"/>
        <v>44544</v>
      </c>
      <c r="B19" s="32" t="str">
        <f t="shared" si="5"/>
        <v>AE00</v>
      </c>
      <c r="C19" t="str" cm="1">
        <f t="array" ref="C19">_xlfn.LET(
  _xlpm.idx, (ROW()-3)*16 + C$1,
  _xlpm.r, MOD(_xlpm.idx, SpriteCount),
  INDEX(
    sprite_data.asm!$B$3:$Q$156,
    INT(_xlpm.idx / SpriteCount) * 7 + INT(_xlpm.r / 16) + 1,
    MOD(_xlpm.r, 16) + 1
  )
)</f>
        <v>02</v>
      </c>
      <c r="D19" t="str" cm="1">
        <f t="array" ref="D19">_xlfn.LET(
  _xlpm.idx, (ROW()-3)*16 + D$1,
  _xlpm.r, MOD(_xlpm.idx, SpriteCount),
  INDEX(
    sprite_data.asm!$B$3:$Q$156,
    INT(_xlpm.idx / SpriteCount) * 7 + INT(_xlpm.r / 16) + 1,
    MOD(_xlpm.r, 16) + 1
  )
)</f>
        <v>08</v>
      </c>
      <c r="E19" t="str" cm="1">
        <f t="array" ref="E19">_xlfn.LET(
  _xlpm.idx, (ROW()-3)*16 + E$1,
  _xlpm.r, MOD(_xlpm.idx, SpriteCount),
  INDEX(
    sprite_data.asm!$B$3:$Q$156,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sprite_data.asm!$B$3:$Q$156,
    INT(_xlpm.idx / SpriteCount) * 7 + INT(_xlpm.r / 16) + 1,
    MOD(_xlpm.r, 16) + 1
  )
)</f>
        <v>20</v>
      </c>
      <c r="G19" t="str" cm="1">
        <f t="array" ref="G19">_xlfn.LET(
  _xlpm.idx, (ROW()-3)*16 + G$1,
  _xlpm.r, MOD(_xlpm.idx, SpriteCount),
  INDEX(
    sprite_data.asm!$B$3:$Q$156,
    INT(_xlpm.idx / SpriteCount) * 7 + INT(_xlpm.r / 16) + 1,
    MOD(_xlpm.r, 16) + 1
  )
)</f>
        <v>21</v>
      </c>
      <c r="H19" t="str" cm="1">
        <f t="array" ref="H19">_xlfn.LET(
  _xlpm.idx, (ROW()-3)*16 + H$1,
  _xlpm.r, MOD(_xlpm.idx, SpriteCount),
  INDEX(
    sprite_data.asm!$B$3:$Q$156,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sprite_data.asm!$B$3:$Q$156,
    INT(_xlpm.idx / SpriteCount) * 7 + INT(_xlpm.r / 16) + 1,
    MOD(_xlpm.r, 16) + 1
  )
)</f>
        <v>22</v>
      </c>
      <c r="J19" t="str" cm="1">
        <f t="array" ref="J19">_xlfn.LET(
  _xlpm.idx, (ROW()-3)*16 + J$1,
  _xlpm.r, MOD(_xlpm.idx, SpriteCount),
  INDEX(
    sprite_data.asm!$B$3:$Q$156,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sprite_data.asm!$B$3:$Q$156,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sprite_data.asm!$B$3:$Q$156,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sprite_data.asm!$B$3:$Q$156,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sprite_data.asm!$B$3:$Q$156,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sprite_data.asm!$B$3:$Q$156,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sprite_data.asm!$B$3:$Q$156,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sprite_data.asm!$B$3:$Q$156,
    INT(_xlpm.idx / SpriteCount) * 7 + INT(_xlpm.r / 16) + 1,
    MOD(_xlpm.r, 16) + 1
  )
)</f>
        <v>00</v>
      </c>
      <c r="R19" t="str" cm="1">
        <f t="array" ref="R19">_xlfn.LET(
  _xlpm.idx, (ROW()-3)*16 + R$1,
  _xlpm.r, MOD(_xlpm.idx, SpriteCount),
  INDEX(
    sprite_data.asm!$B$3:$Q$156,
    INT(_xlpm.idx / SpriteCount) * 7 + INT(_xlpm.r / 16) + 1,
    MOD(_xlpm.r, 16) + 1
  )
)</f>
        <v>00</v>
      </c>
    </row>
    <row r="20" spans="1:18" x14ac:dyDescent="0.45">
      <c r="A20">
        <f t="shared" si="4"/>
        <v>44560</v>
      </c>
      <c r="B20" s="32" t="str">
        <f t="shared" si="5"/>
        <v>AE10</v>
      </c>
      <c r="C20" t="str" cm="1">
        <f t="array" ref="C20">_xlfn.LET(
  _xlpm.idx, (ROW()-3)*16 + C$1,
  _xlpm.r, MOD(_xlpm.idx, SpriteCount),
  INDEX(
    sprite_data.asm!$B$3:$Q$156,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sprite_data.asm!$B$3:$Q$156,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sprite_data.asm!$B$3:$Q$156,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sprite_data.asm!$B$3:$Q$156,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sprite_data.asm!$B$3:$Q$156,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sprite_data.asm!$B$3:$Q$156,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sprite_data.asm!$B$3:$Q$156,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sprite_data.asm!$B$3:$Q$156,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sprite_data.asm!$B$3:$Q$156,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sprite_data.asm!$B$3:$Q$156,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sprite_data.asm!$B$3:$Q$156,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sprite_data.asm!$B$3:$Q$156,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sprite_data.asm!$B$3:$Q$156,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sprite_data.asm!$B$3:$Q$156,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sprite_data.asm!$B$3:$Q$156,
    INT(_xlpm.idx / SpriteCount) * 7 + INT(_xlpm.r / 16) + 1,
    MOD(_xlpm.r, 16) + 1
  )
)</f>
        <v>00</v>
      </c>
      <c r="R20" t="str" cm="1">
        <f t="array" ref="R20">_xlfn.LET(
  _xlpm.idx, (ROW()-3)*16 + R$1,
  _xlpm.r, MOD(_xlpm.idx, SpriteCount),
  INDEX(
    sprite_data.asm!$B$3:$Q$156,
    INT(_xlpm.idx / SpriteCount) * 7 + INT(_xlpm.r / 16) + 1,
    MOD(_xlpm.r, 16) + 1
  )
)</f>
        <v>00</v>
      </c>
    </row>
    <row r="21" spans="1:18" x14ac:dyDescent="0.45">
      <c r="A21">
        <f t="shared" si="4"/>
        <v>44576</v>
      </c>
      <c r="B21" s="32" t="str">
        <f t="shared" si="5"/>
        <v>AE20</v>
      </c>
      <c r="C21" t="str" cm="1">
        <f t="array" ref="C21">_xlfn.LET(
  _xlpm.idx, (ROW()-3)*16 + C$1,
  _xlpm.r, MOD(_xlpm.idx, SpriteCount),
  INDEX(
    sprite_data.asm!$B$3:$Q$156,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sprite_data.asm!$B$3:$Q$156,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sprite_data.asm!$B$3:$Q$156,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sprite_data.asm!$B$3:$Q$156,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sprite_data.asm!$B$3:$Q$156,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sprite_data.asm!$B$3:$Q$156,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sprite_data.asm!$B$3:$Q$156,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sprite_data.asm!$B$3:$Q$156,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sprite_data.asm!$B$3:$Q$156,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sprite_data.asm!$B$3:$Q$156,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sprite_data.asm!$B$3:$Q$156,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sprite_data.asm!$B$3:$Q$156,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sprite_data.asm!$B$3:$Q$156,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sprite_data.asm!$B$3:$Q$156,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sprite_data.asm!$B$3:$Q$156,
    INT(_xlpm.idx / SpriteCount) * 7 + INT(_xlpm.r / 16) + 1,
    MOD(_xlpm.r, 16) + 1
  )
)</f>
        <v>00</v>
      </c>
      <c r="R21" t="str" cm="1">
        <f t="array" ref="R21">_xlfn.LET(
  _xlpm.idx, (ROW()-3)*16 + R$1,
  _xlpm.r, MOD(_xlpm.idx, SpriteCount),
  INDEX(
    sprite_data.asm!$B$3:$Q$156,
    INT(_xlpm.idx / SpriteCount) * 7 + INT(_xlpm.r / 16) + 1,
    MOD(_xlpm.r, 16) + 1
  )
)</f>
        <v>00</v>
      </c>
    </row>
    <row r="22" spans="1:18" x14ac:dyDescent="0.45">
      <c r="A22">
        <f t="shared" si="4"/>
        <v>44592</v>
      </c>
      <c r="B22" s="32" t="str">
        <f t="shared" si="5"/>
        <v>AE30</v>
      </c>
      <c r="C22" t="str" cm="1">
        <f t="array" ref="C22">_xlfn.LET(
  _xlpm.idx, (ROW()-3)*16 + C$1,
  _xlpm.r, MOD(_xlpm.idx, SpriteCount),
  INDEX(
    sprite_data.asm!$B$3:$Q$156,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sprite_data.asm!$B$3:$Q$156,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sprite_data.asm!$B$3:$Q$156,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sprite_data.asm!$B$3:$Q$156,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sprite_data.asm!$B$3:$Q$156,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sprite_data.asm!$B$3:$Q$156,
    INT(_xlpm.idx / SpriteCount) * 7 + INT(_xlpm.r / 16) + 1,
    MOD(_xlpm.r, 16) + 1
  )
)</f>
        <v>00</v>
      </c>
      <c r="I22" t="str" cm="1">
        <f t="array" ref="I22">_xlfn.LET(
  _xlpm.idx, (ROW()-3)*16 + I$1,
  _xlpm.r, MOD(_xlpm.idx, SpriteCount),
  INDEX(
    sprite_data.asm!$B$3:$Q$156,
    INT(_xlpm.idx / SpriteCount) * 7 + INT(_xlpm.r / 16) + 1,
    MOD(_xlpm.r, 16) + 1
  )
)</f>
        <v>07</v>
      </c>
      <c r="J22" t="str" cm="1">
        <f t="array" ref="J22">_xlfn.LET(
  _xlpm.idx, (ROW()-3)*16 + J$1,
  _xlpm.r, MOD(_xlpm.idx, SpriteCount),
  INDEX(
    sprite_data.asm!$B$3:$Q$156,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sprite_data.asm!$B$3:$Q$156,
    INT(_xlpm.idx / SpriteCount) * 7 + INT(_xlpm.r / 16) + 1,
    MOD(_xlpm.r, 16) + 1
  )
)</f>
        <v>00</v>
      </c>
      <c r="L22" t="str" cm="1">
        <f t="array" ref="L22">_xlfn.LET(
  _xlpm.idx, (ROW()-3)*16 + L$1,
  _xlpm.r, MOD(_xlpm.idx, SpriteCount),
  INDEX(
    sprite_data.asm!$B$3:$Q$156,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sprite_data.asm!$B$3:$Q$156,
    INT(_xlpm.idx / SpriteCount) * 7 + INT(_xlpm.r / 16) + 1,
    MOD(_xlpm.r, 16) + 1
  )
)</f>
        <v>02</v>
      </c>
      <c r="N22" t="str" cm="1">
        <f t="array" ref="N22">_xlfn.LET(
  _xlpm.idx, (ROW()-3)*16 + N$1,
  _xlpm.r, MOD(_xlpm.idx, SpriteCount),
  INDEX(
    sprite_data.asm!$B$3:$Q$156,
    INT(_xlpm.idx / SpriteCount) * 7 + INT(_xlpm.r / 16) + 1,
    MOD(_xlpm.r, 16) + 1
  )
)</f>
        <v>03</v>
      </c>
      <c r="O22" t="str" cm="1">
        <f t="array" ref="O22">_xlfn.LET(
  _xlpm.idx, (ROW()-3)*16 + O$1,
  _xlpm.r, MOD(_xlpm.idx, SpriteCount),
  INDEX(
    sprite_data.asm!$B$3:$Q$156,
    INT(_xlpm.idx / SpriteCount) * 7 + INT(_xlpm.r / 16) + 1,
    MOD(_xlpm.r, 16) + 1
  )
)</f>
        <v>07</v>
      </c>
      <c r="P22" t="str" cm="1">
        <f t="array" ref="P22">_xlfn.LET(
  _xlpm.idx, (ROW()-3)*16 + P$1,
  _xlpm.r, MOD(_xlpm.idx, SpriteCount),
  INDEX(
    sprite_data.asm!$B$3:$Q$156,
    INT(_xlpm.idx / SpriteCount) * 7 + INT(_xlpm.r / 16) + 1,
    MOD(_xlpm.r, 16) + 1
  )
)</f>
        <v>02</v>
      </c>
      <c r="Q22" t="str" cm="1">
        <f t="array" ref="Q22">_xlfn.LET(
  _xlpm.idx, (ROW()-3)*16 + Q$1,
  _xlpm.r, MOD(_xlpm.idx, SpriteCount),
  INDEX(
    sprite_data.asm!$B$3:$Q$156,
    INT(_xlpm.idx / SpriteCount) * 7 + INT(_xlpm.r / 16) + 1,
    MOD(_xlpm.r, 16) + 1
  )
)</f>
        <v>00</v>
      </c>
      <c r="R22" t="str" cm="1">
        <f t="array" ref="R22">_xlfn.LET(
  _xlpm.idx, (ROW()-3)*16 + R$1,
  _xlpm.r, MOD(_xlpm.idx, SpriteCount),
  INDEX(
    sprite_data.asm!$B$3:$Q$156,
    INT(_xlpm.idx / SpriteCount) * 7 + INT(_xlpm.r / 16) + 1,
    MOD(_xlpm.r, 16) + 1
  )
)</f>
        <v>00</v>
      </c>
    </row>
    <row r="23" spans="1:18" x14ac:dyDescent="0.45">
      <c r="A23">
        <f t="shared" si="4"/>
        <v>44608</v>
      </c>
      <c r="B23" s="32" t="str">
        <f t="shared" si="5"/>
        <v>AE40</v>
      </c>
      <c r="C23" t="str" cm="1">
        <f t="array" ref="C23">_xlfn.LET(
  _xlpm.idx, (ROW()-3)*16 + C$1,
  _xlpm.r, MOD(_xlpm.idx, SpriteCount),
  INDEX(
    sprite_data.asm!$B$3:$Q$156,
    INT(_xlpm.idx / SpriteCount) * 7 + INT(_xlpm.r / 16) + 1,
    MOD(_xlpm.r, 16) + 1
  )
)</f>
        <v>00</v>
      </c>
      <c r="D23" t="str" cm="1">
        <f t="array" ref="D23">_xlfn.LET(
  _xlpm.idx, (ROW()-3)*16 + D$1,
  _xlpm.r, MOD(_xlpm.idx, SpriteCount),
  INDEX(
    sprite_data.asm!$B$3:$Q$156,
    INT(_xlpm.idx / SpriteCount) * 7 + INT(_xlpm.r / 16) + 1,
    MOD(_xlpm.r, 16) + 1
  )
)</f>
        <v>01</v>
      </c>
      <c r="E23" t="str" cm="1">
        <f t="array" ref="E23">_xlfn.LET(
  _xlpm.idx, (ROW()-3)*16 + E$1,
  _xlpm.r, MOD(_xlpm.idx, SpriteCount),
  INDEX(
    sprite_data.asm!$B$3:$Q$156,
    INT(_xlpm.idx / SpriteCount) * 7 + INT(_xlpm.r / 16) + 1,
    MOD(_xlpm.r, 16) + 1
  )
)</f>
        <v>07</v>
      </c>
      <c r="F23" t="str" cm="1">
        <f t="array" ref="F23">_xlfn.LET(
  _xlpm.idx, (ROW()-3)*16 + F$1,
  _xlpm.r, MOD(_xlpm.idx, SpriteCount),
  INDEX(
    sprite_data.asm!$B$3:$Q$156,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sprite_data.asm!$B$3:$Q$156,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sprite_data.asm!$B$3:$Q$156,
    INT(_xlpm.idx / SpriteCount) * 7 + INT(_xlpm.r / 16) + 1,
    MOD(_xlpm.r, 16) + 1
  )
)</f>
        <v>00</v>
      </c>
      <c r="I23" t="str" cm="1">
        <f t="array" ref="I23">_xlfn.LET(
  _xlpm.idx, (ROW()-3)*16 + I$1,
  _xlpm.r, MOD(_xlpm.idx, SpriteCount),
  INDEX(
    sprite_data.asm!$B$3:$Q$156,
    INT(_xlpm.idx / SpriteCount) * 7 + INT(_xlpm.r / 16) + 1,
    MOD(_xlpm.r, 16) + 1
  )
)</f>
        <v>04</v>
      </c>
      <c r="J23" t="str" cm="1">
        <f t="array" ref="J23">_xlfn.LET(
  _xlpm.idx, (ROW()-3)*16 + J$1,
  _xlpm.r, MOD(_xlpm.idx, SpriteCount),
  INDEX(
    sprite_data.asm!$B$3:$Q$156,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sprite_data.asm!$B$3:$Q$156,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sprite_data.asm!$B$3:$Q$156,
    INT(_xlpm.idx / SpriteCount) * 7 + INT(_xlpm.r / 16) + 1,
    MOD(_xlpm.r, 16) + 1
  )
)</f>
        <v>01</v>
      </c>
      <c r="M23" t="str" cm="1">
        <f t="array" ref="M23">_xlfn.LET(
  _xlpm.idx, (ROW()-3)*16 + M$1,
  _xlpm.r, MOD(_xlpm.idx, SpriteCount),
  INDEX(
    sprite_data.asm!$B$3:$Q$156,
    INT(_xlpm.idx / SpriteCount) * 7 + INT(_xlpm.r / 16) + 1,
    MOD(_xlpm.r, 16) + 1
  )
)</f>
        <v>00</v>
      </c>
      <c r="N23" t="str" cm="1">
        <f t="array" ref="N23">_xlfn.LET(
  _xlpm.idx, (ROW()-3)*16 + N$1,
  _xlpm.r, MOD(_xlpm.idx, SpriteCount),
  INDEX(
    sprite_data.asm!$B$3:$Q$156,
    INT(_xlpm.idx / SpriteCount) * 7 + INT(_xlpm.r / 16) + 1,
    MOD(_xlpm.r, 16) + 1
  )
)</f>
        <v>06</v>
      </c>
      <c r="O23" t="str" cm="1">
        <f t="array" ref="O23">_xlfn.LET(
  _xlpm.idx, (ROW()-3)*16 + O$1,
  _xlpm.r, MOD(_xlpm.idx, SpriteCount),
  INDEX(
    sprite_data.asm!$B$3:$Q$156,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sprite_data.asm!$B$3:$Q$156,
    INT(_xlpm.idx / SpriteCount) * 7 + INT(_xlpm.r / 16) + 1,
    MOD(_xlpm.r, 16) + 1
  )
)</f>
        <v>03</v>
      </c>
      <c r="Q23" t="str" cm="1">
        <f t="array" ref="Q23">_xlfn.LET(
  _xlpm.idx, (ROW()-3)*16 + Q$1,
  _xlpm.r, MOD(_xlpm.idx, SpriteCount),
  INDEX(
    sprite_data.asm!$B$3:$Q$156,
    INT(_xlpm.idx / SpriteCount) * 7 + INT(_xlpm.r / 16) + 1,
    MOD(_xlpm.r, 16) + 1
  )
)</f>
        <v>00</v>
      </c>
      <c r="R23" t="str" cm="1">
        <f t="array" ref="R23">_xlfn.LET(
  _xlpm.idx, (ROW()-3)*16 + R$1,
  _xlpm.r, MOD(_xlpm.idx, SpriteCount),
  INDEX(
    sprite_data.asm!$B$3:$Q$156,
    INT(_xlpm.idx / SpriteCount) * 7 + INT(_xlpm.r / 16) + 1,
    MOD(_xlpm.r, 16) + 1
  )
)</f>
        <v>00</v>
      </c>
    </row>
    <row r="24" spans="1:18" x14ac:dyDescent="0.45">
      <c r="A24">
        <f t="shared" si="4"/>
        <v>44624</v>
      </c>
      <c r="B24" s="32" t="str">
        <f t="shared" si="5"/>
        <v>AE50</v>
      </c>
      <c r="C24" t="str" cm="1">
        <f t="array" ref="C24">_xlfn.LET(
  _xlpm.idx, (ROW()-3)*16 + C$1,
  _xlpm.r, MOD(_xlpm.idx, SpriteCount),
  INDEX(
    sprite_data.asm!$B$3:$Q$156,
    INT(_xlpm.idx / SpriteCount) * 7 + INT(_xlpm.r / 16) + 1,
    MOD(_xlpm.r, 16) + 1
  )
)</f>
        <v>03</v>
      </c>
      <c r="D24" t="str" cm="1">
        <f t="array" ref="D24">_xlfn.LET(
  _xlpm.idx, (ROW()-3)*16 + D$1,
  _xlpm.r, MOD(_xlpm.idx, SpriteCount),
  INDEX(
    sprite_data.asm!$B$3:$Q$156,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sprite_data.asm!$B$3:$Q$156,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sprite_data.asm!$B$3:$Q$156,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sprite_data.asm!$B$3:$Q$156,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sprite_data.asm!$B$3:$Q$156,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sprite_data.asm!$B$3:$Q$156,
    INT(_xlpm.idx / SpriteCount) * 7 + INT(_xlpm.r / 16) + 1,
    MOD(_xlpm.r, 16) + 1
  )
)</f>
        <v>00</v>
      </c>
      <c r="J24" t="str" cm="1">
        <f t="array" ref="J24">_xlfn.LET(
  _xlpm.idx, (ROW()-3)*16 + J$1,
  _xlpm.r, MOD(_xlpm.idx, SpriteCount),
  INDEX(
    sprite_data.asm!$B$3:$Q$156,
    INT(_xlpm.idx / SpriteCount) * 7 + INT(_xlpm.r / 16) + 1,
    MOD(_xlpm.r, 16) + 1
  )
)</f>
        <v>02</v>
      </c>
      <c r="K24" t="str" cm="1">
        <f t="array" ref="K24">_xlfn.LET(
  _xlpm.idx, (ROW()-3)*16 + K$1,
  _xlpm.r, MOD(_xlpm.idx, SpriteCount),
  INDEX(
    sprite_data.asm!$B$3:$Q$156,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sprite_data.asm!$B$3:$Q$156,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sprite_data.asm!$B$3:$Q$156,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sprite_data.asm!$B$3:$Q$156,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sprite_data.asm!$B$3:$Q$156,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sprite_data.asm!$B$3:$Q$156,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sprite_data.asm!$B$3:$Q$156,
    INT(_xlpm.idx / SpriteCount) * 7 + INT(_xlpm.r / 16) + 1,
    MOD(_xlpm.r, 16) + 1
  )
)</f>
        <v>00</v>
      </c>
      <c r="R24" t="str" cm="1">
        <f t="array" ref="R24">_xlfn.LET(
  _xlpm.idx, (ROW()-3)*16 + R$1,
  _xlpm.r, MOD(_xlpm.idx, SpriteCount),
  INDEX(
    sprite_data.asm!$B$3:$Q$156,
    INT(_xlpm.idx / SpriteCount) * 7 + INT(_xlpm.r / 16) + 1,
    MOD(_xlpm.r, 16) + 1
  )
)</f>
        <v>00</v>
      </c>
    </row>
    <row r="25" spans="1:18" x14ac:dyDescent="0.45">
      <c r="A25">
        <f t="shared" si="4"/>
        <v>44640</v>
      </c>
      <c r="B25" s="32" t="str">
        <f t="shared" si="5"/>
        <v>AE60</v>
      </c>
      <c r="C25" t="str" cm="1">
        <f t="array" ref="C25">_xlfn.LET(
  _xlpm.idx, (ROW()-3)*16 + C$1,
  _xlpm.r, MOD(_xlpm.idx, SpriteCount),
  INDEX(
    sprite_data.asm!$B$3:$Q$156,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sprite_data.asm!$B$3:$Q$156,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sprite_data.asm!$B$3:$Q$156,
    INT(_xlpm.idx / SpriteCount) * 7 + INT(_xlpm.r / 16) + 1,
    MOD(_xlpm.r, 16) + 1
  )
)</f>
        <v>01</v>
      </c>
      <c r="F25" t="str" cm="1">
        <f t="array" ref="F25">_xlfn.LET(
  _xlpm.idx, (ROW()-3)*16 + F$1,
  _xlpm.r, MOD(_xlpm.idx, SpriteCount),
  INDEX(
    sprite_data.asm!$B$3:$Q$156,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sprite_data.asm!$B$3:$Q$156,
    INT(_xlpm.idx / SpriteCount) * 7 + INT(_xlpm.r / 16) + 1,
    MOD(_xlpm.r, 16) + 1
  )
)</f>
        <v>00</v>
      </c>
      <c r="H25" t="str" cm="1">
        <f t="array" ref="H25">_xlfn.LET(
  _xlpm.idx, (ROW()-3)*16 + H$1,
  _xlpm.r, MOD(_xlpm.idx, SpriteCount),
  INDEX(
    sprite_data.asm!$B$3:$Q$156,
    INT(_xlpm.idx / SpriteCount) * 7 + INT(_xlpm.r / 16) + 1,
    MOD(_xlpm.r, 16) + 1
  )
)</f>
        <v>01</v>
      </c>
      <c r="I25" t="str" cm="1">
        <f t="array" ref="I25">_xlfn.LET(
  _xlpm.idx, (ROW()-3)*16 + I$1,
  _xlpm.r, MOD(_xlpm.idx, SpriteCount),
  INDEX(
    sprite_data.asm!$B$3:$Q$156,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sprite_data.asm!$B$3:$Q$156,
    INT(_xlpm.idx / SpriteCount) * 7 + INT(_xlpm.r / 16) + 1,
    MOD(_xlpm.r, 16) + 1
  )
)</f>
        <v>00</v>
      </c>
      <c r="K25" t="str" cm="1">
        <f t="array" ref="K25">_xlfn.LET(
  _xlpm.idx, (ROW()-3)*16 + K$1,
  _xlpm.r, MOD(_xlpm.idx, SpriteCount),
  INDEX(
    sprite_data.asm!$B$3:$Q$156,
    INT(_xlpm.idx / SpriteCount) * 7 + INT(_xlpm.r / 16) + 1,
    MOD(_xlpm.r, 16) + 1
  )
)</f>
        <v>01</v>
      </c>
      <c r="L25" t="str" cm="1">
        <f t="array" ref="L25">_xlfn.LET(
  _xlpm.idx, (ROW()-3)*16 + L$1,
  _xlpm.r, MOD(_xlpm.idx, SpriteCount),
  INDEX(
    sprite_data.asm!$B$3:$Q$156,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sprite_data.asm!$B$3:$Q$156,
    INT(_xlpm.idx / SpriteCount) * 7 + INT(_xlpm.r / 16) + 1,
    MOD(_xlpm.r, 16) + 1
  )
)</f>
        <v>00</v>
      </c>
      <c r="N25" t="str" cm="1">
        <f t="array" ref="N25">_xlfn.LET(
  _xlpm.idx, (ROW()-3)*16 + N$1,
  _xlpm.r, MOD(_xlpm.idx, SpriteCount),
  INDEX(
    sprite_data.asm!$B$3:$Q$156,
    INT(_xlpm.idx / SpriteCount) * 7 + INT(_xlpm.r / 16) + 1,
    MOD(_xlpm.r, 16) + 1
  )
)</f>
        <v>04</v>
      </c>
      <c r="O25" t="str" cm="1">
        <f t="array" ref="O25">_xlfn.LET(
  _xlpm.idx, (ROW()-3)*16 + O$1,
  _xlpm.r, MOD(_xlpm.idx, SpriteCount),
  INDEX(
    sprite_data.asm!$B$3:$Q$156,
    INT(_xlpm.idx / SpriteCount) * 7 + INT(_xlpm.r / 16) + 1,
    MOD(_xlpm.r, 16) + 1
  )
)</f>
        <v>00</v>
      </c>
      <c r="P25" t="str" cm="1">
        <f t="array" ref="P25">_xlfn.LET(
  _xlpm.idx, (ROW()-3)*16 + P$1,
  _xlpm.r, MOD(_xlpm.idx, SpriteCount),
  INDEX(
    sprite_data.asm!$B$3:$Q$156,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sprite_data.asm!$B$3:$Q$156,
    INT(_xlpm.idx / SpriteCount) * 7 + INT(_xlpm.r / 16) + 1,
    MOD(_xlpm.r, 16) + 1
  )
)</f>
        <v>04</v>
      </c>
      <c r="R25" t="str" cm="1">
        <f t="array" ref="R25">_xlfn.LET(
  _xlpm.idx, (ROW()-3)*16 + R$1,
  _xlpm.r, MOD(_xlpm.idx, SpriteCount),
  INDEX(
    sprite_data.asm!$B$3:$Q$156,
    INT(_xlpm.idx / SpriteCount) * 7 + INT(_xlpm.r / 16) + 1,
    MOD(_xlpm.r, 16) + 1
  )
)</f>
        <v>00</v>
      </c>
    </row>
    <row r="26" spans="1:18" x14ac:dyDescent="0.45">
      <c r="A26">
        <f t="shared" si="4"/>
        <v>44656</v>
      </c>
      <c r="B26" s="32" t="str">
        <f t="shared" si="5"/>
        <v>AE70</v>
      </c>
      <c r="C26" t="str" cm="1">
        <f t="array" ref="C26">_xlfn.LET(
  _xlpm.idx, (ROW()-3)*16 + C$1,
  _xlpm.r, MOD(_xlpm.idx, SpriteCount),
  INDEX(
    sprite_data.asm!$B$3:$Q$156,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sprite_data.asm!$B$3:$Q$156,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sprite_data.asm!$B$3:$Q$156,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sprite_data.asm!$B$3:$Q$156,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sprite_data.asm!$B$3:$Q$156,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sprite_data.asm!$B$3:$Q$156,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sprite_data.asm!$B$3:$Q$156,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sprite_data.asm!$B$3:$Q$156,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sprite_data.asm!$B$3:$Q$156,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sprite_data.asm!$B$3:$Q$156,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sprite_data.asm!$B$3:$Q$156,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sprite_data.asm!$B$3:$Q$156,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sprite_data.asm!$B$3:$Q$156,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sprite_data.asm!$B$3:$Q$156,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sprite_data.asm!$B$3:$Q$156,
    INT(_xlpm.idx / SpriteCount) * 7 + INT(_xlpm.r / 16) + 1,
    MOD(_xlpm.r, 16) + 1
  )
)</f>
        <v>00</v>
      </c>
      <c r="R26" t="str" cm="1">
        <f t="array" ref="R26">_xlfn.LET(
  _xlpm.idx, (ROW()-3)*16 + R$1,
  _xlpm.r, MOD(_xlpm.idx, SpriteCount),
  INDEX(
    sprite_data.asm!$B$3:$Q$156,
    INT(_xlpm.idx / SpriteCount) * 7 + INT(_xlpm.r / 16) + 1,
    MOD(_xlpm.r, 16) + 1
  )
)</f>
        <v>00</v>
      </c>
    </row>
    <row r="27" spans="1:18" x14ac:dyDescent="0.45">
      <c r="A27">
        <f t="shared" si="4"/>
        <v>44672</v>
      </c>
      <c r="B27" s="32" t="str">
        <f t="shared" si="5"/>
        <v>AE80</v>
      </c>
      <c r="C27" t="str" cm="1">
        <f t="array" ref="C27">_xlfn.LET(
  _xlpm.idx, (ROW()-3)*16 + C$1,
  _xlpm.r, MOD(_xlpm.idx, SpriteCount),
  INDEX(
    sprite_data.asm!$B$3:$Q$156,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sprite_data.asm!$B$3:$Q$156,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sprite_data.asm!$B$3:$Q$156,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sprite_data.asm!$B$3:$Q$156,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sprite_data.asm!$B$3:$Q$156,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sprite_data.asm!$B$3:$Q$156,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sprite_data.asm!$B$3:$Q$156,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sprite_data.asm!$B$3:$Q$156,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sprite_data.asm!$B$3:$Q$156,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sprite_data.asm!$B$3:$Q$156,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sprite_data.asm!$B$3:$Q$156,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sprite_data.asm!$B$3:$Q$156,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sprite_data.asm!$B$3:$Q$156,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sprite_data.asm!$B$3:$Q$156,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sprite_data.asm!$B$3:$Q$156,
    INT(_xlpm.idx / SpriteCount) * 7 + INT(_xlpm.r / 16) + 1,
    MOD(_xlpm.r, 16) + 1
  )
)</f>
        <v>00</v>
      </c>
      <c r="R27" t="str" cm="1">
        <f t="array" ref="R27">_xlfn.LET(
  _xlpm.idx, (ROW()-3)*16 + R$1,
  _xlpm.r, MOD(_xlpm.idx, SpriteCount),
  INDEX(
    sprite_data.asm!$B$3:$Q$156,
    INT(_xlpm.idx / SpriteCount) * 7 + INT(_xlpm.r / 16) + 1,
    MOD(_xlpm.r, 16) + 1
  )
)</f>
        <v>00</v>
      </c>
    </row>
    <row r="28" spans="1:18" x14ac:dyDescent="0.45">
      <c r="A28">
        <f t="shared" si="4"/>
        <v>44688</v>
      </c>
      <c r="B28" s="32" t="str">
        <f t="shared" si="5"/>
        <v>AE90</v>
      </c>
      <c r="C28" t="str" cm="1">
        <f t="array" ref="C28">_xlfn.LET(
  _xlpm.idx, (ROW()-3)*16 + C$1,
  _xlpm.r, MOD(_xlpm.idx, SpriteCount),
  INDEX(
    sprite_data.asm!$B$3:$Q$156,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sprite_data.asm!$B$3:$Q$156,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sprite_data.asm!$B$3:$Q$156,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sprite_data.asm!$B$3:$Q$156,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sprite_data.asm!$B$3:$Q$156,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sprite_data.asm!$B$3:$Q$156,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sprite_data.asm!$B$3:$Q$156,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sprite_data.asm!$B$3:$Q$156,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sprite_data.asm!$B$3:$Q$156,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sprite_data.asm!$B$3:$Q$156,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sprite_data.asm!$B$3:$Q$156,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sprite_data.asm!$B$3:$Q$156,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sprite_data.asm!$B$3:$Q$156,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sprite_data.asm!$B$3:$Q$156,
    INT(_xlpm.idx / SpriteCount) * 7 + INT(_xlpm.r / 16) + 1,
    MOD(_xlpm.r, 16) + 1
  )
)</f>
        <v>00</v>
      </c>
      <c r="Q28" t="str" cm="1">
        <f t="array" ref="Q28">_xlfn.LET(
  _xlpm.idx, (ROW()-3)*16 + Q$1,
  _xlpm.r, MOD(_xlpm.idx, SpriteCount),
  INDEX(
    sprite_data.asm!$B$3:$Q$156,
    INT(_xlpm.idx / SpriteCount) * 7 + INT(_xlpm.r / 16) + 1,
    MOD(_xlpm.r, 16) + 1
  )
)</f>
        <v>70</v>
      </c>
      <c r="R28" t="str" cm="1">
        <f t="array" ref="R28">_xlfn.LET(
  _xlpm.idx, (ROW()-3)*16 + R$1,
  _xlpm.r, MOD(_xlpm.idx, SpriteCount),
  INDEX(
    sprite_data.asm!$B$3:$Q$156,
    INT(_xlpm.idx / SpriteCount) * 7 + INT(_xlpm.r / 16) + 1,
    MOD(_xlpm.r, 16) + 1
  )
)</f>
        <v>60</v>
      </c>
    </row>
    <row r="29" spans="1:18" x14ac:dyDescent="0.45">
      <c r="A29">
        <f t="shared" si="4"/>
        <v>44704</v>
      </c>
      <c r="B29" s="32" t="str">
        <f t="shared" si="5"/>
        <v>AEA0</v>
      </c>
      <c r="C29" t="str" cm="1">
        <f t="array" ref="C29">_xlfn.LET(
  _xlpm.idx, (ROW()-3)*16 + C$1,
  _xlpm.r, MOD(_xlpm.idx, SpriteCount),
  INDEX(
    sprite_data.asm!$B$3:$Q$156,
    INT(_xlpm.idx / SpriteCount) * 7 + INT(_xlpm.r / 16) + 1,
    MOD(_xlpm.r, 16) + 1
  )
)</f>
        <v>00</v>
      </c>
      <c r="D29" t="str" cm="1">
        <f t="array" ref="D29">_xlfn.LET(
  _xlpm.idx, (ROW()-3)*16 + D$1,
  _xlpm.r, MOD(_xlpm.idx, SpriteCount),
  INDEX(
    sprite_data.asm!$B$3:$Q$156,
    INT(_xlpm.idx / SpriteCount) * 7 + INT(_xlpm.r / 16) + 1,
    MOD(_xlpm.r, 16) + 1
  )
)</f>
        <v>15</v>
      </c>
      <c r="E29" t="str" cm="1">
        <f t="array" ref="E29">_xlfn.LET(
  _xlpm.idx, (ROW()-3)*16 + E$1,
  _xlpm.r, MOD(_xlpm.idx, SpriteCount),
  INDEX(
    sprite_data.asm!$B$3:$Q$156,
    INT(_xlpm.idx / SpriteCount) * 7 + INT(_xlpm.r / 16) + 1,
    MOD(_xlpm.r, 16) + 1
  )
)</f>
        <v>55</v>
      </c>
      <c r="F29" t="str" cm="1">
        <f t="array" ref="F29">_xlfn.LET(
  _xlpm.idx, (ROW()-3)*16 + F$1,
  _xlpm.r, MOD(_xlpm.idx, SpriteCount),
  INDEX(
    sprite_data.asm!$B$3:$Q$156,
    INT(_xlpm.idx / SpriteCount) * 7 + INT(_xlpm.r / 16) + 1,
    MOD(_xlpm.r, 16) + 1
  )
)</f>
        <v>7E</v>
      </c>
      <c r="G29" t="str" cm="1">
        <f t="array" ref="G29">_xlfn.LET(
  _xlpm.idx, (ROW()-3)*16 + G$1,
  _xlpm.r, MOD(_xlpm.idx, SpriteCount),
  INDEX(
    sprite_data.asm!$B$3:$Q$156,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sprite_data.asm!$B$3:$Q$156,
    INT(_xlpm.idx / SpriteCount) * 7 + INT(_xlpm.r / 16) + 1,
    MOD(_xlpm.r, 16) + 1
  )
)</f>
        <v>00</v>
      </c>
      <c r="I29" t="str" cm="1">
        <f t="array" ref="I29">_xlfn.LET(
  _xlpm.idx, (ROW()-3)*16 + I$1,
  _xlpm.r, MOD(_xlpm.idx, SpriteCount),
  INDEX(
    sprite_data.asm!$B$3:$Q$156,
    INT(_xlpm.idx / SpriteCount) * 7 + INT(_xlpm.r / 16) + 1,
    MOD(_xlpm.r, 16) + 1
  )
)</f>
        <v>7E</v>
      </c>
      <c r="J29" t="str" cm="1">
        <f t="array" ref="J29">_xlfn.LET(
  _xlpm.idx, (ROW()-3)*16 + J$1,
  _xlpm.r, MOD(_xlpm.idx, SpriteCount),
  INDEX(
    sprite_data.asm!$B$3:$Q$156,
    INT(_xlpm.idx / SpriteCount) * 7 + INT(_xlpm.r / 16) + 1,
    MOD(_xlpm.r, 16) + 1
  )
)</f>
        <v>00</v>
      </c>
      <c r="K29" t="str" cm="1">
        <f t="array" ref="K29">_xlfn.LET(
  _xlpm.idx, (ROW()-3)*16 + K$1,
  _xlpm.r, MOD(_xlpm.idx, SpriteCount),
  INDEX(
    sprite_data.asm!$B$3:$Q$156,
    INT(_xlpm.idx / SpriteCount) * 7 + INT(_xlpm.r / 16) + 1,
    MOD(_xlpm.r, 16) + 1
  )
)</f>
        <v>28</v>
      </c>
      <c r="L29" t="str" cm="1">
        <f t="array" ref="L29">_xlfn.LET(
  _xlpm.idx, (ROW()-3)*16 + L$1,
  _xlpm.r, MOD(_xlpm.idx, SpriteCount),
  INDEX(
    sprite_data.asm!$B$3:$Q$156,
    INT(_xlpm.idx / SpriteCount) * 7 + INT(_xlpm.r / 16) + 1,
    MOD(_xlpm.r, 16) + 1
  )
)</f>
        <v>60</v>
      </c>
      <c r="M29" t="str" cm="1">
        <f t="array" ref="M29">_xlfn.LET(
  _xlpm.idx, (ROW()-3)*16 + M$1,
  _xlpm.r, MOD(_xlpm.idx, SpriteCount),
  INDEX(
    sprite_data.asm!$B$3:$Q$156,
    INT(_xlpm.idx / SpriteCount) * 7 + INT(_xlpm.r / 16) + 1,
    MOD(_xlpm.r, 16) + 1
  )
)</f>
        <v>7F</v>
      </c>
      <c r="N29" t="str" cm="1">
        <f t="array" ref="N29">_xlfn.LET(
  _xlpm.idx, (ROW()-3)*16 + N$1,
  _xlpm.r, MOD(_xlpm.idx, SpriteCount),
  INDEX(
    sprite_data.asm!$B$3:$Q$156,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sprite_data.asm!$B$3:$Q$156,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sprite_data.asm!$B$3:$Q$156,
    INT(_xlpm.idx / SpriteCount) * 7 + INT(_xlpm.r / 16) + 1,
    MOD(_xlpm.r, 16) + 1
  )
)</f>
        <v>1C</v>
      </c>
      <c r="Q29" t="str" cm="1">
        <f t="array" ref="Q29">_xlfn.LET(
  _xlpm.idx, (ROW()-3)*16 + Q$1,
  _xlpm.r, MOD(_xlpm.idx, SpriteCount),
  INDEX(
    sprite_data.asm!$B$3:$Q$156,
    INT(_xlpm.idx / SpriteCount) * 7 + INT(_xlpm.r / 16) + 1,
    MOD(_xlpm.r, 16) + 1
  )
)</f>
        <v>70</v>
      </c>
      <c r="R29" t="str" cm="1">
        <f t="array" ref="R29">_xlfn.LET(
  _xlpm.idx, (ROW()-3)*16 + R$1,
  _xlpm.r, MOD(_xlpm.idx, SpriteCount),
  INDEX(
    sprite_data.asm!$B$3:$Q$156,
    INT(_xlpm.idx / SpriteCount) * 7 + INT(_xlpm.r / 16) + 1,
    MOD(_xlpm.r, 16) + 1
  )
)</f>
        <v>60</v>
      </c>
    </row>
    <row r="30" spans="1:18" x14ac:dyDescent="0.45">
      <c r="A30">
        <f t="shared" si="4"/>
        <v>44720</v>
      </c>
      <c r="B30" s="32" t="str">
        <f t="shared" si="5"/>
        <v>AEB0</v>
      </c>
      <c r="C30" t="str" cm="1">
        <f t="array" ref="C30">_xlfn.LET(
  _xlpm.idx, (ROW()-3)*16 + C$1,
  _xlpm.r, MOD(_xlpm.idx, SpriteCount),
  INDEX(
    sprite_data.asm!$B$3:$Q$156,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sprite_data.asm!$B$3:$Q$156,
    INT(_xlpm.idx / SpriteCount) * 7 + INT(_xlpm.r / 16) + 1,
    MOD(_xlpm.r, 16) + 1
  )
)</f>
        <v>60</v>
      </c>
      <c r="E30" t="str" cm="1">
        <f t="array" ref="E30">_xlfn.LET(
  _xlpm.idx, (ROW()-3)*16 + E$1,
  _xlpm.r, MOD(_xlpm.idx, SpriteCount),
  INDEX(
    sprite_data.asm!$B$3:$Q$156,
    INT(_xlpm.idx / SpriteCount) * 7 + INT(_xlpm.r / 16) + 1,
    MOD(_xlpm.r, 16) + 1
  )
)</f>
        <v>3F</v>
      </c>
      <c r="F30" t="str" cm="1">
        <f t="array" ref="F30">_xlfn.LET(
  _xlpm.idx, (ROW()-3)*16 + F$1,
  _xlpm.r, MOD(_xlpm.idx, SpriteCount),
  INDEX(
    sprite_data.asm!$B$3:$Q$156,
    INT(_xlpm.idx / SpriteCount) * 7 + INT(_xlpm.r / 16) + 1,
    MOD(_xlpm.r, 16) + 1
  )
)</f>
        <v>76</v>
      </c>
      <c r="G30" t="str" cm="1">
        <f t="array" ref="G30">_xlfn.LET(
  _xlpm.idx, (ROW()-3)*16 + G$1,
  _xlpm.r, MOD(_xlpm.idx, SpriteCount),
  INDEX(
    sprite_data.asm!$B$3:$Q$156,
    INT(_xlpm.idx / SpriteCount) * 7 + INT(_xlpm.r / 16) + 1,
    MOD(_xlpm.r, 16) + 1
  )
)</f>
        <v>3B</v>
      </c>
      <c r="H30" t="str" cm="1">
        <f t="array" ref="H30">_xlfn.LET(
  _xlpm.idx, (ROW()-3)*16 + H$1,
  _xlpm.r, MOD(_xlpm.idx, SpriteCount),
  INDEX(
    sprite_data.asm!$B$3:$Q$156,
    INT(_xlpm.idx / SpriteCount) * 7 + INT(_xlpm.r / 16) + 1,
    MOD(_xlpm.r, 16) + 1
  )
)</f>
        <v>36</v>
      </c>
      <c r="I30" t="str" cm="1">
        <f t="array" ref="I30">_xlfn.LET(
  _xlpm.idx, (ROW()-3)*16 + I$1,
  _xlpm.r, MOD(_xlpm.idx, SpriteCount),
  INDEX(
    sprite_data.asm!$B$3:$Q$156,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sprite_data.asm!$B$3:$Q$156,
    INT(_xlpm.idx / SpriteCount) * 7 + INT(_xlpm.r / 16) + 1,
    MOD(_xlpm.r, 16) + 1
  )
)</f>
        <v>78</v>
      </c>
      <c r="K30" t="str" cm="1">
        <f t="array" ref="K30">_xlfn.LET(
  _xlpm.idx, (ROW()-3)*16 + K$1,
  _xlpm.r, MOD(_xlpm.idx, SpriteCount),
  INDEX(
    sprite_data.asm!$B$3:$Q$156,
    INT(_xlpm.idx / SpriteCount) * 7 + INT(_xlpm.r / 16) + 1,
    MOD(_xlpm.r, 16) + 1
  )
)</f>
        <v>36</v>
      </c>
      <c r="L30" t="str" cm="1">
        <f t="array" ref="L30">_xlfn.LET(
  _xlpm.idx, (ROW()-3)*16 + L$1,
  _xlpm.r, MOD(_xlpm.idx, SpriteCount),
  INDEX(
    sprite_data.asm!$B$3:$Q$156,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sprite_data.asm!$B$3:$Q$156,
    INT(_xlpm.idx / SpriteCount) * 7 + INT(_xlpm.r / 16) + 1,
    MOD(_xlpm.r, 16) + 1
  )
)</f>
        <v>78</v>
      </c>
      <c r="N30" t="str" cm="1">
        <f t="array" ref="N30">_xlfn.LET(
  _xlpm.idx, (ROW()-3)*16 + N$1,
  _xlpm.r, MOD(_xlpm.idx, SpriteCount),
  INDEX(
    sprite_data.asm!$B$3:$Q$156,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sprite_data.asm!$B$3:$Q$156,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sprite_data.asm!$B$3:$Q$156,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sprite_data.asm!$B$3:$Q$156,
    INT(_xlpm.idx / SpriteCount) * 7 + INT(_xlpm.r / 16) + 1,
    MOD(_xlpm.r, 16) + 1
  )
)</f>
        <v>00</v>
      </c>
      <c r="R30" t="str" cm="1">
        <f t="array" ref="R30">_xlfn.LET(
  _xlpm.idx, (ROW()-3)*16 + R$1,
  _xlpm.r, MOD(_xlpm.idx, SpriteCount),
  INDEX(
    sprite_data.asm!$B$3:$Q$156,
    INT(_xlpm.idx / SpriteCount) * 7 + INT(_xlpm.r / 16) + 1,
    MOD(_xlpm.r, 16) + 1
  )
)</f>
        <v>15</v>
      </c>
    </row>
    <row r="31" spans="1:18" x14ac:dyDescent="0.45">
      <c r="A31">
        <f t="shared" ref="A31:A65" si="6">A30+16</f>
        <v>44736</v>
      </c>
      <c r="B31" s="32" t="str">
        <f t="shared" ref="B31:B65" si="7">DEC2HEX(HEX2DEC(B30)+16)</f>
        <v>AEC0</v>
      </c>
      <c r="C31" t="str" cm="1">
        <f t="array" ref="C31">_xlfn.LET(
  _xlpm.idx, (ROW()-3)*16 + C$1,
  _xlpm.r, MOD(_xlpm.idx, SpriteCount),
  INDEX(
    sprite_data.asm!$B$3:$Q$156,
    INT(_xlpm.idx / SpriteCount) * 7 + INT(_xlpm.r / 16) + 1,
    MOD(_xlpm.r, 16) + 1
  )
)</f>
        <v>01</v>
      </c>
      <c r="D31" t="str" cm="1">
        <f t="array" ref="D31">_xlfn.LET(
  _xlpm.idx, (ROW()-3)*16 + D$1,
  _xlpm.r, MOD(_xlpm.idx, SpriteCount),
  INDEX(
    sprite_data.asm!$B$3:$Q$156,
    INT(_xlpm.idx / SpriteCount) * 7 + INT(_xlpm.r / 16) + 1,
    MOD(_xlpm.r, 16) + 1
  )
)</f>
        <v>28</v>
      </c>
      <c r="E31" t="str" cm="1">
        <f t="array" ref="E31">_xlfn.LET(
  _xlpm.idx, (ROW()-3)*16 + E$1,
  _xlpm.r, MOD(_xlpm.idx, SpriteCount),
  INDEX(
    sprite_data.asm!$B$3:$Q$156,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sprite_data.asm!$B$3:$Q$156,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sprite_data.asm!$B$3:$Q$156,
    INT(_xlpm.idx / SpriteCount) * 7 + INT(_xlpm.r / 16) + 1,
    MOD(_xlpm.r, 16) + 1
  )
)</f>
        <v>00</v>
      </c>
      <c r="H31" t="str" cm="1">
        <f t="array" ref="H31">_xlfn.LET(
  _xlpm.idx, (ROW()-3)*16 + H$1,
  _xlpm.r, MOD(_xlpm.idx, SpriteCount),
  INDEX(
    sprite_data.asm!$B$3:$Q$156,
    INT(_xlpm.idx / SpriteCount) * 7 + INT(_xlpm.r / 16) + 1,
    MOD(_xlpm.r, 16) + 1
  )
)</f>
        <v>38</v>
      </c>
      <c r="I31" t="str" cm="1">
        <f t="array" ref="I31">_xlfn.LET(
  _xlpm.idx, (ROW()-3)*16 + I$1,
  _xlpm.r, MOD(_xlpm.idx, SpriteCount),
  INDEX(
    sprite_data.asm!$B$3:$Q$156,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sprite_data.asm!$B$3:$Q$156,
    INT(_xlpm.idx / SpriteCount) * 7 + INT(_xlpm.r / 16) + 1,
    MOD(_xlpm.r, 16) + 1
  )
)</f>
        <v>00</v>
      </c>
      <c r="K31" t="str" cm="1">
        <f t="array" ref="K31">_xlfn.LET(
  _xlpm.idx, (ROW()-3)*16 + K$1,
  _xlpm.r, MOD(_xlpm.idx, SpriteCount),
  INDEX(
    sprite_data.asm!$B$3:$Q$156,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sprite_data.asm!$B$3:$Q$156,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sprite_data.asm!$B$3:$Q$156,
    INT(_xlpm.idx / SpriteCount) * 7 + INT(_xlpm.r / 16) + 1,
    MOD(_xlpm.r, 16) + 1
  )
)</f>
        <v>20</v>
      </c>
      <c r="N31" t="str" cm="1">
        <f t="array" ref="N31">_xlfn.LET(
  _xlpm.idx, (ROW()-3)*16 + N$1,
  _xlpm.r, MOD(_xlpm.idx, SpriteCount),
  INDEX(
    sprite_data.asm!$B$3:$Q$156,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sprite_data.asm!$B$3:$Q$156,
    INT(_xlpm.idx / SpriteCount) * 7 + INT(_xlpm.r / 16) + 1,
    MOD(_xlpm.r, 16) + 1
  )
)</f>
        <v>28</v>
      </c>
      <c r="P31" t="str" cm="1">
        <f t="array" ref="P31">_xlfn.LET(
  _xlpm.idx, (ROW()-3)*16 + P$1,
  _xlpm.r, MOD(_xlpm.idx, SpriteCount),
  INDEX(
    sprite_data.asm!$B$3:$Q$156,
    INT(_xlpm.idx / SpriteCount) * 7 + INT(_xlpm.r / 16) + 1,
    MOD(_xlpm.r, 16) + 1
  )
)</f>
        <v>22</v>
      </c>
      <c r="Q31" t="str" cm="1">
        <f t="array" ref="Q31">_xlfn.LET(
  _xlpm.idx, (ROW()-3)*16 + Q$1,
  _xlpm.r, MOD(_xlpm.idx, SpriteCount),
  INDEX(
    sprite_data.asm!$B$3:$Q$156,
    INT(_xlpm.idx / SpriteCount) * 7 + INT(_xlpm.r / 16) + 1,
    MOD(_xlpm.r, 16) + 1
  )
)</f>
        <v>28</v>
      </c>
      <c r="R31" t="str" cm="1">
        <f t="array" ref="R31">_xlfn.LET(
  _xlpm.idx, (ROW()-3)*16 + R$1,
  _xlpm.r, MOD(_xlpm.idx, SpriteCount),
  INDEX(
    sprite_data.asm!$B$3:$Q$156,
    INT(_xlpm.idx / SpriteCount) * 7 + INT(_xlpm.r / 16) + 1,
    MOD(_xlpm.r, 16) + 1
  )
)</f>
        <v>28</v>
      </c>
    </row>
    <row r="32" spans="1:18" x14ac:dyDescent="0.45">
      <c r="A32">
        <f t="shared" si="6"/>
        <v>44752</v>
      </c>
      <c r="B32" s="32" t="str">
        <f t="shared" si="7"/>
        <v>AED0</v>
      </c>
      <c r="C32" t="str" cm="1">
        <f t="array" ref="C32">_xlfn.LET(
  _xlpm.idx, (ROW()-3)*16 + C$1,
  _xlpm.r, MOD(_xlpm.idx, SpriteCount),
  INDEX(
    sprite_data.asm!$B$3:$Q$156,
    INT(_xlpm.idx / SpriteCount) * 7 + INT(_xlpm.r / 16) + 1,
    MOD(_xlpm.r, 16) + 1
  )
)</f>
        <v>0A</v>
      </c>
      <c r="D32" t="str" cm="1">
        <f t="array" ref="D32">_xlfn.LET(
  _xlpm.idx, (ROW()-3)*16 + D$1,
  _xlpm.r, MOD(_xlpm.idx, SpriteCount),
  INDEX(
    sprite_data.asm!$B$3:$Q$156,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sprite_data.asm!$B$3:$Q$156,
    INT(_xlpm.idx / SpriteCount) * 7 + INT(_xlpm.r / 16) + 1,
    MOD(_xlpm.r, 16) + 1
  )
)</f>
        <v>28</v>
      </c>
      <c r="F32" t="str" cm="1">
        <f t="array" ref="F32">_xlfn.LET(
  _xlpm.idx, (ROW()-3)*16 + F$1,
  _xlpm.r, MOD(_xlpm.idx, SpriteCount),
  INDEX(
    sprite_data.asm!$B$3:$Q$156,
    INT(_xlpm.idx / SpriteCount) * 7 + INT(_xlpm.r / 16) + 1,
    MOD(_xlpm.r, 16) + 1
  )
)</f>
        <v>20</v>
      </c>
      <c r="G32" t="str" cm="1">
        <f t="array" ref="G32">_xlfn.LET(
  _xlpm.idx, (ROW()-3)*16 + G$1,
  _xlpm.r, MOD(_xlpm.idx, SpriteCount),
  INDEX(
    sprite_data.asm!$B$3:$Q$156,
    INT(_xlpm.idx / SpriteCount) * 7 + INT(_xlpm.r / 16) + 1,
    MOD(_xlpm.r, 16) + 1
  )
)</f>
        <v>2B</v>
      </c>
      <c r="H32" t="str" cm="1">
        <f t="array" ref="H32">_xlfn.LET(
  _xlpm.idx, (ROW()-3)*16 + H$1,
  _xlpm.r, MOD(_xlpm.idx, SpriteCount),
  INDEX(
    sprite_data.asm!$B$3:$Q$156,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sprite_data.asm!$B$3:$Q$156,
    INT(_xlpm.idx / SpriteCount) * 7 + INT(_xlpm.r / 16) + 1,
    MOD(_xlpm.r, 16) + 1
  )
)</f>
        <v>22</v>
      </c>
      <c r="J32" t="str" cm="1">
        <f t="array" ref="J32">_xlfn.LET(
  _xlpm.idx, (ROW()-3)*16 + J$1,
  _xlpm.r, MOD(_xlpm.idx, SpriteCount),
  INDEX(
    sprite_data.asm!$B$3:$Q$156,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sprite_data.asm!$B$3:$Q$156,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sprite_data.asm!$B$3:$Q$156,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sprite_data.asm!$B$3:$Q$156,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sprite_data.asm!$B$3:$Q$156,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sprite_data.asm!$B$3:$Q$156,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sprite_data.asm!$B$3:$Q$156,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sprite_data.asm!$B$3:$Q$156,
    INT(_xlpm.idx / SpriteCount) * 7 + INT(_xlpm.r / 16) + 1,
    MOD(_xlpm.r, 16) + 1
  )
)</f>
        <v>00</v>
      </c>
      <c r="R32" t="str" cm="1">
        <f t="array" ref="R32">_xlfn.LET(
  _xlpm.idx, (ROW()-3)*16 + R$1,
  _xlpm.r, MOD(_xlpm.idx, SpriteCount),
  INDEX(
    sprite_data.asm!$B$3:$Q$156,
    INT(_xlpm.idx / SpriteCount) * 7 + INT(_xlpm.r / 16) + 1,
    MOD(_xlpm.r, 16) + 1
  )
)</f>
        <v>00</v>
      </c>
    </row>
    <row r="33" spans="1:18" x14ac:dyDescent="0.45">
      <c r="A33">
        <f t="shared" si="6"/>
        <v>44768</v>
      </c>
      <c r="B33" s="32" t="str">
        <f t="shared" si="7"/>
        <v>AEE0</v>
      </c>
      <c r="C33" t="str" cm="1">
        <f t="array" ref="C33">_xlfn.LET(
  _xlpm.idx, (ROW()-3)*16 + C$1,
  _xlpm.r, MOD(_xlpm.idx, SpriteCount),
  INDEX(
    sprite_data.asm!$B$3:$Q$156,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sprite_data.asm!$B$3:$Q$156,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sprite_data.asm!$B$3:$Q$156,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sprite_data.asm!$B$3:$Q$156,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sprite_data.asm!$B$3:$Q$156,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sprite_data.asm!$B$3:$Q$156,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sprite_data.asm!$B$3:$Q$156,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sprite_data.asm!$B$3:$Q$156,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sprite_data.asm!$B$3:$Q$156,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sprite_data.asm!$B$3:$Q$156,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sprite_data.asm!$B$3:$Q$156,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sprite_data.asm!$B$3:$Q$156,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sprite_data.asm!$B$3:$Q$156,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sprite_data.asm!$B$3:$Q$156,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sprite_data.asm!$B$3:$Q$156,
    INT(_xlpm.idx / SpriteCount) * 7 + INT(_xlpm.r / 16) + 1,
    MOD(_xlpm.r, 16) + 1
  )
)</f>
        <v>00</v>
      </c>
      <c r="R33" t="str" cm="1">
        <f t="array" ref="R33">_xlfn.LET(
  _xlpm.idx, (ROW()-3)*16 + R$1,
  _xlpm.r, MOD(_xlpm.idx, SpriteCount),
  INDEX(
    sprite_data.asm!$B$3:$Q$156,
    INT(_xlpm.idx / SpriteCount) * 7 + INT(_xlpm.r / 16) + 1,
    MOD(_xlpm.r, 16) + 1
  )
)</f>
        <v>00</v>
      </c>
    </row>
    <row r="34" spans="1:18" x14ac:dyDescent="0.45">
      <c r="A34">
        <f t="shared" si="6"/>
        <v>44784</v>
      </c>
      <c r="B34" s="32" t="str">
        <f t="shared" si="7"/>
        <v>AEF0</v>
      </c>
      <c r="C34" t="str" cm="1">
        <f t="array" ref="C34">_xlfn.LET(
  _xlpm.idx, (ROW()-3)*16 + C$1,
  _xlpm.r, MOD(_xlpm.idx, SpriteCount),
  INDEX(
    sprite_data.asm!$B$3:$Q$156,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sprite_data.asm!$B$3:$Q$156,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sprite_data.asm!$B$3:$Q$156,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sprite_data.asm!$B$3:$Q$156,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sprite_data.asm!$B$3:$Q$156,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sprite_data.asm!$B$3:$Q$156,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sprite_data.asm!$B$3:$Q$156,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sprite_data.asm!$B$3:$Q$156,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sprite_data.asm!$B$3:$Q$156,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sprite_data.asm!$B$3:$Q$156,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sprite_data.asm!$B$3:$Q$156,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sprite_data.asm!$B$3:$Q$156,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sprite_data.asm!$B$3:$Q$156,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sprite_data.asm!$B$3:$Q$156,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sprite_data.asm!$B$3:$Q$156,
    INT(_xlpm.idx / SpriteCount) * 7 + INT(_xlpm.r / 16) + 1,
    MOD(_xlpm.r, 16) + 1
  )
)</f>
        <v>00</v>
      </c>
      <c r="R34" t="str" cm="1">
        <f t="array" ref="R34">_xlfn.LET(
  _xlpm.idx, (ROW()-3)*16 + R$1,
  _xlpm.r, MOD(_xlpm.idx, SpriteCount),
  INDEX(
    sprite_data.asm!$B$3:$Q$156,
    INT(_xlpm.idx / SpriteCount) * 7 + INT(_xlpm.r / 16) + 1,
    MOD(_xlpm.r, 16) + 1
  )
)</f>
        <v>00</v>
      </c>
    </row>
    <row r="35" spans="1:18" x14ac:dyDescent="0.45">
      <c r="A35">
        <f t="shared" si="6"/>
        <v>44800</v>
      </c>
      <c r="B35" s="32" t="str">
        <f t="shared" si="7"/>
        <v>AF00</v>
      </c>
      <c r="C35" t="str" cm="1">
        <f t="array" ref="C35">_xlfn.LET(
  _xlpm.idx, (ROW()-3)*16 + C$1,
  _xlpm.r, MOD(_xlpm.idx, SpriteCount),
  INDEX(
    sprite_data.asm!$B$3:$Q$156,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sprite_data.asm!$B$3:$Q$156,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sprite_data.asm!$B$3:$Q$156,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sprite_data.asm!$B$3:$Q$156,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sprite_data.asm!$B$3:$Q$156,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sprite_data.asm!$B$3:$Q$156,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sprite_data.asm!$B$3:$Q$156,
    INT(_xlpm.idx / SpriteCount) * 7 + INT(_xlpm.r / 16) + 1,
    MOD(_xlpm.r, 16) + 1
  )
)</f>
        <v>00</v>
      </c>
      <c r="J35" t="str" cm="1">
        <f t="array" ref="J35">_xlfn.LET(
  _xlpm.idx, (ROW()-3)*16 + J$1,
  _xlpm.r, MOD(_xlpm.idx, SpriteCount),
  INDEX(
    sprite_data.asm!$B$3:$Q$156,
    INT(_xlpm.idx / SpriteCount) * 7 + INT(_xlpm.r / 16) + 1,
    MOD(_xlpm.r, 16) + 1
  )
)</f>
        <v>06</v>
      </c>
      <c r="K35" t="str" cm="1">
        <f t="array" ref="K35">_xlfn.LET(
  _xlpm.idx, (ROW()-3)*16 + K$1,
  _xlpm.r, MOD(_xlpm.idx, SpriteCount),
  INDEX(
    sprite_data.asm!$B$3:$Q$156,
    INT(_xlpm.idx / SpriteCount) * 7 + INT(_xlpm.r / 16) + 1,
    MOD(_xlpm.r, 16) + 1
  )
)</f>
        <v>00</v>
      </c>
      <c r="L35" t="str" cm="1">
        <f t="array" ref="L35">_xlfn.LET(
  _xlpm.idx, (ROW()-3)*16 + L$1,
  _xlpm.r, MOD(_xlpm.idx, SpriteCount),
  INDEX(
    sprite_data.asm!$B$3:$Q$156,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sprite_data.asm!$B$3:$Q$156,
    INT(_xlpm.idx / SpriteCount) * 7 + INT(_xlpm.r / 16) + 1,
    MOD(_xlpm.r, 16) + 1
  )
)</f>
        <v>02</v>
      </c>
      <c r="N35" t="str" cm="1">
        <f t="array" ref="N35">_xlfn.LET(
  _xlpm.idx, (ROW()-3)*16 + N$1,
  _xlpm.r, MOD(_xlpm.idx, SpriteCount),
  INDEX(
    sprite_data.asm!$B$3:$Q$156,
    INT(_xlpm.idx / SpriteCount) * 7 + INT(_xlpm.r / 16) + 1,
    MOD(_xlpm.r, 16) + 1
  )
)</f>
        <v>03</v>
      </c>
      <c r="O35" t="str" cm="1">
        <f t="array" ref="O35">_xlfn.LET(
  _xlpm.idx, (ROW()-3)*16 + O$1,
  _xlpm.r, MOD(_xlpm.idx, SpriteCount),
  INDEX(
    sprite_data.asm!$B$3:$Q$156,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sprite_data.asm!$B$3:$Q$156,
    INT(_xlpm.idx / SpriteCount) * 7 + INT(_xlpm.r / 16) + 1,
    MOD(_xlpm.r, 16) + 1
  )
)</f>
        <v>00</v>
      </c>
      <c r="Q35" t="str" cm="1">
        <f t="array" ref="Q35">_xlfn.LET(
  _xlpm.idx, (ROW()-3)*16 + Q$1,
  _xlpm.r, MOD(_xlpm.idx, SpriteCount),
  INDEX(
    sprite_data.asm!$B$3:$Q$156,
    INT(_xlpm.idx / SpriteCount) * 7 + INT(_xlpm.r / 16) + 1,
    MOD(_xlpm.r, 16) + 1
  )
)</f>
        <v>03</v>
      </c>
      <c r="R35" t="str" cm="1">
        <f t="array" ref="R35">_xlfn.LET(
  _xlpm.idx, (ROW()-3)*16 + R$1,
  _xlpm.r, MOD(_xlpm.idx, SpriteCount),
  INDEX(
    sprite_data.asm!$B$3:$Q$156,
    INT(_xlpm.idx / SpriteCount) * 7 + INT(_xlpm.r / 16) + 1,
    MOD(_xlpm.r, 16) + 1
  )
)</f>
        <v>00</v>
      </c>
    </row>
    <row r="36" spans="1:18" x14ac:dyDescent="0.45">
      <c r="A36">
        <f t="shared" si="6"/>
        <v>44816</v>
      </c>
      <c r="B36" s="32" t="str">
        <f t="shared" si="7"/>
        <v>AF10</v>
      </c>
      <c r="C36" t="str" cm="1">
        <f t="array" ref="C36">_xlfn.LET(
  _xlpm.idx, (ROW()-3)*16 + C$1,
  _xlpm.r, MOD(_xlpm.idx, SpriteCount),
  INDEX(
    sprite_data.asm!$B$3:$Q$156,
    INT(_xlpm.idx / SpriteCount) * 7 + INT(_xlpm.r / 16) + 1,
    MOD(_xlpm.r, 16) + 1
  )
)</f>
        <v>00</v>
      </c>
      <c r="D36" t="str" cm="1">
        <f t="array" ref="D36">_xlfn.LET(
  _xlpm.idx, (ROW()-3)*16 + D$1,
  _xlpm.r, MOD(_xlpm.idx, SpriteCount),
  INDEX(
    sprite_data.asm!$B$3:$Q$156,
    INT(_xlpm.idx / SpriteCount) * 7 + INT(_xlpm.r / 16) + 1,
    MOD(_xlpm.r, 16) + 1
  )
)</f>
        <v>01</v>
      </c>
      <c r="E36" t="str" cm="1">
        <f t="array" ref="E36">_xlfn.LET(
  _xlpm.idx, (ROW()-3)*16 + E$1,
  _xlpm.r, MOD(_xlpm.idx, SpriteCount),
  INDEX(
    sprite_data.asm!$B$3:$Q$156,
    INT(_xlpm.idx / SpriteCount) * 7 + INT(_xlpm.r / 16) + 1,
    MOD(_xlpm.r, 16) + 1
  )
)</f>
        <v>07</v>
      </c>
      <c r="F36" t="str" cm="1">
        <f t="array" ref="F36">_xlfn.LET(
  _xlpm.idx, (ROW()-3)*16 + F$1,
  _xlpm.r, MOD(_xlpm.idx, SpriteCount),
  INDEX(
    sprite_data.asm!$B$3:$Q$156,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sprite_data.asm!$B$3:$Q$156,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sprite_data.asm!$B$3:$Q$156,
    INT(_xlpm.idx / SpriteCount) * 7 + INT(_xlpm.r / 16) + 1,
    MOD(_xlpm.r, 16) + 1
  )
)</f>
        <v>00</v>
      </c>
      <c r="I36" t="str" cm="1">
        <f t="array" ref="I36">_xlfn.LET(
  _xlpm.idx, (ROW()-3)*16 + I$1,
  _xlpm.r, MOD(_xlpm.idx, SpriteCount),
  INDEX(
    sprite_data.asm!$B$3:$Q$156,
    INT(_xlpm.idx / SpriteCount) * 7 + INT(_xlpm.r / 16) + 1,
    MOD(_xlpm.r, 16) + 1
  )
)</f>
        <v>07</v>
      </c>
      <c r="J36" t="str" cm="1">
        <f t="array" ref="J36">_xlfn.LET(
  _xlpm.idx, (ROW()-3)*16 + J$1,
  _xlpm.r, MOD(_xlpm.idx, SpriteCount),
  INDEX(
    sprite_data.asm!$B$3:$Q$156,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sprite_data.asm!$B$3:$Q$156,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sprite_data.asm!$B$3:$Q$156,
    INT(_xlpm.idx / SpriteCount) * 7 + INT(_xlpm.r / 16) + 1,
    MOD(_xlpm.r, 16) + 1
  )
)</f>
        <v>01</v>
      </c>
      <c r="M36" t="str" cm="1">
        <f t="array" ref="M36">_xlfn.LET(
  _xlpm.idx, (ROW()-3)*16 + M$1,
  _xlpm.r, MOD(_xlpm.idx, SpriteCount),
  INDEX(
    sprite_data.asm!$B$3:$Q$156,
    INT(_xlpm.idx / SpriteCount) * 7 + INT(_xlpm.r / 16) + 1,
    MOD(_xlpm.r, 16) + 1
  )
)</f>
        <v>00</v>
      </c>
      <c r="N36" t="str" cm="1">
        <f t="array" ref="N36">_xlfn.LET(
  _xlpm.idx, (ROW()-3)*16 + N$1,
  _xlpm.r, MOD(_xlpm.idx, SpriteCount),
  INDEX(
    sprite_data.asm!$B$3:$Q$156,
    INT(_xlpm.idx / SpriteCount) * 7 + INT(_xlpm.r / 16) + 1,
    MOD(_xlpm.r, 16) + 1
  )
)</f>
        <v>06</v>
      </c>
      <c r="O36" t="str" cm="1">
        <f t="array" ref="O36">_xlfn.LET(
  _xlpm.idx, (ROW()-3)*16 + O$1,
  _xlpm.r, MOD(_xlpm.idx, SpriteCount),
  INDEX(
    sprite_data.asm!$B$3:$Q$156,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sprite_data.asm!$B$3:$Q$156,
    INT(_xlpm.idx / SpriteCount) * 7 + INT(_xlpm.r / 16) + 1,
    MOD(_xlpm.r, 16) + 1
  )
)</f>
        <v>03</v>
      </c>
      <c r="Q36" t="str" cm="1">
        <f t="array" ref="Q36">_xlfn.LET(
  _xlpm.idx, (ROW()-3)*16 + Q$1,
  _xlpm.r, MOD(_xlpm.idx, SpriteCount),
  INDEX(
    sprite_data.asm!$B$3:$Q$156,
    INT(_xlpm.idx / SpriteCount) * 7 + INT(_xlpm.r / 16) + 1,
    MOD(_xlpm.r, 16) + 1
  )
)</f>
        <v>00</v>
      </c>
      <c r="R36" t="str" cm="1">
        <f t="array" ref="R36">_xlfn.LET(
  _xlpm.idx, (ROW()-3)*16 + R$1,
  _xlpm.r, MOD(_xlpm.idx, SpriteCount),
  INDEX(
    sprite_data.asm!$B$3:$Q$156,
    INT(_xlpm.idx / SpriteCount) * 7 + INT(_xlpm.r / 16) + 1,
    MOD(_xlpm.r, 16) + 1
  )
)</f>
        <v>00</v>
      </c>
    </row>
    <row r="37" spans="1:18" x14ac:dyDescent="0.45">
      <c r="A37">
        <f t="shared" si="6"/>
        <v>44832</v>
      </c>
      <c r="B37" s="32" t="str">
        <f t="shared" si="7"/>
        <v>AF20</v>
      </c>
      <c r="C37" t="str" cm="1">
        <f t="array" ref="C37">_xlfn.LET(
  _xlpm.idx, (ROW()-3)*16 + C$1,
  _xlpm.r, MOD(_xlpm.idx, SpriteCount),
  INDEX(
    sprite_data.asm!$B$3:$Q$156,
    INT(_xlpm.idx / SpriteCount) * 7 + INT(_xlpm.r / 16) + 1,
    MOD(_xlpm.r, 16) + 1
  )
)</f>
        <v>03</v>
      </c>
      <c r="D37" t="str" cm="1">
        <f t="array" ref="D37">_xlfn.LET(
  _xlpm.idx, (ROW()-3)*16 + D$1,
  _xlpm.r, MOD(_xlpm.idx, SpriteCount),
  INDEX(
    sprite_data.asm!$B$3:$Q$156,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sprite_data.asm!$B$3:$Q$156,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sprite_data.asm!$B$3:$Q$156,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sprite_data.asm!$B$3:$Q$156,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sprite_data.asm!$B$3:$Q$156,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sprite_data.asm!$B$3:$Q$156,
    INT(_xlpm.idx / SpriteCount) * 7 + INT(_xlpm.r / 16) + 1,
    MOD(_xlpm.r, 16) + 1
  )
)</f>
        <v>00</v>
      </c>
      <c r="J37" t="str" cm="1">
        <f t="array" ref="J37">_xlfn.LET(
  _xlpm.idx, (ROW()-3)*16 + J$1,
  _xlpm.r, MOD(_xlpm.idx, SpriteCount),
  INDEX(
    sprite_data.asm!$B$3:$Q$156,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sprite_data.asm!$B$3:$Q$156,
    INT(_xlpm.idx / SpriteCount) * 7 + INT(_xlpm.r / 16) + 1,
    MOD(_xlpm.r, 16) + 1
  )
)</f>
        <v>02</v>
      </c>
      <c r="L37" t="str" cm="1">
        <f t="array" ref="L37">_xlfn.LET(
  _xlpm.idx, (ROW()-3)*16 + L$1,
  _xlpm.r, MOD(_xlpm.idx, SpriteCount),
  INDEX(
    sprite_data.asm!$B$3:$Q$156,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sprite_data.asm!$B$3:$Q$156,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sprite_data.asm!$B$3:$Q$156,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sprite_data.asm!$B$3:$Q$156,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sprite_data.asm!$B$3:$Q$156,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sprite_data.asm!$B$3:$Q$156,
    INT(_xlpm.idx / SpriteCount) * 7 + INT(_xlpm.r / 16) + 1,
    MOD(_xlpm.r, 16) + 1
  )
)</f>
        <v>00</v>
      </c>
      <c r="R37" t="str" cm="1">
        <f t="array" ref="R37">_xlfn.LET(
  _xlpm.idx, (ROW()-3)*16 + R$1,
  _xlpm.r, MOD(_xlpm.idx, SpriteCount),
  INDEX(
    sprite_data.asm!$B$3:$Q$156,
    INT(_xlpm.idx / SpriteCount) * 7 + INT(_xlpm.r / 16) + 1,
    MOD(_xlpm.r, 16) + 1
  )
)</f>
        <v>00</v>
      </c>
    </row>
    <row r="38" spans="1:18" x14ac:dyDescent="0.45">
      <c r="A38">
        <f t="shared" si="6"/>
        <v>44848</v>
      </c>
      <c r="B38" s="32" t="str">
        <f t="shared" si="7"/>
        <v>AF30</v>
      </c>
      <c r="C38" t="str" cm="1">
        <f t="array" ref="C38">_xlfn.LET(
  _xlpm.idx, (ROW()-3)*16 + C$1,
  _xlpm.r, MOD(_xlpm.idx, SpriteCount),
  INDEX(
    sprite_data.asm!$B$3:$Q$156,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sprite_data.asm!$B$3:$Q$156,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sprite_data.asm!$B$3:$Q$156,
    INT(_xlpm.idx / SpriteCount) * 7 + INT(_xlpm.r / 16) + 1,
    MOD(_xlpm.r, 16) + 1
  )
)</f>
        <v>01</v>
      </c>
      <c r="F38" t="str" cm="1">
        <f t="array" ref="F38">_xlfn.LET(
  _xlpm.idx, (ROW()-3)*16 + F$1,
  _xlpm.r, MOD(_xlpm.idx, SpriteCount),
  INDEX(
    sprite_data.asm!$B$3:$Q$156,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sprite_data.asm!$B$3:$Q$156,
    INT(_xlpm.idx / SpriteCount) * 7 + INT(_xlpm.r / 16) + 1,
    MOD(_xlpm.r, 16) + 1
  )
)</f>
        <v>00</v>
      </c>
      <c r="H38" t="str" cm="1">
        <f t="array" ref="H38">_xlfn.LET(
  _xlpm.idx, (ROW()-3)*16 + H$1,
  _xlpm.r, MOD(_xlpm.idx, SpriteCount),
  INDEX(
    sprite_data.asm!$B$3:$Q$156,
    INT(_xlpm.idx / SpriteCount) * 7 + INT(_xlpm.r / 16) + 1,
    MOD(_xlpm.r, 16) + 1
  )
)</f>
        <v>01</v>
      </c>
      <c r="I38" t="str" cm="1">
        <f t="array" ref="I38">_xlfn.LET(
  _xlpm.idx, (ROW()-3)*16 + I$1,
  _xlpm.r, MOD(_xlpm.idx, SpriteCount),
  INDEX(
    sprite_data.asm!$B$3:$Q$156,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sprite_data.asm!$B$3:$Q$156,
    INT(_xlpm.idx / SpriteCount) * 7 + INT(_xlpm.r / 16) + 1,
    MOD(_xlpm.r, 16) + 1
  )
)</f>
        <v>00</v>
      </c>
      <c r="K38" t="str" cm="1">
        <f t="array" ref="K38">_xlfn.LET(
  _xlpm.idx, (ROW()-3)*16 + K$1,
  _xlpm.r, MOD(_xlpm.idx, SpriteCount),
  INDEX(
    sprite_data.asm!$B$3:$Q$156,
    INT(_xlpm.idx / SpriteCount) * 7 + INT(_xlpm.r / 16) + 1,
    MOD(_xlpm.r, 16) + 1
  )
)</f>
        <v>01</v>
      </c>
      <c r="L38" t="str" cm="1">
        <f t="array" ref="L38">_xlfn.LET(
  _xlpm.idx, (ROW()-3)*16 + L$1,
  _xlpm.r, MOD(_xlpm.idx, SpriteCount),
  INDEX(
    sprite_data.asm!$B$3:$Q$156,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sprite_data.asm!$B$3:$Q$156,
    INT(_xlpm.idx / SpriteCount) * 7 + INT(_xlpm.r / 16) + 1,
    MOD(_xlpm.r, 16) + 1
  )
)</f>
        <v>00</v>
      </c>
      <c r="N38" t="str" cm="1">
        <f t="array" ref="N38">_xlfn.LET(
  _xlpm.idx, (ROW()-3)*16 + N$1,
  _xlpm.r, MOD(_xlpm.idx, SpriteCount),
  INDEX(
    sprite_data.asm!$B$3:$Q$156,
    INT(_xlpm.idx / SpriteCount) * 7 + INT(_xlpm.r / 16) + 1,
    MOD(_xlpm.r, 16) + 1
  )
)</f>
        <v>05</v>
      </c>
      <c r="O38" t="str" cm="1">
        <f t="array" ref="O38">_xlfn.LET(
  _xlpm.idx, (ROW()-3)*16 + O$1,
  _xlpm.r, MOD(_xlpm.idx, SpriteCount),
  INDEX(
    sprite_data.asm!$B$3:$Q$156,
    INT(_xlpm.idx / SpriteCount) * 7 + INT(_xlpm.r / 16) + 1,
    MOD(_xlpm.r, 16) + 1
  )
)</f>
        <v>00</v>
      </c>
      <c r="P38" t="str" cm="1">
        <f t="array" ref="P38">_xlfn.LET(
  _xlpm.idx, (ROW()-3)*16 + P$1,
  _xlpm.r, MOD(_xlpm.idx, SpriteCount),
  INDEX(
    sprite_data.asm!$B$3:$Q$156,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sprite_data.asm!$B$3:$Q$156,
    INT(_xlpm.idx / SpriteCount) * 7 + INT(_xlpm.r / 16) + 1,
    MOD(_xlpm.r, 16) + 1
  )
)</f>
        <v>04</v>
      </c>
      <c r="R38" t="str" cm="1">
        <f t="array" ref="R38">_xlfn.LET(
  _xlpm.idx, (ROW()-3)*16 + R$1,
  _xlpm.r, MOD(_xlpm.idx, SpriteCount),
  INDEX(
    sprite_data.asm!$B$3:$Q$156,
    INT(_xlpm.idx / SpriteCount) * 7 + INT(_xlpm.r / 16) + 1,
    MOD(_xlpm.r, 16) + 1
  )
)</f>
        <v>00</v>
      </c>
    </row>
    <row r="39" spans="1:18" x14ac:dyDescent="0.45">
      <c r="A39">
        <f t="shared" si="6"/>
        <v>44864</v>
      </c>
      <c r="B39" s="32" t="str">
        <f t="shared" si="7"/>
        <v>AF40</v>
      </c>
      <c r="C39" t="str" cm="1">
        <f t="array" ref="C39">_xlfn.LET(
  _xlpm.idx, (ROW()-3)*16 + C$1,
  _xlpm.r, MOD(_xlpm.idx, SpriteCount),
  INDEX(
    sprite_data.asm!$B$3:$Q$156,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sprite_data.asm!$B$3:$Q$156,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sprite_data.asm!$B$3:$Q$156,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sprite_data.asm!$B$3:$Q$156,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sprite_data.asm!$B$3:$Q$156,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sprite_data.asm!$B$3:$Q$156,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sprite_data.asm!$B$3:$Q$156,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sprite_data.asm!$B$3:$Q$156,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sprite_data.asm!$B$3:$Q$156,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sprite_data.asm!$B$3:$Q$156,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sprite_data.asm!$B$3:$Q$156,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sprite_data.asm!$B$3:$Q$156,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sprite_data.asm!$B$3:$Q$156,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sprite_data.asm!$B$3:$Q$156,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sprite_data.asm!$B$3:$Q$156,
    INT(_xlpm.idx / SpriteCount) * 7 + INT(_xlpm.r / 16) + 1,
    MOD(_xlpm.r, 16) + 1
  )
)</f>
        <v>00</v>
      </c>
      <c r="R39" t="str" cm="1">
        <f t="array" ref="R39">_xlfn.LET(
  _xlpm.idx, (ROW()-3)*16 + R$1,
  _xlpm.r, MOD(_xlpm.idx, SpriteCount),
  INDEX(
    sprite_data.asm!$B$3:$Q$156,
    INT(_xlpm.idx / SpriteCount) * 7 + INT(_xlpm.r / 16) + 1,
    MOD(_xlpm.r, 16) + 1
  )
)</f>
        <v>00</v>
      </c>
    </row>
    <row r="40" spans="1:18" x14ac:dyDescent="0.45">
      <c r="A40">
        <f t="shared" si="6"/>
        <v>44880</v>
      </c>
      <c r="B40" s="32" t="str">
        <f t="shared" si="7"/>
        <v>AF50</v>
      </c>
      <c r="C40" t="str" cm="1">
        <f t="array" ref="C40">_xlfn.LET(
  _xlpm.idx, (ROW()-3)*16 + C$1,
  _xlpm.r, MOD(_xlpm.idx, SpriteCount),
  INDEX(
    sprite_data.asm!$B$3:$Q$156,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sprite_data.asm!$B$3:$Q$156,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sprite_data.asm!$B$3:$Q$156,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sprite_data.asm!$B$3:$Q$156,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sprite_data.asm!$B$3:$Q$156,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sprite_data.asm!$B$3:$Q$156,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sprite_data.asm!$B$3:$Q$156,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sprite_data.asm!$B$3:$Q$156,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sprite_data.asm!$B$3:$Q$156,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sprite_data.asm!$B$3:$Q$156,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sprite_data.asm!$B$3:$Q$156,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sprite_data.asm!$B$3:$Q$156,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sprite_data.asm!$B$3:$Q$156,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sprite_data.asm!$B$3:$Q$156,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sprite_data.asm!$B$3:$Q$156,
    INT(_xlpm.idx / SpriteCount) * 7 + INT(_xlpm.r / 16) + 1,
    MOD(_xlpm.r, 16) + 1
  )
)</f>
        <v>00</v>
      </c>
      <c r="R40" t="str" cm="1">
        <f t="array" ref="R40">_xlfn.LET(
  _xlpm.idx, (ROW()-3)*16 + R$1,
  _xlpm.r, MOD(_xlpm.idx, SpriteCount),
  INDEX(
    sprite_data.asm!$B$3:$Q$156,
    INT(_xlpm.idx / SpriteCount) * 7 + INT(_xlpm.r / 16) + 1,
    MOD(_xlpm.r, 16) + 1
  )
)</f>
        <v>00</v>
      </c>
    </row>
    <row r="41" spans="1:18" x14ac:dyDescent="0.45">
      <c r="A41">
        <f t="shared" si="6"/>
        <v>44896</v>
      </c>
      <c r="B41" s="32" t="str">
        <f t="shared" si="7"/>
        <v>AF60</v>
      </c>
      <c r="C41" t="str" cm="1">
        <f t="array" ref="C41">_xlfn.LET(
  _xlpm.idx, (ROW()-3)*16 + C$1,
  _xlpm.r, MOD(_xlpm.idx, SpriteCount),
  INDEX(
    sprite_data.asm!$B$3:$Q$156,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sprite_data.asm!$B$3:$Q$156,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sprite_data.asm!$B$3:$Q$156,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sprite_data.asm!$B$3:$Q$156,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sprite_data.asm!$B$3:$Q$156,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sprite_data.asm!$B$3:$Q$156,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sprite_data.asm!$B$3:$Q$156,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sprite_data.asm!$B$3:$Q$156,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sprite_data.asm!$B$3:$Q$156,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sprite_data.asm!$B$3:$Q$156,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sprite_data.asm!$B$3:$Q$156,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sprite_data.asm!$B$3:$Q$156,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sprite_data.asm!$B$3:$Q$156,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sprite_data.asm!$B$3:$Q$156,
    INT(_xlpm.idx / SpriteCount) * 7 + INT(_xlpm.r / 16) + 1,
    MOD(_xlpm.r, 16) + 1
  )
)</f>
        <v>00</v>
      </c>
      <c r="Q41" t="str" cm="1">
        <f t="array" ref="Q41">_xlfn.LET(
  _xlpm.idx, (ROW()-3)*16 + Q$1,
  _xlpm.r, MOD(_xlpm.idx, SpriteCount),
  INDEX(
    sprite_data.asm!$B$3:$Q$156,
    INT(_xlpm.idx / SpriteCount) * 7 + INT(_xlpm.r / 16) + 1,
    MOD(_xlpm.r, 16) + 1
  )
)</f>
        <v>38</v>
      </c>
      <c r="R41" t="str" cm="1">
        <f t="array" ref="R41">_xlfn.LET(
  _xlpm.idx, (ROW()-3)*16 + R$1,
  _xlpm.r, MOD(_xlpm.idx, SpriteCount),
  INDEX(
    sprite_data.asm!$B$3:$Q$156,
    INT(_xlpm.idx / SpriteCount) * 7 + INT(_xlpm.r / 16) + 1,
    MOD(_xlpm.r, 16) + 1
  )
)</f>
        <v>70</v>
      </c>
    </row>
    <row r="42" spans="1:18" x14ac:dyDescent="0.45">
      <c r="A42">
        <f t="shared" si="6"/>
        <v>44912</v>
      </c>
      <c r="B42" s="32" t="str">
        <f t="shared" si="7"/>
        <v>AF70</v>
      </c>
      <c r="C42" t="str" cm="1">
        <f t="array" ref="C42">_xlfn.LET(
  _xlpm.idx, (ROW()-3)*16 + C$1,
  _xlpm.r, MOD(_xlpm.idx, SpriteCount),
  INDEX(
    sprite_data.asm!$B$3:$Q$156,
    INT(_xlpm.idx / SpriteCount) * 7 + INT(_xlpm.r / 16) + 1,
    MOD(_xlpm.r, 16) + 1
  )
)</f>
        <v>00</v>
      </c>
      <c r="D42" t="str" cm="1">
        <f t="array" ref="D42">_xlfn.LET(
  _xlpm.idx, (ROW()-3)*16 + D$1,
  _xlpm.r, MOD(_xlpm.idx, SpriteCount),
  INDEX(
    sprite_data.asm!$B$3:$Q$156,
    INT(_xlpm.idx / SpriteCount) * 7 + INT(_xlpm.r / 16) + 1,
    MOD(_xlpm.r, 16) + 1
  )
)</f>
        <v>15</v>
      </c>
      <c r="E42" t="str" cm="1">
        <f t="array" ref="E42">_xlfn.LET(
  _xlpm.idx, (ROW()-3)*16 + E$1,
  _xlpm.r, MOD(_xlpm.idx, SpriteCount),
  INDEX(
    sprite_data.asm!$B$3:$Q$156,
    INT(_xlpm.idx / SpriteCount) * 7 + INT(_xlpm.r / 16) + 1,
    MOD(_xlpm.r, 16) + 1
  )
)</f>
        <v>55</v>
      </c>
      <c r="F42" t="str" cm="1">
        <f t="array" ref="F42">_xlfn.LET(
  _xlpm.idx, (ROW()-3)*16 + F$1,
  _xlpm.r, MOD(_xlpm.idx, SpriteCount),
  INDEX(
    sprite_data.asm!$B$3:$Q$156,
    INT(_xlpm.idx / SpriteCount) * 7 + INT(_xlpm.r / 16) + 1,
    MOD(_xlpm.r, 16) + 1
  )
)</f>
        <v>06</v>
      </c>
      <c r="G42" t="str" cm="1">
        <f t="array" ref="G42">_xlfn.LET(
  _xlpm.idx, (ROW()-3)*16 + G$1,
  _xlpm.r, MOD(_xlpm.idx, SpriteCount),
  INDEX(
    sprite_data.asm!$B$3:$Q$156,
    INT(_xlpm.idx / SpriteCount) * 7 + INT(_xlpm.r / 16) + 1,
    MOD(_xlpm.r, 16) + 1
  )
)</f>
        <v>00</v>
      </c>
      <c r="H42" t="str" cm="1">
        <f t="array" ref="H42">_xlfn.LET(
  _xlpm.idx, (ROW()-3)*16 + H$1,
  _xlpm.r, MOD(_xlpm.idx, SpriteCount),
  INDEX(
    sprite_data.asm!$B$3:$Q$156,
    INT(_xlpm.idx / SpriteCount) * 7 + INT(_xlpm.r / 16) + 1,
    MOD(_xlpm.r, 16) + 1
  )
)</f>
        <v>7C</v>
      </c>
      <c r="I42" t="str" cm="1">
        <f t="array" ref="I42">_xlfn.LET(
  _xlpm.idx, (ROW()-3)*16 + I$1,
  _xlpm.r, MOD(_xlpm.idx, SpriteCount),
  INDEX(
    sprite_data.asm!$B$3:$Q$156,
    INT(_xlpm.idx / SpriteCount) * 7 + INT(_xlpm.r / 16) + 1,
    MOD(_xlpm.r, 16) + 1
  )
)</f>
        <v>06</v>
      </c>
      <c r="J42" t="str" cm="1">
        <f t="array" ref="J42">_xlfn.LET(
  _xlpm.idx, (ROW()-3)*16 + J$1,
  _xlpm.r, MOD(_xlpm.idx, SpriteCount),
  INDEX(
    sprite_data.asm!$B$3:$Q$156,
    INT(_xlpm.idx / SpriteCount) * 7 + INT(_xlpm.r / 16) + 1,
    MOD(_xlpm.r, 16) + 1
  )
)</f>
        <v>00</v>
      </c>
      <c r="K42" t="str" cm="1">
        <f t="array" ref="K42">_xlfn.LET(
  _xlpm.idx, (ROW()-3)*16 + K$1,
  _xlpm.r, MOD(_xlpm.idx, SpriteCount),
  INDEX(
    sprite_data.asm!$B$3:$Q$156,
    INT(_xlpm.idx / SpriteCount) * 7 + INT(_xlpm.r / 16) + 1,
    MOD(_xlpm.r, 16) + 1
  )
)</f>
        <v>20</v>
      </c>
      <c r="L42" t="str" cm="1">
        <f t="array" ref="L42">_xlfn.LET(
  _xlpm.idx, (ROW()-3)*16 + L$1,
  _xlpm.r, MOD(_xlpm.idx, SpriteCount),
  INDEX(
    sprite_data.asm!$B$3:$Q$156,
    INT(_xlpm.idx / SpriteCount) * 7 + INT(_xlpm.r / 16) + 1,
    MOD(_xlpm.r, 16) + 1
  )
)</f>
        <v>70</v>
      </c>
      <c r="M42" t="str" cm="1">
        <f t="array" ref="M42">_xlfn.LET(
  _xlpm.idx, (ROW()-3)*16 + M$1,
  _xlpm.r, MOD(_xlpm.idx, SpriteCount),
  INDEX(
    sprite_data.asm!$B$3:$Q$156,
    INT(_xlpm.idx / SpriteCount) * 7 + INT(_xlpm.r / 16) + 1,
    MOD(_xlpm.r, 16) + 1
  )
)</f>
        <v>7F</v>
      </c>
      <c r="N42" t="str" cm="1">
        <f t="array" ref="N42">_xlfn.LET(
  _xlpm.idx, (ROW()-3)*16 + N$1,
  _xlpm.r, MOD(_xlpm.idx, SpriteCount),
  INDEX(
    sprite_data.asm!$B$3:$Q$156,
    INT(_xlpm.idx / SpriteCount) * 7 + INT(_xlpm.r / 16) + 1,
    MOD(_xlpm.r, 16) + 1
  )
)</f>
        <v>38</v>
      </c>
      <c r="O42" t="str" cm="1">
        <f t="array" ref="O42">_xlfn.LET(
  _xlpm.idx, (ROW()-3)*16 + O$1,
  _xlpm.r, MOD(_xlpm.idx, SpriteCount),
  INDEX(
    sprite_data.asm!$B$3:$Q$156,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sprite_data.asm!$B$3:$Q$156,
    INT(_xlpm.idx / SpriteCount) * 7 + INT(_xlpm.r / 16) + 1,
    MOD(_xlpm.r, 16) + 1
  )
)</f>
        <v>18</v>
      </c>
      <c r="Q42" t="str" cm="1">
        <f t="array" ref="Q42">_xlfn.LET(
  _xlpm.idx, (ROW()-3)*16 + Q$1,
  _xlpm.r, MOD(_xlpm.idx, SpriteCount),
  INDEX(
    sprite_data.asm!$B$3:$Q$156,
    INT(_xlpm.idx / SpriteCount) * 7 + INT(_xlpm.r / 16) + 1,
    MOD(_xlpm.r, 16) + 1
  )
)</f>
        <v>72</v>
      </c>
      <c r="R42" t="str" cm="1">
        <f t="array" ref="R42">_xlfn.LET(
  _xlpm.idx, (ROW()-3)*16 + R$1,
  _xlpm.r, MOD(_xlpm.idx, SpriteCount),
  INDEX(
    sprite_data.asm!$B$3:$Q$156,
    INT(_xlpm.idx / SpriteCount) * 7 + INT(_xlpm.r / 16) + 1,
    MOD(_xlpm.r, 16) + 1
  )
)</f>
        <v>40</v>
      </c>
    </row>
    <row r="43" spans="1:18" x14ac:dyDescent="0.45">
      <c r="A43">
        <f t="shared" si="6"/>
        <v>44928</v>
      </c>
      <c r="B43" s="32" t="str">
        <f t="shared" si="7"/>
        <v>AF80</v>
      </c>
      <c r="C43" t="str" cm="1">
        <f t="array" ref="C43">_xlfn.LET(
  _xlpm.idx, (ROW()-3)*16 + C$1,
  _xlpm.r, MOD(_xlpm.idx, SpriteCount),
  INDEX(
    sprite_data.asm!$B$3:$Q$156,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sprite_data.asm!$B$3:$Q$156,
    INT(_xlpm.idx / SpriteCount) * 7 + INT(_xlpm.r / 16) + 1,
    MOD(_xlpm.r, 16) + 1
  )
)</f>
        <v>60</v>
      </c>
      <c r="E43" t="str" cm="1">
        <f t="array" ref="E43">_xlfn.LET(
  _xlpm.idx, (ROW()-3)*16 + E$1,
  _xlpm.r, MOD(_xlpm.idx, SpriteCount),
  INDEX(
    sprite_data.asm!$B$3:$Q$156,
    INT(_xlpm.idx / SpriteCount) * 7 + INT(_xlpm.r / 16) + 1,
    MOD(_xlpm.r, 16) + 1
  )
)</f>
        <v>38</v>
      </c>
      <c r="F43" t="str" cm="1">
        <f t="array" ref="F43">_xlfn.LET(
  _xlpm.idx, (ROW()-3)*16 + F$1,
  _xlpm.r, MOD(_xlpm.idx, SpriteCount),
  INDEX(
    sprite_data.asm!$B$3:$Q$156,
    INT(_xlpm.idx / SpriteCount) * 7 + INT(_xlpm.r / 16) + 1,
    MOD(_xlpm.r, 16) + 1
  )
)</f>
        <v>7C</v>
      </c>
      <c r="G43" t="str" cm="1">
        <f t="array" ref="G43">_xlfn.LET(
  _xlpm.idx, (ROW()-3)*16 + G$1,
  _xlpm.r, MOD(_xlpm.idx, SpriteCount),
  INDEX(
    sprite_data.asm!$B$3:$Q$156,
    INT(_xlpm.idx / SpriteCount) * 7 + INT(_xlpm.r / 16) + 1,
    MOD(_xlpm.r, 16) + 1
  )
)</f>
        <v>7E</v>
      </c>
      <c r="H43" t="str" cm="1">
        <f t="array" ref="H43">_xlfn.LET(
  _xlpm.idx, (ROW()-3)*16 + H$1,
  _xlpm.r, MOD(_xlpm.idx, SpriteCount),
  INDEX(
    sprite_data.asm!$B$3:$Q$156,
    INT(_xlpm.idx / SpriteCount) * 7 + INT(_xlpm.r / 16) + 1,
    MOD(_xlpm.r, 16) + 1
  )
)</f>
        <v>76</v>
      </c>
      <c r="I43" t="str" cm="1">
        <f t="array" ref="I43">_xlfn.LET(
  _xlpm.idx, (ROW()-3)*16 + I$1,
  _xlpm.r, MOD(_xlpm.idx, SpriteCount),
  INDEX(
    sprite_data.asm!$B$3:$Q$156,
    INT(_xlpm.idx / SpriteCount) * 7 + INT(_xlpm.r / 16) + 1,
    MOD(_xlpm.r, 16) + 1
  )
)</f>
        <v>38</v>
      </c>
      <c r="J43" t="str" cm="1">
        <f t="array" ref="J43">_xlfn.LET(
  _xlpm.idx, (ROW()-3)*16 + J$1,
  _xlpm.r, MOD(_xlpm.idx, SpriteCount),
  INDEX(
    sprite_data.asm!$B$3:$Q$156,
    INT(_xlpm.idx / SpriteCount) * 7 + INT(_xlpm.r / 16) + 1,
    MOD(_xlpm.r, 16) + 1
  )
)</f>
        <v>70</v>
      </c>
      <c r="K43" t="str" cm="1">
        <f t="array" ref="K43">_xlfn.LET(
  _xlpm.idx, (ROW()-3)*16 + K$1,
  _xlpm.r, MOD(_xlpm.idx, SpriteCount),
  INDEX(
    sprite_data.asm!$B$3:$Q$156,
    INT(_xlpm.idx / SpriteCount) * 7 + INT(_xlpm.r / 16) + 1,
    MOD(_xlpm.r, 16) + 1
  )
)</f>
        <v>3C</v>
      </c>
      <c r="L43" t="str" cm="1">
        <f t="array" ref="L43">_xlfn.LET(
  _xlpm.idx, (ROW()-3)*16 + L$1,
  _xlpm.r, MOD(_xlpm.idx, SpriteCount),
  INDEX(
    sprite_data.asm!$B$3:$Q$156,
    INT(_xlpm.idx / SpriteCount) * 7 + INT(_xlpm.r / 16) + 1,
    MOD(_xlpm.r, 16) + 1
  )
)</f>
        <v>70</v>
      </c>
      <c r="M43" t="str" cm="1">
        <f t="array" ref="M43">_xlfn.LET(
  _xlpm.idx, (ROW()-3)*16 + M$1,
  _xlpm.r, MOD(_xlpm.idx, SpriteCount),
  INDEX(
    sprite_data.asm!$B$3:$Q$156,
    INT(_xlpm.idx / SpriteCount) * 7 + INT(_xlpm.r / 16) + 1,
    MOD(_xlpm.r, 16) + 1
  )
)</f>
        <v>3B</v>
      </c>
      <c r="N43" t="str" cm="1">
        <f t="array" ref="N43">_xlfn.LET(
  _xlpm.idx, (ROW()-3)*16 + N$1,
  _xlpm.r, MOD(_xlpm.idx, SpriteCount),
  INDEX(
    sprite_data.asm!$B$3:$Q$156,
    INT(_xlpm.idx / SpriteCount) * 7 + INT(_xlpm.r / 16) + 1,
    MOD(_xlpm.r, 16) + 1
  )
)</f>
        <v>00</v>
      </c>
      <c r="O43" t="str" cm="1">
        <f t="array" ref="O43">_xlfn.LET(
  _xlpm.idx, (ROW()-3)*16 + O$1,
  _xlpm.r, MOD(_xlpm.idx, SpriteCount),
  INDEX(
    sprite_data.asm!$B$3:$Q$156,
    INT(_xlpm.idx / SpriteCount) * 7 + INT(_xlpm.r / 16) + 1,
    MOD(_xlpm.r, 16) + 1
  )
)</f>
        <v>10</v>
      </c>
      <c r="P43" t="str" cm="1">
        <f t="array" ref="P43">_xlfn.LET(
  _xlpm.idx, (ROW()-3)*16 + P$1,
  _xlpm.r, MOD(_xlpm.idx, SpriteCount),
  INDEX(
    sprite_data.asm!$B$3:$Q$156,
    INT(_xlpm.idx / SpriteCount) * 7 + INT(_xlpm.r / 16) + 1,
    MOD(_xlpm.r, 16) + 1
  )
)</f>
        <v>00</v>
      </c>
      <c r="Q43" t="str" cm="1">
        <f t="array" ref="Q43">_xlfn.LET(
  _xlpm.idx, (ROW()-3)*16 + Q$1,
  _xlpm.r, MOD(_xlpm.idx, SpriteCount),
  INDEX(
    sprite_data.asm!$B$3:$Q$156,
    INT(_xlpm.idx / SpriteCount) * 7 + INT(_xlpm.r / 16) + 1,
    MOD(_xlpm.r, 16) + 1
  )
)</f>
        <v>10</v>
      </c>
      <c r="R43" t="str" cm="1">
        <f t="array" ref="R43">_xlfn.LET(
  _xlpm.idx, (ROW()-3)*16 + R$1,
  _xlpm.r, MOD(_xlpm.idx, SpriteCount),
  INDEX(
    sprite_data.asm!$B$3:$Q$156,
    INT(_xlpm.idx / SpriteCount) * 7 + INT(_xlpm.r / 16) + 1,
    MOD(_xlpm.r, 16) + 1
  )
)</f>
        <v>15</v>
      </c>
    </row>
    <row r="44" spans="1:18" x14ac:dyDescent="0.45">
      <c r="A44">
        <f t="shared" si="6"/>
        <v>44944</v>
      </c>
      <c r="B44" s="32" t="str">
        <f t="shared" si="7"/>
        <v>AF90</v>
      </c>
      <c r="C44" t="str" cm="1">
        <f t="array" ref="C44">_xlfn.LET(
  _xlpm.idx, (ROW()-3)*16 + C$1,
  _xlpm.r, MOD(_xlpm.idx, SpriteCount),
  INDEX(
    sprite_data.asm!$B$3:$Q$156,
    INT(_xlpm.idx / SpriteCount) * 7 + INT(_xlpm.r / 16) + 1,
    MOD(_xlpm.r, 16) + 1
  )
)</f>
        <v>15</v>
      </c>
      <c r="D44" t="str" cm="1">
        <f t="array" ref="D44">_xlfn.LET(
  _xlpm.idx, (ROW()-3)*16 + D$1,
  _xlpm.r, MOD(_xlpm.idx, SpriteCount),
  INDEX(
    sprite_data.asm!$B$3:$Q$156,
    INT(_xlpm.idx / SpriteCount) * 7 + INT(_xlpm.r / 16) + 1,
    MOD(_xlpm.r, 16) + 1
  )
)</f>
        <v>29</v>
      </c>
      <c r="E44" t="str" cm="1">
        <f t="array" ref="E44">_xlfn.LET(
  _xlpm.idx, (ROW()-3)*16 + E$1,
  _xlpm.r, MOD(_xlpm.idx, SpriteCount),
  INDEX(
    sprite_data.asm!$B$3:$Q$156,
    INT(_xlpm.idx / SpriteCount) * 7 + INT(_xlpm.r / 16) + 1,
    MOD(_xlpm.r, 16) + 1
  )
)</f>
        <v>20</v>
      </c>
      <c r="F44" t="str" cm="1">
        <f t="array" ref="F44">_xlfn.LET(
  _xlpm.idx, (ROW()-3)*16 + F$1,
  _xlpm.r, MOD(_xlpm.idx, SpriteCount),
  INDEX(
    sprite_data.asm!$B$3:$Q$156,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sprite_data.asm!$B$3:$Q$156,
    INT(_xlpm.idx / SpriteCount) * 7 + INT(_xlpm.r / 16) + 1,
    MOD(_xlpm.r, 16) + 1
  )
)</f>
        <v>00</v>
      </c>
      <c r="H44" t="str" cm="1">
        <f t="array" ref="H44">_xlfn.LET(
  _xlpm.idx, (ROW()-3)*16 + H$1,
  _xlpm.r, MOD(_xlpm.idx, SpriteCount),
  INDEX(
    sprite_data.asm!$B$3:$Q$156,
    INT(_xlpm.idx / SpriteCount) * 7 + INT(_xlpm.r / 16) + 1,
    MOD(_xlpm.r, 16) + 1
  )
)</f>
        <v>18</v>
      </c>
      <c r="I44" t="str" cm="1">
        <f t="array" ref="I44">_xlfn.LET(
  _xlpm.idx, (ROW()-3)*16 + I$1,
  _xlpm.r, MOD(_xlpm.idx, SpriteCount),
  INDEX(
    sprite_data.asm!$B$3:$Q$156,
    INT(_xlpm.idx / SpriteCount) * 7 + INT(_xlpm.r / 16) + 1,
    MOD(_xlpm.r, 16) + 1
  )
)</f>
        <v>00</v>
      </c>
      <c r="J44" t="str" cm="1">
        <f t="array" ref="J44">_xlfn.LET(
  _xlpm.idx, (ROW()-3)*16 + J$1,
  _xlpm.r, MOD(_xlpm.idx, SpriteCount),
  INDEX(
    sprite_data.asm!$B$3:$Q$156,
    INT(_xlpm.idx / SpriteCount) * 7 + INT(_xlpm.r / 16) + 1,
    MOD(_xlpm.r, 16) + 1
  )
)</f>
        <v>10</v>
      </c>
      <c r="K44" t="str" cm="1">
        <f t="array" ref="K44">_xlfn.LET(
  _xlpm.idx, (ROW()-3)*16 + K$1,
  _xlpm.r, MOD(_xlpm.idx, SpriteCount),
  INDEX(
    sprite_data.asm!$B$3:$Q$156,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sprite_data.asm!$B$3:$Q$156,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sprite_data.asm!$B$3:$Q$156,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sprite_data.asm!$B$3:$Q$156,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sprite_data.asm!$B$3:$Q$156,
    INT(_xlpm.idx / SpriteCount) * 7 + INT(_xlpm.r / 16) + 1,
    MOD(_xlpm.r, 16) + 1
  )
)</f>
        <v>20</v>
      </c>
      <c r="P44" t="str" cm="1">
        <f t="array" ref="P44">_xlfn.LET(
  _xlpm.idx, (ROW()-3)*16 + P$1,
  _xlpm.r, MOD(_xlpm.idx, SpriteCount),
  INDEX(
    sprite_data.asm!$B$3:$Q$156,
    INT(_xlpm.idx / SpriteCount) * 7 + INT(_xlpm.r / 16) + 1,
    MOD(_xlpm.r, 16) + 1
  )
)</f>
        <v>22</v>
      </c>
      <c r="Q44" t="str" cm="1">
        <f t="array" ref="Q44">_xlfn.LET(
  _xlpm.idx, (ROW()-3)*16 + Q$1,
  _xlpm.r, MOD(_xlpm.idx, SpriteCount),
  INDEX(
    sprite_data.asm!$B$3:$Q$156,
    INT(_xlpm.idx / SpriteCount) * 7 + INT(_xlpm.r / 16) + 1,
    MOD(_xlpm.r, 16) + 1
  )
)</f>
        <v>28</v>
      </c>
      <c r="R44" t="str" cm="1">
        <f t="array" ref="R44">_xlfn.LET(
  _xlpm.idx, (ROW()-3)*16 + R$1,
  _xlpm.r, MOD(_xlpm.idx, SpriteCount),
  INDEX(
    sprite_data.asm!$B$3:$Q$156,
    INT(_xlpm.idx / SpriteCount) * 7 + INT(_xlpm.r / 16) + 1,
    MOD(_xlpm.r, 16) + 1
  )
)</f>
        <v>20</v>
      </c>
    </row>
    <row r="45" spans="1:18" x14ac:dyDescent="0.45">
      <c r="A45">
        <f t="shared" si="6"/>
        <v>44960</v>
      </c>
      <c r="B45" s="32" t="str">
        <f t="shared" si="7"/>
        <v>AFA0</v>
      </c>
      <c r="C45" t="str" cm="1">
        <f t="array" ref="C45">_xlfn.LET(
  _xlpm.idx, (ROW()-3)*16 + C$1,
  _xlpm.r, MOD(_xlpm.idx, SpriteCount),
  INDEX(
    sprite_data.asm!$B$3:$Q$156,
    INT(_xlpm.idx / SpriteCount) * 7 + INT(_xlpm.r / 16) + 1,
    MOD(_xlpm.r, 16) + 1
  )
)</f>
        <v>0A</v>
      </c>
      <c r="D45" t="str" cm="1">
        <f t="array" ref="D45">_xlfn.LET(
  _xlpm.idx, (ROW()-3)*16 + D$1,
  _xlpm.r, MOD(_xlpm.idx, SpriteCount),
  INDEX(
    sprite_data.asm!$B$3:$Q$156,
    INT(_xlpm.idx / SpriteCount) * 7 + INT(_xlpm.r / 16) + 1,
    MOD(_xlpm.r, 16) + 1
  )
)</f>
        <v>28</v>
      </c>
      <c r="E45" t="str" cm="1">
        <f t="array" ref="E45">_xlfn.LET(
  _xlpm.idx, (ROW()-3)*16 + E$1,
  _xlpm.r, MOD(_xlpm.idx, SpriteCount),
  INDEX(
    sprite_data.asm!$B$3:$Q$156,
    INT(_xlpm.idx / SpriteCount) * 7 + INT(_xlpm.r / 16) + 1,
    MOD(_xlpm.r, 16) + 1
  )
)</f>
        <v>08</v>
      </c>
      <c r="F45" t="str" cm="1">
        <f t="array" ref="F45">_xlfn.LET(
  _xlpm.idx, (ROW()-3)*16 + F$1,
  _xlpm.r, MOD(_xlpm.idx, SpriteCount),
  INDEX(
    sprite_data.asm!$B$3:$Q$156,
    INT(_xlpm.idx / SpriteCount) * 7 + INT(_xlpm.r / 16) + 1,
    MOD(_xlpm.r, 16) + 1
  )
)</f>
        <v>22</v>
      </c>
      <c r="G45" t="str" cm="1">
        <f t="array" ref="G45">_xlfn.LET(
  _xlpm.idx, (ROW()-3)*16 + G$1,
  _xlpm.r, MOD(_xlpm.idx, SpriteCount),
  INDEX(
    sprite_data.asm!$B$3:$Q$156,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sprite_data.asm!$B$3:$Q$156,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sprite_data.asm!$B$3:$Q$156,
    INT(_xlpm.idx / SpriteCount) * 7 + INT(_xlpm.r / 16) + 1,
    MOD(_xlpm.r, 16) + 1
  )
)</f>
        <v>28</v>
      </c>
      <c r="J45" t="str" cm="1">
        <f t="array" ref="J45">_xlfn.LET(
  _xlpm.idx, (ROW()-3)*16 + J$1,
  _xlpm.r, MOD(_xlpm.idx, SpriteCount),
  INDEX(
    sprite_data.asm!$B$3:$Q$156,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sprite_data.asm!$B$3:$Q$156,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sprite_data.asm!$B$3:$Q$156,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sprite_data.asm!$B$3:$Q$156,
    INT(_xlpm.idx / SpriteCount) * 7 + INT(_xlpm.r / 16) + 1,
    MOD(_xlpm.r, 16) + 1
  )
)</f>
        <v>00</v>
      </c>
      <c r="N45" t="str" cm="1">
        <f t="array" ref="N45">_xlfn.LET(
  _xlpm.idx, (ROW()-3)*16 + N$1,
  _xlpm.r, MOD(_xlpm.idx, SpriteCount),
  INDEX(
    sprite_data.asm!$B$3:$Q$156,
    INT(_xlpm.idx / SpriteCount) * 7 + INT(_xlpm.r / 16) + 1,
    MOD(_xlpm.r, 16) + 1
  )
)</f>
        <v>2A</v>
      </c>
      <c r="O45" t="str" cm="1">
        <f t="array" ref="O45">_xlfn.LET(
  _xlpm.idx, (ROW()-3)*16 + O$1,
  _xlpm.r, MOD(_xlpm.idx, SpriteCount),
  INDEX(
    sprite_data.asm!$B$3:$Q$156,
    INT(_xlpm.idx / SpriteCount) * 7 + INT(_xlpm.r / 16) + 1,
    MOD(_xlpm.r, 16) + 1
  )
)</f>
        <v>28</v>
      </c>
      <c r="P45" t="str" cm="1">
        <f t="array" ref="P45">_xlfn.LET(
  _xlpm.idx, (ROW()-3)*16 + P$1,
  _xlpm.r, MOD(_xlpm.idx, SpriteCount),
  INDEX(
    sprite_data.asm!$B$3:$Q$156,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sprite_data.asm!$B$3:$Q$156,
    INT(_xlpm.idx / SpriteCount) * 7 + INT(_xlpm.r / 16) + 1,
    MOD(_xlpm.r, 16) + 1
  )
)</f>
        <v>2A</v>
      </c>
      <c r="R45" t="str" cm="1">
        <f t="array" ref="R45">_xlfn.LET(
  _xlpm.idx, (ROW()-3)*16 + R$1,
  _xlpm.r, MOD(_xlpm.idx, SpriteCount),
  INDEX(
    sprite_data.asm!$B$3:$Q$156,
    INT(_xlpm.idx / SpriteCount) * 7 + INT(_xlpm.r / 16) + 1,
    MOD(_xlpm.r, 16) + 1
  )
)</f>
        <v>0A</v>
      </c>
    </row>
    <row r="46" spans="1:18" x14ac:dyDescent="0.45">
      <c r="A46">
        <f t="shared" si="6"/>
        <v>44976</v>
      </c>
      <c r="B46" s="32" t="str">
        <f t="shared" si="7"/>
        <v>AFB0</v>
      </c>
      <c r="C46" t="str" cm="1">
        <f t="array" ref="C46">_xlfn.LET(
  _xlpm.idx, (ROW()-3)*16 + C$1,
  _xlpm.r, MOD(_xlpm.idx, SpriteCount),
  INDEX(
    sprite_data.asm!$B$3:$Q$156,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sprite_data.asm!$B$3:$Q$156,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sprite_data.asm!$B$3:$Q$156,
    INT(_xlpm.idx / SpriteCount) * 7 + INT(_xlpm.r / 16) + 1,
    MOD(_xlpm.r, 16) + 1
  )
)</f>
        <v>2A</v>
      </c>
      <c r="F46" t="str" cm="1">
        <f t="array" ref="F46">_xlfn.LET(
  _xlpm.idx, (ROW()-3)*16 + F$1,
  _xlpm.r, MOD(_xlpm.idx, SpriteCount),
  INDEX(
    sprite_data.asm!$B$3:$Q$156,
    INT(_xlpm.idx / SpriteCount) * 7 + INT(_xlpm.r / 16) + 1,
    MOD(_xlpm.r, 16) + 1
  )
)</f>
        <v>28</v>
      </c>
      <c r="G46" t="str" cm="1">
        <f t="array" ref="G46">_xlfn.LET(
  _xlpm.idx, (ROW()-3)*16 + G$1,
  _xlpm.r, MOD(_xlpm.idx, SpriteCount),
  INDEX(
    sprite_data.asm!$B$3:$Q$156,
    INT(_xlpm.idx / SpriteCount) * 7 + INT(_xlpm.r / 16) + 1,
    MOD(_xlpm.r, 16) + 1
  )
)</f>
        <v>2A</v>
      </c>
      <c r="H46" t="str" cm="1">
        <f t="array" ref="H46">_xlfn.LET(
  _xlpm.idx, (ROW()-3)*16 + H$1,
  _xlpm.r, MOD(_xlpm.idx, SpriteCount),
  INDEX(
    sprite_data.asm!$B$3:$Q$156,
    INT(_xlpm.idx / SpriteCount) * 7 + INT(_xlpm.r / 16) + 1,
    MOD(_xlpm.r, 16) + 1
  )
)</f>
        <v>54</v>
      </c>
      <c r="I46" t="str" cm="1">
        <f t="array" ref="I46">_xlfn.LET(
  _xlpm.idx, (ROW()-3)*16 + I$1,
  _xlpm.r, MOD(_xlpm.idx, SpriteCount),
  INDEX(
    sprite_data.asm!$B$3:$Q$156,
    INT(_xlpm.idx / SpriteCount) * 7 + INT(_xlpm.r / 16) + 1,
    MOD(_xlpm.r, 16) + 1
  )
)</f>
        <v>15</v>
      </c>
      <c r="J46" t="str" cm="1">
        <f t="array" ref="J46">_xlfn.LET(
  _xlpm.idx, (ROW()-3)*16 + J$1,
  _xlpm.r, MOD(_xlpm.idx, SpriteCount),
  INDEX(
    sprite_data.asm!$B$3:$Q$156,
    INT(_xlpm.idx / SpriteCount) * 7 + INT(_xlpm.r / 16) + 1,
    MOD(_xlpm.r, 16) + 1
  )
)</f>
        <v>55</v>
      </c>
      <c r="K46" t="str" cm="1">
        <f t="array" ref="K46">_xlfn.LET(
  _xlpm.idx, (ROW()-3)*16 + K$1,
  _xlpm.r, MOD(_xlpm.idx, SpriteCount),
  INDEX(
    sprite_data.asm!$B$3:$Q$156,
    INT(_xlpm.idx / SpriteCount) * 7 + INT(_xlpm.r / 16) + 1,
    MOD(_xlpm.r, 16) + 1
  )
)</f>
        <v>15</v>
      </c>
      <c r="L46" t="str" cm="1">
        <f t="array" ref="L46">_xlfn.LET(
  _xlpm.idx, (ROW()-3)*16 + L$1,
  _xlpm.r, MOD(_xlpm.idx, SpriteCount),
  INDEX(
    sprite_data.asm!$B$3:$Q$156,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sprite_data.asm!$B$3:$Q$156,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sprite_data.asm!$B$3:$Q$156,
    INT(_xlpm.idx / SpriteCount) * 7 + INT(_xlpm.r / 16) + 1,
    MOD(_xlpm.r, 16) + 1
  )
)</f>
        <v>55</v>
      </c>
      <c r="O46" t="str" cm="1">
        <f t="array" ref="O46">_xlfn.LET(
  _xlpm.idx, (ROW()-3)*16 + O$1,
  _xlpm.r, MOD(_xlpm.idx, SpriteCount),
  INDEX(
    sprite_data.asm!$B$3:$Q$156,
    INT(_xlpm.idx / SpriteCount) * 7 + INT(_xlpm.r / 16) + 1,
    MOD(_xlpm.r, 16) + 1
  )
)</f>
        <v>41</v>
      </c>
      <c r="P46" t="str" cm="1">
        <f t="array" ref="P46">_xlfn.LET(
  _xlpm.idx, (ROW()-3)*16 + P$1,
  _xlpm.r, MOD(_xlpm.idx, SpriteCount),
  INDEX(
    sprite_data.asm!$B$3:$Q$156,
    INT(_xlpm.idx / SpriteCount) * 7 + INT(_xlpm.r / 16) + 1,
    MOD(_xlpm.r, 16) + 1
  )
)</f>
        <v>04</v>
      </c>
      <c r="Q46" t="str" cm="1">
        <f t="array" ref="Q46">_xlfn.LET(
  _xlpm.idx, (ROW()-3)*16 + Q$1,
  _xlpm.r, MOD(_xlpm.idx, SpriteCount),
  INDEX(
    sprite_data.asm!$B$3:$Q$156,
    INT(_xlpm.idx / SpriteCount) * 7 + INT(_xlpm.r / 16) + 1,
    MOD(_xlpm.r, 16) + 1
  )
)</f>
        <v>10</v>
      </c>
      <c r="R46" t="str" cm="1">
        <f t="array" ref="R46">_xlfn.LET(
  _xlpm.idx, (ROW()-3)*16 + R$1,
  _xlpm.r, MOD(_xlpm.idx, SpriteCount),
  INDEX(
    sprite_data.asm!$B$3:$Q$156,
    INT(_xlpm.idx / SpriteCount) * 7 + INT(_xlpm.r / 16) + 1,
    MOD(_xlpm.r, 16) + 1
  )
)</f>
        <v>41</v>
      </c>
    </row>
    <row r="47" spans="1:18" x14ac:dyDescent="0.45">
      <c r="A47">
        <f t="shared" si="6"/>
        <v>44992</v>
      </c>
      <c r="B47" s="32" t="str">
        <f t="shared" si="7"/>
        <v>AFC0</v>
      </c>
      <c r="C47" t="str" cm="1">
        <f t="array" ref="C47">_xlfn.LET(
  _xlpm.idx, (ROW()-3)*16 + C$1,
  _xlpm.r, MOD(_xlpm.idx, SpriteCount),
  INDEX(
    sprite_data.asm!$B$3:$Q$156,
    INT(_xlpm.idx / SpriteCount) * 7 + INT(_xlpm.r / 16) + 1,
    MOD(_xlpm.r, 16) + 1
  )
)</f>
        <v>01</v>
      </c>
      <c r="D47" t="str" cm="1">
        <f t="array" ref="D47">_xlfn.LET(
  _xlpm.idx, (ROW()-3)*16 + D$1,
  _xlpm.r, MOD(_xlpm.idx, SpriteCount),
  INDEX(
    sprite_data.asm!$B$3:$Q$156,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sprite_data.asm!$B$3:$Q$156,
    INT(_xlpm.idx / SpriteCount) * 7 + INT(_xlpm.r / 16) + 1,
    MOD(_xlpm.r, 16) + 1
  )
)</f>
        <v>41</v>
      </c>
      <c r="F47" t="str" cm="1">
        <f t="array" ref="F47">_xlfn.LET(
  _xlpm.idx, (ROW()-3)*16 + F$1,
  _xlpm.r, MOD(_xlpm.idx, SpriteCount),
  INDEX(
    sprite_data.asm!$B$3:$Q$156,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sprite_data.asm!$B$3:$Q$156,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sprite_data.asm!$B$3:$Q$156,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sprite_data.asm!$B$3:$Q$156,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sprite_data.asm!$B$3:$Q$156,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sprite_data.asm!$B$3:$Q$156,
    INT(_xlpm.idx / SpriteCount) * 7 + INT(_xlpm.r / 16) + 1,
    MOD(_xlpm.r, 16) + 1
  )
)</f>
        <v>55</v>
      </c>
      <c r="L47" t="str" cm="1">
        <f t="array" ref="L47">_xlfn.LET(
  _xlpm.idx, (ROW()-3)*16 + L$1,
  _xlpm.r, MOD(_xlpm.idx, SpriteCount),
  INDEX(
    sprite_data.asm!$B$3:$Q$156,
    INT(_xlpm.idx / SpriteCount) * 7 + INT(_xlpm.r / 16) + 1,
    MOD(_xlpm.r, 16) + 1
  )
)</f>
        <v>41</v>
      </c>
      <c r="M47" t="str" cm="1">
        <f t="array" ref="M47">_xlfn.LET(
  _xlpm.idx, (ROW()-3)*16 + M$1,
  _xlpm.r, MOD(_xlpm.idx, SpriteCount),
  INDEX(
    sprite_data.asm!$B$3:$Q$156,
    INT(_xlpm.idx / SpriteCount) * 7 + INT(_xlpm.r / 16) + 1,
    MOD(_xlpm.r, 16) + 1
  )
)</f>
        <v>45</v>
      </c>
      <c r="N47" t="str" cm="1">
        <f t="array" ref="N47">_xlfn.LET(
  _xlpm.idx, (ROW()-3)*16 + N$1,
  _xlpm.r, MOD(_xlpm.idx, SpriteCount),
  INDEX(
    sprite_data.asm!$B$3:$Q$156,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sprite_data.asm!$B$3:$Q$156,
    INT(_xlpm.idx / SpriteCount) * 7 + INT(_xlpm.r / 16) + 1,
    MOD(_xlpm.r, 16) + 1
  )
)</f>
        <v>41</v>
      </c>
      <c r="P47" t="str" cm="1">
        <f t="array" ref="P47">_xlfn.LET(
  _xlpm.idx, (ROW()-3)*16 + P$1,
  _xlpm.r, MOD(_xlpm.idx, SpriteCount),
  INDEX(
    sprite_data.asm!$B$3:$Q$156,
    INT(_xlpm.idx / SpriteCount) * 7 + INT(_xlpm.r / 16) + 1,
    MOD(_xlpm.r, 16) + 1
  )
)</f>
        <v>51</v>
      </c>
      <c r="Q47" t="str" cm="1">
        <f t="array" ref="Q47">_xlfn.LET(
  _xlpm.idx, (ROW()-3)*16 + Q$1,
  _xlpm.r, MOD(_xlpm.idx, SpriteCount),
  INDEX(
    sprite_data.asm!$B$3:$Q$156,
    INT(_xlpm.idx / SpriteCount) * 7 + INT(_xlpm.r / 16) + 1,
    MOD(_xlpm.r, 16) + 1
  )
)</f>
        <v>55</v>
      </c>
      <c r="R47" t="str" cm="1">
        <f t="array" ref="R47">_xlfn.LET(
  _xlpm.idx, (ROW()-3)*16 + R$1,
  _xlpm.r, MOD(_xlpm.idx, SpriteCount),
  INDEX(
    sprite_data.asm!$B$3:$Q$156,
    INT(_xlpm.idx / SpriteCount) * 7 + INT(_xlpm.r / 16) + 1,
    MOD(_xlpm.r, 16) + 1
  )
)</f>
        <v>01</v>
      </c>
    </row>
    <row r="48" spans="1:18" x14ac:dyDescent="0.45">
      <c r="A48">
        <f t="shared" si="6"/>
        <v>45008</v>
      </c>
      <c r="B48" s="32" t="str">
        <f t="shared" si="7"/>
        <v>AFD0</v>
      </c>
      <c r="C48" t="str" cm="1">
        <f t="array" ref="C48">_xlfn.LET(
  _xlpm.idx, (ROW()-3)*16 + C$1,
  _xlpm.r, MOD(_xlpm.idx, SpriteCount),
  INDEX(
    sprite_data.asm!$B$3:$Q$156,
    INT(_xlpm.idx / SpriteCount) * 7 + INT(_xlpm.r / 16) + 1,
    MOD(_xlpm.r, 16) + 1
  )
)</f>
        <v>00</v>
      </c>
      <c r="D48" t="str" cm="1">
        <f t="array" ref="D48">_xlfn.LET(
  _xlpm.idx, (ROW()-3)*16 + D$1,
  _xlpm.r, MOD(_xlpm.idx, SpriteCount),
  INDEX(
    sprite_data.asm!$B$3:$Q$156,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sprite_data.asm!$B$3:$Q$156,
    INT(_xlpm.idx / SpriteCount) * 7 + INT(_xlpm.r / 16) + 1,
    MOD(_xlpm.r, 16) + 1
  )
)</f>
        <v>14</v>
      </c>
      <c r="F48" t="str" cm="1">
        <f t="array" ref="F48">_xlfn.LET(
  _xlpm.idx, (ROW()-3)*16 + F$1,
  _xlpm.r, MOD(_xlpm.idx, SpriteCount),
  INDEX(
    sprite_data.asm!$B$3:$Q$156,
    INT(_xlpm.idx / SpriteCount) * 7 + INT(_xlpm.r / 16) + 1,
    MOD(_xlpm.r, 16) + 1
  )
)</f>
        <v>40</v>
      </c>
      <c r="G48" t="str" cm="1">
        <f t="array" ref="G48">_xlfn.LET(
  _xlpm.idx, (ROW()-3)*16 + G$1,
  _xlpm.r, MOD(_xlpm.idx, SpriteCount),
  INDEX(
    sprite_data.asm!$B$3:$Q$156,
    INT(_xlpm.idx / SpriteCount) * 7 + INT(_xlpm.r / 16) + 1,
    MOD(_xlpm.r, 16) + 1
  )
)</f>
        <v>00</v>
      </c>
      <c r="H48" t="str" cm="1">
        <f t="array" ref="H48">_xlfn.LET(
  _xlpm.idx, (ROW()-3)*16 + H$1,
  _xlpm.r, MOD(_xlpm.idx, SpriteCount),
  INDEX(
    sprite_data.asm!$B$3:$Q$156,
    INT(_xlpm.idx / SpriteCount) * 7 + INT(_xlpm.r / 16) + 1,
    MOD(_xlpm.r, 16) + 1
  )
)</f>
        <v>40</v>
      </c>
      <c r="I48" t="str" cm="1">
        <f t="array" ref="I48">_xlfn.LET(
  _xlpm.idx, (ROW()-3)*16 + I$1,
  _xlpm.r, MOD(_xlpm.idx, SpriteCount),
  INDEX(
    sprite_data.asm!$B$3:$Q$156,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sprite_data.asm!$B$3:$Q$156,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sprite_data.asm!$B$3:$Q$156,
    INT(_xlpm.idx / SpriteCount) * 7 + INT(_xlpm.r / 16) + 1,
    MOD(_xlpm.r, 16) + 1
  )
)</f>
        <v>00</v>
      </c>
      <c r="L48" t="str" cm="1">
        <f t="array" ref="L48">_xlfn.LET(
  _xlpm.idx, (ROW()-3)*16 + L$1,
  _xlpm.r, MOD(_xlpm.idx, SpriteCount),
  INDEX(
    sprite_data.asm!$B$3:$Q$156,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sprite_data.asm!$B$3:$Q$156,
    INT(_xlpm.idx / SpriteCount) * 7 + INT(_xlpm.r / 16) + 1,
    MOD(_xlpm.r, 16) + 1
  )
)</f>
        <v>02</v>
      </c>
      <c r="N48" t="str" cm="1">
        <f t="array" ref="N48">_xlfn.LET(
  _xlpm.idx, (ROW()-3)*16 + N$1,
  _xlpm.r, MOD(_xlpm.idx, SpriteCount),
  INDEX(
    sprite_data.asm!$B$3:$Q$156,
    INT(_xlpm.idx / SpriteCount) * 7 + INT(_xlpm.r / 16) + 1,
    MOD(_xlpm.r, 16) + 1
  )
)</f>
        <v>03</v>
      </c>
      <c r="O48" t="str" cm="1">
        <f t="array" ref="O48">_xlfn.LET(
  _xlpm.idx, (ROW()-3)*16 + O$1,
  _xlpm.r, MOD(_xlpm.idx, SpriteCount),
  INDEX(
    sprite_data.asm!$B$3:$Q$156,
    INT(_xlpm.idx / SpriteCount) * 7 + INT(_xlpm.r / 16) + 1,
    MOD(_xlpm.r, 16) + 1
  )
)</f>
        <v>00</v>
      </c>
      <c r="P48" t="str" cm="1">
        <f t="array" ref="P48">_xlfn.LET(
  _xlpm.idx, (ROW()-3)*16 + P$1,
  _xlpm.r, MOD(_xlpm.idx, SpriteCount),
  INDEX(
    sprite_data.asm!$B$3:$Q$156,
    INT(_xlpm.idx / SpriteCount) * 7 + INT(_xlpm.r / 16) + 1,
    MOD(_xlpm.r, 16) + 1
  )
)</f>
        <v>01</v>
      </c>
      <c r="Q48" t="str" cm="1">
        <f t="array" ref="Q48">_xlfn.LET(
  _xlpm.idx, (ROW()-3)*16 + Q$1,
  _xlpm.r, MOD(_xlpm.idx, SpriteCount),
  INDEX(
    sprite_data.asm!$B$3:$Q$156,
    INT(_xlpm.idx / SpriteCount) * 7 + INT(_xlpm.r / 16) + 1,
    MOD(_xlpm.r, 16) + 1
  )
)</f>
        <v>03</v>
      </c>
      <c r="R48" t="str" cm="1">
        <f t="array" ref="R48">_xlfn.LET(
  _xlpm.idx, (ROW()-3)*16 + R$1,
  _xlpm.r, MOD(_xlpm.idx, SpriteCount),
  INDEX(
    sprite_data.asm!$B$3:$Q$156,
    INT(_xlpm.idx / SpriteCount) * 7 + INT(_xlpm.r / 16) + 1,
    MOD(_xlpm.r, 16) + 1
  )
)</f>
        <v>00</v>
      </c>
    </row>
    <row r="49" spans="1:18" x14ac:dyDescent="0.45">
      <c r="A49">
        <f t="shared" si="6"/>
        <v>45024</v>
      </c>
      <c r="B49" s="32" t="str">
        <f t="shared" si="7"/>
        <v>AFE0</v>
      </c>
      <c r="C49" t="str" cm="1">
        <f t="array" ref="C49">_xlfn.LET(
  _xlpm.idx, (ROW()-3)*16 + C$1,
  _xlpm.r, MOD(_xlpm.idx, SpriteCount),
  INDEX(
    sprite_data.asm!$B$3:$Q$156,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sprite_data.asm!$B$3:$Q$156,
    INT(_xlpm.idx / SpriteCount) * 7 + INT(_xlpm.r / 16) + 1,
    MOD(_xlpm.r, 16) + 1
  )
)</f>
        <v>00</v>
      </c>
      <c r="E49" t="str" cm="1">
        <f t="array" ref="E49">_xlfn.LET(
  _xlpm.idx, (ROW()-3)*16 + E$1,
  _xlpm.r, MOD(_xlpm.idx, SpriteCount),
  INDEX(
    sprite_data.asm!$B$3:$Q$156,
    INT(_xlpm.idx / SpriteCount) * 7 + INT(_xlpm.r / 16) + 1,
    MOD(_xlpm.r, 16) + 1
  )
)</f>
        <v>07</v>
      </c>
      <c r="F49" t="str" cm="1">
        <f t="array" ref="F49">_xlfn.LET(
  _xlpm.idx, (ROW()-3)*16 + F$1,
  _xlpm.r, MOD(_xlpm.idx, SpriteCount),
  INDEX(
    sprite_data.asm!$B$3:$Q$156,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sprite_data.asm!$B$3:$Q$156,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sprite_data.asm!$B$3:$Q$156,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sprite_data.asm!$B$3:$Q$156,
    INT(_xlpm.idx / SpriteCount) * 7 + INT(_xlpm.r / 16) + 1,
    MOD(_xlpm.r, 16) + 1
  )
)</f>
        <v>00</v>
      </c>
      <c r="J49" t="str" cm="1">
        <f t="array" ref="J49">_xlfn.LET(
  _xlpm.idx, (ROW()-3)*16 + J$1,
  _xlpm.r, MOD(_xlpm.idx, SpriteCount),
  INDEX(
    sprite_data.asm!$B$3:$Q$156,
    INT(_xlpm.idx / SpriteCount) * 7 + INT(_xlpm.r / 16) + 1,
    MOD(_xlpm.r, 16) + 1
  )
)</f>
        <v>01</v>
      </c>
      <c r="K49" t="str" cm="1">
        <f t="array" ref="K49">_xlfn.LET(
  _xlpm.idx, (ROW()-3)*16 + K$1,
  _xlpm.r, MOD(_xlpm.idx, SpriteCount),
  INDEX(
    sprite_data.asm!$B$3:$Q$156,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sprite_data.asm!$B$3:$Q$156,
    INT(_xlpm.idx / SpriteCount) * 7 + INT(_xlpm.r / 16) + 1,
    MOD(_xlpm.r, 16) + 1
  )
)</f>
        <v>00</v>
      </c>
      <c r="M49" t="str" cm="1">
        <f t="array" ref="M49">_xlfn.LET(
  _xlpm.idx, (ROW()-3)*16 + M$1,
  _xlpm.r, MOD(_xlpm.idx, SpriteCount),
  INDEX(
    sprite_data.asm!$B$3:$Q$156,
    INT(_xlpm.idx / SpriteCount) * 7 + INT(_xlpm.r / 16) + 1,
    MOD(_xlpm.r, 16) + 1
  )
)</f>
        <v>02</v>
      </c>
      <c r="N49" t="str" cm="1">
        <f t="array" ref="N49">_xlfn.LET(
  _xlpm.idx, (ROW()-3)*16 + N$1,
  _xlpm.r, MOD(_xlpm.idx, SpriteCount),
  INDEX(
    sprite_data.asm!$B$3:$Q$156,
    INT(_xlpm.idx / SpriteCount) * 7 + INT(_xlpm.r / 16) + 1,
    MOD(_xlpm.r, 16) + 1
  )
)</f>
        <v>03</v>
      </c>
      <c r="O49" t="str" cm="1">
        <f t="array" ref="O49">_xlfn.LET(
  _xlpm.idx, (ROW()-3)*16 + O$1,
  _xlpm.r, MOD(_xlpm.idx, SpriteCount),
  INDEX(
    sprite_data.asm!$B$3:$Q$156,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sprite_data.asm!$B$3:$Q$156,
    INT(_xlpm.idx / SpriteCount) * 7 + INT(_xlpm.r / 16) + 1,
    MOD(_xlpm.r, 16) + 1
  )
)</f>
        <v>01</v>
      </c>
      <c r="Q49" t="str" cm="1">
        <f t="array" ref="Q49">_xlfn.LET(
  _xlpm.idx, (ROW()-3)*16 + Q$1,
  _xlpm.r, MOD(_xlpm.idx, SpriteCount),
  INDEX(
    sprite_data.asm!$B$3:$Q$156,
    INT(_xlpm.idx / SpriteCount) * 7 + INT(_xlpm.r / 16) + 1,
    MOD(_xlpm.r, 16) + 1
  )
)</f>
        <v>00</v>
      </c>
      <c r="R49" t="str" cm="1">
        <f t="array" ref="R49">_xlfn.LET(
  _xlpm.idx, (ROW()-3)*16 + R$1,
  _xlpm.r, MOD(_xlpm.idx, SpriteCount),
  INDEX(
    sprite_data.asm!$B$3:$Q$156,
    INT(_xlpm.idx / SpriteCount) * 7 + INT(_xlpm.r / 16) + 1,
    MOD(_xlpm.r, 16) + 1
  )
)</f>
        <v>06</v>
      </c>
    </row>
    <row r="50" spans="1:18" x14ac:dyDescent="0.45">
      <c r="A50">
        <f t="shared" si="6"/>
        <v>45040</v>
      </c>
      <c r="B50" s="32" t="str">
        <f t="shared" si="7"/>
        <v>AFF0</v>
      </c>
      <c r="C50" t="str" cm="1">
        <f t="array" ref="C50">_xlfn.LET(
  _xlpm.idx, (ROW()-3)*16 + C$1,
  _xlpm.r, MOD(_xlpm.idx, SpriteCount),
  INDEX(
    sprite_data.asm!$B$3:$Q$156,
    INT(_xlpm.idx / SpriteCount) * 7 + INT(_xlpm.r / 16) + 1,
    MOD(_xlpm.r, 16) + 1
  )
)</f>
        <v>03</v>
      </c>
      <c r="D50" t="str" cm="1">
        <f t="array" ref="D50">_xlfn.LET(
  _xlpm.idx, (ROW()-3)*16 + D$1,
  _xlpm.r, MOD(_xlpm.idx, SpriteCount),
  INDEX(
    sprite_data.asm!$B$3:$Q$156,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sprite_data.asm!$B$3:$Q$156,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sprite_data.asm!$B$3:$Q$156,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sprite_data.asm!$B$3:$Q$156,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sprite_data.asm!$B$3:$Q$156,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sprite_data.asm!$B$3:$Q$156,
    INT(_xlpm.idx / SpriteCount) * 7 + INT(_xlpm.r / 16) + 1,
    MOD(_xlpm.r, 16) + 1
  )
)</f>
        <v>00</v>
      </c>
      <c r="J50" t="str" cm="1">
        <f t="array" ref="J50">_xlfn.LET(
  _xlpm.idx, (ROW()-3)*16 + J$1,
  _xlpm.r, MOD(_xlpm.idx, SpriteCount),
  INDEX(
    sprite_data.asm!$B$3:$Q$156,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sprite_data.asm!$B$3:$Q$156,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sprite_data.asm!$B$3:$Q$156,
    INT(_xlpm.idx / SpriteCount) * 7 + INT(_xlpm.r / 16) + 1,
    MOD(_xlpm.r, 16) + 1
  )
)</f>
        <v>02</v>
      </c>
      <c r="M50" t="str" cm="1">
        <f t="array" ref="M50">_xlfn.LET(
  _xlpm.idx, (ROW()-3)*16 + M$1,
  _xlpm.r, MOD(_xlpm.idx, SpriteCount),
  INDEX(
    sprite_data.asm!$B$3:$Q$156,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sprite_data.asm!$B$3:$Q$156,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sprite_data.asm!$B$3:$Q$156,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sprite_data.asm!$B$3:$Q$156,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sprite_data.asm!$B$3:$Q$156,
    INT(_xlpm.idx / SpriteCount) * 7 + INT(_xlpm.r / 16) + 1,
    MOD(_xlpm.r, 16) + 1
  )
)</f>
        <v>00</v>
      </c>
      <c r="R50" t="str" cm="1">
        <f t="array" ref="R50">_xlfn.LET(
  _xlpm.idx, (ROW()-3)*16 + R$1,
  _xlpm.r, MOD(_xlpm.idx, SpriteCount),
  INDEX(
    sprite_data.asm!$B$3:$Q$156,
    INT(_xlpm.idx / SpriteCount) * 7 + INT(_xlpm.r / 16) + 1,
    MOD(_xlpm.r, 16) + 1
  )
)</f>
        <v>00</v>
      </c>
    </row>
    <row r="51" spans="1:18" x14ac:dyDescent="0.45">
      <c r="A51">
        <f t="shared" si="6"/>
        <v>45056</v>
      </c>
      <c r="B51" s="32" t="str">
        <f t="shared" si="7"/>
        <v>B000</v>
      </c>
      <c r="C51" t="str" cm="1">
        <f t="array" ref="C51">_xlfn.LET(
  _xlpm.idx, (ROW()-3)*16 + C$1,
  _xlpm.r, MOD(_xlpm.idx, SpriteCount),
  INDEX(
    sprite_data.asm!$B$3:$Q$156,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sprite_data.asm!$B$3:$Q$156,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sprite_data.asm!$B$3:$Q$156,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sprite_data.asm!$B$3:$Q$156,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sprite_data.asm!$B$3:$Q$156,
    INT(_xlpm.idx / SpriteCount) * 7 + INT(_xlpm.r / 16) + 1,
    MOD(_xlpm.r, 16) + 1
  )
)</f>
        <v>00</v>
      </c>
      <c r="H51" t="str" cm="1">
        <f t="array" ref="H51">_xlfn.LET(
  _xlpm.idx, (ROW()-3)*16 + H$1,
  _xlpm.r, MOD(_xlpm.idx, SpriteCount),
  INDEX(
    sprite_data.asm!$B$3:$Q$156,
    INT(_xlpm.idx / SpriteCount) * 7 + INT(_xlpm.r / 16) + 1,
    MOD(_xlpm.r, 16) + 1
  )
)</f>
        <v>01</v>
      </c>
      <c r="I51" t="str" cm="1">
        <f t="array" ref="I51">_xlfn.LET(
  _xlpm.idx, (ROW()-3)*16 + I$1,
  _xlpm.r, MOD(_xlpm.idx, SpriteCount),
  INDEX(
    sprite_data.asm!$B$3:$Q$156,
    INT(_xlpm.idx / SpriteCount) * 7 + INT(_xlpm.r / 16) + 1,
    MOD(_xlpm.r, 16) + 1
  )
)</f>
        <v>00</v>
      </c>
      <c r="J51" t="str" cm="1">
        <f t="array" ref="J51">_xlfn.LET(
  _xlpm.idx, (ROW()-3)*16 + J$1,
  _xlpm.r, MOD(_xlpm.idx, SpriteCount),
  INDEX(
    sprite_data.asm!$B$3:$Q$156,
    INT(_xlpm.idx / SpriteCount) * 7 + INT(_xlpm.r / 16) + 1,
    MOD(_xlpm.r, 16) + 1
  )
)</f>
        <v>04</v>
      </c>
      <c r="K51" t="str" cm="1">
        <f t="array" ref="K51">_xlfn.LET(
  _xlpm.idx, (ROW()-3)*16 + K$1,
  _xlpm.r, MOD(_xlpm.idx, SpriteCount),
  INDEX(
    sprite_data.asm!$B$3:$Q$156,
    INT(_xlpm.idx / SpriteCount) * 7 + INT(_xlpm.r / 16) + 1,
    MOD(_xlpm.r, 16) + 1
  )
)</f>
        <v>01</v>
      </c>
      <c r="L51" t="str" cm="1">
        <f t="array" ref="L51">_xlfn.LET(
  _xlpm.idx, (ROW()-3)*16 + L$1,
  _xlpm.r, MOD(_xlpm.idx, SpriteCount),
  INDEX(
    sprite_data.asm!$B$3:$Q$156,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sprite_data.asm!$B$3:$Q$156,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sprite_data.asm!$B$3:$Q$156,
    INT(_xlpm.idx / SpriteCount) * 7 + INT(_xlpm.r / 16) + 1,
    MOD(_xlpm.r, 16) + 1
  )
)</f>
        <v>00</v>
      </c>
      <c r="O51" t="str" cm="1">
        <f t="array" ref="O51">_xlfn.LET(
  _xlpm.idx, (ROW()-3)*16 + O$1,
  _xlpm.r, MOD(_xlpm.idx, SpriteCount),
  INDEX(
    sprite_data.asm!$B$3:$Q$156,
    INT(_xlpm.idx / SpriteCount) * 7 + INT(_xlpm.r / 16) + 1,
    MOD(_xlpm.r, 16) + 1
  )
)</f>
        <v>02</v>
      </c>
      <c r="P51" t="str" cm="1">
        <f t="array" ref="P51">_xlfn.LET(
  _xlpm.idx, (ROW()-3)*16 + P$1,
  _xlpm.r, MOD(_xlpm.idx, SpriteCount),
  INDEX(
    sprite_data.asm!$B$3:$Q$156,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sprite_data.asm!$B$3:$Q$156,
    INT(_xlpm.idx / SpriteCount) * 7 + INT(_xlpm.r / 16) + 1,
    MOD(_xlpm.r, 16) + 1
  )
)</f>
        <v>01</v>
      </c>
      <c r="R51" t="str" cm="1">
        <f t="array" ref="R51">_xlfn.LET(
  _xlpm.idx, (ROW()-3)*16 + R$1,
  _xlpm.r, MOD(_xlpm.idx, SpriteCount),
  INDEX(
    sprite_data.asm!$B$3:$Q$156,
    INT(_xlpm.idx / SpriteCount) * 7 + INT(_xlpm.r / 16) + 1,
    MOD(_xlpm.r, 16) + 1
  )
)</f>
        <v>00</v>
      </c>
    </row>
    <row r="52" spans="1:18" x14ac:dyDescent="0.45">
      <c r="A52">
        <f t="shared" si="6"/>
        <v>45072</v>
      </c>
      <c r="B52" s="32" t="str">
        <f t="shared" si="7"/>
        <v>B010</v>
      </c>
      <c r="C52" t="str" cm="1">
        <f t="array" ref="C52">_xlfn.LET(
  _xlpm.idx, (ROW()-3)*16 + C$1,
  _xlpm.r, MOD(_xlpm.idx, SpriteCount),
  INDEX(
    sprite_data.asm!$B$3:$Q$156,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sprite_data.asm!$B$3:$Q$156,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sprite_data.asm!$B$3:$Q$156,
    INT(_xlpm.idx / SpriteCount) * 7 + INT(_xlpm.r / 16) + 1,
    MOD(_xlpm.r, 16) + 1
  )
)</f>
        <v>00</v>
      </c>
      <c r="F52" t="str" cm="1">
        <f t="array" ref="F52">_xlfn.LET(
  _xlpm.idx, (ROW()-3)*16 + F$1,
  _xlpm.r, MOD(_xlpm.idx, SpriteCount),
  INDEX(
    sprite_data.asm!$B$3:$Q$156,
    INT(_xlpm.idx / SpriteCount) * 7 + INT(_xlpm.r / 16) + 1,
    MOD(_xlpm.r, 16) + 1
  )
)</f>
        <v>01</v>
      </c>
      <c r="G52" t="str" cm="1">
        <f t="array" ref="G52">_xlfn.LET(
  _xlpm.idx, (ROW()-3)*16 + G$1,
  _xlpm.r, MOD(_xlpm.idx, SpriteCount),
  INDEX(
    sprite_data.asm!$B$3:$Q$156,
    INT(_xlpm.idx / SpriteCount) * 7 + INT(_xlpm.r / 16) + 1,
    MOD(_xlpm.r, 16) + 1
  )
)</f>
        <v>00</v>
      </c>
      <c r="H52" t="str" cm="1">
        <f t="array" ref="H52">_xlfn.LET(
  _xlpm.idx, (ROW()-3)*16 + H$1,
  _xlpm.r, MOD(_xlpm.idx, SpriteCount),
  INDEX(
    sprite_data.asm!$B$3:$Q$156,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sprite_data.asm!$B$3:$Q$156,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sprite_data.asm!$B$3:$Q$156,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sprite_data.asm!$B$3:$Q$156,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sprite_data.asm!$B$3:$Q$156,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sprite_data.asm!$B$3:$Q$156,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sprite_data.asm!$B$3:$Q$156,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sprite_data.asm!$B$3:$Q$156,
    INT(_xlpm.idx / SpriteCount) * 7 + INT(_xlpm.r / 16) + 1,
    MOD(_xlpm.r, 16) + 1
  )
)</f>
        <v>01</v>
      </c>
      <c r="P52" t="str" cm="1">
        <f t="array" ref="P52">_xlfn.LET(
  _xlpm.idx, (ROW()-3)*16 + P$1,
  _xlpm.r, MOD(_xlpm.idx, SpriteCount),
  INDEX(
    sprite_data.asm!$B$3:$Q$156,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sprite_data.asm!$B$3:$Q$156,
    INT(_xlpm.idx / SpriteCount) * 7 + INT(_xlpm.r / 16) + 1,
    MOD(_xlpm.r, 16) + 1
  )
)</f>
        <v>00</v>
      </c>
      <c r="R52" t="str" cm="1">
        <f t="array" ref="R52">_xlfn.LET(
  _xlpm.idx, (ROW()-3)*16 + R$1,
  _xlpm.r, MOD(_xlpm.idx, SpriteCount),
  INDEX(
    sprite_data.asm!$B$3:$Q$156,
    INT(_xlpm.idx / SpriteCount) * 7 + INT(_xlpm.r / 16) + 1,
    MOD(_xlpm.r, 16) + 1
  )
)</f>
        <v>00</v>
      </c>
    </row>
    <row r="53" spans="1:18" x14ac:dyDescent="0.45">
      <c r="A53">
        <f t="shared" si="6"/>
        <v>45088</v>
      </c>
      <c r="B53" s="32" t="str">
        <f t="shared" si="7"/>
        <v>B020</v>
      </c>
      <c r="C53" t="str" cm="1">
        <f t="array" ref="C53">_xlfn.LET(
  _xlpm.idx, (ROW()-3)*16 + C$1,
  _xlpm.r, MOD(_xlpm.idx, SpriteCount),
  INDEX(
    sprite_data.asm!$B$3:$Q$156,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sprite_data.asm!$B$3:$Q$156,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sprite_data.asm!$B$3:$Q$156,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sprite_data.asm!$B$3:$Q$156,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sprite_data.asm!$B$3:$Q$156,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sprite_data.asm!$B$3:$Q$156,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sprite_data.asm!$B$3:$Q$156,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sprite_data.asm!$B$3:$Q$156,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sprite_data.asm!$B$3:$Q$156,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sprite_data.asm!$B$3:$Q$156,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sprite_data.asm!$B$3:$Q$156,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sprite_data.asm!$B$3:$Q$156,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sprite_data.asm!$B$3:$Q$156,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sprite_data.asm!$B$3:$Q$156,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sprite_data.asm!$B$3:$Q$156,
    INT(_xlpm.idx / SpriteCount) * 7 + INT(_xlpm.r / 16) + 1,
    MOD(_xlpm.r, 16) + 1
  )
)</f>
        <v>00</v>
      </c>
      <c r="R53" t="str" cm="1">
        <f t="array" ref="R53">_xlfn.LET(
  _xlpm.idx, (ROW()-3)*16 + R$1,
  _xlpm.r, MOD(_xlpm.idx, SpriteCount),
  INDEX(
    sprite_data.asm!$B$3:$Q$156,
    INT(_xlpm.idx / SpriteCount) * 7 + INT(_xlpm.r / 16) + 1,
    MOD(_xlpm.r, 16) + 1
  )
)</f>
        <v>00</v>
      </c>
    </row>
    <row r="54" spans="1:18" x14ac:dyDescent="0.45">
      <c r="A54">
        <f t="shared" si="6"/>
        <v>45104</v>
      </c>
      <c r="B54" s="32" t="str">
        <f t="shared" si="7"/>
        <v>B030</v>
      </c>
      <c r="C54" t="str" cm="1">
        <f t="array" ref="C54">_xlfn.LET(
  _xlpm.idx, (ROW()-3)*16 + C$1,
  _xlpm.r, MOD(_xlpm.idx, SpriteCount),
  INDEX(
    sprite_data.asm!$B$3:$Q$156,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sprite_data.asm!$B$3:$Q$156,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sprite_data.asm!$B$3:$Q$156,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sprite_data.asm!$B$3:$Q$156,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sprite_data.asm!$B$3:$Q$156,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sprite_data.asm!$B$3:$Q$156,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sprite_data.asm!$B$3:$Q$156,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sprite_data.asm!$B$3:$Q$156,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sprite_data.asm!$B$3:$Q$156,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sprite_data.asm!$B$3:$Q$156,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sprite_data.asm!$B$3:$Q$156,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sprite_data.asm!$B$3:$Q$156,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sprite_data.asm!$B$3:$Q$156,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sprite_data.asm!$B$3:$Q$156,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sprite_data.asm!$B$3:$Q$156,
    INT(_xlpm.idx / SpriteCount) * 7 + INT(_xlpm.r / 16) + 1,
    MOD(_xlpm.r, 16) + 1
  )
)</f>
        <v>00</v>
      </c>
      <c r="R54" t="str" cm="1">
        <f t="array" ref="R54">_xlfn.LET(
  _xlpm.idx, (ROW()-3)*16 + R$1,
  _xlpm.r, MOD(_xlpm.idx, SpriteCount),
  INDEX(
    sprite_data.asm!$B$3:$Q$156,
    INT(_xlpm.idx / SpriteCount) * 7 + INT(_xlpm.r / 16) + 1,
    MOD(_xlpm.r, 16) + 1
  )
)</f>
        <v>00</v>
      </c>
    </row>
    <row r="55" spans="1:18" x14ac:dyDescent="0.45">
      <c r="A55">
        <f t="shared" si="6"/>
        <v>45120</v>
      </c>
      <c r="B55" s="32" t="str">
        <f t="shared" si="7"/>
        <v>B040</v>
      </c>
      <c r="C55" t="str" cm="1">
        <f t="array" ref="C55">_xlfn.LET(
  _xlpm.idx, (ROW()-3)*16 + C$1,
  _xlpm.r, MOD(_xlpm.idx, SpriteCount),
  INDEX(
    sprite_data.asm!$B$3:$Q$156,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sprite_data.asm!$B$3:$Q$156,
    INT(_xlpm.idx / SpriteCount) * 7 + INT(_xlpm.r / 16) + 1,
    MOD(_xlpm.r, 16) + 1
  )
)</f>
        <v>00</v>
      </c>
      <c r="E55" t="str" cm="1">
        <f t="array" ref="E55">_xlfn.LET(
  _xlpm.idx, (ROW()-3)*16 + E$1,
  _xlpm.r, MOD(_xlpm.idx, SpriteCount),
  INDEX(
    sprite_data.asm!$B$3:$Q$156,
    INT(_xlpm.idx / SpriteCount) * 7 + INT(_xlpm.r / 16) + 1,
    MOD(_xlpm.r, 16) + 1
  )
)</f>
        <v>55</v>
      </c>
      <c r="F55" t="str" cm="1">
        <f t="array" ref="F55">_xlfn.LET(
  _xlpm.idx, (ROW()-3)*16 + F$1,
  _xlpm.r, MOD(_xlpm.idx, SpriteCount),
  INDEX(
    sprite_data.asm!$B$3:$Q$156,
    INT(_xlpm.idx / SpriteCount) * 7 + INT(_xlpm.r / 16) + 1,
    MOD(_xlpm.r, 16) + 1
  )
)</f>
        <v>06</v>
      </c>
      <c r="G55" t="str" cm="1">
        <f t="array" ref="G55">_xlfn.LET(
  _xlpm.idx, (ROW()-3)*16 + G$1,
  _xlpm.r, MOD(_xlpm.idx, SpriteCount),
  INDEX(
    sprite_data.asm!$B$3:$Q$156,
    INT(_xlpm.idx / SpriteCount) * 7 + INT(_xlpm.r / 16) + 1,
    MOD(_xlpm.r, 16) + 1
  )
)</f>
        <v>00</v>
      </c>
      <c r="H55" t="str" cm="1">
        <f t="array" ref="H55">_xlfn.LET(
  _xlpm.idx, (ROW()-3)*16 + H$1,
  _xlpm.r, MOD(_xlpm.idx, SpriteCount),
  INDEX(
    sprite_data.asm!$B$3:$Q$156,
    INT(_xlpm.idx / SpriteCount) * 7 + INT(_xlpm.r / 16) + 1,
    MOD(_xlpm.r, 16) + 1
  )
)</f>
        <v>30</v>
      </c>
      <c r="I55" t="str" cm="1">
        <f t="array" ref="I55">_xlfn.LET(
  _xlpm.idx, (ROW()-3)*16 + I$1,
  _xlpm.r, MOD(_xlpm.idx, SpriteCount),
  INDEX(
    sprite_data.asm!$B$3:$Q$156,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sprite_data.asm!$B$3:$Q$156,
    INT(_xlpm.idx / SpriteCount) * 7 + INT(_xlpm.r / 16) + 1,
    MOD(_xlpm.r, 16) + 1
  )
)</f>
        <v>00</v>
      </c>
      <c r="K55" t="str" cm="1">
        <f t="array" ref="K55">_xlfn.LET(
  _xlpm.idx, (ROW()-3)*16 + K$1,
  _xlpm.r, MOD(_xlpm.idx, SpriteCount),
  INDEX(
    sprite_data.asm!$B$3:$Q$156,
    INT(_xlpm.idx / SpriteCount) * 7 + INT(_xlpm.r / 16) + 1,
    MOD(_xlpm.r, 16) + 1
  )
)</f>
        <v>28</v>
      </c>
      <c r="L55" t="str" cm="1">
        <f t="array" ref="L55">_xlfn.LET(
  _xlpm.idx, (ROW()-3)*16 + L$1,
  _xlpm.r, MOD(_xlpm.idx, SpriteCount),
  INDEX(
    sprite_data.asm!$B$3:$Q$156,
    INT(_xlpm.idx / SpriteCount) * 7 + INT(_xlpm.r / 16) + 1,
    MOD(_xlpm.r, 16) + 1
  )
)</f>
        <v>6C</v>
      </c>
      <c r="M55" t="str" cm="1">
        <f t="array" ref="M55">_xlfn.LET(
  _xlpm.idx, (ROW()-3)*16 + M$1,
  _xlpm.r, MOD(_xlpm.idx, SpriteCount),
  INDEX(
    sprite_data.asm!$B$3:$Q$156,
    INT(_xlpm.idx / SpriteCount) * 7 + INT(_xlpm.r / 16) + 1,
    MOD(_xlpm.r, 16) + 1
  )
)</f>
        <v>7F</v>
      </c>
      <c r="N55" t="str" cm="1">
        <f t="array" ref="N55">_xlfn.LET(
  _xlpm.idx, (ROW()-3)*16 + N$1,
  _xlpm.r, MOD(_xlpm.idx, SpriteCount),
  INDEX(
    sprite_data.asm!$B$3:$Q$156,
    INT(_xlpm.idx / SpriteCount) * 7 + INT(_xlpm.r / 16) + 1,
    MOD(_xlpm.r, 16) + 1
  )
)</f>
        <v>5C</v>
      </c>
      <c r="O55" t="str" cm="1">
        <f t="array" ref="O55">_xlfn.LET(
  _xlpm.idx, (ROW()-3)*16 + O$1,
  _xlpm.r, MOD(_xlpm.idx, SpriteCount),
  INDEX(
    sprite_data.asm!$B$3:$Q$156,
    INT(_xlpm.idx / SpriteCount) * 7 + INT(_xlpm.r / 16) + 1,
    MOD(_xlpm.r, 16) + 1
  )
)</f>
        <v>38</v>
      </c>
      <c r="P55" t="str" cm="1">
        <f t="array" ref="P55">_xlfn.LET(
  _xlpm.idx, (ROW()-3)*16 + P$1,
  _xlpm.r, MOD(_xlpm.idx, SpriteCount),
  INDEX(
    sprite_data.asm!$B$3:$Q$156,
    INT(_xlpm.idx / SpriteCount) * 7 + INT(_xlpm.r / 16) + 1,
    MOD(_xlpm.r, 16) + 1
  )
)</f>
        <v>7A</v>
      </c>
      <c r="Q55" t="str" cm="1">
        <f t="array" ref="Q55">_xlfn.LET(
  _xlpm.idx, (ROW()-3)*16 + Q$1,
  _xlpm.r, MOD(_xlpm.idx, SpriteCount),
  INDEX(
    sprite_data.asm!$B$3:$Q$156,
    INT(_xlpm.idx / SpriteCount) * 7 + INT(_xlpm.r / 16) + 1,
    MOD(_xlpm.r, 16) + 1
  )
)</f>
        <v>7E</v>
      </c>
      <c r="R55" t="str" cm="1">
        <f t="array" ref="R55">_xlfn.LET(
  _xlpm.idx, (ROW()-3)*16 + R$1,
  _xlpm.r, MOD(_xlpm.idx, SpriteCount),
  INDEX(
    sprite_data.asm!$B$3:$Q$156,
    INT(_xlpm.idx / SpriteCount) * 7 + INT(_xlpm.r / 16) + 1,
    MOD(_xlpm.r, 16) + 1
  )
)</f>
        <v>70</v>
      </c>
    </row>
    <row r="56" spans="1:18" x14ac:dyDescent="0.45">
      <c r="A56">
        <f t="shared" si="6"/>
        <v>45136</v>
      </c>
      <c r="B56" s="32" t="str">
        <f t="shared" si="7"/>
        <v>B050</v>
      </c>
      <c r="C56" t="str" cm="1">
        <f t="array" ref="C56">_xlfn.LET(
  _xlpm.idx, (ROW()-3)*16 + C$1,
  _xlpm.r, MOD(_xlpm.idx, SpriteCount),
  INDEX(
    sprite_data.asm!$B$3:$Q$156,
    INT(_xlpm.idx / SpriteCount) * 7 + INT(_xlpm.r / 16) + 1,
    MOD(_xlpm.r, 16) + 1
  )
)</f>
        <v>70</v>
      </c>
      <c r="D56" t="str" cm="1">
        <f t="array" ref="D56">_xlfn.LET(
  _xlpm.idx, (ROW()-3)*16 + D$1,
  _xlpm.r, MOD(_xlpm.idx, SpriteCount),
  INDEX(
    sprite_data.asm!$B$3:$Q$156,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sprite_data.asm!$B$3:$Q$156,
    INT(_xlpm.idx / SpriteCount) * 7 + INT(_xlpm.r / 16) + 1,
    MOD(_xlpm.r, 16) + 1
  )
)</f>
        <v>78</v>
      </c>
      <c r="F56" t="str" cm="1">
        <f t="array" ref="F56">_xlfn.LET(
  _xlpm.idx, (ROW()-3)*16 + F$1,
  _xlpm.r, MOD(_xlpm.idx, SpriteCount),
  INDEX(
    sprite_data.asm!$B$3:$Q$156,
    INT(_xlpm.idx / SpriteCount) * 7 + INT(_xlpm.r / 16) + 1,
    MOD(_xlpm.r, 16) + 1
  )
)</f>
        <v>60</v>
      </c>
      <c r="G56" t="str" cm="1">
        <f t="array" ref="G56">_xlfn.LET(
  _xlpm.idx, (ROW()-3)*16 + G$1,
  _xlpm.r, MOD(_xlpm.idx, SpriteCount),
  INDEX(
    sprite_data.asm!$B$3:$Q$156,
    INT(_xlpm.idx / SpriteCount) * 7 + INT(_xlpm.r / 16) + 1,
    MOD(_xlpm.r, 16) + 1
  )
)</f>
        <v>18</v>
      </c>
      <c r="H56" t="str" cm="1">
        <f t="array" ref="H56">_xlfn.LET(
  _xlpm.idx, (ROW()-3)*16 + H$1,
  _xlpm.r, MOD(_xlpm.idx, SpriteCount),
  INDEX(
    sprite_data.asm!$B$3:$Q$156,
    INT(_xlpm.idx / SpriteCount) * 7 + INT(_xlpm.r / 16) + 1,
    MOD(_xlpm.r, 16) + 1
  )
)</f>
        <v>3C</v>
      </c>
      <c r="I56" t="str" cm="1">
        <f t="array" ref="I56">_xlfn.LET(
  _xlpm.idx, (ROW()-3)*16 + I$1,
  _xlpm.r, MOD(_xlpm.idx, SpriteCount),
  INDEX(
    sprite_data.asm!$B$3:$Q$156,
    INT(_xlpm.idx / SpriteCount) * 7 + INT(_xlpm.r / 16) + 1,
    MOD(_xlpm.r, 16) + 1
  )
)</f>
        <v>1E</v>
      </c>
      <c r="J56" t="str" cm="1">
        <f t="array" ref="J56">_xlfn.LET(
  _xlpm.idx, (ROW()-3)*16 + J$1,
  _xlpm.r, MOD(_xlpm.idx, SpriteCount),
  INDEX(
    sprite_data.asm!$B$3:$Q$156,
    INT(_xlpm.idx / SpriteCount) * 7 + INT(_xlpm.r / 16) + 1,
    MOD(_xlpm.r, 16) + 1
  )
)</f>
        <v>60</v>
      </c>
      <c r="K56" t="str" cm="1">
        <f t="array" ref="K56">_xlfn.LET(
  _xlpm.idx, (ROW()-3)*16 + K$1,
  _xlpm.r, MOD(_xlpm.idx, SpriteCount),
  INDEX(
    sprite_data.asm!$B$3:$Q$156,
    INT(_xlpm.idx / SpriteCount) * 7 + INT(_xlpm.r / 16) + 1,
    MOD(_xlpm.r, 16) + 1
  )
)</f>
        <v>70</v>
      </c>
      <c r="L56" t="str" cm="1">
        <f t="array" ref="L56">_xlfn.LET(
  _xlpm.idx, (ROW()-3)*16 + L$1,
  _xlpm.r, MOD(_xlpm.idx, SpriteCount),
  INDEX(
    sprite_data.asm!$B$3:$Q$156,
    INT(_xlpm.idx / SpriteCount) * 7 + INT(_xlpm.r / 16) + 1,
    MOD(_xlpm.r, 16) + 1
  )
)</f>
        <v>60</v>
      </c>
      <c r="M56" t="str" cm="1">
        <f t="array" ref="M56">_xlfn.LET(
  _xlpm.idx, (ROW()-3)*16 + M$1,
  _xlpm.r, MOD(_xlpm.idx, SpriteCount),
  INDEX(
    sprite_data.asm!$B$3:$Q$156,
    INT(_xlpm.idx / SpriteCount) * 7 + INT(_xlpm.r / 16) + 1,
    MOD(_xlpm.r, 16) + 1
  )
)</f>
        <v>1E</v>
      </c>
      <c r="N56" t="str" cm="1">
        <f t="array" ref="N56">_xlfn.LET(
  _xlpm.idx, (ROW()-3)*16 + N$1,
  _xlpm.r, MOD(_xlpm.idx, SpriteCount),
  INDEX(
    sprite_data.asm!$B$3:$Q$156,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sprite_data.asm!$B$3:$Q$156,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sprite_data.asm!$B$3:$Q$156,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sprite_data.asm!$B$3:$Q$156,
    INT(_xlpm.idx / SpriteCount) * 7 + INT(_xlpm.r / 16) + 1,
    MOD(_xlpm.r, 16) + 1
  )
)</f>
        <v>00</v>
      </c>
      <c r="R56" t="str" cm="1">
        <f t="array" ref="R56">_xlfn.LET(
  _xlpm.idx, (ROW()-3)*16 + R$1,
  _xlpm.r, MOD(_xlpm.idx, SpriteCount),
  INDEX(
    sprite_data.asm!$B$3:$Q$156,
    INT(_xlpm.idx / SpriteCount) * 7 + INT(_xlpm.r / 16) + 1,
    MOD(_xlpm.r, 16) + 1
  )
)</f>
        <v>00</v>
      </c>
    </row>
    <row r="57" spans="1:18" x14ac:dyDescent="0.45">
      <c r="A57">
        <f t="shared" si="6"/>
        <v>45152</v>
      </c>
      <c r="B57" s="32" t="str">
        <f t="shared" si="7"/>
        <v>B060</v>
      </c>
      <c r="C57" t="str" cm="1">
        <f t="array" ref="C57">_xlfn.LET(
  _xlpm.idx, (ROW()-3)*16 + C$1,
  _xlpm.r, MOD(_xlpm.idx, SpriteCount),
  INDEX(
    sprite_data.asm!$B$3:$Q$156,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sprite_data.asm!$B$3:$Q$156,
    INT(_xlpm.idx / SpriteCount) * 7 + INT(_xlpm.r / 16) + 1,
    MOD(_xlpm.r, 16) + 1
  )
)</f>
        <v>00</v>
      </c>
      <c r="E57" t="str" cm="1">
        <f t="array" ref="E57">_xlfn.LET(
  _xlpm.idx, (ROW()-3)*16 + E$1,
  _xlpm.r, MOD(_xlpm.idx, SpriteCount),
  INDEX(
    sprite_data.asm!$B$3:$Q$156,
    INT(_xlpm.idx / SpriteCount) * 7 + INT(_xlpm.r / 16) + 1,
    MOD(_xlpm.r, 16) + 1
  )
)</f>
        <v>28</v>
      </c>
      <c r="F57" t="str" cm="1">
        <f t="array" ref="F57">_xlfn.LET(
  _xlpm.idx, (ROW()-3)*16 + F$1,
  _xlpm.r, MOD(_xlpm.idx, SpriteCount),
  INDEX(
    sprite_data.asm!$B$3:$Q$156,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sprite_data.asm!$B$3:$Q$156,
    INT(_xlpm.idx / SpriteCount) * 7 + INT(_xlpm.r / 16) + 1,
    MOD(_xlpm.r, 16) + 1
  )
)</f>
        <v>00</v>
      </c>
      <c r="H57" t="str" cm="1">
        <f t="array" ref="H57">_xlfn.LET(
  _xlpm.idx, (ROW()-3)*16 + H$1,
  _xlpm.r, MOD(_xlpm.idx, SpriteCount),
  INDEX(
    sprite_data.asm!$B$3:$Q$156,
    INT(_xlpm.idx / SpriteCount) * 7 + INT(_xlpm.r / 16) + 1,
    MOD(_xlpm.r, 16) + 1
  )
)</f>
        <v>7E</v>
      </c>
      <c r="I57" t="str" cm="1">
        <f t="array" ref="I57">_xlfn.LET(
  _xlpm.idx, (ROW()-3)*16 + I$1,
  _xlpm.r, MOD(_xlpm.idx, SpriteCount),
  INDEX(
    sprite_data.asm!$B$3:$Q$156,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sprite_data.asm!$B$3:$Q$156,
    INT(_xlpm.idx / SpriteCount) * 7 + INT(_xlpm.r / 16) + 1,
    MOD(_xlpm.r, 16) + 1
  )
)</f>
        <v>00</v>
      </c>
      <c r="K57" t="str" cm="1">
        <f t="array" ref="K57">_xlfn.LET(
  _xlpm.idx, (ROW()-3)*16 + K$1,
  _xlpm.r, MOD(_xlpm.idx, SpriteCount),
  INDEX(
    sprite_data.asm!$B$3:$Q$156,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sprite_data.asm!$B$3:$Q$156,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sprite_data.asm!$B$3:$Q$156,
    INT(_xlpm.idx / SpriteCount) * 7 + INT(_xlpm.r / 16) + 1,
    MOD(_xlpm.r, 16) + 1
  )
)</f>
        <v>28</v>
      </c>
      <c r="N57" t="str" cm="1">
        <f t="array" ref="N57">_xlfn.LET(
  _xlpm.idx, (ROW()-3)*16 + N$1,
  _xlpm.r, MOD(_xlpm.idx, SpriteCount),
  INDEX(
    sprite_data.asm!$B$3:$Q$156,
    INT(_xlpm.idx / SpriteCount) * 7 + INT(_xlpm.r / 16) + 1,
    MOD(_xlpm.r, 16) + 1
  )
)</f>
        <v>20</v>
      </c>
      <c r="O57" t="str" cm="1">
        <f t="array" ref="O57">_xlfn.LET(
  _xlpm.idx, (ROW()-3)*16 + O$1,
  _xlpm.r, MOD(_xlpm.idx, SpriteCount),
  INDEX(
    sprite_data.asm!$B$3:$Q$156,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sprite_data.asm!$B$3:$Q$156,
    INT(_xlpm.idx / SpriteCount) * 7 + INT(_xlpm.r / 16) + 1,
    MOD(_xlpm.r, 16) + 1
  )
)</f>
        <v>28</v>
      </c>
      <c r="Q57" t="str" cm="1">
        <f t="array" ref="Q57">_xlfn.LET(
  _xlpm.idx, (ROW()-3)*16 + Q$1,
  _xlpm.r, MOD(_xlpm.idx, SpriteCount),
  INDEX(
    sprite_data.asm!$B$3:$Q$156,
    INT(_xlpm.idx / SpriteCount) * 7 + INT(_xlpm.r / 16) + 1,
    MOD(_xlpm.r, 16) + 1
  )
)</f>
        <v>0A</v>
      </c>
      <c r="R57" t="str" cm="1">
        <f t="array" ref="R57">_xlfn.LET(
  _xlpm.idx, (ROW()-3)*16 + R$1,
  _xlpm.r, MOD(_xlpm.idx, SpriteCount),
  INDEX(
    sprite_data.asm!$B$3:$Q$156,
    INT(_xlpm.idx / SpriteCount) * 7 + INT(_xlpm.r / 16) + 1,
    MOD(_xlpm.r, 16) + 1
  )
)</f>
        <v>20</v>
      </c>
    </row>
    <row r="58" spans="1:18" x14ac:dyDescent="0.45">
      <c r="A58">
        <f t="shared" si="6"/>
        <v>45168</v>
      </c>
      <c r="B58" s="32" t="str">
        <f t="shared" si="7"/>
        <v>B070</v>
      </c>
      <c r="C58" t="str" cm="1">
        <f t="array" ref="C58">_xlfn.LET(
  _xlpm.idx, (ROW()-3)*16 + C$1,
  _xlpm.r, MOD(_xlpm.idx, SpriteCount),
  INDEX(
    sprite_data.asm!$B$3:$Q$156,
    INT(_xlpm.idx / SpriteCount) * 7 + INT(_xlpm.r / 16) + 1,
    MOD(_xlpm.r, 16) + 1
  )
)</f>
        <v>28</v>
      </c>
      <c r="D58" t="str" cm="1">
        <f t="array" ref="D58">_xlfn.LET(
  _xlpm.idx, (ROW()-3)*16 + D$1,
  _xlpm.r, MOD(_xlpm.idx, SpriteCount),
  INDEX(
    sprite_data.asm!$B$3:$Q$156,
    INT(_xlpm.idx / SpriteCount) * 7 + INT(_xlpm.r / 16) + 1,
    MOD(_xlpm.r, 16) + 1
  )
)</f>
        <v>20</v>
      </c>
      <c r="E58" t="str" cm="1">
        <f t="array" ref="E58">_xlfn.LET(
  _xlpm.idx, (ROW()-3)*16 + E$1,
  _xlpm.r, MOD(_xlpm.idx, SpriteCount),
  INDEX(
    sprite_data.asm!$B$3:$Q$156,
    INT(_xlpm.idx / SpriteCount) * 7 + INT(_xlpm.r / 16) + 1,
    MOD(_xlpm.r, 16) + 1
  )
)</f>
        <v>0A</v>
      </c>
      <c r="F58" t="str" cm="1">
        <f t="array" ref="F58">_xlfn.LET(
  _xlpm.idx, (ROW()-3)*16 + F$1,
  _xlpm.r, MOD(_xlpm.idx, SpriteCount),
  INDEX(
    sprite_data.asm!$B$3:$Q$156,
    INT(_xlpm.idx / SpriteCount) * 7 + INT(_xlpm.r / 16) + 1,
    MOD(_xlpm.r, 16) + 1
  )
)</f>
        <v>2A</v>
      </c>
      <c r="G58" t="str" cm="1">
        <f t="array" ref="G58">_xlfn.LET(
  _xlpm.idx, (ROW()-3)*16 + G$1,
  _xlpm.r, MOD(_xlpm.idx, SpriteCount),
  INDEX(
    sprite_data.asm!$B$3:$Q$156,
    INT(_xlpm.idx / SpriteCount) * 7 + INT(_xlpm.r / 16) + 1,
    MOD(_xlpm.r, 16) + 1
  )
)</f>
        <v>28</v>
      </c>
      <c r="H58" t="str" cm="1">
        <f t="array" ref="H58">_xlfn.LET(
  _xlpm.idx, (ROW()-3)*16 + H$1,
  _xlpm.r, MOD(_xlpm.idx, SpriteCount),
  INDEX(
    sprite_data.asm!$B$3:$Q$156,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sprite_data.asm!$B$3:$Q$156,
    INT(_xlpm.idx / SpriteCount) * 7 + INT(_xlpm.r / 16) + 1,
    MOD(_xlpm.r, 16) + 1
  )
)</f>
        <v>20</v>
      </c>
      <c r="J58" t="str" cm="1">
        <f t="array" ref="J58">_xlfn.LET(
  _xlpm.idx, (ROW()-3)*16 + J$1,
  _xlpm.r, MOD(_xlpm.idx, SpriteCount),
  INDEX(
    sprite_data.asm!$B$3:$Q$156,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sprite_data.asm!$B$3:$Q$156,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sprite_data.asm!$B$3:$Q$156,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sprite_data.asm!$B$3:$Q$156,
    INT(_xlpm.idx / SpriteCount) * 7 + INT(_xlpm.r / 16) + 1,
    MOD(_xlpm.r, 16) + 1
  )
)</f>
        <v>00</v>
      </c>
      <c r="N58" t="str" cm="1">
        <f t="array" ref="N58">_xlfn.LET(
  _xlpm.idx, (ROW()-3)*16 + N$1,
  _xlpm.r, MOD(_xlpm.idx, SpriteCount),
  INDEX(
    sprite_data.asm!$B$3:$Q$156,
    INT(_xlpm.idx / SpriteCount) * 7 + INT(_xlpm.r / 16) + 1,
    MOD(_xlpm.r, 16) + 1
  )
)</f>
        <v>02</v>
      </c>
      <c r="O58" t="str" cm="1">
        <f t="array" ref="O58">_xlfn.LET(
  _xlpm.idx, (ROW()-3)*16 + O$1,
  _xlpm.r, MOD(_xlpm.idx, SpriteCount),
  INDEX(
    sprite_data.asm!$B$3:$Q$156,
    INT(_xlpm.idx / SpriteCount) * 7 + INT(_xlpm.r / 16) + 1,
    MOD(_xlpm.r, 16) + 1
  )
)</f>
        <v>28</v>
      </c>
      <c r="P58" t="str" cm="1">
        <f t="array" ref="P58">_xlfn.LET(
  _xlpm.idx, (ROW()-3)*16 + P$1,
  _xlpm.r, MOD(_xlpm.idx, SpriteCount),
  INDEX(
    sprite_data.asm!$B$3:$Q$156,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sprite_data.asm!$B$3:$Q$156,
    INT(_xlpm.idx / SpriteCount) * 7 + INT(_xlpm.r / 16) + 1,
    MOD(_xlpm.r, 16) + 1
  )
)</f>
        <v>02</v>
      </c>
      <c r="R58" t="str" cm="1">
        <f t="array" ref="R58">_xlfn.LET(
  _xlpm.idx, (ROW()-3)*16 + R$1,
  _xlpm.r, MOD(_xlpm.idx, SpriteCount),
  INDEX(
    sprite_data.asm!$B$3:$Q$156,
    INT(_xlpm.idx / SpriteCount) * 7 + INT(_xlpm.r / 16) + 1,
    MOD(_xlpm.r, 16) + 1
  )
)</f>
        <v>0A</v>
      </c>
    </row>
    <row r="59" spans="1:18" x14ac:dyDescent="0.45">
      <c r="A59">
        <f t="shared" si="6"/>
        <v>45184</v>
      </c>
      <c r="B59" s="32" t="str">
        <f t="shared" si="7"/>
        <v>B080</v>
      </c>
      <c r="C59" t="str" cm="1">
        <f t="array" ref="C59">_xlfn.LET(
  _xlpm.idx, (ROW()-3)*16 + C$1,
  _xlpm.r, MOD(_xlpm.idx, SpriteCount),
  INDEX(
    sprite_data.asm!$B$3:$Q$156,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sprite_data.asm!$B$3:$Q$156,
    INT(_xlpm.idx / SpriteCount) * 7 + INT(_xlpm.r / 16) + 1,
    MOD(_xlpm.r, 16) + 1
  )
)</f>
        <v>02</v>
      </c>
      <c r="E59" t="str" cm="1">
        <f t="array" ref="E59">_xlfn.LET(
  _xlpm.idx, (ROW()-3)*16 + E$1,
  _xlpm.r, MOD(_xlpm.idx, SpriteCount),
  INDEX(
    sprite_data.asm!$B$3:$Q$156,
    INT(_xlpm.idx / SpriteCount) * 7 + INT(_xlpm.r / 16) + 1,
    MOD(_xlpm.r, 16) + 1
  )
)</f>
        <v>20</v>
      </c>
      <c r="F59" t="str" cm="1">
        <f t="array" ref="F59">_xlfn.LET(
  _xlpm.idx, (ROW()-3)*16 + F$1,
  _xlpm.r, MOD(_xlpm.idx, SpriteCount),
  INDEX(
    sprite_data.asm!$B$3:$Q$156,
    INT(_xlpm.idx / SpriteCount) * 7 + INT(_xlpm.r / 16) + 1,
    MOD(_xlpm.r, 16) + 1
  )
)</f>
        <v>08</v>
      </c>
      <c r="G59" t="str" cm="1">
        <f t="array" ref="G59">_xlfn.LET(
  _xlpm.idx, (ROW()-3)*16 + G$1,
  _xlpm.r, MOD(_xlpm.idx, SpriteCount),
  INDEX(
    sprite_data.asm!$B$3:$Q$156,
    INT(_xlpm.idx / SpriteCount) * 7 + INT(_xlpm.r / 16) + 1,
    MOD(_xlpm.r, 16) + 1
  )
)</f>
        <v>02</v>
      </c>
      <c r="H59" t="str" cm="1">
        <f t="array" ref="H59">_xlfn.LET(
  _xlpm.idx, (ROW()-3)*16 + H$1,
  _xlpm.r, MOD(_xlpm.idx, SpriteCount),
  INDEX(
    sprite_data.asm!$B$3:$Q$156,
    INT(_xlpm.idx / SpriteCount) * 7 + INT(_xlpm.r / 16) + 1,
    MOD(_xlpm.r, 16) + 1
  )
)</f>
        <v>44</v>
      </c>
      <c r="I59" t="str" cm="1">
        <f t="array" ref="I59">_xlfn.LET(
  _xlpm.idx, (ROW()-3)*16 + I$1,
  _xlpm.r, MOD(_xlpm.idx, SpriteCount),
  INDEX(
    sprite_data.asm!$B$3:$Q$156,
    INT(_xlpm.idx / SpriteCount) * 7 + INT(_xlpm.r / 16) + 1,
    MOD(_xlpm.r, 16) + 1
  )
)</f>
        <v>11</v>
      </c>
      <c r="J59" t="str" cm="1">
        <f t="array" ref="J59">_xlfn.LET(
  _xlpm.idx, (ROW()-3)*16 + J$1,
  _xlpm.r, MOD(_xlpm.idx, SpriteCount),
  INDEX(
    sprite_data.asm!$B$3:$Q$156,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sprite_data.asm!$B$3:$Q$156,
    INT(_xlpm.idx / SpriteCount) * 7 + INT(_xlpm.r / 16) + 1,
    MOD(_xlpm.r, 16) + 1
  )
)</f>
        <v>41</v>
      </c>
      <c r="L59" t="str" cm="1">
        <f t="array" ref="L59">_xlfn.LET(
  _xlpm.idx, (ROW()-3)*16 + L$1,
  _xlpm.r, MOD(_xlpm.idx, SpriteCount),
  INDEX(
    sprite_data.asm!$B$3:$Q$156,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sprite_data.asm!$B$3:$Q$156,
    INT(_xlpm.idx / SpriteCount) * 7 + INT(_xlpm.r / 16) + 1,
    MOD(_xlpm.r, 16) + 1
  )
)</f>
        <v>05</v>
      </c>
      <c r="N59" t="str" cm="1">
        <f t="array" ref="N59">_xlfn.LET(
  _xlpm.idx, (ROW()-3)*16 + N$1,
  _xlpm.r, MOD(_xlpm.idx, SpriteCount),
  INDEX(
    sprite_data.asm!$B$3:$Q$156,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sprite_data.asm!$B$3:$Q$156,
    INT(_xlpm.idx / SpriteCount) * 7 + INT(_xlpm.r / 16) + 1,
    MOD(_xlpm.r, 16) + 1
  )
)</f>
        <v>41</v>
      </c>
      <c r="P59" t="str" cm="1">
        <f t="array" ref="P59">_xlfn.LET(
  _xlpm.idx, (ROW()-3)*16 + P$1,
  _xlpm.r, MOD(_xlpm.idx, SpriteCount),
  INDEX(
    sprite_data.asm!$B$3:$Q$156,
    INT(_xlpm.idx / SpriteCount) * 7 + INT(_xlpm.r / 16) + 1,
    MOD(_xlpm.r, 16) + 1
  )
)</f>
        <v>04</v>
      </c>
      <c r="Q59" t="str" cm="1">
        <f t="array" ref="Q59">_xlfn.LET(
  _xlpm.idx, (ROW()-3)*16 + Q$1,
  _xlpm.r, MOD(_xlpm.idx, SpriteCount),
  INDEX(
    sprite_data.asm!$B$3:$Q$156,
    INT(_xlpm.idx / SpriteCount) * 7 + INT(_xlpm.r / 16) + 1,
    MOD(_xlpm.r, 16) + 1
  )
)</f>
        <v>10</v>
      </c>
      <c r="R59" t="str" cm="1">
        <f t="array" ref="R59">_xlfn.LET(
  _xlpm.idx, (ROW()-3)*16 + R$1,
  _xlpm.r, MOD(_xlpm.idx, SpriteCount),
  INDEX(
    sprite_data.asm!$B$3:$Q$156,
    INT(_xlpm.idx / SpriteCount) * 7 + INT(_xlpm.r / 16) + 1,
    MOD(_xlpm.r, 16) + 1
  )
)</f>
        <v>51</v>
      </c>
    </row>
    <row r="60" spans="1:18" x14ac:dyDescent="0.45">
      <c r="A60">
        <f t="shared" si="6"/>
        <v>45200</v>
      </c>
      <c r="B60" s="32" t="str">
        <f t="shared" si="7"/>
        <v>B090</v>
      </c>
      <c r="C60" t="str" cm="1">
        <f t="array" ref="C60">_xlfn.LET(
  _xlpm.idx, (ROW()-3)*16 + C$1,
  _xlpm.r, MOD(_xlpm.idx, SpriteCount),
  INDEX(
    sprite_data.asm!$B$3:$Q$156,
    INT(_xlpm.idx / SpriteCount) * 7 + INT(_xlpm.r / 16) + 1,
    MOD(_xlpm.r, 16) + 1
  )
)</f>
        <v>01</v>
      </c>
      <c r="D60" t="str" cm="1">
        <f t="array" ref="D60">_xlfn.LET(
  _xlpm.idx, (ROW()-3)*16 + D$1,
  _xlpm.r, MOD(_xlpm.idx, SpriteCount),
  INDEX(
    sprite_data.asm!$B$3:$Q$156,
    INT(_xlpm.idx / SpriteCount) * 7 + INT(_xlpm.r / 16) + 1,
    MOD(_xlpm.r, 16) + 1
  )
)</f>
        <v>45</v>
      </c>
      <c r="E60" t="str" cm="1">
        <f t="array" ref="E60">_xlfn.LET(
  _xlpm.idx, (ROW()-3)*16 + E$1,
  _xlpm.r, MOD(_xlpm.idx, SpriteCount),
  INDEX(
    sprite_data.asm!$B$3:$Q$156,
    INT(_xlpm.idx / SpriteCount) * 7 + INT(_xlpm.r / 16) + 1,
    MOD(_xlpm.r, 16) + 1
  )
)</f>
        <v>41</v>
      </c>
      <c r="F60" t="str" cm="1">
        <f t="array" ref="F60">_xlfn.LET(
  _xlpm.idx, (ROW()-3)*16 + F$1,
  _xlpm.r, MOD(_xlpm.idx, SpriteCount),
  INDEX(
    sprite_data.asm!$B$3:$Q$156,
    INT(_xlpm.idx / SpriteCount) * 7 + INT(_xlpm.r / 16) + 1,
    MOD(_xlpm.r, 16) + 1
  )
)</f>
        <v>51</v>
      </c>
      <c r="G60" t="str" cm="1">
        <f t="array" ref="G60">_xlfn.LET(
  _xlpm.idx, (ROW()-3)*16 + G$1,
  _xlpm.r, MOD(_xlpm.idx, SpriteCount),
  INDEX(
    sprite_data.asm!$B$3:$Q$156,
    INT(_xlpm.idx / SpriteCount) * 7 + INT(_xlpm.r / 16) + 1,
    MOD(_xlpm.r, 16) + 1
  )
)</f>
        <v>41</v>
      </c>
      <c r="H60" t="str" cm="1">
        <f t="array" ref="H60">_xlfn.LET(
  _xlpm.idx, (ROW()-3)*16 + H$1,
  _xlpm.r, MOD(_xlpm.idx, SpriteCount),
  INDEX(
    sprite_data.asm!$B$3:$Q$156,
    INT(_xlpm.idx / SpriteCount) * 7 + INT(_xlpm.r / 16) + 1,
    MOD(_xlpm.r, 16) + 1
  )
)</f>
        <v>51</v>
      </c>
      <c r="I60" t="str" cm="1">
        <f t="array" ref="I60">_xlfn.LET(
  _xlpm.idx, (ROW()-3)*16 + I$1,
  _xlpm.r, MOD(_xlpm.idx, SpriteCount),
  INDEX(
    sprite_data.asm!$B$3:$Q$156,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sprite_data.asm!$B$3:$Q$156,
    INT(_xlpm.idx / SpriteCount) * 7 + INT(_xlpm.r / 16) + 1,
    MOD(_xlpm.r, 16) + 1
  )
)</f>
        <v>41</v>
      </c>
      <c r="K60" t="str" cm="1">
        <f t="array" ref="K60">_xlfn.LET(
  _xlpm.idx, (ROW()-3)*16 + K$1,
  _xlpm.r, MOD(_xlpm.idx, SpriteCount),
  INDEX(
    sprite_data.asm!$B$3:$Q$156,
    INT(_xlpm.idx / SpriteCount) * 7 + INT(_xlpm.r / 16) + 1,
    MOD(_xlpm.r, 16) + 1
  )
)</f>
        <v>04</v>
      </c>
      <c r="L60" t="str" cm="1">
        <f t="array" ref="L60">_xlfn.LET(
  _xlpm.idx, (ROW()-3)*16 + L$1,
  _xlpm.r, MOD(_xlpm.idx, SpriteCount),
  INDEX(
    sprite_data.asm!$B$3:$Q$156,
    INT(_xlpm.idx / SpriteCount) * 7 + INT(_xlpm.r / 16) + 1,
    MOD(_xlpm.r, 16) + 1
  )
)</f>
        <v>41</v>
      </c>
      <c r="M60" t="str" cm="1">
        <f t="array" ref="M60">_xlfn.LET(
  _xlpm.idx, (ROW()-3)*16 + M$1,
  _xlpm.r, MOD(_xlpm.idx, SpriteCount),
  INDEX(
    sprite_data.asm!$B$3:$Q$156,
    INT(_xlpm.idx / SpriteCount) * 7 + INT(_xlpm.r / 16) + 1,
    MOD(_xlpm.r, 16) + 1
  )
)</f>
        <v>45</v>
      </c>
      <c r="N60" t="str" cm="1">
        <f t="array" ref="N60">_xlfn.LET(
  _xlpm.idx, (ROW()-3)*16 + N$1,
  _xlpm.r, MOD(_xlpm.idx, SpriteCount),
  INDEX(
    sprite_data.asm!$B$3:$Q$156,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sprite_data.asm!$B$3:$Q$156,
    INT(_xlpm.idx / SpriteCount) * 7 + INT(_xlpm.r / 16) + 1,
    MOD(_xlpm.r, 16) + 1
  )
)</f>
        <v>41</v>
      </c>
      <c r="P60" t="str" cm="1">
        <f t="array" ref="P60">_xlfn.LET(
  _xlpm.idx, (ROW()-3)*16 + P$1,
  _xlpm.r, MOD(_xlpm.idx, SpriteCount),
  INDEX(
    sprite_data.asm!$B$3:$Q$156,
    INT(_xlpm.idx / SpriteCount) * 7 + INT(_xlpm.r / 16) + 1,
    MOD(_xlpm.r, 16) + 1
  )
)</f>
        <v>51</v>
      </c>
      <c r="Q60" t="str" cm="1">
        <f t="array" ref="Q60">_xlfn.LET(
  _xlpm.idx, (ROW()-3)*16 + Q$1,
  _xlpm.r, MOD(_xlpm.idx, SpriteCount),
  INDEX(
    sprite_data.asm!$B$3:$Q$156,
    INT(_xlpm.idx / SpriteCount) * 7 + INT(_xlpm.r / 16) + 1,
    MOD(_xlpm.r, 16) + 1
  )
)</f>
        <v>41</v>
      </c>
      <c r="R60" t="str" cm="1">
        <f t="array" ref="R60">_xlfn.LET(
  _xlpm.idx, (ROW()-3)*16 + R$1,
  _xlpm.r, MOD(_xlpm.idx, SpriteCount),
  INDEX(
    sprite_data.asm!$B$3:$Q$156,
    INT(_xlpm.idx / SpriteCount) * 7 + INT(_xlpm.r / 16) + 1,
    MOD(_xlpm.r, 16) + 1
  )
)</f>
        <v>05</v>
      </c>
    </row>
    <row r="61" spans="1:18" x14ac:dyDescent="0.45">
      <c r="A61">
        <f t="shared" si="6"/>
        <v>45216</v>
      </c>
      <c r="B61" s="32" t="str">
        <f t="shared" si="7"/>
        <v>B0A0</v>
      </c>
      <c r="C61" t="str" cm="1">
        <f t="array" ref="C61">_xlfn.LET(
  _xlpm.idx, (ROW()-3)*16 + C$1,
  _xlpm.r, MOD(_xlpm.idx, SpriteCount),
  INDEX(
    sprite_data.asm!$B$3:$Q$156,
    INT(_xlpm.idx / SpriteCount) * 7 + INT(_xlpm.r / 16) + 1,
    MOD(_xlpm.r, 16) + 1
  )
)</f>
        <v>00</v>
      </c>
      <c r="D61" t="str" cm="1">
        <f t="array" ref="D61">_xlfn.LET(
  _xlpm.idx, (ROW()-3)*16 + D$1,
  _xlpm.r, MOD(_xlpm.idx, SpriteCount),
  INDEX(
    sprite_data.asm!$B$3:$Q$156,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sprite_data.asm!$B$3:$Q$156,
    INT(_xlpm.idx / SpriteCount) * 7 + INT(_xlpm.r / 16) + 1,
    MOD(_xlpm.r, 16) + 1
  )
)</f>
        <v>14</v>
      </c>
      <c r="F61" t="str" cm="1">
        <f t="array" ref="F61">_xlfn.LET(
  _xlpm.idx, (ROW()-3)*16 + F$1,
  _xlpm.r, MOD(_xlpm.idx, SpriteCount),
  INDEX(
    sprite_data.asm!$B$3:$Q$156,
    INT(_xlpm.idx / SpriteCount) * 7 + INT(_xlpm.r / 16) + 1,
    MOD(_xlpm.r, 16) + 1
  )
)</f>
        <v>40</v>
      </c>
      <c r="G61" t="str" cm="1">
        <f t="array" ref="G61">_xlfn.LET(
  _xlpm.idx, (ROW()-3)*16 + G$1,
  _xlpm.r, MOD(_xlpm.idx, SpriteCount),
  INDEX(
    sprite_data.asm!$B$3:$Q$156,
    INT(_xlpm.idx / SpriteCount) * 7 + INT(_xlpm.r / 16) + 1,
    MOD(_xlpm.r, 16) + 1
  )
)</f>
        <v>00</v>
      </c>
      <c r="H61" t="str" cm="1">
        <f t="array" ref="H61">_xlfn.LET(
  _xlpm.idx, (ROW()-3)*16 + H$1,
  _xlpm.r, MOD(_xlpm.idx, SpriteCount),
  INDEX(
    sprite_data.asm!$B$3:$Q$156,
    INT(_xlpm.idx / SpriteCount) * 7 + INT(_xlpm.r / 16) + 1,
    MOD(_xlpm.r, 16) + 1
  )
)</f>
        <v>50</v>
      </c>
      <c r="I61" t="str" cm="1">
        <f t="array" ref="I61">_xlfn.LET(
  _xlpm.idx, (ROW()-3)*16 + I$1,
  _xlpm.r, MOD(_xlpm.idx, SpriteCount),
  INDEX(
    sprite_data.asm!$B$3:$Q$156,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sprite_data.asm!$B$3:$Q$156,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sprite_data.asm!$B$3:$Q$156,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sprite_data.asm!$B$3:$Q$156,
    INT(_xlpm.idx / SpriteCount) * 7 + INT(_xlpm.r / 16) + 1,
    MOD(_xlpm.r, 16) + 1
  )
)</f>
        <v>00</v>
      </c>
      <c r="M61" t="str" cm="1">
        <f t="array" ref="M61">_xlfn.LET(
  _xlpm.idx, (ROW()-3)*16 + M$1,
  _xlpm.r, MOD(_xlpm.idx, SpriteCount),
  INDEX(
    sprite_data.asm!$B$3:$Q$156,
    INT(_xlpm.idx / SpriteCount) * 7 + INT(_xlpm.r / 16) + 1,
    MOD(_xlpm.r, 16) + 1
  )
)</f>
        <v>02</v>
      </c>
      <c r="N61" t="str" cm="1">
        <f t="array" ref="N61">_xlfn.LET(
  _xlpm.idx, (ROW()-3)*16 + N$1,
  _xlpm.r, MOD(_xlpm.idx, SpriteCount),
  INDEX(
    sprite_data.asm!$B$3:$Q$156,
    INT(_xlpm.idx / SpriteCount) * 7 + INT(_xlpm.r / 16) + 1,
    MOD(_xlpm.r, 16) + 1
  )
)</f>
        <v>03</v>
      </c>
      <c r="O61" t="str" cm="1">
        <f t="array" ref="O61">_xlfn.LET(
  _xlpm.idx, (ROW()-3)*16 + O$1,
  _xlpm.r, MOD(_xlpm.idx, SpriteCount),
  INDEX(
    sprite_data.asm!$B$3:$Q$156,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sprite_data.asm!$B$3:$Q$156,
    INT(_xlpm.idx / SpriteCount) * 7 + INT(_xlpm.r / 16) + 1,
    MOD(_xlpm.r, 16) + 1
  )
)</f>
        <v>00</v>
      </c>
      <c r="Q61" t="str" cm="1">
        <f t="array" ref="Q61">_xlfn.LET(
  _xlpm.idx, (ROW()-3)*16 + Q$1,
  _xlpm.r, MOD(_xlpm.idx, SpriteCount),
  INDEX(
    sprite_data.asm!$B$3:$Q$156,
    INT(_xlpm.idx / SpriteCount) * 7 + INT(_xlpm.r / 16) + 1,
    MOD(_xlpm.r, 16) + 1
  )
)</f>
        <v>03</v>
      </c>
      <c r="R61" t="str" cm="1">
        <f t="array" ref="R61">_xlfn.LET(
  _xlpm.idx, (ROW()-3)*16 + R$1,
  _xlpm.r, MOD(_xlpm.idx, SpriteCount),
  INDEX(
    sprite_data.asm!$B$3:$Q$156,
    INT(_xlpm.idx / SpriteCount) * 7 + INT(_xlpm.r / 16) + 1,
    MOD(_xlpm.r, 16) + 1
  )
)</f>
        <v>00</v>
      </c>
    </row>
    <row r="62" spans="1:18" x14ac:dyDescent="0.45">
      <c r="A62">
        <f t="shared" si="6"/>
        <v>45232</v>
      </c>
      <c r="B62" s="32" t="str">
        <f t="shared" si="7"/>
        <v>B0B0</v>
      </c>
      <c r="C62" t="str" cm="1">
        <f t="array" ref="C62">_xlfn.LET(
  _xlpm.idx, (ROW()-3)*16 + C$1,
  _xlpm.r, MOD(_xlpm.idx, SpriteCount),
  INDEX(
    sprite_data.asm!$B$3:$Q$156,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sprite_data.asm!$B$3:$Q$156,
    INT(_xlpm.idx / SpriteCount) * 7 + INT(_xlpm.r / 16) + 1,
    MOD(_xlpm.r, 16) + 1
  )
)</f>
        <v>01</v>
      </c>
      <c r="E62" t="str" cm="1">
        <f t="array" ref="E62">_xlfn.LET(
  _xlpm.idx, (ROW()-3)*16 + E$1,
  _xlpm.r, MOD(_xlpm.idx, SpriteCount),
  INDEX(
    sprite_data.asm!$B$3:$Q$156,
    INT(_xlpm.idx / SpriteCount) * 7 + INT(_xlpm.r / 16) + 1,
    MOD(_xlpm.r, 16) + 1
  )
)</f>
        <v>07</v>
      </c>
      <c r="F62" t="str" cm="1">
        <f t="array" ref="F62">_xlfn.LET(
  _xlpm.idx, (ROW()-3)*16 + F$1,
  _xlpm.r, MOD(_xlpm.idx, SpriteCount),
  INDEX(
    sprite_data.asm!$B$3:$Q$156,
    INT(_xlpm.idx / SpriteCount) * 7 + INT(_xlpm.r / 16) + 1,
    MOD(_xlpm.r, 16) + 1
  )
)</f>
        <v>01</v>
      </c>
      <c r="G62" t="str" cm="1">
        <f t="array" ref="G62">_xlfn.LET(
  _xlpm.idx, (ROW()-3)*16 + G$1,
  _xlpm.r, MOD(_xlpm.idx, SpriteCount),
  INDEX(
    sprite_data.asm!$B$3:$Q$156,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sprite_data.asm!$B$3:$Q$156,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sprite_data.asm!$B$3:$Q$156,
    INT(_xlpm.idx / SpriteCount) * 7 + INT(_xlpm.r / 16) + 1,
    MOD(_xlpm.r, 16) + 1
  )
)</f>
        <v>00</v>
      </c>
      <c r="J62" t="str" cm="1">
        <f t="array" ref="J62">_xlfn.LET(
  _xlpm.idx, (ROW()-3)*16 + J$1,
  _xlpm.r, MOD(_xlpm.idx, SpriteCount),
  INDEX(
    sprite_data.asm!$B$3:$Q$156,
    INT(_xlpm.idx / SpriteCount) * 7 + INT(_xlpm.r / 16) + 1,
    MOD(_xlpm.r, 16) + 1
  )
)</f>
        <v>07</v>
      </c>
      <c r="K62" t="str" cm="1">
        <f t="array" ref="K62">_xlfn.LET(
  _xlpm.idx, (ROW()-3)*16 + K$1,
  _xlpm.r, MOD(_xlpm.idx, SpriteCount),
  INDEX(
    sprite_data.asm!$B$3:$Q$156,
    INT(_xlpm.idx / SpriteCount) * 7 + INT(_xlpm.r / 16) + 1,
    MOD(_xlpm.r, 16) + 1
  )
)</f>
        <v>00</v>
      </c>
      <c r="L62" t="str" cm="1">
        <f t="array" ref="L62">_xlfn.LET(
  _xlpm.idx, (ROW()-3)*16 + L$1,
  _xlpm.r, MOD(_xlpm.idx, SpriteCount),
  INDEX(
    sprite_data.asm!$B$3:$Q$156,
    INT(_xlpm.idx / SpriteCount) * 7 + INT(_xlpm.r / 16) + 1,
    MOD(_xlpm.r, 16) + 1
  )
)</f>
        <v>02</v>
      </c>
      <c r="M62" t="str" cm="1">
        <f t="array" ref="M62">_xlfn.LET(
  _xlpm.idx, (ROW()-3)*16 + M$1,
  _xlpm.r, MOD(_xlpm.idx, SpriteCount),
  INDEX(
    sprite_data.asm!$B$3:$Q$156,
    INT(_xlpm.idx / SpriteCount) * 7 + INT(_xlpm.r / 16) + 1,
    MOD(_xlpm.r, 16) + 1
  )
)</f>
        <v>03</v>
      </c>
      <c r="N62" t="str" cm="1">
        <f t="array" ref="N62">_xlfn.LET(
  _xlpm.idx, (ROW()-3)*16 + N$1,
  _xlpm.r, MOD(_xlpm.idx, SpriteCount),
  INDEX(
    sprite_data.asm!$B$3:$Q$156,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sprite_data.asm!$B$3:$Q$156,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sprite_data.asm!$B$3:$Q$156,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sprite_data.asm!$B$3:$Q$156,
    INT(_xlpm.idx / SpriteCount) * 7 + INT(_xlpm.r / 16) + 1,
    MOD(_xlpm.r, 16) + 1
  )
)</f>
        <v>00</v>
      </c>
      <c r="R62" t="str" cm="1">
        <f t="array" ref="R62">_xlfn.LET(
  _xlpm.idx, (ROW()-3)*16 + R$1,
  _xlpm.r, MOD(_xlpm.idx, SpriteCount),
  INDEX(
    sprite_data.asm!$B$3:$Q$156,
    INT(_xlpm.idx / SpriteCount) * 7 + INT(_xlpm.r / 16) + 1,
    MOD(_xlpm.r, 16) + 1
  )
)</f>
        <v>03</v>
      </c>
    </row>
    <row r="63" spans="1:18" x14ac:dyDescent="0.45">
      <c r="A63">
        <f t="shared" si="6"/>
        <v>45248</v>
      </c>
      <c r="B63" s="32" t="str">
        <f t="shared" si="7"/>
        <v>B0C0</v>
      </c>
      <c r="C63" t="str" cm="1">
        <f t="array" ref="C63">_xlfn.LET(
  _xlpm.idx, (ROW()-3)*16 + C$1,
  _xlpm.r, MOD(_xlpm.idx, SpriteCount),
  INDEX(
    sprite_data.asm!$B$3:$Q$156,
    INT(_xlpm.idx / SpriteCount) * 7 + INT(_xlpm.r / 16) + 1,
    MOD(_xlpm.r, 16) + 1
  )
)</f>
        <v>01</v>
      </c>
      <c r="D63" t="str" cm="1">
        <f t="array" ref="D63">_xlfn.LET(
  _xlpm.idx, (ROW()-3)*16 + D$1,
  _xlpm.r, MOD(_xlpm.idx, SpriteCount),
  INDEX(
    sprite_data.asm!$B$3:$Q$156,
    INT(_xlpm.idx / SpriteCount) * 7 + INT(_xlpm.r / 16) + 1,
    MOD(_xlpm.r, 16) + 1
  )
)</f>
        <v>03</v>
      </c>
      <c r="E63" t="str" cm="1">
        <f t="array" ref="E63">_xlfn.LET(
  _xlpm.idx, (ROW()-3)*16 + E$1,
  _xlpm.r, MOD(_xlpm.idx, SpriteCount),
  INDEX(
    sprite_data.asm!$B$3:$Q$156,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sprite_data.asm!$B$3:$Q$156,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sprite_data.asm!$B$3:$Q$156,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sprite_data.asm!$B$3:$Q$156,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sprite_data.asm!$B$3:$Q$156,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sprite_data.asm!$B$3:$Q$156,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sprite_data.asm!$B$3:$Q$156,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sprite_data.asm!$B$3:$Q$156,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sprite_data.asm!$B$3:$Q$156,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sprite_data.asm!$B$3:$Q$156,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sprite_data.asm!$B$3:$Q$156,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sprite_data.asm!$B$3:$Q$156,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sprite_data.asm!$B$3:$Q$156,
    INT(_xlpm.idx / SpriteCount) * 7 + INT(_xlpm.r / 16) + 1,
    MOD(_xlpm.r, 16) + 1
  )
)</f>
        <v>00</v>
      </c>
      <c r="R63" t="str" cm="1">
        <f t="array" ref="R63">_xlfn.LET(
  _xlpm.idx, (ROW()-3)*16 + R$1,
  _xlpm.r, MOD(_xlpm.idx, SpriteCount),
  INDEX(
    sprite_data.asm!$B$3:$Q$156,
    INT(_xlpm.idx / SpriteCount) * 7 + INT(_xlpm.r / 16) + 1,
    MOD(_xlpm.r, 16) + 1
  )
)</f>
        <v>00</v>
      </c>
    </row>
    <row r="64" spans="1:18" x14ac:dyDescent="0.45">
      <c r="A64">
        <f t="shared" si="6"/>
        <v>45264</v>
      </c>
      <c r="B64" s="32" t="str">
        <f t="shared" si="7"/>
        <v>B0D0</v>
      </c>
      <c r="C64" t="str" cm="1">
        <f t="array" ref="C64">_xlfn.LET(
  _xlpm.idx, (ROW()-3)*16 + C$1,
  _xlpm.r, MOD(_xlpm.idx, SpriteCount),
  INDEX(
    sprite_data.asm!$B$3:$Q$156,
    INT(_xlpm.idx / SpriteCount) * 7 + INT(_xlpm.r / 16) + 1,
    MOD(_xlpm.r, 16) + 1
  )
)</f>
        <v>01</v>
      </c>
      <c r="D64" t="str" cm="1">
        <f t="array" ref="D64">_xlfn.LET(
  _xlpm.idx, (ROW()-3)*16 + D$1,
  _xlpm.r, MOD(_xlpm.idx, SpriteCount),
  INDEX(
    sprite_data.asm!$B$3:$Q$156,
    INT(_xlpm.idx / SpriteCount) * 7 + INT(_xlpm.r / 16) + 1,
    MOD(_xlpm.r, 16) + 1
  )
)</f>
        <v>00</v>
      </c>
      <c r="E64" t="str" cm="1">
        <f t="array" ref="E64">_xlfn.LET(
  _xlpm.idx, (ROW()-3)*16 + E$1,
  _xlpm.r, MOD(_xlpm.idx, SpriteCount),
  INDEX(
    sprite_data.asm!$B$3:$Q$156,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sprite_data.asm!$B$3:$Q$156,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sprite_data.asm!$B$3:$Q$156,
    INT(_xlpm.idx / SpriteCount) * 7 + INT(_xlpm.r / 16) + 1,
    MOD(_xlpm.r, 16) + 1
  )
)</f>
        <v>01</v>
      </c>
      <c r="H64" t="str" cm="1">
        <f t="array" ref="H64">_xlfn.LET(
  _xlpm.idx, (ROW()-3)*16 + H$1,
  _xlpm.r, MOD(_xlpm.idx, SpriteCount),
  INDEX(
    sprite_data.asm!$B$3:$Q$156,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sprite_data.asm!$B$3:$Q$156,
    INT(_xlpm.idx / SpriteCount) * 7 + INT(_xlpm.r / 16) + 1,
    MOD(_xlpm.r, 16) + 1
  )
)</f>
        <v>00</v>
      </c>
      <c r="J64" t="str" cm="1">
        <f t="array" ref="J64">_xlfn.LET(
  _xlpm.idx, (ROW()-3)*16 + J$1,
  _xlpm.r, MOD(_xlpm.idx, SpriteCount),
  INDEX(
    sprite_data.asm!$B$3:$Q$156,
    INT(_xlpm.idx / SpriteCount) * 7 + INT(_xlpm.r / 16) + 1,
    MOD(_xlpm.r, 16) + 1
  )
)</f>
        <v>01</v>
      </c>
      <c r="K64" t="str" cm="1">
        <f t="array" ref="K64">_xlfn.LET(
  _xlpm.idx, (ROW()-3)*16 + K$1,
  _xlpm.r, MOD(_xlpm.idx, SpriteCount),
  INDEX(
    sprite_data.asm!$B$3:$Q$156,
    INT(_xlpm.idx / SpriteCount) * 7 + INT(_xlpm.r / 16) + 1,
    MOD(_xlpm.r, 16) + 1
  )
)</f>
        <v>00</v>
      </c>
      <c r="L64" t="str" cm="1">
        <f t="array" ref="L64">_xlfn.LET(
  _xlpm.idx, (ROW()-3)*16 + L$1,
  _xlpm.r, MOD(_xlpm.idx, SpriteCount),
  INDEX(
    sprite_data.asm!$B$3:$Q$156,
    INT(_xlpm.idx / SpriteCount) * 7 + INT(_xlpm.r / 16) + 1,
    MOD(_xlpm.r, 16) + 1
  )
)</f>
        <v>01</v>
      </c>
      <c r="M64" t="str" cm="1">
        <f t="array" ref="M64">_xlfn.LET(
  _xlpm.idx, (ROW()-3)*16 + M$1,
  _xlpm.r, MOD(_xlpm.idx, SpriteCount),
  INDEX(
    sprite_data.asm!$B$3:$Q$156,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sprite_data.asm!$B$3:$Q$156,
    INT(_xlpm.idx / SpriteCount) * 7 + INT(_xlpm.r / 16) + 1,
    MOD(_xlpm.r, 16) + 1
  )
)</f>
        <v>00</v>
      </c>
      <c r="O64" t="str" cm="1">
        <f t="array" ref="O64">_xlfn.LET(
  _xlpm.idx, (ROW()-3)*16 + O$1,
  _xlpm.r, MOD(_xlpm.idx, SpriteCount),
  INDEX(
    sprite_data.asm!$B$3:$Q$156,
    INT(_xlpm.idx / SpriteCount) * 7 + INT(_xlpm.r / 16) + 1,
    MOD(_xlpm.r, 16) + 1
  )
)</f>
        <v>03</v>
      </c>
      <c r="P64" t="str" cm="1">
        <f t="array" ref="P64">_xlfn.LET(
  _xlpm.idx, (ROW()-3)*16 + P$1,
  _xlpm.r, MOD(_xlpm.idx, SpriteCount),
  INDEX(
    sprite_data.asm!$B$3:$Q$156,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sprite_data.asm!$B$3:$Q$156,
    INT(_xlpm.idx / SpriteCount) * 7 + INT(_xlpm.r / 16) + 1,
    MOD(_xlpm.r, 16) + 1
  )
)</f>
        <v>00</v>
      </c>
      <c r="R64" t="str" cm="1">
        <f t="array" ref="R64">_xlfn.LET(
  _xlpm.idx, (ROW()-3)*16 + R$1,
  _xlpm.r, MOD(_xlpm.idx, SpriteCount),
  INDEX(
    sprite_data.asm!$B$3:$Q$156,
    INT(_xlpm.idx / SpriteCount) * 7 + INT(_xlpm.r / 16) + 1,
    MOD(_xlpm.r, 16) + 1
  )
)</f>
        <v>00</v>
      </c>
    </row>
    <row r="65" spans="1:18" x14ac:dyDescent="0.45">
      <c r="A65">
        <f t="shared" si="6"/>
        <v>45280</v>
      </c>
      <c r="B65" s="32" t="str">
        <f t="shared" si="7"/>
        <v>B0E0</v>
      </c>
      <c r="C65" t="str" cm="1">
        <f t="array" ref="C65">_xlfn.LET(
  _xlpm.idx, (ROW()-3)*16 + C$1,
  _xlpm.r, MOD(_xlpm.idx, SpriteCount),
  INDEX(
    sprite_data.asm!$B$3:$Q$156,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sprite_data.asm!$B$3:$Q$156,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sprite_data.asm!$B$3:$Q$156,
    INT(_xlpm.idx / SpriteCount) * 7 + INT(_xlpm.r / 16) + 1,
    MOD(_xlpm.r, 16) + 1
  )
)</f>
        <v>00</v>
      </c>
      <c r="F65" t="str" cm="1">
        <f t="array" ref="F65">_xlfn.LET(
  _xlpm.idx, (ROW()-3)*16 + F$1,
  _xlpm.r, MOD(_xlpm.idx, SpriteCount),
  INDEX(
    sprite_data.asm!$B$3:$Q$156,
    INT(_xlpm.idx / SpriteCount) * 7 + INT(_xlpm.r / 16) + 1,
    MOD(_xlpm.r, 16) + 1
  )
)</f>
        <v>01</v>
      </c>
      <c r="G65" t="str" cm="1">
        <f t="array" ref="G65">_xlfn.LET(
  _xlpm.idx, (ROW()-3)*16 + G$1,
  _xlpm.r, MOD(_xlpm.idx, SpriteCount),
  INDEX(
    sprite_data.asm!$B$3:$Q$156,
    INT(_xlpm.idx / SpriteCount) * 7 + INT(_xlpm.r / 16) + 1,
    MOD(_xlpm.r, 16) + 1
  )
)</f>
        <v>00</v>
      </c>
      <c r="H65" t="str" cm="1">
        <f t="array" ref="H65">_xlfn.LET(
  _xlpm.idx, (ROW()-3)*16 + H$1,
  _xlpm.r, MOD(_xlpm.idx, SpriteCount),
  INDEX(
    sprite_data.asm!$B$3:$Q$156,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sprite_data.asm!$B$3:$Q$156,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sprite_data.asm!$B$3:$Q$156,
    INT(_xlpm.idx / SpriteCount) * 7 + INT(_xlpm.r / 16) + 1,
    MOD(_xlpm.r, 16) + 1
  )
)</f>
        <v>01</v>
      </c>
      <c r="K65" t="str" cm="1">
        <f t="array" ref="K65">_xlfn.LET(
  _xlpm.idx, (ROW()-3)*16 + K$1,
  _xlpm.r, MOD(_xlpm.idx, SpriteCount),
  INDEX(
    sprite_data.asm!$B$3:$Q$156,
    INT(_xlpm.idx / SpriteCount) * 7 + INT(_xlpm.r / 16) + 1,
    MOD(_xlpm.r, 16) + 1
  )
)</f>
        <v>00</v>
      </c>
      <c r="L65" t="str" cm="1">
        <f t="array" ref="L65">_xlfn.LET(
  _xlpm.idx, (ROW()-3)*16 + L$1,
  _xlpm.r, MOD(_xlpm.idx, SpriteCount),
  INDEX(
    sprite_data.asm!$B$3:$Q$156,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sprite_data.asm!$B$3:$Q$156,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sprite_data.asm!$B$3:$Q$156,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sprite_data.asm!$B$3:$Q$156,
    INT(_xlpm.idx / SpriteCount) * 7 + INT(_xlpm.r / 16) + 1,
    MOD(_xlpm.r, 16) + 1
  )
)</f>
        <v>01</v>
      </c>
      <c r="P65" t="str" cm="1">
        <f t="array" ref="P65">_xlfn.LET(
  _xlpm.idx, (ROW()-3)*16 + P$1,
  _xlpm.r, MOD(_xlpm.idx, SpriteCount),
  INDEX(
    sprite_data.asm!$B$3:$Q$156,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sprite_data.asm!$B$3:$Q$156,
    INT(_xlpm.idx / SpriteCount) * 7 + INT(_xlpm.r / 16) + 1,
    MOD(_xlpm.r, 16) + 1
  )
)</f>
        <v>00</v>
      </c>
      <c r="R65" t="str" cm="1">
        <f t="array" ref="R65">_xlfn.LET(
  _xlpm.idx, (ROW()-3)*16 + R$1,
  _xlpm.r, MOD(_xlpm.idx, SpriteCount),
  INDEX(
    sprite_data.asm!$B$3:$Q$156,
    INT(_xlpm.idx / SpriteCount) * 7 + INT(_xlpm.r / 16) + 1,
    MOD(_xlpm.r, 16) + 1
  )
)</f>
        <v>00</v>
      </c>
    </row>
    <row r="66" spans="1:18" x14ac:dyDescent="0.45">
      <c r="A66">
        <f t="shared" ref="A66:A112" si="8">A65+16</f>
        <v>45296</v>
      </c>
      <c r="B66" s="32" t="str">
        <f t="shared" ref="B66:B112" si="9">DEC2HEX(HEX2DEC(B65)+16)</f>
        <v>B0F0</v>
      </c>
      <c r="C66" t="str" cm="1">
        <f t="array" ref="C66">_xlfn.LET(
  _xlpm.idx, (ROW()-3)*16 + C$1,
  _xlpm.r, MOD(_xlpm.idx, SpriteCount),
  INDEX(
    sprite_data.asm!$B$3:$Q$156,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sprite_data.asm!$B$3:$Q$156,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sprite_data.asm!$B$3:$Q$156,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sprite_data.asm!$B$3:$Q$156,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sprite_data.asm!$B$3:$Q$156,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sprite_data.asm!$B$3:$Q$156,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sprite_data.asm!$B$3:$Q$156,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sprite_data.asm!$B$3:$Q$156,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sprite_data.asm!$B$3:$Q$156,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sprite_data.asm!$B$3:$Q$156,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sprite_data.asm!$B$3:$Q$156,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sprite_data.asm!$B$3:$Q$156,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sprite_data.asm!$B$3:$Q$156,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sprite_data.asm!$B$3:$Q$156,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sprite_data.asm!$B$3:$Q$156,
    INT(_xlpm.idx / SpriteCount) * 7 + INT(_xlpm.r / 16) + 1,
    MOD(_xlpm.r, 16) + 1
  )
)</f>
        <v>00</v>
      </c>
      <c r="R66" t="str" cm="1">
        <f t="array" ref="R66">_xlfn.LET(
  _xlpm.idx, (ROW()-3)*16 + R$1,
  _xlpm.r, MOD(_xlpm.idx, SpriteCount),
  INDEX(
    sprite_data.asm!$B$3:$Q$156,
    INT(_xlpm.idx / SpriteCount) * 7 + INT(_xlpm.r / 16) + 1,
    MOD(_xlpm.r, 16) + 1
  )
)</f>
        <v>00</v>
      </c>
    </row>
    <row r="67" spans="1:18" x14ac:dyDescent="0.45">
      <c r="A67">
        <f t="shared" si="8"/>
        <v>45312</v>
      </c>
      <c r="B67" s="32" t="str">
        <f t="shared" si="9"/>
        <v>B100</v>
      </c>
      <c r="C67" t="str" cm="1">
        <f t="array" ref="C67">_xlfn.LET(
  _xlpm.idx, (ROW()-3)*16 + C$1,
  _xlpm.r, MOD(_xlpm.idx, SpriteCount),
  INDEX(
    sprite_data.asm!$B$3:$Q$156,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sprite_data.asm!$B$3:$Q$156,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sprite_data.asm!$B$3:$Q$156,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sprite_data.asm!$B$3:$Q$156,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sprite_data.asm!$B$3:$Q$156,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sprite_data.asm!$B$3:$Q$156,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sprite_data.asm!$B$3:$Q$156,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sprite_data.asm!$B$3:$Q$156,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sprite_data.asm!$B$3:$Q$156,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sprite_data.asm!$B$3:$Q$156,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sprite_data.asm!$B$3:$Q$156,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sprite_data.asm!$B$3:$Q$156,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sprite_data.asm!$B$3:$Q$156,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sprite_data.asm!$B$3:$Q$156,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sprite_data.asm!$B$3:$Q$156,
    INT(_xlpm.idx / SpriteCount) * 7 + INT(_xlpm.r / 16) + 1,
    MOD(_xlpm.r, 16) + 1
  )
)</f>
        <v>00</v>
      </c>
      <c r="R67" t="str" cm="1">
        <f t="array" ref="R67">_xlfn.LET(
  _xlpm.idx, (ROW()-3)*16 + R$1,
  _xlpm.r, MOD(_xlpm.idx, SpriteCount),
  INDEX(
    sprite_data.asm!$B$3:$Q$156,
    INT(_xlpm.idx / SpriteCount) * 7 + INT(_xlpm.r / 16) + 1,
    MOD(_xlpm.r, 16) + 1
  )
)</f>
        <v>00</v>
      </c>
    </row>
    <row r="68" spans="1:18" x14ac:dyDescent="0.45">
      <c r="A68">
        <f t="shared" si="8"/>
        <v>45328</v>
      </c>
      <c r="B68" s="32" t="str">
        <f t="shared" si="9"/>
        <v>B110</v>
      </c>
      <c r="C68" t="str" cm="1">
        <f t="array" ref="C68">_xlfn.LET(
  _xlpm.idx, (ROW()-3)*16 + C$1,
  _xlpm.r, MOD(_xlpm.idx, SpriteCount),
  INDEX(
    sprite_data.asm!$B$3:$Q$156,
    INT(_xlpm.idx / SpriteCount) * 7 + INT(_xlpm.r / 16) + 1,
    MOD(_xlpm.r, 16) + 1
  )
)</f>
        <v>00</v>
      </c>
      <c r="D68" t="str" cm="1">
        <f t="array" ref="D68">_xlfn.LET(
  _xlpm.idx, (ROW()-3)*16 + D$1,
  _xlpm.r, MOD(_xlpm.idx, SpriteCount),
  INDEX(
    sprite_data.asm!$B$3:$Q$156,
    INT(_xlpm.idx / SpriteCount) * 7 + INT(_xlpm.r / 16) + 1,
    MOD(_xlpm.r, 16) + 1
  )
)</f>
        <v>51</v>
      </c>
      <c r="E68" t="str" cm="1">
        <f t="array" ref="E68">_xlfn.LET(
  _xlpm.idx, (ROW()-3)*16 + E$1,
  _xlpm.r, MOD(_xlpm.idx, SpriteCount),
  INDEX(
    sprite_data.asm!$B$3:$Q$156,
    INT(_xlpm.idx / SpriteCount) * 7 + INT(_xlpm.r / 16) + 1,
    MOD(_xlpm.r, 16) + 1
  )
)</f>
        <v>55</v>
      </c>
      <c r="F68" t="str" cm="1">
        <f t="array" ref="F68">_xlfn.LET(
  _xlpm.idx, (ROW()-3)*16 + F$1,
  _xlpm.r, MOD(_xlpm.idx, SpriteCount),
  INDEX(
    sprite_data.asm!$B$3:$Q$156,
    INT(_xlpm.idx / SpriteCount) * 7 + INT(_xlpm.r / 16) + 1,
    MOD(_xlpm.r, 16) + 1
  )
)</f>
        <v>06</v>
      </c>
      <c r="G68" t="str" cm="1">
        <f t="array" ref="G68">_xlfn.LET(
  _xlpm.idx, (ROW()-3)*16 + G$1,
  _xlpm.r, MOD(_xlpm.idx, SpriteCount),
  INDEX(
    sprite_data.asm!$B$3:$Q$156,
    INT(_xlpm.idx / SpriteCount) * 7 + INT(_xlpm.r / 16) + 1,
    MOD(_xlpm.r, 16) + 1
  )
)</f>
        <v>00</v>
      </c>
      <c r="H68" t="str" cm="1">
        <f t="array" ref="H68">_xlfn.LET(
  _xlpm.idx, (ROW()-3)*16 + H$1,
  _xlpm.r, MOD(_xlpm.idx, SpriteCount),
  INDEX(
    sprite_data.asm!$B$3:$Q$156,
    INT(_xlpm.idx / SpriteCount) * 7 + INT(_xlpm.r / 16) + 1,
    MOD(_xlpm.r, 16) + 1
  )
)</f>
        <v>30</v>
      </c>
      <c r="I68" t="str" cm="1">
        <f t="array" ref="I68">_xlfn.LET(
  _xlpm.idx, (ROW()-3)*16 + I$1,
  _xlpm.r, MOD(_xlpm.idx, SpriteCount),
  INDEX(
    sprite_data.asm!$B$3:$Q$156,
    INT(_xlpm.idx / SpriteCount) * 7 + INT(_xlpm.r / 16) + 1,
    MOD(_xlpm.r, 16) + 1
  )
)</f>
        <v>00</v>
      </c>
      <c r="J68" t="str" cm="1">
        <f t="array" ref="J68">_xlfn.LET(
  _xlpm.idx, (ROW()-3)*16 + J$1,
  _xlpm.r, MOD(_xlpm.idx, SpriteCount),
  INDEX(
    sprite_data.asm!$B$3:$Q$156,
    INT(_xlpm.idx / SpriteCount) * 7 + INT(_xlpm.r / 16) + 1,
    MOD(_xlpm.r, 16) + 1
  )
)</f>
        <v>78</v>
      </c>
      <c r="K68" t="str" cm="1">
        <f t="array" ref="K68">_xlfn.LET(
  _xlpm.idx, (ROW()-3)*16 + K$1,
  _xlpm.r, MOD(_xlpm.idx, SpriteCount),
  INDEX(
    sprite_data.asm!$B$3:$Q$156,
    INT(_xlpm.idx / SpriteCount) * 7 + INT(_xlpm.r / 16) + 1,
    MOD(_xlpm.r, 16) + 1
  )
)</f>
        <v>22</v>
      </c>
      <c r="L68" t="str" cm="1">
        <f t="array" ref="L68">_xlfn.LET(
  _xlpm.idx, (ROW()-3)*16 + L$1,
  _xlpm.r, MOD(_xlpm.idx, SpriteCount),
  INDEX(
    sprite_data.asm!$B$3:$Q$156,
    INT(_xlpm.idx / SpriteCount) * 7 + INT(_xlpm.r / 16) + 1,
    MOD(_xlpm.r, 16) + 1
  )
)</f>
        <v>36</v>
      </c>
      <c r="M68" t="str" cm="1">
        <f t="array" ref="M68">_xlfn.LET(
  _xlpm.idx, (ROW()-3)*16 + M$1,
  _xlpm.r, MOD(_xlpm.idx, SpriteCount),
  INDEX(
    sprite_data.asm!$B$3:$Q$156,
    INT(_xlpm.idx / SpriteCount) * 7 + INT(_xlpm.r / 16) + 1,
    MOD(_xlpm.r, 16) + 1
  )
)</f>
        <v>7F</v>
      </c>
      <c r="N68" t="str" cm="1">
        <f t="array" ref="N68">_xlfn.LET(
  _xlpm.idx, (ROW()-3)*16 + N$1,
  _xlpm.r, MOD(_xlpm.idx, SpriteCount),
  INDEX(
    sprite_data.asm!$B$3:$Q$156,
    INT(_xlpm.idx / SpriteCount) * 7 + INT(_xlpm.r / 16) + 1,
    MOD(_xlpm.r, 16) + 1
  )
)</f>
        <v>33</v>
      </c>
      <c r="O68" t="str" cm="1">
        <f t="array" ref="O68">_xlfn.LET(
  _xlpm.idx, (ROW()-3)*16 + O$1,
  _xlpm.r, MOD(_xlpm.idx, SpriteCount),
  INDEX(
    sprite_data.asm!$B$3:$Q$156,
    INT(_xlpm.idx / SpriteCount) * 7 + INT(_xlpm.r / 16) + 1,
    MOD(_xlpm.r, 16) + 1
  )
)</f>
        <v>7C</v>
      </c>
      <c r="P68" t="str" cm="1">
        <f t="array" ref="P68">_xlfn.LET(
  _xlpm.idx, (ROW()-3)*16 + P$1,
  _xlpm.r, MOD(_xlpm.idx, SpriteCount),
  INDEX(
    sprite_data.asm!$B$3:$Q$156,
    INT(_xlpm.idx / SpriteCount) * 7 + INT(_xlpm.r / 16) + 1,
    MOD(_xlpm.r, 16) + 1
  )
)</f>
        <v>5E</v>
      </c>
      <c r="Q68" t="str" cm="1">
        <f t="array" ref="Q68">_xlfn.LET(
  _xlpm.idx, (ROW()-3)*16 + Q$1,
  _xlpm.r, MOD(_xlpm.idx, SpriteCount),
  INDEX(
    sprite_data.asm!$B$3:$Q$156,
    INT(_xlpm.idx / SpriteCount) * 7 + INT(_xlpm.r / 16) + 1,
    MOD(_xlpm.r, 16) + 1
  )
)</f>
        <v>70</v>
      </c>
      <c r="R68" t="str" cm="1">
        <f t="array" ref="R68">_xlfn.LET(
  _xlpm.idx, (ROW()-3)*16 + R$1,
  _xlpm.r, MOD(_xlpm.idx, SpriteCount),
  INDEX(
    sprite_data.asm!$B$3:$Q$156,
    INT(_xlpm.idx / SpriteCount) * 7 + INT(_xlpm.r / 16) + 1,
    MOD(_xlpm.r, 16) + 1
  )
)</f>
        <v>5A</v>
      </c>
    </row>
    <row r="69" spans="1:18" x14ac:dyDescent="0.45">
      <c r="A69">
        <f t="shared" si="8"/>
        <v>45344</v>
      </c>
      <c r="B69" s="32" t="str">
        <f t="shared" si="9"/>
        <v>B120</v>
      </c>
      <c r="C69" t="str" cm="1">
        <f t="array" ref="C69">_xlfn.LET(
  _xlpm.idx, (ROW()-3)*16 + C$1,
  _xlpm.r, MOD(_xlpm.idx, SpriteCount),
  INDEX(
    sprite_data.asm!$B$3:$Q$156,
    INT(_xlpm.idx / SpriteCount) * 7 + INT(_xlpm.r / 16) + 1,
    MOD(_xlpm.r, 16) + 1
  )
)</f>
        <v>78</v>
      </c>
      <c r="D69" t="str" cm="1">
        <f t="array" ref="D69">_xlfn.LET(
  _xlpm.idx, (ROW()-3)*16 + D$1,
  _xlpm.r, MOD(_xlpm.idx, SpriteCount),
  INDEX(
    sprite_data.asm!$B$3:$Q$156,
    INT(_xlpm.idx / SpriteCount) * 7 + INT(_xlpm.r / 16) + 1,
    MOD(_xlpm.r, 16) + 1
  )
)</f>
        <v>6C</v>
      </c>
      <c r="E69" t="str" cm="1">
        <f t="array" ref="E69">_xlfn.LET(
  _xlpm.idx, (ROW()-3)*16 + E$1,
  _xlpm.r, MOD(_xlpm.idx, SpriteCount),
  INDEX(
    sprite_data.asm!$B$3:$Q$156,
    INT(_xlpm.idx / SpriteCount) * 7 + INT(_xlpm.r / 16) + 1,
    MOD(_xlpm.r, 16) + 1
  )
)</f>
        <v>38</v>
      </c>
      <c r="F69" t="str" cm="1">
        <f t="array" ref="F69">_xlfn.LET(
  _xlpm.idx, (ROW()-3)*16 + F$1,
  _xlpm.r, MOD(_xlpm.idx, SpriteCount),
  INDEX(
    sprite_data.asm!$B$3:$Q$156,
    INT(_xlpm.idx / SpriteCount) * 7 + INT(_xlpm.r / 16) + 1,
    MOD(_xlpm.r, 16) + 1
  )
)</f>
        <v>60</v>
      </c>
      <c r="G69" t="str" cm="1">
        <f t="array" ref="G69">_xlfn.LET(
  _xlpm.idx, (ROW()-3)*16 + G$1,
  _xlpm.r, MOD(_xlpm.idx, SpriteCount),
  INDEX(
    sprite_data.asm!$B$3:$Q$156,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sprite_data.asm!$B$3:$Q$156,
    INT(_xlpm.idx / SpriteCount) * 7 + INT(_xlpm.r / 16) + 1,
    MOD(_xlpm.r, 16) + 1
  )
)</f>
        <v>18</v>
      </c>
      <c r="I69" t="str" cm="1">
        <f t="array" ref="I69">_xlfn.LET(
  _xlpm.idx, (ROW()-3)*16 + I$1,
  _xlpm.r, MOD(_xlpm.idx, SpriteCount),
  INDEX(
    sprite_data.asm!$B$3:$Q$156,
    INT(_xlpm.idx / SpriteCount) * 7 + INT(_xlpm.r / 16) + 1,
    MOD(_xlpm.r, 16) + 1
  )
)</f>
        <v>1B</v>
      </c>
      <c r="J69" t="str" cm="1">
        <f t="array" ref="J69">_xlfn.LET(
  _xlpm.idx, (ROW()-3)*16 + J$1,
  _xlpm.r, MOD(_xlpm.idx, SpriteCount),
  INDEX(
    sprite_data.asm!$B$3:$Q$156,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sprite_data.asm!$B$3:$Q$156,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sprite_data.asm!$B$3:$Q$156,
    INT(_xlpm.idx / SpriteCount) * 7 + INT(_xlpm.r / 16) + 1,
    MOD(_xlpm.r, 16) + 1
  )
)</f>
        <v>60</v>
      </c>
      <c r="M69" t="str" cm="1">
        <f t="array" ref="M69">_xlfn.LET(
  _xlpm.idx, (ROW()-3)*16 + M$1,
  _xlpm.r, MOD(_xlpm.idx, SpriteCount),
  INDEX(
    sprite_data.asm!$B$3:$Q$156,
    INT(_xlpm.idx / SpriteCount) * 7 + INT(_xlpm.r / 16) + 1,
    MOD(_xlpm.r, 16) + 1
  )
)</f>
        <v>18</v>
      </c>
      <c r="N69" t="str" cm="1">
        <f t="array" ref="N69">_xlfn.LET(
  _xlpm.idx, (ROW()-3)*16 + N$1,
  _xlpm.r, MOD(_xlpm.idx, SpriteCount),
  INDEX(
    sprite_data.asm!$B$3:$Q$156,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sprite_data.asm!$B$3:$Q$156,
    INT(_xlpm.idx / SpriteCount) * 7 + INT(_xlpm.r / 16) + 1,
    MOD(_xlpm.r, 16) + 1
  )
)</f>
        <v>00</v>
      </c>
      <c r="P69" t="str" cm="1">
        <f t="array" ref="P69">_xlfn.LET(
  _xlpm.idx, (ROW()-3)*16 + P$1,
  _xlpm.r, MOD(_xlpm.idx, SpriteCount),
  INDEX(
    sprite_data.asm!$B$3:$Q$156,
    INT(_xlpm.idx / SpriteCount) * 7 + INT(_xlpm.r / 16) + 1,
    MOD(_xlpm.r, 16) + 1
  )
)</f>
        <v>11</v>
      </c>
      <c r="Q69" t="str" cm="1">
        <f t="array" ref="Q69">_xlfn.LET(
  _xlpm.idx, (ROW()-3)*16 + Q$1,
  _xlpm.r, MOD(_xlpm.idx, SpriteCount),
  INDEX(
    sprite_data.asm!$B$3:$Q$156,
    INT(_xlpm.idx / SpriteCount) * 7 + INT(_xlpm.r / 16) + 1,
    MOD(_xlpm.r, 16) + 1
  )
)</f>
        <v>01</v>
      </c>
      <c r="R69" t="str" cm="1">
        <f t="array" ref="R69">_xlfn.LET(
  _xlpm.idx, (ROW()-3)*16 + R$1,
  _xlpm.r, MOD(_xlpm.idx, SpriteCount),
  INDEX(
    sprite_data.asm!$B$3:$Q$156,
    INT(_xlpm.idx / SpriteCount) * 7 + INT(_xlpm.r / 16) + 1,
    MOD(_xlpm.r, 16) + 1
  )
)</f>
        <v>51</v>
      </c>
    </row>
    <row r="70" spans="1:18" x14ac:dyDescent="0.45">
      <c r="A70">
        <f t="shared" si="8"/>
        <v>45360</v>
      </c>
      <c r="B70" s="32" t="str">
        <f t="shared" si="9"/>
        <v>B130</v>
      </c>
      <c r="C70" t="str" cm="1">
        <f t="array" ref="C70">_xlfn.LET(
  _xlpm.idx, (ROW()-3)*16 + C$1,
  _xlpm.r, MOD(_xlpm.idx, SpriteCount),
  INDEX(
    sprite_data.asm!$B$3:$Q$156,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sprite_data.asm!$B$3:$Q$156,
    INT(_xlpm.idx / SpriteCount) * 7 + INT(_xlpm.r / 16) + 1,
    MOD(_xlpm.r, 16) + 1
  )
)</f>
        <v>51</v>
      </c>
      <c r="E70" t="str" cm="1">
        <f t="array" ref="E70">_xlfn.LET(
  _xlpm.idx, (ROW()-3)*16 + E$1,
  _xlpm.r, MOD(_xlpm.idx, SpriteCount),
  INDEX(
    sprite_data.asm!$B$3:$Q$156,
    INT(_xlpm.idx / SpriteCount) * 7 + INT(_xlpm.r / 16) + 1,
    MOD(_xlpm.r, 16) + 1
  )
)</f>
        <v>28</v>
      </c>
      <c r="F70" t="str" cm="1">
        <f t="array" ref="F70">_xlfn.LET(
  _xlpm.idx, (ROW()-3)*16 + F$1,
  _xlpm.r, MOD(_xlpm.idx, SpriteCount),
  INDEX(
    sprite_data.asm!$B$3:$Q$156,
    INT(_xlpm.idx / SpriteCount) * 7 + INT(_xlpm.r / 16) + 1,
    MOD(_xlpm.r, 16) + 1
  )
)</f>
        <v>20</v>
      </c>
      <c r="G70" t="str" cm="1">
        <f t="array" ref="G70">_xlfn.LET(
  _xlpm.idx, (ROW()-3)*16 + G$1,
  _xlpm.r, MOD(_xlpm.idx, SpriteCount),
  INDEX(
    sprite_data.asm!$B$3:$Q$156,
    INT(_xlpm.idx / SpriteCount) * 7 + INT(_xlpm.r / 16) + 1,
    MOD(_xlpm.r, 16) + 1
  )
)</f>
        <v>00</v>
      </c>
      <c r="H70" t="str" cm="1">
        <f t="array" ref="H70">_xlfn.LET(
  _xlpm.idx, (ROW()-3)*16 + H$1,
  _xlpm.r, MOD(_xlpm.idx, SpriteCount),
  INDEX(
    sprite_data.asm!$B$3:$Q$156,
    INT(_xlpm.idx / SpriteCount) * 7 + INT(_xlpm.r / 16) + 1,
    MOD(_xlpm.r, 16) + 1
  )
)</f>
        <v>5A</v>
      </c>
      <c r="I70" t="str" cm="1">
        <f t="array" ref="I70">_xlfn.LET(
  _xlpm.idx, (ROW()-3)*16 + I$1,
  _xlpm.r, MOD(_xlpm.idx, SpriteCount),
  INDEX(
    sprite_data.asm!$B$3:$Q$156,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sprite_data.asm!$B$3:$Q$156,
    INT(_xlpm.idx / SpriteCount) * 7 + INT(_xlpm.r / 16) + 1,
    MOD(_xlpm.r, 16) + 1
  )
)</f>
        <v>00</v>
      </c>
      <c r="K70" t="str" cm="1">
        <f t="array" ref="K70">_xlfn.LET(
  _xlpm.idx, (ROW()-3)*16 + K$1,
  _xlpm.r, MOD(_xlpm.idx, SpriteCount),
  INDEX(
    sprite_data.asm!$B$3:$Q$156,
    INT(_xlpm.idx / SpriteCount) * 7 + INT(_xlpm.r / 16) + 1,
    MOD(_xlpm.r, 16) + 1
  )
)</f>
        <v>22</v>
      </c>
      <c r="L70" t="str" cm="1">
        <f t="array" ref="L70">_xlfn.LET(
  _xlpm.idx, (ROW()-3)*16 + L$1,
  _xlpm.r, MOD(_xlpm.idx, SpriteCount),
  INDEX(
    sprite_data.asm!$B$3:$Q$156,
    INT(_xlpm.idx / SpriteCount) * 7 + INT(_xlpm.r / 16) + 1,
    MOD(_xlpm.r, 16) + 1
  )
)</f>
        <v>28</v>
      </c>
      <c r="M70" t="str" cm="1">
        <f t="array" ref="M70">_xlfn.LET(
  _xlpm.idx, (ROW()-3)*16 + M$1,
  _xlpm.r, MOD(_xlpm.idx, SpriteCount),
  INDEX(
    sprite_data.asm!$B$3:$Q$156,
    INT(_xlpm.idx / SpriteCount) * 7 + INT(_xlpm.r / 16) + 1,
    MOD(_xlpm.r, 16) + 1
  )
)</f>
        <v>22</v>
      </c>
      <c r="N70" t="str" cm="1">
        <f t="array" ref="N70">_xlfn.LET(
  _xlpm.idx, (ROW()-3)*16 + N$1,
  _xlpm.r, MOD(_xlpm.idx, SpriteCount),
  INDEX(
    sprite_data.asm!$B$3:$Q$156,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sprite_data.asm!$B$3:$Q$156,
    INT(_xlpm.idx / SpriteCount) * 7 + INT(_xlpm.r / 16) + 1,
    MOD(_xlpm.r, 16) + 1
  )
)</f>
        <v>28</v>
      </c>
      <c r="P70" t="str" cm="1">
        <f t="array" ref="P70">_xlfn.LET(
  _xlpm.idx, (ROW()-3)*16 + P$1,
  _xlpm.r, MOD(_xlpm.idx, SpriteCount),
  INDEX(
    sprite_data.asm!$B$3:$Q$156,
    INT(_xlpm.idx / SpriteCount) * 7 + INT(_xlpm.r / 16) + 1,
    MOD(_xlpm.r, 16) + 1
  )
)</f>
        <v>08</v>
      </c>
      <c r="Q70" t="str" cm="1">
        <f t="array" ref="Q70">_xlfn.LET(
  _xlpm.idx, (ROW()-3)*16 + Q$1,
  _xlpm.r, MOD(_xlpm.idx, SpriteCount),
  INDEX(
    sprite_data.asm!$B$3:$Q$156,
    INT(_xlpm.idx / SpriteCount) * 7 + INT(_xlpm.r / 16) + 1,
    MOD(_xlpm.r, 16) + 1
  )
)</f>
        <v>0A</v>
      </c>
      <c r="R70" t="str" cm="1">
        <f t="array" ref="R70">_xlfn.LET(
  _xlpm.idx, (ROW()-3)*16 + R$1,
  _xlpm.r, MOD(_xlpm.idx, SpriteCount),
  INDEX(
    sprite_data.asm!$B$3:$Q$156,
    INT(_xlpm.idx / SpriteCount) * 7 + INT(_xlpm.r / 16) + 1,
    MOD(_xlpm.r, 16) + 1
  )
)</f>
        <v>20</v>
      </c>
    </row>
    <row r="71" spans="1:18" x14ac:dyDescent="0.45">
      <c r="A71">
        <f t="shared" si="8"/>
        <v>45376</v>
      </c>
      <c r="B71" s="32" t="str">
        <f t="shared" si="9"/>
        <v>B140</v>
      </c>
      <c r="C71" t="str" cm="1">
        <f t="array" ref="C71">_xlfn.LET(
  _xlpm.idx, (ROW()-3)*16 + C$1,
  _xlpm.r, MOD(_xlpm.idx, SpriteCount),
  INDEX(
    sprite_data.asm!$B$3:$Q$156,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sprite_data.asm!$B$3:$Q$156,
    INT(_xlpm.idx / SpriteCount) * 7 + INT(_xlpm.r / 16) + 1,
    MOD(_xlpm.r, 16) + 1
  )
)</f>
        <v>20</v>
      </c>
      <c r="E71" t="str" cm="1">
        <f t="array" ref="E71">_xlfn.LET(
  _xlpm.idx, (ROW()-3)*16 + E$1,
  _xlpm.r, MOD(_xlpm.idx, SpriteCount),
  INDEX(
    sprite_data.asm!$B$3:$Q$156,
    INT(_xlpm.idx / SpriteCount) * 7 + INT(_xlpm.r / 16) + 1,
    MOD(_xlpm.r, 16) + 1
  )
)</f>
        <v>08</v>
      </c>
      <c r="F71" t="str" cm="1">
        <f t="array" ref="F71">_xlfn.LET(
  _xlpm.idx, (ROW()-3)*16 + F$1,
  _xlpm.r, MOD(_xlpm.idx, SpriteCount),
  INDEX(
    sprite_data.asm!$B$3:$Q$156,
    INT(_xlpm.idx / SpriteCount) * 7 + INT(_xlpm.r / 16) + 1,
    MOD(_xlpm.r, 16) + 1
  )
)</f>
        <v>20</v>
      </c>
      <c r="G71" t="str" cm="1">
        <f t="array" ref="G71">_xlfn.LET(
  _xlpm.idx, (ROW()-3)*16 + G$1,
  _xlpm.r, MOD(_xlpm.idx, SpriteCount),
  INDEX(
    sprite_data.asm!$B$3:$Q$156,
    INT(_xlpm.idx / SpriteCount) * 7 + INT(_xlpm.r / 16) + 1,
    MOD(_xlpm.r, 16) + 1
  )
)</f>
        <v>28</v>
      </c>
      <c r="H71" t="str" cm="1">
        <f t="array" ref="H71">_xlfn.LET(
  _xlpm.idx, (ROW()-3)*16 + H$1,
  _xlpm.r, MOD(_xlpm.idx, SpriteCount),
  INDEX(
    sprite_data.asm!$B$3:$Q$156,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sprite_data.asm!$B$3:$Q$156,
    INT(_xlpm.idx / SpriteCount) * 7 + INT(_xlpm.r / 16) + 1,
    MOD(_xlpm.r, 16) + 1
  )
)</f>
        <v>20</v>
      </c>
      <c r="J71" t="str" cm="1">
        <f t="array" ref="J71">_xlfn.LET(
  _xlpm.idx, (ROW()-3)*16 + J$1,
  _xlpm.r, MOD(_xlpm.idx, SpriteCount),
  INDEX(
    sprite_data.asm!$B$3:$Q$156,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sprite_data.asm!$B$3:$Q$156,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sprite_data.asm!$B$3:$Q$156,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sprite_data.asm!$B$3:$Q$156,
    INT(_xlpm.idx / SpriteCount) * 7 + INT(_xlpm.r / 16) + 1,
    MOD(_xlpm.r, 16) + 1
  )
)</f>
        <v>00</v>
      </c>
      <c r="N71" t="str" cm="1">
        <f t="array" ref="N71">_xlfn.LET(
  _xlpm.idx, (ROW()-3)*16 + N$1,
  _xlpm.r, MOD(_xlpm.idx, SpriteCount),
  INDEX(
    sprite_data.asm!$B$3:$Q$156,
    INT(_xlpm.idx / SpriteCount) * 7 + INT(_xlpm.r / 16) + 1,
    MOD(_xlpm.r, 16) + 1
  )
)</f>
        <v>02</v>
      </c>
      <c r="O71" t="str" cm="1">
        <f t="array" ref="O71">_xlfn.LET(
  _xlpm.idx, (ROW()-3)*16 + O$1,
  _xlpm.r, MOD(_xlpm.idx, SpriteCount),
  INDEX(
    sprite_data.asm!$B$3:$Q$156,
    INT(_xlpm.idx / SpriteCount) * 7 + INT(_xlpm.r / 16) + 1,
    MOD(_xlpm.r, 16) + 1
  )
)</f>
        <v>20</v>
      </c>
      <c r="P71" t="str" cm="1">
        <f t="array" ref="P71">_xlfn.LET(
  _xlpm.idx, (ROW()-3)*16 + P$1,
  _xlpm.r, MOD(_xlpm.idx, SpriteCount),
  INDEX(
    sprite_data.asm!$B$3:$Q$156,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sprite_data.asm!$B$3:$Q$156,
    INT(_xlpm.idx / SpriteCount) * 7 + INT(_xlpm.r / 16) + 1,
    MOD(_xlpm.r, 16) + 1
  )
)</f>
        <v>00</v>
      </c>
      <c r="R71" t="str" cm="1">
        <f t="array" ref="R71">_xlfn.LET(
  _xlpm.idx, (ROW()-3)*16 + R$1,
  _xlpm.r, MOD(_xlpm.idx, SpriteCount),
  INDEX(
    sprite_data.asm!$B$3:$Q$156,
    INT(_xlpm.idx / SpriteCount) * 7 + INT(_xlpm.r / 16) + 1,
    MOD(_xlpm.r, 16) + 1
  )
)</f>
        <v>0A</v>
      </c>
    </row>
    <row r="72" spans="1:18" x14ac:dyDescent="0.45">
      <c r="A72">
        <f t="shared" si="8"/>
        <v>45392</v>
      </c>
      <c r="B72" s="32" t="str">
        <f t="shared" si="9"/>
        <v>B150</v>
      </c>
      <c r="C72" t="str" cm="1">
        <f t="array" ref="C72">_xlfn.LET(
  _xlpm.idx, (ROW()-3)*16 + C$1,
  _xlpm.r, MOD(_xlpm.idx, SpriteCount),
  INDEX(
    sprite_data.asm!$B$3:$Q$156,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sprite_data.asm!$B$3:$Q$156,
    INT(_xlpm.idx / SpriteCount) * 7 + INT(_xlpm.r / 16) + 1,
    MOD(_xlpm.r, 16) + 1
  )
)</f>
        <v>02</v>
      </c>
      <c r="E72" t="str" cm="1">
        <f t="array" ref="E72">_xlfn.LET(
  _xlpm.idx, (ROW()-3)*16 + E$1,
  _xlpm.r, MOD(_xlpm.idx, SpriteCount),
  INDEX(
    sprite_data.asm!$B$3:$Q$156,
    INT(_xlpm.idx / SpriteCount) * 7 + INT(_xlpm.r / 16) + 1,
    MOD(_xlpm.r, 16) + 1
  )
)</f>
        <v>20</v>
      </c>
      <c r="F72" t="str" cm="1">
        <f t="array" ref="F72">_xlfn.LET(
  _xlpm.idx, (ROW()-3)*16 + F$1,
  _xlpm.r, MOD(_xlpm.idx, SpriteCount),
  INDEX(
    sprite_data.asm!$B$3:$Q$156,
    INT(_xlpm.idx / SpriteCount) * 7 + INT(_xlpm.r / 16) + 1,
    MOD(_xlpm.r, 16) + 1
  )
)</f>
        <v>08</v>
      </c>
      <c r="G72" t="str" cm="1">
        <f t="array" ref="G72">_xlfn.LET(
  _xlpm.idx, (ROW()-3)*16 + G$1,
  _xlpm.r, MOD(_xlpm.idx, SpriteCount),
  INDEX(
    sprite_data.asm!$B$3:$Q$156,
    INT(_xlpm.idx / SpriteCount) * 7 + INT(_xlpm.r / 16) + 1,
    MOD(_xlpm.r, 16) + 1
  )
)</f>
        <v>02</v>
      </c>
      <c r="H72" t="str" cm="1">
        <f t="array" ref="H72">_xlfn.LET(
  _xlpm.idx, (ROW()-3)*16 + H$1,
  _xlpm.r, MOD(_xlpm.idx, SpriteCount),
  INDEX(
    sprite_data.asm!$B$3:$Q$156,
    INT(_xlpm.idx / SpriteCount) * 7 + INT(_xlpm.r / 16) + 1,
    MOD(_xlpm.r, 16) + 1
  )
)</f>
        <v>44</v>
      </c>
      <c r="I72" t="str" cm="1">
        <f t="array" ref="I72">_xlfn.LET(
  _xlpm.idx, (ROW()-3)*16 + I$1,
  _xlpm.r, MOD(_xlpm.idx, SpriteCount),
  INDEX(
    sprite_data.asm!$B$3:$Q$156,
    INT(_xlpm.idx / SpriteCount) * 7 + INT(_xlpm.r / 16) + 1,
    MOD(_xlpm.r, 16) + 1
  )
)</f>
        <v>11</v>
      </c>
      <c r="J72" t="str" cm="1">
        <f t="array" ref="J72">_xlfn.LET(
  _xlpm.idx, (ROW()-3)*16 + J$1,
  _xlpm.r, MOD(_xlpm.idx, SpriteCount),
  INDEX(
    sprite_data.asm!$B$3:$Q$156,
    INT(_xlpm.idx / SpriteCount) * 7 + INT(_xlpm.r / 16) + 1,
    MOD(_xlpm.r, 16) + 1
  )
)</f>
        <v>01</v>
      </c>
      <c r="K72" t="str" cm="1">
        <f t="array" ref="K72">_xlfn.LET(
  _xlpm.idx, (ROW()-3)*16 + K$1,
  _xlpm.r, MOD(_xlpm.idx, SpriteCount),
  INDEX(
    sprite_data.asm!$B$3:$Q$156,
    INT(_xlpm.idx / SpriteCount) * 7 + INT(_xlpm.r / 16) + 1,
    MOD(_xlpm.r, 16) + 1
  )
)</f>
        <v>41</v>
      </c>
      <c r="L72" t="str" cm="1">
        <f t="array" ref="L72">_xlfn.LET(
  _xlpm.idx, (ROW()-3)*16 + L$1,
  _xlpm.r, MOD(_xlpm.idx, SpriteCount),
  INDEX(
    sprite_data.asm!$B$3:$Q$156,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sprite_data.asm!$B$3:$Q$156,
    INT(_xlpm.idx / SpriteCount) * 7 + INT(_xlpm.r / 16) + 1,
    MOD(_xlpm.r, 16) + 1
  )
)</f>
        <v>05</v>
      </c>
      <c r="N72" t="str" cm="1">
        <f t="array" ref="N72">_xlfn.LET(
  _xlpm.idx, (ROW()-3)*16 + N$1,
  _xlpm.r, MOD(_xlpm.idx, SpriteCount),
  INDEX(
    sprite_data.asm!$B$3:$Q$156,
    INT(_xlpm.idx / SpriteCount) * 7 + INT(_xlpm.r / 16) + 1,
    MOD(_xlpm.r, 16) + 1
  )
)</f>
        <v>01</v>
      </c>
      <c r="O72" t="str" cm="1">
        <f t="array" ref="O72">_xlfn.LET(
  _xlpm.idx, (ROW()-3)*16 + O$1,
  _xlpm.r, MOD(_xlpm.idx, SpriteCount),
  INDEX(
    sprite_data.asm!$B$3:$Q$156,
    INT(_xlpm.idx / SpriteCount) * 7 + INT(_xlpm.r / 16) + 1,
    MOD(_xlpm.r, 16) + 1
  )
)</f>
        <v>41</v>
      </c>
      <c r="P72" t="str" cm="1">
        <f t="array" ref="P72">_xlfn.LET(
  _xlpm.idx, (ROW()-3)*16 + P$1,
  _xlpm.r, MOD(_xlpm.idx, SpriteCount),
  INDEX(
    sprite_data.asm!$B$3:$Q$156,
    INT(_xlpm.idx / SpriteCount) * 7 + INT(_xlpm.r / 16) + 1,
    MOD(_xlpm.r, 16) + 1
  )
)</f>
        <v>04</v>
      </c>
      <c r="Q72" t="str" cm="1">
        <f t="array" ref="Q72">_xlfn.LET(
  _xlpm.idx, (ROW()-3)*16 + Q$1,
  _xlpm.r, MOD(_xlpm.idx, SpriteCount),
  INDEX(
    sprite_data.asm!$B$3:$Q$156,
    INT(_xlpm.idx / SpriteCount) * 7 + INT(_xlpm.r / 16) + 1,
    MOD(_xlpm.r, 16) + 1
  )
)</f>
        <v>10</v>
      </c>
      <c r="R72" t="str" cm="1">
        <f t="array" ref="R72">_xlfn.LET(
  _xlpm.idx, (ROW()-3)*16 + R$1,
  _xlpm.r, MOD(_xlpm.idx, SpriteCount),
  INDEX(
    sprite_data.asm!$B$3:$Q$156,
    INT(_xlpm.idx / SpriteCount) * 7 + INT(_xlpm.r / 16) + 1,
    MOD(_xlpm.r, 16) + 1
  )
)</f>
        <v>11</v>
      </c>
    </row>
    <row r="73" spans="1:18" x14ac:dyDescent="0.45">
      <c r="A73">
        <f t="shared" si="8"/>
        <v>45408</v>
      </c>
      <c r="B73" s="32" t="str">
        <f t="shared" si="9"/>
        <v>B160</v>
      </c>
      <c r="C73" t="str" cm="1">
        <f t="array" ref="C73">_xlfn.LET(
  _xlpm.idx, (ROW()-3)*16 + C$1,
  _xlpm.r, MOD(_xlpm.idx, SpriteCount),
  INDEX(
    sprite_data.asm!$B$3:$Q$156,
    INT(_xlpm.idx / SpriteCount) * 7 + INT(_xlpm.r / 16) + 1,
    MOD(_xlpm.r, 16) + 1
  )
)</f>
        <v>01</v>
      </c>
      <c r="D73" t="str" cm="1">
        <f t="array" ref="D73">_xlfn.LET(
  _xlpm.idx, (ROW()-3)*16 + D$1,
  _xlpm.r, MOD(_xlpm.idx, SpriteCount),
  INDEX(
    sprite_data.asm!$B$3:$Q$156,
    INT(_xlpm.idx / SpriteCount) * 7 + INT(_xlpm.r / 16) + 1,
    MOD(_xlpm.r, 16) + 1
  )
)</f>
        <v>55</v>
      </c>
      <c r="E73" t="str" cm="1">
        <f t="array" ref="E73">_xlfn.LET(
  _xlpm.idx, (ROW()-3)*16 + E$1,
  _xlpm.r, MOD(_xlpm.idx, SpriteCount),
  INDEX(
    sprite_data.asm!$B$3:$Q$156,
    INT(_xlpm.idx / SpriteCount) * 7 + INT(_xlpm.r / 16) + 1,
    MOD(_xlpm.r, 16) + 1
  )
)</f>
        <v>45</v>
      </c>
      <c r="F73" t="str" cm="1">
        <f t="array" ref="F73">_xlfn.LET(
  _xlpm.idx, (ROW()-3)*16 + F$1,
  _xlpm.r, MOD(_xlpm.idx, SpriteCount),
  INDEX(
    sprite_data.asm!$B$3:$Q$156,
    INT(_xlpm.idx / SpriteCount) * 7 + INT(_xlpm.r / 16) + 1,
    MOD(_xlpm.r, 16) + 1
  )
)</f>
        <v>51</v>
      </c>
      <c r="G73" t="str" cm="1">
        <f t="array" ref="G73">_xlfn.LET(
  _xlpm.idx, (ROW()-3)*16 + G$1,
  _xlpm.r, MOD(_xlpm.idx, SpriteCount),
  INDEX(
    sprite_data.asm!$B$3:$Q$156,
    INT(_xlpm.idx / SpriteCount) * 7 + INT(_xlpm.r / 16) + 1,
    MOD(_xlpm.r, 16) + 1
  )
)</f>
        <v>41</v>
      </c>
      <c r="H73" t="str" cm="1">
        <f t="array" ref="H73">_xlfn.LET(
  _xlpm.idx, (ROW()-3)*16 + H$1,
  _xlpm.r, MOD(_xlpm.idx, SpriteCount),
  INDEX(
    sprite_data.asm!$B$3:$Q$156,
    INT(_xlpm.idx / SpriteCount) * 7 + INT(_xlpm.r / 16) + 1,
    MOD(_xlpm.r, 16) + 1
  )
)</f>
        <v>51</v>
      </c>
      <c r="I73" t="str" cm="1">
        <f t="array" ref="I73">_xlfn.LET(
  _xlpm.idx, (ROW()-3)*16 + I$1,
  _xlpm.r, MOD(_xlpm.idx, SpriteCount),
  INDEX(
    sprite_data.asm!$B$3:$Q$156,
    INT(_xlpm.idx / SpriteCount) * 7 + INT(_xlpm.r / 16) + 1,
    MOD(_xlpm.r, 16) + 1
  )
)</f>
        <v>41</v>
      </c>
      <c r="J73" t="str" cm="1">
        <f t="array" ref="J73">_xlfn.LET(
  _xlpm.idx, (ROW()-3)*16 + J$1,
  _xlpm.r, MOD(_xlpm.idx, SpriteCount),
  INDEX(
    sprite_data.asm!$B$3:$Q$156,
    INT(_xlpm.idx / SpriteCount) * 7 + INT(_xlpm.r / 16) + 1,
    MOD(_xlpm.r, 16) + 1
  )
)</f>
        <v>01</v>
      </c>
      <c r="K73" t="str" cm="1">
        <f t="array" ref="K73">_xlfn.LET(
  _xlpm.idx, (ROW()-3)*16 + K$1,
  _xlpm.r, MOD(_xlpm.idx, SpriteCount),
  INDEX(
    sprite_data.asm!$B$3:$Q$156,
    INT(_xlpm.idx / SpriteCount) * 7 + INT(_xlpm.r / 16) + 1,
    MOD(_xlpm.r, 16) + 1
  )
)</f>
        <v>04</v>
      </c>
      <c r="L73" t="str" cm="1">
        <f t="array" ref="L73">_xlfn.LET(
  _xlpm.idx, (ROW()-3)*16 + L$1,
  _xlpm.r, MOD(_xlpm.idx, SpriteCount),
  INDEX(
    sprite_data.asm!$B$3:$Q$156,
    INT(_xlpm.idx / SpriteCount) * 7 + INT(_xlpm.r / 16) + 1,
    MOD(_xlpm.r, 16) + 1
  )
)</f>
        <v>41</v>
      </c>
      <c r="M73" t="str" cm="1">
        <f t="array" ref="M73">_xlfn.LET(
  _xlpm.idx, (ROW()-3)*16 + M$1,
  _xlpm.r, MOD(_xlpm.idx, SpriteCount),
  INDEX(
    sprite_data.asm!$B$3:$Q$156,
    INT(_xlpm.idx / SpriteCount) * 7 + INT(_xlpm.r / 16) + 1,
    MOD(_xlpm.r, 16) + 1
  )
)</f>
        <v>45</v>
      </c>
      <c r="N73" t="str" cm="1">
        <f t="array" ref="N73">_xlfn.LET(
  _xlpm.idx, (ROW()-3)*16 + N$1,
  _xlpm.r, MOD(_xlpm.idx, SpriteCount),
  INDEX(
    sprite_data.asm!$B$3:$Q$156,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sprite_data.asm!$B$3:$Q$156,
    INT(_xlpm.idx / SpriteCount) * 7 + INT(_xlpm.r / 16) + 1,
    MOD(_xlpm.r, 16) + 1
  )
)</f>
        <v>41</v>
      </c>
      <c r="P73" t="str" cm="1">
        <f t="array" ref="P73">_xlfn.LET(
  _xlpm.idx, (ROW()-3)*16 + P$1,
  _xlpm.r, MOD(_xlpm.idx, SpriteCount),
  INDEX(
    sprite_data.asm!$B$3:$Q$156,
    INT(_xlpm.idx / SpriteCount) * 7 + INT(_xlpm.r / 16) + 1,
    MOD(_xlpm.r, 16) + 1
  )
)</f>
        <v>51</v>
      </c>
      <c r="Q73" t="str" cm="1">
        <f t="array" ref="Q73">_xlfn.LET(
  _xlpm.idx, (ROW()-3)*16 + Q$1,
  _xlpm.r, MOD(_xlpm.idx, SpriteCount),
  INDEX(
    sprite_data.asm!$B$3:$Q$156,
    INT(_xlpm.idx / SpriteCount) * 7 + INT(_xlpm.r / 16) + 1,
    MOD(_xlpm.r, 16) + 1
  )
)</f>
        <v>41</v>
      </c>
      <c r="R73" t="str" cm="1">
        <f t="array" ref="R73">_xlfn.LET(
  _xlpm.idx, (ROW()-3)*16 + R$1,
  _xlpm.r, MOD(_xlpm.idx, SpriteCount),
  INDEX(
    sprite_data.asm!$B$3:$Q$156,
    INT(_xlpm.idx / SpriteCount) * 7 + INT(_xlpm.r / 16) + 1,
    MOD(_xlpm.r, 16) + 1
  )
)</f>
        <v>14</v>
      </c>
    </row>
    <row r="74" spans="1:18" x14ac:dyDescent="0.45">
      <c r="A74">
        <f t="shared" si="8"/>
        <v>45424</v>
      </c>
      <c r="B74" s="32" t="str">
        <f t="shared" si="9"/>
        <v>B170</v>
      </c>
      <c r="C74" t="str" cm="1">
        <f t="array" ref="C74">_xlfn.LET(
  _xlpm.idx, (ROW()-3)*16 + C$1,
  _xlpm.r, MOD(_xlpm.idx, SpriteCount),
  INDEX(
    sprite_data.asm!$B$3:$Q$156,
    INT(_xlpm.idx / SpriteCount) * 7 + INT(_xlpm.r / 16) + 1,
    MOD(_xlpm.r, 16) + 1
  )
)</f>
        <v>00</v>
      </c>
      <c r="D74" t="str" cm="1">
        <f t="array" ref="D74">_xlfn.LET(
  _xlpm.idx, (ROW()-3)*16 + D$1,
  _xlpm.r, MOD(_xlpm.idx, SpriteCount),
  INDEX(
    sprite_data.asm!$B$3:$Q$156,
    INT(_xlpm.idx / SpriteCount) * 7 + INT(_xlpm.r / 16) + 1,
    MOD(_xlpm.r, 16) + 1
  )
)</f>
        <v>05</v>
      </c>
      <c r="E74" t="str" cm="1">
        <f t="array" ref="E74">_xlfn.LET(
  _xlpm.idx, (ROW()-3)*16 + E$1,
  _xlpm.r, MOD(_xlpm.idx, SpriteCount),
  INDEX(
    sprite_data.asm!$B$3:$Q$156,
    INT(_xlpm.idx / SpriteCount) * 7 + INT(_xlpm.r / 16) + 1,
    MOD(_xlpm.r, 16) + 1
  )
)</f>
        <v>50</v>
      </c>
      <c r="F74" t="str" cm="1">
        <f t="array" ref="F74">_xlfn.LET(
  _xlpm.idx, (ROW()-3)*16 + F$1,
  _xlpm.r, MOD(_xlpm.idx, SpriteCount),
  INDEX(
    sprite_data.asm!$B$3:$Q$156,
    INT(_xlpm.idx / SpriteCount) * 7 + INT(_xlpm.r / 16) + 1,
    MOD(_xlpm.r, 16) + 1
  )
)</f>
        <v>10</v>
      </c>
      <c r="G74" t="str" cm="1">
        <f t="array" ref="G74">_xlfn.LET(
  _xlpm.idx, (ROW()-3)*16 + G$1,
  _xlpm.r, MOD(_xlpm.idx, SpriteCount),
  INDEX(
    sprite_data.asm!$B$3:$Q$156,
    INT(_xlpm.idx / SpriteCount) * 7 + INT(_xlpm.r / 16) + 1,
    MOD(_xlpm.r, 16) + 1
  )
)</f>
        <v>55</v>
      </c>
      <c r="H74" t="str" cm="1">
        <f t="array" ref="H74">_xlfn.LET(
  _xlpm.idx, (ROW()-3)*16 + H$1,
  _xlpm.r, MOD(_xlpm.idx, SpriteCount),
  INDEX(
    sprite_data.asm!$B$3:$Q$156,
    INT(_xlpm.idx / SpriteCount) * 7 + INT(_xlpm.r / 16) + 1,
    MOD(_xlpm.r, 16) + 1
  )
)</f>
        <v>14</v>
      </c>
      <c r="I74" t="str" cm="1">
        <f t="array" ref="I74">_xlfn.LET(
  _xlpm.idx, (ROW()-3)*16 + I$1,
  _xlpm.r, MOD(_xlpm.idx, SpriteCount),
  INDEX(
    sprite_data.asm!$B$3:$Q$156,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sprite_data.asm!$B$3:$Q$156,
    INT(_xlpm.idx / SpriteCount) * 7 + INT(_xlpm.r / 16) + 1,
    MOD(_xlpm.r, 16) + 1
  )
)</f>
        <v>01</v>
      </c>
      <c r="K74" t="str" cm="1">
        <f t="array" ref="K74">_xlfn.LET(
  _xlpm.idx, (ROW()-3)*16 + K$1,
  _xlpm.r, MOD(_xlpm.idx, SpriteCount),
  INDEX(
    sprite_data.asm!$B$3:$Q$156,
    INT(_xlpm.idx / SpriteCount) * 7 + INT(_xlpm.r / 16) + 1,
    MOD(_xlpm.r, 16) + 1
  )
)</f>
        <v>00</v>
      </c>
      <c r="L74" t="str" cm="1">
        <f t="array" ref="L74">_xlfn.LET(
  _xlpm.idx, (ROW()-3)*16 + L$1,
  _xlpm.r, MOD(_xlpm.idx, SpriteCount),
  INDEX(
    sprite_data.asm!$B$3:$Q$156,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sprite_data.asm!$B$3:$Q$156,
    INT(_xlpm.idx / SpriteCount) * 7 + INT(_xlpm.r / 16) + 1,
    MOD(_xlpm.r, 16) + 1
  )
)</f>
        <v>02</v>
      </c>
      <c r="N74" t="str" cm="1">
        <f t="array" ref="N74">_xlfn.LET(
  _xlpm.idx, (ROW()-3)*16 + N$1,
  _xlpm.r, MOD(_xlpm.idx, SpriteCount),
  INDEX(
    sprite_data.asm!$B$3:$Q$156,
    INT(_xlpm.idx / SpriteCount) * 7 + INT(_xlpm.r / 16) + 1,
    MOD(_xlpm.r, 16) + 1
  )
)</f>
        <v>03</v>
      </c>
      <c r="O74" t="str" cm="1">
        <f t="array" ref="O74">_xlfn.LET(
  _xlpm.idx, (ROW()-3)*16 + O$1,
  _xlpm.r, MOD(_xlpm.idx, SpriteCount),
  INDEX(
    sprite_data.asm!$B$3:$Q$156,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sprite_data.asm!$B$3:$Q$156,
    INT(_xlpm.idx / SpriteCount) * 7 + INT(_xlpm.r / 16) + 1,
    MOD(_xlpm.r, 16) + 1
  )
)</f>
        <v>00</v>
      </c>
      <c r="Q74" t="str" cm="1">
        <f t="array" ref="Q74">_xlfn.LET(
  _xlpm.idx, (ROW()-3)*16 + Q$1,
  _xlpm.r, MOD(_xlpm.idx, SpriteCount),
  INDEX(
    sprite_data.asm!$B$3:$Q$156,
    INT(_xlpm.idx / SpriteCount) * 7 + INT(_xlpm.r / 16) + 1,
    MOD(_xlpm.r, 16) + 1
  )
)</f>
        <v>03</v>
      </c>
      <c r="R74" t="str" cm="1">
        <f t="array" ref="R74">_xlfn.LET(
  _xlpm.idx, (ROW()-3)*16 + R$1,
  _xlpm.r, MOD(_xlpm.idx, SpriteCount),
  INDEX(
    sprite_data.asm!$B$3:$Q$156,
    INT(_xlpm.idx / SpriteCount) * 7 + INT(_xlpm.r / 16) + 1,
    MOD(_xlpm.r, 16) + 1
  )
)</f>
        <v>01</v>
      </c>
    </row>
    <row r="75" spans="1:18" x14ac:dyDescent="0.45">
      <c r="A75">
        <f t="shared" si="8"/>
        <v>45440</v>
      </c>
      <c r="B75" s="32" t="str">
        <f t="shared" si="9"/>
        <v>B180</v>
      </c>
      <c r="C75" t="str" cm="1">
        <f t="array" ref="C75">_xlfn.LET(
  _xlpm.idx, (ROW()-3)*16 + C$1,
  _xlpm.r, MOD(_xlpm.idx, SpriteCount),
  INDEX(
    sprite_data.asm!$B$3:$Q$156,
    INT(_xlpm.idx / SpriteCount) * 7 + INT(_xlpm.r / 16) + 1,
    MOD(_xlpm.r, 16) + 1
  )
)</f>
        <v>04</v>
      </c>
      <c r="D75" t="str" cm="1">
        <f t="array" ref="D75">_xlfn.LET(
  _xlpm.idx, (ROW()-3)*16 + D$1,
  _xlpm.r, MOD(_xlpm.idx, SpriteCount),
  INDEX(
    sprite_data.asm!$B$3:$Q$156,
    INT(_xlpm.idx / SpriteCount) * 7 + INT(_xlpm.r / 16) + 1,
    MOD(_xlpm.r, 16) + 1
  )
)</f>
        <v>06</v>
      </c>
      <c r="E75" t="str" cm="1">
        <f t="array" ref="E75">_xlfn.LET(
  _xlpm.idx, (ROW()-3)*16 + E$1,
  _xlpm.r, MOD(_xlpm.idx, SpriteCount),
  INDEX(
    sprite_data.asm!$B$3:$Q$156,
    INT(_xlpm.idx / SpriteCount) * 7 + INT(_xlpm.r / 16) + 1,
    MOD(_xlpm.r, 16) + 1
  )
)</f>
        <v>07</v>
      </c>
      <c r="F75" t="str" cm="1">
        <f t="array" ref="F75">_xlfn.LET(
  _xlpm.idx, (ROW()-3)*16 + F$1,
  _xlpm.r, MOD(_xlpm.idx, SpriteCount),
  INDEX(
    sprite_data.asm!$B$3:$Q$156,
    INT(_xlpm.idx / SpriteCount) * 7 + INT(_xlpm.r / 16) + 1,
    MOD(_xlpm.r, 16) + 1
  )
)</f>
        <v>03</v>
      </c>
      <c r="G75" t="str" cm="1">
        <f t="array" ref="G75">_xlfn.LET(
  _xlpm.idx, (ROW()-3)*16 + G$1,
  _xlpm.r, MOD(_xlpm.idx, SpriteCount),
  INDEX(
    sprite_data.asm!$B$3:$Q$156,
    INT(_xlpm.idx / SpriteCount) * 7 + INT(_xlpm.r / 16) + 1,
    MOD(_xlpm.r, 16) + 1
  )
)</f>
        <v>00</v>
      </c>
      <c r="H75" t="str" cm="1">
        <f t="array" ref="H75">_xlfn.LET(
  _xlpm.idx, (ROW()-3)*16 + H$1,
  _xlpm.r, MOD(_xlpm.idx, SpriteCount),
  INDEX(
    sprite_data.asm!$B$3:$Q$156,
    INT(_xlpm.idx / SpriteCount) * 7 + INT(_xlpm.r / 16) + 1,
    MOD(_xlpm.r, 16) + 1
  )
)</f>
        <v>01</v>
      </c>
      <c r="I75" t="str" cm="1">
        <f t="array" ref="I75">_xlfn.LET(
  _xlpm.idx, (ROW()-3)*16 + I$1,
  _xlpm.r, MOD(_xlpm.idx, SpriteCount),
  INDEX(
    sprite_data.asm!$B$3:$Q$156,
    INT(_xlpm.idx / SpriteCount) * 7 + INT(_xlpm.r / 16) + 1,
    MOD(_xlpm.r, 16) + 1
  )
)</f>
        <v>00</v>
      </c>
      <c r="J75" t="str" cm="1">
        <f t="array" ref="J75">_xlfn.LET(
  _xlpm.idx, (ROW()-3)*16 + J$1,
  _xlpm.r, MOD(_xlpm.idx, SpriteCount),
  INDEX(
    sprite_data.asm!$B$3:$Q$156,
    INT(_xlpm.idx / SpriteCount) * 7 + INT(_xlpm.r / 16) + 1,
    MOD(_xlpm.r, 16) + 1
  )
)</f>
        <v>05</v>
      </c>
      <c r="K75" t="str" cm="1">
        <f t="array" ref="K75">_xlfn.LET(
  _xlpm.idx, (ROW()-3)*16 + K$1,
  _xlpm.r, MOD(_xlpm.idx, SpriteCount),
  INDEX(
    sprite_data.asm!$B$3:$Q$156,
    INT(_xlpm.idx / SpriteCount) * 7 + INT(_xlpm.r / 16) + 1,
    MOD(_xlpm.r, 16) + 1
  )
)</f>
        <v>01</v>
      </c>
      <c r="L75" t="str" cm="1">
        <f t="array" ref="L75">_xlfn.LET(
  _xlpm.idx, (ROW()-3)*16 + L$1,
  _xlpm.r, MOD(_xlpm.idx, SpriteCount),
  INDEX(
    sprite_data.asm!$B$3:$Q$156,
    INT(_xlpm.idx / SpriteCount) * 7 + INT(_xlpm.r / 16) + 1,
    MOD(_xlpm.r, 16) + 1
  )
)</f>
        <v>03</v>
      </c>
      <c r="M75" t="str" cm="1">
        <f t="array" ref="M75">_xlfn.LET(
  _xlpm.idx, (ROW()-3)*16 + M$1,
  _xlpm.r, MOD(_xlpm.idx, SpriteCount),
  INDEX(
    sprite_data.asm!$B$3:$Q$156,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sprite_data.asm!$B$3:$Q$156,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sprite_data.asm!$B$3:$Q$156,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sprite_data.asm!$B$3:$Q$156,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sprite_data.asm!$B$3:$Q$156,
    INT(_xlpm.idx / SpriteCount) * 7 + INT(_xlpm.r / 16) + 1,
    MOD(_xlpm.r, 16) + 1
  )
)</f>
        <v>00</v>
      </c>
      <c r="R75" t="str" cm="1">
        <f t="array" ref="R75">_xlfn.LET(
  _xlpm.idx, (ROW()-3)*16 + R$1,
  _xlpm.r, MOD(_xlpm.idx, SpriteCount),
  INDEX(
    sprite_data.asm!$B$3:$Q$156,
    INT(_xlpm.idx / SpriteCount) * 7 + INT(_xlpm.r / 16) + 1,
    MOD(_xlpm.r, 16) + 1
  )
)</f>
        <v>00</v>
      </c>
    </row>
    <row r="76" spans="1:18" x14ac:dyDescent="0.45">
      <c r="A76">
        <f t="shared" si="8"/>
        <v>45456</v>
      </c>
      <c r="B76" s="32" t="str">
        <f t="shared" si="9"/>
        <v>B190</v>
      </c>
      <c r="C76" t="str" cm="1">
        <f t="array" ref="C76">_xlfn.LET(
  _xlpm.idx, (ROW()-3)*16 + C$1,
  _xlpm.r, MOD(_xlpm.idx, SpriteCount),
  INDEX(
    sprite_data.asm!$B$3:$Q$156,
    INT(_xlpm.idx / SpriteCount) * 7 + INT(_xlpm.r / 16) + 1,
    MOD(_xlpm.r, 16) + 1
  )
)</f>
        <v>00</v>
      </c>
      <c r="D76" t="str" cm="1">
        <f t="array" ref="D76">_xlfn.LET(
  _xlpm.idx, (ROW()-3)*16 + D$1,
  _xlpm.r, MOD(_xlpm.idx, SpriteCount),
  INDEX(
    sprite_data.asm!$B$3:$Q$156,
    INT(_xlpm.idx / SpriteCount) * 7 + INT(_xlpm.r / 16) + 1,
    MOD(_xlpm.r, 16) + 1
  )
)</f>
        <v>06</v>
      </c>
      <c r="E76" t="str" cm="1">
        <f t="array" ref="E76">_xlfn.LET(
  _xlpm.idx, (ROW()-3)*16 + E$1,
  _xlpm.r, MOD(_xlpm.idx, SpriteCount),
  INDEX(
    sprite_data.asm!$B$3:$Q$156,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sprite_data.asm!$B$3:$Q$156,
    INT(_xlpm.idx / SpriteCount) * 7 + INT(_xlpm.r / 16) + 1,
    MOD(_xlpm.r, 16) + 1
  )
)</f>
        <v>00</v>
      </c>
      <c r="G76" t="str" cm="1">
        <f t="array" ref="G76">_xlfn.LET(
  _xlpm.idx, (ROW()-3)*16 + G$1,
  _xlpm.r, MOD(_xlpm.idx, SpriteCount),
  INDEX(
    sprite_data.asm!$B$3:$Q$156,
    INT(_xlpm.idx / SpriteCount) * 7 + INT(_xlpm.r / 16) + 1,
    MOD(_xlpm.r, 16) + 1
  )
)</f>
        <v>02</v>
      </c>
      <c r="H76" t="str" cm="1">
        <f t="array" ref="H76">_xlfn.LET(
  _xlpm.idx, (ROW()-3)*16 + H$1,
  _xlpm.r, MOD(_xlpm.idx, SpriteCount),
  INDEX(
    sprite_data.asm!$B$3:$Q$156,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sprite_data.asm!$B$3:$Q$156,
    INT(_xlpm.idx / SpriteCount) * 7 + INT(_xlpm.r / 16) + 1,
    MOD(_xlpm.r, 16) + 1
  )
)</f>
        <v>00</v>
      </c>
      <c r="J76" t="str" cm="1">
        <f t="array" ref="J76">_xlfn.LET(
  _xlpm.idx, (ROW()-3)*16 + J$1,
  _xlpm.r, MOD(_xlpm.idx, SpriteCount),
  INDEX(
    sprite_data.asm!$B$3:$Q$156,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sprite_data.asm!$B$3:$Q$156,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sprite_data.asm!$B$3:$Q$156,
    INT(_xlpm.idx / SpriteCount) * 7 + INT(_xlpm.r / 16) + 1,
    MOD(_xlpm.r, 16) + 1
  )
)</f>
        <v>02</v>
      </c>
      <c r="M76" t="str" cm="1">
        <f t="array" ref="M76">_xlfn.LET(
  _xlpm.idx, (ROW()-3)*16 + M$1,
  _xlpm.r, MOD(_xlpm.idx, SpriteCount),
  INDEX(
    sprite_data.asm!$B$3:$Q$156,
    INT(_xlpm.idx / SpriteCount) * 7 + INT(_xlpm.r / 16) + 1,
    MOD(_xlpm.r, 16) + 1
  )
)</f>
        <v>01</v>
      </c>
      <c r="N76" t="str" cm="1">
        <f t="array" ref="N76">_xlfn.LET(
  _xlpm.idx, (ROW()-3)*16 + N$1,
  _xlpm.r, MOD(_xlpm.idx, SpriteCount),
  INDEX(
    sprite_data.asm!$B$3:$Q$156,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sprite_data.asm!$B$3:$Q$156,
    INT(_xlpm.idx / SpriteCount) * 7 + INT(_xlpm.r / 16) + 1,
    MOD(_xlpm.r, 16) + 1
  )
)</f>
        <v>00</v>
      </c>
      <c r="P76" t="str" cm="1">
        <f t="array" ref="P76">_xlfn.LET(
  _xlpm.idx, (ROW()-3)*16 + P$1,
  _xlpm.r, MOD(_xlpm.idx, SpriteCount),
  INDEX(
    sprite_data.asm!$B$3:$Q$156,
    INT(_xlpm.idx / SpriteCount) * 7 + INT(_xlpm.r / 16) + 1,
    MOD(_xlpm.r, 16) + 1
  )
)</f>
        <v>05</v>
      </c>
      <c r="Q76" t="str" cm="1">
        <f t="array" ref="Q76">_xlfn.LET(
  _xlpm.idx, (ROW()-3)*16 + Q$1,
  _xlpm.r, MOD(_xlpm.idx, SpriteCount),
  INDEX(
    sprite_data.asm!$B$3:$Q$156,
    INT(_xlpm.idx / SpriteCount) * 7 + INT(_xlpm.r / 16) + 1,
    MOD(_xlpm.r, 16) + 1
  )
)</f>
        <v>00</v>
      </c>
      <c r="R76" t="str" cm="1">
        <f t="array" ref="R76">_xlfn.LET(
  _xlpm.idx, (ROW()-3)*16 + R$1,
  _xlpm.r, MOD(_xlpm.idx, SpriteCount),
  INDEX(
    sprite_data.asm!$B$3:$Q$156,
    INT(_xlpm.idx / SpriteCount) * 7 + INT(_xlpm.r / 16) + 1,
    MOD(_xlpm.r, 16) + 1
  )
)</f>
        <v>02</v>
      </c>
    </row>
    <row r="77" spans="1:18" x14ac:dyDescent="0.45">
      <c r="A77">
        <f t="shared" si="8"/>
        <v>45472</v>
      </c>
      <c r="B77" s="32" t="str">
        <f t="shared" si="9"/>
        <v>B1A0</v>
      </c>
      <c r="C77" t="str" cm="1">
        <f t="array" ref="C77">_xlfn.LET(
  _xlpm.idx, (ROW()-3)*16 + C$1,
  _xlpm.r, MOD(_xlpm.idx, SpriteCount),
  INDEX(
    sprite_data.asm!$B$3:$Q$156,
    INT(_xlpm.idx / SpriteCount) * 7 + INT(_xlpm.r / 16) + 1,
    MOD(_xlpm.r, 16) + 1
  )
)</f>
        <v>04</v>
      </c>
      <c r="D77" t="str" cm="1">
        <f t="array" ref="D77">_xlfn.LET(
  _xlpm.idx, (ROW()-3)*16 + D$1,
  _xlpm.r, MOD(_xlpm.idx, SpriteCount),
  INDEX(
    sprite_data.asm!$B$3:$Q$156,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sprite_data.asm!$B$3:$Q$156,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sprite_data.asm!$B$3:$Q$156,
    INT(_xlpm.idx / SpriteCount) * 7 + INT(_xlpm.r / 16) + 1,
    MOD(_xlpm.r, 16) + 1
  )
)</f>
        <v>01</v>
      </c>
      <c r="G77" t="str" cm="1">
        <f t="array" ref="G77">_xlfn.LET(
  _xlpm.idx, (ROW()-3)*16 + G$1,
  _xlpm.r, MOD(_xlpm.idx, SpriteCount),
  INDEX(
    sprite_data.asm!$B$3:$Q$156,
    INT(_xlpm.idx / SpriteCount) * 7 + INT(_xlpm.r / 16) + 1,
    MOD(_xlpm.r, 16) + 1
  )
)</f>
        <v>04</v>
      </c>
      <c r="H77" t="str" cm="1">
        <f t="array" ref="H77">_xlfn.LET(
  _xlpm.idx, (ROW()-3)*16 + H$1,
  _xlpm.r, MOD(_xlpm.idx, SpriteCount),
  INDEX(
    sprite_data.asm!$B$3:$Q$156,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sprite_data.asm!$B$3:$Q$156,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sprite_data.asm!$B$3:$Q$156,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sprite_data.asm!$B$3:$Q$156,
    INT(_xlpm.idx / SpriteCount) * 7 + INT(_xlpm.r / 16) + 1,
    MOD(_xlpm.r, 16) + 1
  )
)</f>
        <v>00</v>
      </c>
      <c r="L77" t="str" cm="1">
        <f t="array" ref="L77">_xlfn.LET(
  _xlpm.idx, (ROW()-3)*16 + L$1,
  _xlpm.r, MOD(_xlpm.idx, SpriteCount),
  INDEX(
    sprite_data.asm!$B$3:$Q$156,
    INT(_xlpm.idx / SpriteCount) * 7 + INT(_xlpm.r / 16) + 1,
    MOD(_xlpm.r, 16) + 1
  )
)</f>
        <v>01</v>
      </c>
      <c r="M77" t="str" cm="1">
        <f t="array" ref="M77">_xlfn.LET(
  _xlpm.idx, (ROW()-3)*16 + M$1,
  _xlpm.r, MOD(_xlpm.idx, SpriteCount),
  INDEX(
    sprite_data.asm!$B$3:$Q$156,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sprite_data.asm!$B$3:$Q$156,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sprite_data.asm!$B$3:$Q$156,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sprite_data.asm!$B$3:$Q$156,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sprite_data.asm!$B$3:$Q$156,
    INT(_xlpm.idx / SpriteCount) * 7 + INT(_xlpm.r / 16) + 1,
    MOD(_xlpm.r, 16) + 1
  )
)</f>
        <v>00</v>
      </c>
      <c r="R77" t="str" cm="1">
        <f t="array" ref="R77">_xlfn.LET(
  _xlpm.idx, (ROW()-3)*16 + R$1,
  _xlpm.r, MOD(_xlpm.idx, SpriteCount),
  INDEX(
    sprite_data.asm!$B$3:$Q$156,
    INT(_xlpm.idx / SpriteCount) * 7 + INT(_xlpm.r / 16) + 1,
    MOD(_xlpm.r, 16) + 1
  )
)</f>
        <v>00</v>
      </c>
    </row>
    <row r="78" spans="1:18" x14ac:dyDescent="0.45">
      <c r="A78">
        <f t="shared" si="8"/>
        <v>45488</v>
      </c>
      <c r="B78" s="32" t="str">
        <f t="shared" si="9"/>
        <v>B1B0</v>
      </c>
      <c r="C78" t="str" cm="1">
        <f t="array" ref="C78">_xlfn.LET(
  _xlpm.idx, (ROW()-3)*16 + C$1,
  _xlpm.r, MOD(_xlpm.idx, SpriteCount),
  INDEX(
    sprite_data.asm!$B$3:$Q$156,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sprite_data.asm!$B$3:$Q$156,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sprite_data.asm!$B$3:$Q$156,
    INT(_xlpm.idx / SpriteCount) * 7 + INT(_xlpm.r / 16) + 1,
    MOD(_xlpm.r, 16) + 1
  )
)</f>
        <v>00</v>
      </c>
      <c r="F78" t="str" cm="1">
        <f t="array" ref="F78">_xlfn.LET(
  _xlpm.idx, (ROW()-3)*16 + F$1,
  _xlpm.r, MOD(_xlpm.idx, SpriteCount),
  INDEX(
    sprite_data.asm!$B$3:$Q$156,
    INT(_xlpm.idx / SpriteCount) * 7 + INT(_xlpm.r / 16) + 1,
    MOD(_xlpm.r, 16) + 1
  )
)</f>
        <v>01</v>
      </c>
      <c r="G78" t="str" cm="1">
        <f t="array" ref="G78">_xlfn.LET(
  _xlpm.idx, (ROW()-3)*16 + G$1,
  _xlpm.r, MOD(_xlpm.idx, SpriteCount),
  INDEX(
    sprite_data.asm!$B$3:$Q$156,
    INT(_xlpm.idx / SpriteCount) * 7 + INT(_xlpm.r / 16) + 1,
    MOD(_xlpm.r, 16) + 1
  )
)</f>
        <v>00</v>
      </c>
      <c r="H78" t="str" cm="1">
        <f t="array" ref="H78">_xlfn.LET(
  _xlpm.idx, (ROW()-3)*16 + H$1,
  _xlpm.r, MOD(_xlpm.idx, SpriteCount),
  INDEX(
    sprite_data.asm!$B$3:$Q$156,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sprite_data.asm!$B$3:$Q$156,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sprite_data.asm!$B$3:$Q$156,
    INT(_xlpm.idx / SpriteCount) * 7 + INT(_xlpm.r / 16) + 1,
    MOD(_xlpm.r, 16) + 1
  )
)</f>
        <v>01</v>
      </c>
      <c r="K78" t="str" cm="1">
        <f t="array" ref="K78">_xlfn.LET(
  _xlpm.idx, (ROW()-3)*16 + K$1,
  _xlpm.r, MOD(_xlpm.idx, SpriteCount),
  INDEX(
    sprite_data.asm!$B$3:$Q$156,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sprite_data.asm!$B$3:$Q$156,
    INT(_xlpm.idx / SpriteCount) * 7 + INT(_xlpm.r / 16) + 1,
    MOD(_xlpm.r, 16) + 1
  )
)</f>
        <v>00</v>
      </c>
      <c r="M78" t="str" cm="1">
        <f t="array" ref="M78">_xlfn.LET(
  _xlpm.idx, (ROW()-3)*16 + M$1,
  _xlpm.r, MOD(_xlpm.idx, SpriteCount),
  INDEX(
    sprite_data.asm!$B$3:$Q$156,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sprite_data.asm!$B$3:$Q$156,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sprite_data.asm!$B$3:$Q$156,
    INT(_xlpm.idx / SpriteCount) * 7 + INT(_xlpm.r / 16) + 1,
    MOD(_xlpm.r, 16) + 1
  )
)</f>
        <v>01</v>
      </c>
      <c r="P78" t="str" cm="1">
        <f t="array" ref="P78">_xlfn.LET(
  _xlpm.idx, (ROW()-3)*16 + P$1,
  _xlpm.r, MOD(_xlpm.idx, SpriteCount),
  INDEX(
    sprite_data.asm!$B$3:$Q$156,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sprite_data.asm!$B$3:$Q$156,
    INT(_xlpm.idx / SpriteCount) * 7 + INT(_xlpm.r / 16) + 1,
    MOD(_xlpm.r, 16) + 1
  )
)</f>
        <v>00</v>
      </c>
      <c r="R78" t="str" cm="1">
        <f t="array" ref="R78">_xlfn.LET(
  _xlpm.idx, (ROW()-3)*16 + R$1,
  _xlpm.r, MOD(_xlpm.idx, SpriteCount),
  INDEX(
    sprite_data.asm!$B$3:$Q$156,
    INT(_xlpm.idx / SpriteCount) * 7 + INT(_xlpm.r / 16) + 1,
    MOD(_xlpm.r, 16) + 1
  )
)</f>
        <v>00</v>
      </c>
    </row>
    <row r="79" spans="1:18" x14ac:dyDescent="0.45">
      <c r="A79">
        <f t="shared" si="8"/>
        <v>45504</v>
      </c>
      <c r="B79" s="32" t="str">
        <f t="shared" si="9"/>
        <v>B1C0</v>
      </c>
      <c r="C79" t="str" cm="1">
        <f t="array" ref="C79">_xlfn.LET(
  _xlpm.idx, (ROW()-3)*16 + C$1,
  _xlpm.r, MOD(_xlpm.idx, SpriteCount),
  INDEX(
    sprite_data.asm!$B$3:$Q$156,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sprite_data.asm!$B$3:$Q$156,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sprite_data.asm!$B$3:$Q$156,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sprite_data.asm!$B$3:$Q$156,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sprite_data.asm!$B$3:$Q$156,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sprite_data.asm!$B$3:$Q$156,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sprite_data.asm!$B$3:$Q$156,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sprite_data.asm!$B$3:$Q$156,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sprite_data.asm!$B$3:$Q$156,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sprite_data.asm!$B$3:$Q$156,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sprite_data.asm!$B$3:$Q$156,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sprite_data.asm!$B$3:$Q$156,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sprite_data.asm!$B$3:$Q$156,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sprite_data.asm!$B$3:$Q$156,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sprite_data.asm!$B$3:$Q$156,
    INT(_xlpm.idx / SpriteCount) * 7 + INT(_xlpm.r / 16) + 1,
    MOD(_xlpm.r, 16) + 1
  )
)</f>
        <v>00</v>
      </c>
      <c r="R79" t="str" cm="1">
        <f t="array" ref="R79">_xlfn.LET(
  _xlpm.idx, (ROW()-3)*16 + R$1,
  _xlpm.r, MOD(_xlpm.idx, SpriteCount),
  INDEX(
    sprite_data.asm!$B$3:$Q$156,
    INT(_xlpm.idx / SpriteCount) * 7 + INT(_xlpm.r / 16) + 1,
    MOD(_xlpm.r, 16) + 1
  )
)</f>
        <v>00</v>
      </c>
    </row>
    <row r="80" spans="1:18" x14ac:dyDescent="0.45">
      <c r="A80">
        <f t="shared" si="8"/>
        <v>45520</v>
      </c>
      <c r="B80" s="32" t="str">
        <f t="shared" si="9"/>
        <v>B1D0</v>
      </c>
      <c r="C80" t="str" cm="1">
        <f t="array" ref="C80">_xlfn.LET(
  _xlpm.idx, (ROW()-3)*16 + C$1,
  _xlpm.r, MOD(_xlpm.idx, SpriteCount),
  INDEX(
    sprite_data.asm!$B$3:$Q$156,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sprite_data.asm!$B$3:$Q$156,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sprite_data.asm!$B$3:$Q$156,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sprite_data.asm!$B$3:$Q$156,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sprite_data.asm!$B$3:$Q$156,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sprite_data.asm!$B$3:$Q$156,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sprite_data.asm!$B$3:$Q$156,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sprite_data.asm!$B$3:$Q$156,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sprite_data.asm!$B$3:$Q$156,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sprite_data.asm!$B$3:$Q$156,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sprite_data.asm!$B$3:$Q$156,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sprite_data.asm!$B$3:$Q$156,
    INT(_xlpm.idx / SpriteCount) * 7 + INT(_xlpm.r / 16) + 1,
    MOD(_xlpm.r, 16) + 1
  )
)</f>
        <v>00</v>
      </c>
      <c r="O80" t="str" cm="1">
        <f t="array" ref="O80">_xlfn.LET(
  _xlpm.idx, (ROW()-3)*16 + O$1,
  _xlpm.r, MOD(_xlpm.idx, SpriteCount),
  INDEX(
    sprite_data.asm!$B$3:$Q$156,
    INT(_xlpm.idx / SpriteCount) * 7 + INT(_xlpm.r / 16) + 1,
    MOD(_xlpm.r, 16) + 1
  )
)</f>
        <v>02</v>
      </c>
      <c r="P80" t="str" cm="1">
        <f t="array" ref="P80">_xlfn.LET(
  _xlpm.idx, (ROW()-3)*16 + P$1,
  _xlpm.r, MOD(_xlpm.idx, SpriteCount),
  INDEX(
    sprite_data.asm!$B$3:$Q$156,
    INT(_xlpm.idx / SpriteCount) * 7 + INT(_xlpm.r / 16) + 1,
    MOD(_xlpm.r, 16) + 1
  )
)</f>
        <v>00</v>
      </c>
      <c r="Q80" t="str" cm="1">
        <f t="array" ref="Q80">_xlfn.LET(
  _xlpm.idx, (ROW()-3)*16 + Q$1,
  _xlpm.r, MOD(_xlpm.idx, SpriteCount),
  INDEX(
    sprite_data.asm!$B$3:$Q$156,
    INT(_xlpm.idx / SpriteCount) * 7 + INT(_xlpm.r / 16) + 1,
    MOD(_xlpm.r, 16) + 1
  )
)</f>
        <v>08</v>
      </c>
      <c r="R80" t="str" cm="1">
        <f t="array" ref="R80">_xlfn.LET(
  _xlpm.idx, (ROW()-3)*16 + R$1,
  _xlpm.r, MOD(_xlpm.idx, SpriteCount),
  INDEX(
    sprite_data.asm!$B$3:$Q$156,
    INT(_xlpm.idx / SpriteCount) * 7 + INT(_xlpm.r / 16) + 1,
    MOD(_xlpm.r, 16) + 1
  )
)</f>
        <v>20</v>
      </c>
    </row>
    <row r="81" spans="1:18" x14ac:dyDescent="0.45">
      <c r="A81">
        <f t="shared" si="8"/>
        <v>45536</v>
      </c>
      <c r="B81" s="32" t="str">
        <f t="shared" si="9"/>
        <v>B1E0</v>
      </c>
      <c r="C81" t="str" cm="1">
        <f t="array" ref="C81">_xlfn.LET(
  _xlpm.idx, (ROW()-3)*16 + C$1,
  _xlpm.r, MOD(_xlpm.idx, SpriteCount),
  INDEX(
    sprite_data.asm!$B$3:$Q$156,
    INT(_xlpm.idx / SpriteCount) * 7 + INT(_xlpm.r / 16) + 1,
    MOD(_xlpm.r, 16) + 1
  )
)</f>
        <v>00</v>
      </c>
      <c r="D81" t="str" cm="1">
        <f t="array" ref="D81">_xlfn.LET(
  _xlpm.idx, (ROW()-3)*16 + D$1,
  _xlpm.r, MOD(_xlpm.idx, SpriteCount),
  INDEX(
    sprite_data.asm!$B$3:$Q$156,
    INT(_xlpm.idx / SpriteCount) * 7 + INT(_xlpm.r / 16) + 1,
    MOD(_xlpm.r, 16) + 1
  )
)</f>
        <v>51</v>
      </c>
      <c r="E81" t="str" cm="1">
        <f t="array" ref="E81">_xlfn.LET(
  _xlpm.idx, (ROW()-3)*16 + E$1,
  _xlpm.r, MOD(_xlpm.idx, SpriteCount),
  INDEX(
    sprite_data.asm!$B$3:$Q$156,
    INT(_xlpm.idx / SpriteCount) * 7 + INT(_xlpm.r / 16) + 1,
    MOD(_xlpm.r, 16) + 1
  )
)</f>
        <v>55</v>
      </c>
      <c r="F81" t="str" cm="1">
        <f t="array" ref="F81">_xlfn.LET(
  _xlpm.idx, (ROW()-3)*16 + F$1,
  _xlpm.r, MOD(_xlpm.idx, SpriteCount),
  INDEX(
    sprite_data.asm!$B$3:$Q$156,
    INT(_xlpm.idx / SpriteCount) * 7 + INT(_xlpm.r / 16) + 1,
    MOD(_xlpm.r, 16) + 1
  )
)</f>
        <v>06</v>
      </c>
      <c r="G81" t="str" cm="1">
        <f t="array" ref="G81">_xlfn.LET(
  _xlpm.idx, (ROW()-3)*16 + G$1,
  _xlpm.r, MOD(_xlpm.idx, SpriteCount),
  INDEX(
    sprite_data.asm!$B$3:$Q$156,
    INT(_xlpm.idx / SpriteCount) * 7 + INT(_xlpm.r / 16) + 1,
    MOD(_xlpm.r, 16) + 1
  )
)</f>
        <v>00</v>
      </c>
      <c r="H81" t="str" cm="1">
        <f t="array" ref="H81">_xlfn.LET(
  _xlpm.idx, (ROW()-3)*16 + H$1,
  _xlpm.r, MOD(_xlpm.idx, SpriteCount),
  INDEX(
    sprite_data.asm!$B$3:$Q$156,
    INT(_xlpm.idx / SpriteCount) * 7 + INT(_xlpm.r / 16) + 1,
    MOD(_xlpm.r, 16) + 1
  )
)</f>
        <v>30</v>
      </c>
      <c r="I81" t="str" cm="1">
        <f t="array" ref="I81">_xlfn.LET(
  _xlpm.idx, (ROW()-3)*16 + I$1,
  _xlpm.r, MOD(_xlpm.idx, SpriteCount),
  INDEX(
    sprite_data.asm!$B$3:$Q$156,
    INT(_xlpm.idx / SpriteCount) * 7 + INT(_xlpm.r / 16) + 1,
    MOD(_xlpm.r, 16) + 1
  )
)</f>
        <v>00</v>
      </c>
      <c r="J81" t="str" cm="1">
        <f t="array" ref="J81">_xlfn.LET(
  _xlpm.idx, (ROW()-3)*16 + J$1,
  _xlpm.r, MOD(_xlpm.idx, SpriteCount),
  INDEX(
    sprite_data.asm!$B$3:$Q$156,
    INT(_xlpm.idx / SpriteCount) * 7 + INT(_xlpm.r / 16) + 1,
    MOD(_xlpm.r, 16) + 1
  )
)</f>
        <v>28</v>
      </c>
      <c r="K81" t="str" cm="1">
        <f t="array" ref="K81">_xlfn.LET(
  _xlpm.idx, (ROW()-3)*16 + K$1,
  _xlpm.r, MOD(_xlpm.idx, SpriteCount),
  INDEX(
    sprite_data.asm!$B$3:$Q$156,
    INT(_xlpm.idx / SpriteCount) * 7 + INT(_xlpm.r / 16) + 1,
    MOD(_xlpm.r, 16) + 1
  )
)</f>
        <v>60</v>
      </c>
      <c r="L81" t="str" cm="1">
        <f t="array" ref="L81">_xlfn.LET(
  _xlpm.idx, (ROW()-3)*16 + L$1,
  _xlpm.r, MOD(_xlpm.idx, SpriteCount),
  INDEX(
    sprite_data.asm!$B$3:$Q$156,
    INT(_xlpm.idx / SpriteCount) * 7 + INT(_xlpm.r / 16) + 1,
    MOD(_xlpm.r, 16) + 1
  )
)</f>
        <v>30</v>
      </c>
      <c r="M81" t="str" cm="1">
        <f t="array" ref="M81">_xlfn.LET(
  _xlpm.idx, (ROW()-3)*16 + M$1,
  _xlpm.r, MOD(_xlpm.idx, SpriteCount),
  INDEX(
    sprite_data.asm!$B$3:$Q$156,
    INT(_xlpm.idx / SpriteCount) * 7 + INT(_xlpm.r / 16) + 1,
    MOD(_xlpm.r, 16) + 1
  )
)</f>
        <v>7F</v>
      </c>
      <c r="N81" t="str" cm="1">
        <f t="array" ref="N81">_xlfn.LET(
  _xlpm.idx, (ROW()-3)*16 + N$1,
  _xlpm.r, MOD(_xlpm.idx, SpriteCount),
  INDEX(
    sprite_data.asm!$B$3:$Q$156,
    INT(_xlpm.idx / SpriteCount) * 7 + INT(_xlpm.r / 16) + 1,
    MOD(_xlpm.r, 16) + 1
  )
)</f>
        <v>30</v>
      </c>
      <c r="O81" t="str" cm="1">
        <f t="array" ref="O81">_xlfn.LET(
  _xlpm.idx, (ROW()-3)*16 + O$1,
  _xlpm.r, MOD(_xlpm.idx, SpriteCount),
  INDEX(
    sprite_data.asm!$B$3:$Q$156,
    INT(_xlpm.idx / SpriteCount) * 7 + INT(_xlpm.r / 16) + 1,
    MOD(_xlpm.r, 16) + 1
  )
)</f>
        <v>7B</v>
      </c>
      <c r="P81" t="str" cm="1">
        <f t="array" ref="P81">_xlfn.LET(
  _xlpm.idx, (ROW()-3)*16 + P$1,
  _xlpm.r, MOD(_xlpm.idx, SpriteCount),
  INDEX(
    sprite_data.asm!$B$3:$Q$156,
    INT(_xlpm.idx / SpriteCount) * 7 + INT(_xlpm.r / 16) + 1,
    MOD(_xlpm.r, 16) + 1
  )
)</f>
        <v>18</v>
      </c>
      <c r="Q81" t="str" cm="1">
        <f t="array" ref="Q81">_xlfn.LET(
  _xlpm.idx, (ROW()-3)*16 + Q$1,
  _xlpm.r, MOD(_xlpm.idx, SpriteCount),
  INDEX(
    sprite_data.asm!$B$3:$Q$156,
    INT(_xlpm.idx / SpriteCount) * 7 + INT(_xlpm.r / 16) + 1,
    MOD(_xlpm.r, 16) + 1
  )
)</f>
        <v>70</v>
      </c>
      <c r="R81" t="str" cm="1">
        <f t="array" ref="R81">_xlfn.LET(
  _xlpm.idx, (ROW()-3)*16 + R$1,
  _xlpm.r, MOD(_xlpm.idx, SpriteCount),
  INDEX(
    sprite_data.asm!$B$3:$Q$156,
    INT(_xlpm.idx / SpriteCount) * 7 + INT(_xlpm.r / 16) + 1,
    MOD(_xlpm.r, 16) + 1
  )
)</f>
        <v>42</v>
      </c>
    </row>
    <row r="82" spans="1:18" x14ac:dyDescent="0.45">
      <c r="A82">
        <f t="shared" si="8"/>
        <v>45552</v>
      </c>
      <c r="B82" s="32" t="str">
        <f t="shared" si="9"/>
        <v>B1F0</v>
      </c>
      <c r="C82" t="str" cm="1">
        <f t="array" ref="C82">_xlfn.LET(
  _xlpm.idx, (ROW()-3)*16 + C$1,
  _xlpm.r, MOD(_xlpm.idx, SpriteCount),
  INDEX(
    sprite_data.asm!$B$3:$Q$156,
    INT(_xlpm.idx / SpriteCount) * 7 + INT(_xlpm.r / 16) + 1,
    MOD(_xlpm.r, 16) + 1
  )
)</f>
        <v>78</v>
      </c>
      <c r="D82" t="str" cm="1">
        <f t="array" ref="D82">_xlfn.LET(
  _xlpm.idx, (ROW()-3)*16 + D$1,
  _xlpm.r, MOD(_xlpm.idx, SpriteCount),
  INDEX(
    sprite_data.asm!$B$3:$Q$156,
    INT(_xlpm.idx / SpriteCount) * 7 + INT(_xlpm.r / 16) + 1,
    MOD(_xlpm.r, 16) + 1
  )
)</f>
        <v>60</v>
      </c>
      <c r="E82" t="str" cm="1">
        <f t="array" ref="E82">_xlfn.LET(
  _xlpm.idx, (ROW()-3)*16 + E$1,
  _xlpm.r, MOD(_xlpm.idx, SpriteCount),
  INDEX(
    sprite_data.asm!$B$3:$Q$156,
    INT(_xlpm.idx / SpriteCount) * 7 + INT(_xlpm.r / 16) + 1,
    MOD(_xlpm.r, 16) + 1
  )
)</f>
        <v>38</v>
      </c>
      <c r="F82" t="str" cm="1">
        <f t="array" ref="F82">_xlfn.LET(
  _xlpm.idx, (ROW()-3)*16 + F$1,
  _xlpm.r, MOD(_xlpm.idx, SpriteCount),
  INDEX(
    sprite_data.asm!$B$3:$Q$156,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sprite_data.asm!$B$3:$Q$156,
    INT(_xlpm.idx / SpriteCount) * 7 + INT(_xlpm.r / 16) + 1,
    MOD(_xlpm.r, 16) + 1
  )
)</f>
        <v>78</v>
      </c>
      <c r="H82" t="str" cm="1">
        <f t="array" ref="H82">_xlfn.LET(
  _xlpm.idx, (ROW()-3)*16 + H$1,
  _xlpm.r, MOD(_xlpm.idx, SpriteCount),
  INDEX(
    sprite_data.asm!$B$3:$Q$156,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sprite_data.asm!$B$3:$Q$156,
    INT(_xlpm.idx / SpriteCount) * 7 + INT(_xlpm.r / 16) + 1,
    MOD(_xlpm.r, 16) + 1
  )
)</f>
        <v>18</v>
      </c>
      <c r="J82" t="str" cm="1">
        <f t="array" ref="J82">_xlfn.LET(
  _xlpm.idx, (ROW()-3)*16 + J$1,
  _xlpm.r, MOD(_xlpm.idx, SpriteCount),
  INDEX(
    sprite_data.asm!$B$3:$Q$156,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sprite_data.asm!$B$3:$Q$156,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sprite_data.asm!$B$3:$Q$156,
    INT(_xlpm.idx / SpriteCount) * 7 + INT(_xlpm.r / 16) + 1,
    MOD(_xlpm.r, 16) + 1
  )
)</f>
        <v>60</v>
      </c>
      <c r="M82" t="str" cm="1">
        <f t="array" ref="M82">_xlfn.LET(
  _xlpm.idx, (ROW()-3)*16 + M$1,
  _xlpm.r, MOD(_xlpm.idx, SpriteCount),
  INDEX(
    sprite_data.asm!$B$3:$Q$156,
    INT(_xlpm.idx / SpriteCount) * 7 + INT(_xlpm.r / 16) + 1,
    MOD(_xlpm.r, 16) + 1
  )
)</f>
        <v>18</v>
      </c>
      <c r="N82" t="str" cm="1">
        <f t="array" ref="N82">_xlfn.LET(
  _xlpm.idx, (ROW()-3)*16 + N$1,
  _xlpm.r, MOD(_xlpm.idx, SpriteCount),
  INDEX(
    sprite_data.asm!$B$3:$Q$156,
    INT(_xlpm.idx / SpriteCount) * 7 + INT(_xlpm.r / 16) + 1,
    MOD(_xlpm.r, 16) + 1
  )
)</f>
        <v>10</v>
      </c>
      <c r="O82" t="str" cm="1">
        <f t="array" ref="O82">_xlfn.LET(
  _xlpm.idx, (ROW()-3)*16 + O$1,
  _xlpm.r, MOD(_xlpm.idx, SpriteCount),
  INDEX(
    sprite_data.asm!$B$3:$Q$156,
    INT(_xlpm.idx / SpriteCount) * 7 + INT(_xlpm.r / 16) + 1,
    MOD(_xlpm.r, 16) + 1
  )
)</f>
        <v>01</v>
      </c>
      <c r="P82" t="str" cm="1">
        <f t="array" ref="P82">_xlfn.LET(
  _xlpm.idx, (ROW()-3)*16 + P$1,
  _xlpm.r, MOD(_xlpm.idx, SpriteCount),
  INDEX(
    sprite_data.asm!$B$3:$Q$156,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sprite_data.asm!$B$3:$Q$156,
    INT(_xlpm.idx / SpriteCount) * 7 + INT(_xlpm.r / 16) + 1,
    MOD(_xlpm.r, 16) + 1
  )
)</f>
        <v>00</v>
      </c>
      <c r="R82" t="str" cm="1">
        <f t="array" ref="R82">_xlfn.LET(
  _xlpm.idx, (ROW()-3)*16 + R$1,
  _xlpm.r, MOD(_xlpm.idx, SpriteCount),
  INDEX(
    sprite_data.asm!$B$3:$Q$156,
    INT(_xlpm.idx / SpriteCount) * 7 + INT(_xlpm.r / 16) + 1,
    MOD(_xlpm.r, 16) + 1
  )
)</f>
        <v>51</v>
      </c>
    </row>
    <row r="83" spans="1:18" x14ac:dyDescent="0.45">
      <c r="A83">
        <f t="shared" si="8"/>
        <v>45568</v>
      </c>
      <c r="B83" s="32" t="str">
        <f t="shared" si="9"/>
        <v>B200</v>
      </c>
      <c r="C83" t="str" cm="1">
        <f t="array" ref="C83">_xlfn.LET(
  _xlpm.idx, (ROW()-3)*16 + C$1,
  _xlpm.r, MOD(_xlpm.idx, SpriteCount),
  INDEX(
    sprite_data.asm!$B$3:$Q$156,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sprite_data.asm!$B$3:$Q$156,
    INT(_xlpm.idx / SpriteCount) * 7 + INT(_xlpm.r / 16) + 1,
    MOD(_xlpm.r, 16) + 1
  )
)</f>
        <v>51</v>
      </c>
      <c r="E83" t="str" cm="1">
        <f t="array" ref="E83">_xlfn.LET(
  _xlpm.idx, (ROW()-3)*16 + E$1,
  _xlpm.r, MOD(_xlpm.idx, SpriteCount),
  INDEX(
    sprite_data.asm!$B$3:$Q$156,
    INT(_xlpm.idx / SpriteCount) * 7 + INT(_xlpm.r / 16) + 1,
    MOD(_xlpm.r, 16) + 1
  )
)</f>
        <v>00</v>
      </c>
      <c r="F83" t="str" cm="1">
        <f t="array" ref="F83">_xlfn.LET(
  _xlpm.idx, (ROW()-3)*16 + F$1,
  _xlpm.r, MOD(_xlpm.idx, SpriteCount),
  INDEX(
    sprite_data.asm!$B$3:$Q$156,
    INT(_xlpm.idx / SpriteCount) * 7 + INT(_xlpm.r / 16) + 1,
    MOD(_xlpm.r, 16) + 1
  )
)</f>
        <v>20</v>
      </c>
      <c r="G83" t="str" cm="1">
        <f t="array" ref="G83">_xlfn.LET(
  _xlpm.idx, (ROW()-3)*16 + G$1,
  _xlpm.r, MOD(_xlpm.idx, SpriteCount),
  INDEX(
    sprite_data.asm!$B$3:$Q$156,
    INT(_xlpm.idx / SpriteCount) * 7 + INT(_xlpm.r / 16) + 1,
    MOD(_xlpm.r, 16) + 1
  )
)</f>
        <v>00</v>
      </c>
      <c r="H83" t="str" cm="1">
        <f t="array" ref="H83">_xlfn.LET(
  _xlpm.idx, (ROW()-3)*16 + H$1,
  _xlpm.r, MOD(_xlpm.idx, SpriteCount),
  INDEX(
    sprite_data.asm!$B$3:$Q$156,
    INT(_xlpm.idx / SpriteCount) * 7 + INT(_xlpm.r / 16) + 1,
    MOD(_xlpm.r, 16) + 1
  )
)</f>
        <v>18</v>
      </c>
      <c r="I83" t="str" cm="1">
        <f t="array" ref="I83">_xlfn.LET(
  _xlpm.idx, (ROW()-3)*16 + I$1,
  _xlpm.r, MOD(_xlpm.idx, SpriteCount),
  INDEX(
    sprite_data.asm!$B$3:$Q$156,
    INT(_xlpm.idx / SpriteCount) * 7 + INT(_xlpm.r / 16) + 1,
    MOD(_xlpm.r, 16) + 1
  )
)</f>
        <v>10</v>
      </c>
      <c r="J83" t="str" cm="1">
        <f t="array" ref="J83">_xlfn.LET(
  _xlpm.idx, (ROW()-3)*16 + J$1,
  _xlpm.r, MOD(_xlpm.idx, SpriteCount),
  INDEX(
    sprite_data.asm!$B$3:$Q$156,
    INT(_xlpm.idx / SpriteCount) * 7 + INT(_xlpm.r / 16) + 1,
    MOD(_xlpm.r, 16) + 1
  )
)</f>
        <v>05</v>
      </c>
      <c r="K83" t="str" cm="1">
        <f t="array" ref="K83">_xlfn.LET(
  _xlpm.idx, (ROW()-3)*16 + K$1,
  _xlpm.r, MOD(_xlpm.idx, SpriteCount),
  INDEX(
    sprite_data.asm!$B$3:$Q$156,
    INT(_xlpm.idx / SpriteCount) * 7 + INT(_xlpm.r / 16) + 1,
    MOD(_xlpm.r, 16) + 1
  )
)</f>
        <v>30</v>
      </c>
      <c r="L83" t="str" cm="1">
        <f t="array" ref="L83">_xlfn.LET(
  _xlpm.idx, (ROW()-3)*16 + L$1,
  _xlpm.r, MOD(_xlpm.idx, SpriteCount),
  INDEX(
    sprite_data.asm!$B$3:$Q$156,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sprite_data.asm!$B$3:$Q$156,
    INT(_xlpm.idx / SpriteCount) * 7 + INT(_xlpm.r / 16) + 1,
    MOD(_xlpm.r, 16) + 1
  )
)</f>
        <v>60</v>
      </c>
      <c r="N83" t="str" cm="1">
        <f t="array" ref="N83">_xlfn.LET(
  _xlpm.idx, (ROW()-3)*16 + N$1,
  _xlpm.r, MOD(_xlpm.idx, SpriteCount),
  INDEX(
    sprite_data.asm!$B$3:$Q$156,
    INT(_xlpm.idx / SpriteCount) * 7 + INT(_xlpm.r / 16) + 1,
    MOD(_xlpm.r, 16) + 1
  )
)</f>
        <v>32</v>
      </c>
      <c r="O83" t="str" cm="1">
        <f t="array" ref="O83">_xlfn.LET(
  _xlpm.idx, (ROW()-3)*16 + O$1,
  _xlpm.r, MOD(_xlpm.idx, SpriteCount),
  INDEX(
    sprite_data.asm!$B$3:$Q$156,
    INT(_xlpm.idx / SpriteCount) * 7 + INT(_xlpm.r / 16) + 1,
    MOD(_xlpm.r, 16) + 1
  )
)</f>
        <v>30</v>
      </c>
      <c r="P83" t="str" cm="1">
        <f t="array" ref="P83">_xlfn.LET(
  _xlpm.idx, (ROW()-3)*16 + P$1,
  _xlpm.r, MOD(_xlpm.idx, SpriteCount),
  INDEX(
    sprite_data.asm!$B$3:$Q$156,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sprite_data.asm!$B$3:$Q$156,
    INT(_xlpm.idx / SpriteCount) * 7 + INT(_xlpm.r / 16) + 1,
    MOD(_xlpm.r, 16) + 1
  )
)</f>
        <v>08</v>
      </c>
      <c r="R83" t="str" cm="1">
        <f t="array" ref="R83">_xlfn.LET(
  _xlpm.idx, (ROW()-3)*16 + R$1,
  _xlpm.r, MOD(_xlpm.idx, SpriteCount),
  INDEX(
    sprite_data.asm!$B$3:$Q$156,
    INT(_xlpm.idx / SpriteCount) * 7 + INT(_xlpm.r / 16) + 1,
    MOD(_xlpm.r, 16) + 1
  )
)</f>
        <v>20</v>
      </c>
    </row>
    <row r="84" spans="1:18" x14ac:dyDescent="0.45">
      <c r="A84">
        <f t="shared" si="8"/>
        <v>45584</v>
      </c>
      <c r="B84" s="32" t="str">
        <f t="shared" si="9"/>
        <v>B210</v>
      </c>
      <c r="C84" t="str" cm="1">
        <f t="array" ref="C84">_xlfn.LET(
  _xlpm.idx, (ROW()-3)*16 + C$1,
  _xlpm.r, MOD(_xlpm.idx, SpriteCount),
  INDEX(
    sprite_data.asm!$B$3:$Q$156,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sprite_data.asm!$B$3:$Q$156,
    INT(_xlpm.idx / SpriteCount) * 7 + INT(_xlpm.r / 16) + 1,
    MOD(_xlpm.r, 16) + 1
  )
)</f>
        <v>20</v>
      </c>
      <c r="E84" t="str" cm="1">
        <f t="array" ref="E84">_xlfn.LET(
  _xlpm.idx, (ROW()-3)*16 + E$1,
  _xlpm.r, MOD(_xlpm.idx, SpriteCount),
  INDEX(
    sprite_data.asm!$B$3:$Q$156,
    INT(_xlpm.idx / SpriteCount) * 7 + INT(_xlpm.r / 16) + 1,
    MOD(_xlpm.r, 16) + 1
  )
)</f>
        <v>08</v>
      </c>
      <c r="F84" t="str" cm="1">
        <f t="array" ref="F84">_xlfn.LET(
  _xlpm.idx, (ROW()-3)*16 + F$1,
  _xlpm.r, MOD(_xlpm.idx, SpriteCount),
  INDEX(
    sprite_data.asm!$B$3:$Q$156,
    INT(_xlpm.idx / SpriteCount) * 7 + INT(_xlpm.r / 16) + 1,
    MOD(_xlpm.r, 16) + 1
  )
)</f>
        <v>70</v>
      </c>
      <c r="G84" t="str" cm="1">
        <f t="array" ref="G84">_xlfn.LET(
  _xlpm.idx, (ROW()-3)*16 + G$1,
  _xlpm.r, MOD(_xlpm.idx, SpriteCount),
  INDEX(
    sprite_data.asm!$B$3:$Q$156,
    INT(_xlpm.idx / SpriteCount) * 7 + INT(_xlpm.r / 16) + 1,
    MOD(_xlpm.r, 16) + 1
  )
)</f>
        <v>38</v>
      </c>
      <c r="H84" t="str" cm="1">
        <f t="array" ref="H84">_xlfn.LET(
  _xlpm.idx, (ROW()-3)*16 + H$1,
  _xlpm.r, MOD(_xlpm.idx, SpriteCount),
  INDEX(
    sprite_data.asm!$B$3:$Q$156,
    INT(_xlpm.idx / SpriteCount) * 7 + INT(_xlpm.r / 16) + 1,
    MOD(_xlpm.r, 16) + 1
  )
)</f>
        <v>70</v>
      </c>
      <c r="I84" t="str" cm="1">
        <f t="array" ref="I84">_xlfn.LET(
  _xlpm.idx, (ROW()-3)*16 + I$1,
  _xlpm.r, MOD(_xlpm.idx, SpriteCount),
  INDEX(
    sprite_data.asm!$B$3:$Q$156,
    INT(_xlpm.idx / SpriteCount) * 7 + INT(_xlpm.r / 16) + 1,
    MOD(_xlpm.r, 16) + 1
  )
)</f>
        <v>78</v>
      </c>
      <c r="J84" t="str" cm="1">
        <f t="array" ref="J84">_xlfn.LET(
  _xlpm.idx, (ROW()-3)*16 + J$1,
  _xlpm.r, MOD(_xlpm.idx, SpriteCount),
  INDEX(
    sprite_data.asm!$B$3:$Q$156,
    INT(_xlpm.idx / SpriteCount) * 7 + INT(_xlpm.r / 16) + 1,
    MOD(_xlpm.r, 16) + 1
  )
)</f>
        <v>00</v>
      </c>
      <c r="K84" t="str" cm="1">
        <f t="array" ref="K84">_xlfn.LET(
  _xlpm.idx, (ROW()-3)*16 + K$1,
  _xlpm.r, MOD(_xlpm.idx, SpriteCount),
  INDEX(
    sprite_data.asm!$B$3:$Q$156,
    INT(_xlpm.idx / SpriteCount) * 7 + INT(_xlpm.r / 16) + 1,
    MOD(_xlpm.r, 16) + 1
  )
)</f>
        <v>01</v>
      </c>
      <c r="L84" t="str" cm="1">
        <f t="array" ref="L84">_xlfn.LET(
  _xlpm.idx, (ROW()-3)*16 + L$1,
  _xlpm.r, MOD(_xlpm.idx, SpriteCount),
  INDEX(
    sprite_data.asm!$B$3:$Q$156,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sprite_data.asm!$B$3:$Q$156,
    INT(_xlpm.idx / SpriteCount) * 7 + INT(_xlpm.r / 16) + 1,
    MOD(_xlpm.r, 16) + 1
  )
)</f>
        <v>00</v>
      </c>
      <c r="N84" t="str" cm="1">
        <f t="array" ref="N84">_xlfn.LET(
  _xlpm.idx, (ROW()-3)*16 + N$1,
  _xlpm.r, MOD(_xlpm.idx, SpriteCount),
  INDEX(
    sprite_data.asm!$B$3:$Q$156,
    INT(_xlpm.idx / SpriteCount) * 7 + INT(_xlpm.r / 16) + 1,
    MOD(_xlpm.r, 16) + 1
  )
)</f>
        <v>02</v>
      </c>
      <c r="O84" t="str" cm="1">
        <f t="array" ref="O84">_xlfn.LET(
  _xlpm.idx, (ROW()-3)*16 + O$1,
  _xlpm.r, MOD(_xlpm.idx, SpriteCount),
  INDEX(
    sprite_data.asm!$B$3:$Q$156,
    INT(_xlpm.idx / SpriteCount) * 7 + INT(_xlpm.r / 16) + 1,
    MOD(_xlpm.r, 16) + 1
  )
)</f>
        <v>20</v>
      </c>
      <c r="P84" t="str" cm="1">
        <f t="array" ref="P84">_xlfn.LET(
  _xlpm.idx, (ROW()-3)*16 + P$1,
  _xlpm.r, MOD(_xlpm.idx, SpriteCount),
  INDEX(
    sprite_data.asm!$B$3:$Q$156,
    INT(_xlpm.idx / SpriteCount) * 7 + INT(_xlpm.r / 16) + 1,
    MOD(_xlpm.r, 16) + 1
  )
)</f>
        <v>2A</v>
      </c>
      <c r="Q84" t="str" cm="1">
        <f t="array" ref="Q84">_xlfn.LET(
  _xlpm.idx, (ROW()-3)*16 + Q$1,
  _xlpm.r, MOD(_xlpm.idx, SpriteCount),
  INDEX(
    sprite_data.asm!$B$3:$Q$156,
    INT(_xlpm.idx / SpriteCount) * 7 + INT(_xlpm.r / 16) + 1,
    MOD(_xlpm.r, 16) + 1
  )
)</f>
        <v>28</v>
      </c>
      <c r="R84" t="str" cm="1">
        <f t="array" ref="R84">_xlfn.LET(
  _xlpm.idx, (ROW()-3)*16 + R$1,
  _xlpm.r, MOD(_xlpm.idx, SpriteCount),
  INDEX(
    sprite_data.asm!$B$3:$Q$156,
    INT(_xlpm.idx / SpriteCount) * 7 + INT(_xlpm.r / 16) + 1,
    MOD(_xlpm.r, 16) + 1
  )
)</f>
        <v>2A</v>
      </c>
    </row>
    <row r="85" spans="1:18" x14ac:dyDescent="0.45">
      <c r="A85">
        <f t="shared" si="8"/>
        <v>45600</v>
      </c>
      <c r="B85" s="32" t="str">
        <f t="shared" si="9"/>
        <v>B220</v>
      </c>
      <c r="C85" t="str" cm="1">
        <f t="array" ref="C85">_xlfn.LET(
  _xlpm.idx, (ROW()-3)*16 + C$1,
  _xlpm.r, MOD(_xlpm.idx, SpriteCount),
  INDEX(
    sprite_data.asm!$B$3:$Q$156,
    INT(_xlpm.idx / SpriteCount) * 7 + INT(_xlpm.r / 16) + 1,
    MOD(_xlpm.r, 16) + 1
  )
)</f>
        <v>2A</v>
      </c>
      <c r="D85" t="str" cm="1">
        <f t="array" ref="D85">_xlfn.LET(
  _xlpm.idx, (ROW()-3)*16 + D$1,
  _xlpm.r, MOD(_xlpm.idx, SpriteCount),
  INDEX(
    sprite_data.asm!$B$3:$Q$156,
    INT(_xlpm.idx / SpriteCount) * 7 + INT(_xlpm.r / 16) + 1,
    MOD(_xlpm.r, 16) + 1
  )
)</f>
        <v>02</v>
      </c>
      <c r="E85" t="str" cm="1">
        <f t="array" ref="E85">_xlfn.LET(
  _xlpm.idx, (ROW()-3)*16 + E$1,
  _xlpm.r, MOD(_xlpm.idx, SpriteCount),
  INDEX(
    sprite_data.asm!$B$3:$Q$156,
    INT(_xlpm.idx / SpriteCount) * 7 + INT(_xlpm.r / 16) + 1,
    MOD(_xlpm.r, 16) + 1
  )
)</f>
        <v>20</v>
      </c>
      <c r="F85" t="str" cm="1">
        <f t="array" ref="F85">_xlfn.LET(
  _xlpm.idx, (ROW()-3)*16 + F$1,
  _xlpm.r, MOD(_xlpm.idx, SpriteCount),
  INDEX(
    sprite_data.asm!$B$3:$Q$156,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sprite_data.asm!$B$3:$Q$156,
    INT(_xlpm.idx / SpriteCount) * 7 + INT(_xlpm.r / 16) + 1,
    MOD(_xlpm.r, 16) + 1
  )
)</f>
        <v>2A</v>
      </c>
      <c r="H85" t="str" cm="1">
        <f t="array" ref="H85">_xlfn.LET(
  _xlpm.idx, (ROW()-3)*16 + H$1,
  _xlpm.r, MOD(_xlpm.idx, SpriteCount),
  INDEX(
    sprite_data.asm!$B$3:$Q$156,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sprite_data.asm!$B$3:$Q$156,
    INT(_xlpm.idx / SpriteCount) * 7 + INT(_xlpm.r / 16) + 1,
    MOD(_xlpm.r, 16) + 1
  )
)</f>
        <v>55</v>
      </c>
      <c r="J85" t="str" cm="1">
        <f t="array" ref="J85">_xlfn.LET(
  _xlpm.idx, (ROW()-3)*16 + J$1,
  _xlpm.r, MOD(_xlpm.idx, SpriteCount),
  INDEX(
    sprite_data.asm!$B$3:$Q$156,
    INT(_xlpm.idx / SpriteCount) * 7 + INT(_xlpm.r / 16) + 1,
    MOD(_xlpm.r, 16) + 1
  )
)</f>
        <v>01</v>
      </c>
      <c r="K85" t="str" cm="1">
        <f t="array" ref="K85">_xlfn.LET(
  _xlpm.idx, (ROW()-3)*16 + K$1,
  _xlpm.r, MOD(_xlpm.idx, SpriteCount),
  INDEX(
    sprite_data.asm!$B$3:$Q$156,
    INT(_xlpm.idx / SpriteCount) * 7 + INT(_xlpm.r / 16) + 1,
    MOD(_xlpm.r, 16) + 1
  )
)</f>
        <v>41</v>
      </c>
      <c r="L85" t="str" cm="1">
        <f t="array" ref="L85">_xlfn.LET(
  _xlpm.idx, (ROW()-3)*16 + L$1,
  _xlpm.r, MOD(_xlpm.idx, SpriteCount),
  INDEX(
    sprite_data.asm!$B$3:$Q$156,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sprite_data.asm!$B$3:$Q$156,
    INT(_xlpm.idx / SpriteCount) * 7 + INT(_xlpm.r / 16) + 1,
    MOD(_xlpm.r, 16) + 1
  )
)</f>
        <v>15</v>
      </c>
      <c r="N85" t="str" cm="1">
        <f t="array" ref="N85">_xlfn.LET(
  _xlpm.idx, (ROW()-3)*16 + N$1,
  _xlpm.r, MOD(_xlpm.idx, SpriteCount),
  INDEX(
    sprite_data.asm!$B$3:$Q$156,
    INT(_xlpm.idx / SpriteCount) * 7 + INT(_xlpm.r / 16) + 1,
    MOD(_xlpm.r, 16) + 1
  )
)</f>
        <v>01</v>
      </c>
      <c r="O85" t="str" cm="1">
        <f t="array" ref="O85">_xlfn.LET(
  _xlpm.idx, (ROW()-3)*16 + O$1,
  _xlpm.r, MOD(_xlpm.idx, SpriteCount),
  INDEX(
    sprite_data.asm!$B$3:$Q$156,
    INT(_xlpm.idx / SpriteCount) * 7 + INT(_xlpm.r / 16) + 1,
    MOD(_xlpm.r, 16) + 1
  )
)</f>
        <v>55</v>
      </c>
      <c r="P85" t="str" cm="1">
        <f t="array" ref="P85">_xlfn.LET(
  _xlpm.idx, (ROW()-3)*16 + P$1,
  _xlpm.r, MOD(_xlpm.idx, SpriteCount),
  INDEX(
    sprite_data.asm!$B$3:$Q$156,
    INT(_xlpm.idx / SpriteCount) * 7 + INT(_xlpm.r / 16) + 1,
    MOD(_xlpm.r, 16) + 1
  )
)</f>
        <v>14</v>
      </c>
      <c r="Q85" t="str" cm="1">
        <f t="array" ref="Q85">_xlfn.LET(
  _xlpm.idx, (ROW()-3)*16 + Q$1,
  _xlpm.r, MOD(_xlpm.idx, SpriteCount),
  INDEX(
    sprite_data.asm!$B$3:$Q$156,
    INT(_xlpm.idx / SpriteCount) * 7 + INT(_xlpm.r / 16) + 1,
    MOD(_xlpm.r, 16) + 1
  )
)</f>
        <v>50</v>
      </c>
      <c r="R85" t="str" cm="1">
        <f t="array" ref="R85">_xlfn.LET(
  _xlpm.idx, (ROW()-3)*16 + R$1,
  _xlpm.r, MOD(_xlpm.idx, SpriteCount),
  INDEX(
    sprite_data.asm!$B$3:$Q$156,
    INT(_xlpm.idx / SpriteCount) * 7 + INT(_xlpm.r / 16) + 1,
    MOD(_xlpm.r, 16) + 1
  )
)</f>
        <v>15</v>
      </c>
    </row>
    <row r="86" spans="1:18" x14ac:dyDescent="0.45">
      <c r="A86">
        <f t="shared" si="8"/>
        <v>45616</v>
      </c>
      <c r="B86" s="32" t="str">
        <f t="shared" si="9"/>
        <v>B230</v>
      </c>
      <c r="C86" t="str" cm="1">
        <f t="array" ref="C86">_xlfn.LET(
  _xlpm.idx, (ROW()-3)*16 + C$1,
  _xlpm.r, MOD(_xlpm.idx, SpriteCount),
  INDEX(
    sprite_data.asm!$B$3:$Q$156,
    INT(_xlpm.idx / SpriteCount) * 7 + INT(_xlpm.r / 16) + 1,
    MOD(_xlpm.r, 16) + 1
  )
)</f>
        <v>01</v>
      </c>
      <c r="D86" t="str" cm="1">
        <f t="array" ref="D86">_xlfn.LET(
  _xlpm.idx, (ROW()-3)*16 + D$1,
  _xlpm.r, MOD(_xlpm.idx, SpriteCount),
  INDEX(
    sprite_data.asm!$B$3:$Q$156,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sprite_data.asm!$B$3:$Q$156,
    INT(_xlpm.idx / SpriteCount) * 7 + INT(_xlpm.r / 16) + 1,
    MOD(_xlpm.r, 16) + 1
  )
)</f>
        <v>55</v>
      </c>
      <c r="F86" t="str" cm="1">
        <f t="array" ref="F86">_xlfn.LET(
  _xlpm.idx, (ROW()-3)*16 + F$1,
  _xlpm.r, MOD(_xlpm.idx, SpriteCount),
  INDEX(
    sprite_data.asm!$B$3:$Q$156,
    INT(_xlpm.idx / SpriteCount) * 7 + INT(_xlpm.r / 16) + 1,
    MOD(_xlpm.r, 16) + 1
  )
)</f>
        <v>41</v>
      </c>
      <c r="G86" t="str" cm="1">
        <f t="array" ref="G86">_xlfn.LET(
  _xlpm.idx, (ROW()-3)*16 + G$1,
  _xlpm.r, MOD(_xlpm.idx, SpriteCount),
  INDEX(
    sprite_data.asm!$B$3:$Q$156,
    INT(_xlpm.idx / SpriteCount) * 7 + INT(_xlpm.r / 16) + 1,
    MOD(_xlpm.r, 16) + 1
  )
)</f>
        <v>55</v>
      </c>
      <c r="H86" t="str" cm="1">
        <f t="array" ref="H86">_xlfn.LET(
  _xlpm.idx, (ROW()-3)*16 + H$1,
  _xlpm.r, MOD(_xlpm.idx, SpriteCount),
  INDEX(
    sprite_data.asm!$B$3:$Q$156,
    INT(_xlpm.idx / SpriteCount) * 7 + INT(_xlpm.r / 16) + 1,
    MOD(_xlpm.r, 16) + 1
  )
)</f>
        <v>41</v>
      </c>
      <c r="I86" t="str" cm="1">
        <f t="array" ref="I86">_xlfn.LET(
  _xlpm.idx, (ROW()-3)*16 + I$1,
  _xlpm.r, MOD(_xlpm.idx, SpriteCount),
  INDEX(
    sprite_data.asm!$B$3:$Q$156,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sprite_data.asm!$B$3:$Q$156,
    INT(_xlpm.idx / SpriteCount) * 7 + INT(_xlpm.r / 16) + 1,
    MOD(_xlpm.r, 16) + 1
  )
)</f>
        <v>55</v>
      </c>
      <c r="K86" t="str" cm="1">
        <f t="array" ref="K86">_xlfn.LET(
  _xlpm.idx, (ROW()-3)*16 + K$1,
  _xlpm.r, MOD(_xlpm.idx, SpriteCount),
  INDEX(
    sprite_data.asm!$B$3:$Q$156,
    INT(_xlpm.idx / SpriteCount) * 7 + INT(_xlpm.r / 16) + 1,
    MOD(_xlpm.r, 16) + 1
  )
)</f>
        <v>04</v>
      </c>
      <c r="L86" t="str" cm="1">
        <f t="array" ref="L86">_xlfn.LET(
  _xlpm.idx, (ROW()-3)*16 + L$1,
  _xlpm.r, MOD(_xlpm.idx, SpriteCount),
  INDEX(
    sprite_data.asm!$B$3:$Q$156,
    INT(_xlpm.idx / SpriteCount) * 7 + INT(_xlpm.r / 16) + 1,
    MOD(_xlpm.r, 16) + 1
  )
)</f>
        <v>41</v>
      </c>
      <c r="M86" t="str" cm="1">
        <f t="array" ref="M86">_xlfn.LET(
  _xlpm.idx, (ROW()-3)*16 + M$1,
  _xlpm.r, MOD(_xlpm.idx, SpriteCount),
  INDEX(
    sprite_data.asm!$B$3:$Q$156,
    INT(_xlpm.idx / SpriteCount) * 7 + INT(_xlpm.r / 16) + 1,
    MOD(_xlpm.r, 16) + 1
  )
)</f>
        <v>45</v>
      </c>
      <c r="N86" t="str" cm="1">
        <f t="array" ref="N86">_xlfn.LET(
  _xlpm.idx, (ROW()-3)*16 + N$1,
  _xlpm.r, MOD(_xlpm.idx, SpriteCount),
  INDEX(
    sprite_data.asm!$B$3:$Q$156,
    INT(_xlpm.idx / SpriteCount) * 7 + INT(_xlpm.r / 16) + 1,
    MOD(_xlpm.r, 16) + 1
  )
)</f>
        <v>41</v>
      </c>
      <c r="O86" t="str" cm="1">
        <f t="array" ref="O86">_xlfn.LET(
  _xlpm.idx, (ROW()-3)*16 + O$1,
  _xlpm.r, MOD(_xlpm.idx, SpriteCount),
  INDEX(
    sprite_data.asm!$B$3:$Q$156,
    INT(_xlpm.idx / SpriteCount) * 7 + INT(_xlpm.r / 16) + 1,
    MOD(_xlpm.r, 16) + 1
  )
)</f>
        <v>14</v>
      </c>
      <c r="P86" t="str" cm="1">
        <f t="array" ref="P86">_xlfn.LET(
  _xlpm.idx, (ROW()-3)*16 + P$1,
  _xlpm.r, MOD(_xlpm.idx, SpriteCount),
  INDEX(
    sprite_data.asm!$B$3:$Q$156,
    INT(_xlpm.idx / SpriteCount) * 7 + INT(_xlpm.r / 16) + 1,
    MOD(_xlpm.r, 16) + 1
  )
)</f>
        <v>55</v>
      </c>
      <c r="Q86" t="str" cm="1">
        <f t="array" ref="Q86">_xlfn.LET(
  _xlpm.idx, (ROW()-3)*16 + Q$1,
  _xlpm.r, MOD(_xlpm.idx, SpriteCount),
  INDEX(
    sprite_data.asm!$B$3:$Q$156,
    INT(_xlpm.idx / SpriteCount) * 7 + INT(_xlpm.r / 16) + 1,
    MOD(_xlpm.r, 16) + 1
  )
)</f>
        <v>10</v>
      </c>
      <c r="R86" t="str" cm="1">
        <f t="array" ref="R86">_xlfn.LET(
  _xlpm.idx, (ROW()-3)*16 + R$1,
  _xlpm.r, MOD(_xlpm.idx, SpriteCount),
  INDEX(
    sprite_data.asm!$B$3:$Q$156,
    INT(_xlpm.idx / SpriteCount) * 7 + INT(_xlpm.r / 16) + 1,
    MOD(_xlpm.r, 16) + 1
  )
)</f>
        <v>50</v>
      </c>
    </row>
    <row r="87" spans="1:18" x14ac:dyDescent="0.45">
      <c r="A87">
        <f t="shared" si="8"/>
        <v>45632</v>
      </c>
      <c r="B87" s="32" t="str">
        <f t="shared" si="9"/>
        <v>B240</v>
      </c>
      <c r="C87" t="str" cm="1">
        <f t="array" ref="C87">_xlfn.LET(
  _xlpm.idx, (ROW()-3)*16 + C$1,
  _xlpm.r, MOD(_xlpm.idx, SpriteCount),
  INDEX(
    sprite_data.asm!$B$3:$Q$156,
    INT(_xlpm.idx / SpriteCount) * 7 + INT(_xlpm.r / 16) + 1,
    MOD(_xlpm.r, 16) + 1
  )
)</f>
        <v>00</v>
      </c>
      <c r="D87" t="str" cm="1">
        <f t="array" ref="D87">_xlfn.LET(
  _xlpm.idx, (ROW()-3)*16 + D$1,
  _xlpm.r, MOD(_xlpm.idx, SpriteCount),
  INDEX(
    sprite_data.asm!$B$3:$Q$156,
    INT(_xlpm.idx / SpriteCount) * 7 + INT(_xlpm.r / 16) + 1,
    MOD(_xlpm.r, 16) + 1
  )
)</f>
        <v>05</v>
      </c>
      <c r="E87" t="str" cm="1">
        <f t="array" ref="E87">_xlfn.LET(
  _xlpm.idx, (ROW()-3)*16 + E$1,
  _xlpm.r, MOD(_xlpm.idx, SpriteCount),
  INDEX(
    sprite_data.asm!$B$3:$Q$156,
    INT(_xlpm.idx / SpriteCount) * 7 + INT(_xlpm.r / 16) + 1,
    MOD(_xlpm.r, 16) + 1
  )
)</f>
        <v>50</v>
      </c>
      <c r="F87" t="str" cm="1">
        <f t="array" ref="F87">_xlfn.LET(
  _xlpm.idx, (ROW()-3)*16 + F$1,
  _xlpm.r, MOD(_xlpm.idx, SpriteCount),
  INDEX(
    sprite_data.asm!$B$3:$Q$156,
    INT(_xlpm.idx / SpriteCount) * 7 + INT(_xlpm.r / 16) + 1,
    MOD(_xlpm.r, 16) + 1
  )
)</f>
        <v>10</v>
      </c>
      <c r="G87" t="str" cm="1">
        <f t="array" ref="G87">_xlfn.LET(
  _xlpm.idx, (ROW()-3)*16 + G$1,
  _xlpm.r, MOD(_xlpm.idx, SpriteCount),
  INDEX(
    sprite_data.asm!$B$3:$Q$156,
    INT(_xlpm.idx / SpriteCount) * 7 + INT(_xlpm.r / 16) + 1,
    MOD(_xlpm.r, 16) + 1
  )
)</f>
        <v>55</v>
      </c>
      <c r="H87" t="str" cm="1">
        <f t="array" ref="H87">_xlfn.LET(
  _xlpm.idx, (ROW()-3)*16 + H$1,
  _xlpm.r, MOD(_xlpm.idx, SpriteCount),
  INDEX(
    sprite_data.asm!$B$3:$Q$156,
    INT(_xlpm.idx / SpriteCount) * 7 + INT(_xlpm.r / 16) + 1,
    MOD(_xlpm.r, 16) + 1
  )
)</f>
        <v>05</v>
      </c>
      <c r="I87" t="str" cm="1">
        <f t="array" ref="I87">_xlfn.LET(
  _xlpm.idx, (ROW()-3)*16 + I$1,
  _xlpm.r, MOD(_xlpm.idx, SpriteCount),
  INDEX(
    sprite_data.asm!$B$3:$Q$156,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sprite_data.asm!$B$3:$Q$156,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sprite_data.asm!$B$3:$Q$156,
    INT(_xlpm.idx / SpriteCount) * 7 + INT(_xlpm.r / 16) + 1,
    MOD(_xlpm.r, 16) + 1
  )
)</f>
        <v>00</v>
      </c>
      <c r="L87" t="str" cm="1">
        <f t="array" ref="L87">_xlfn.LET(
  _xlpm.idx, (ROW()-3)*16 + L$1,
  _xlpm.r, MOD(_xlpm.idx, SpriteCount),
  INDEX(
    sprite_data.asm!$B$3:$Q$156,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sprite_data.asm!$B$3:$Q$156,
    INT(_xlpm.idx / SpriteCount) * 7 + INT(_xlpm.r / 16) + 1,
    MOD(_xlpm.r, 16) + 1
  )
)</f>
        <v>02</v>
      </c>
      <c r="N87" t="str" cm="1">
        <f t="array" ref="N87">_xlfn.LET(
  _xlpm.idx, (ROW()-3)*16 + N$1,
  _xlpm.r, MOD(_xlpm.idx, SpriteCount),
  INDEX(
    sprite_data.asm!$B$3:$Q$156,
    INT(_xlpm.idx / SpriteCount) * 7 + INT(_xlpm.r / 16) + 1,
    MOD(_xlpm.r, 16) + 1
  )
)</f>
        <v>03</v>
      </c>
      <c r="O87" t="str" cm="1">
        <f t="array" ref="O87">_xlfn.LET(
  _xlpm.idx, (ROW()-3)*16 + O$1,
  _xlpm.r, MOD(_xlpm.idx, SpriteCount),
  INDEX(
    sprite_data.asm!$B$3:$Q$156,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sprite_data.asm!$B$3:$Q$156,
    INT(_xlpm.idx / SpriteCount) * 7 + INT(_xlpm.r / 16) + 1,
    MOD(_xlpm.r, 16) + 1
  )
)</f>
        <v>00</v>
      </c>
      <c r="Q87" t="str" cm="1">
        <f t="array" ref="Q87">_xlfn.LET(
  _xlpm.idx, (ROW()-3)*16 + Q$1,
  _xlpm.r, MOD(_xlpm.idx, SpriteCount),
  INDEX(
    sprite_data.asm!$B$3:$Q$156,
    INT(_xlpm.idx / SpriteCount) * 7 + INT(_xlpm.r / 16) + 1,
    MOD(_xlpm.r, 16) + 1
  )
)</f>
        <v>03</v>
      </c>
      <c r="R87" t="str" cm="1">
        <f t="array" ref="R87">_xlfn.LET(
  _xlpm.idx, (ROW()-3)*16 + R$1,
  _xlpm.r, MOD(_xlpm.idx, SpriteCount),
  INDEX(
    sprite_data.asm!$B$3:$Q$156,
    INT(_xlpm.idx / SpriteCount) * 7 + INT(_xlpm.r / 16) + 1,
    MOD(_xlpm.r, 16) + 1
  )
)</f>
        <v>01</v>
      </c>
    </row>
    <row r="88" spans="1:18" x14ac:dyDescent="0.45">
      <c r="A88">
        <f t="shared" si="8"/>
        <v>45648</v>
      </c>
      <c r="B88" s="32" t="str">
        <f t="shared" si="9"/>
        <v>B250</v>
      </c>
      <c r="C88" t="str" cm="1">
        <f t="array" ref="C88">_xlfn.LET(
  _xlpm.idx, (ROW()-3)*16 + C$1,
  _xlpm.r, MOD(_xlpm.idx, SpriteCount),
  INDEX(
    sprite_data.asm!$B$3:$Q$156,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sprite_data.asm!$B$3:$Q$156,
    INT(_xlpm.idx / SpriteCount) * 7 + INT(_xlpm.r / 16) + 1,
    MOD(_xlpm.r, 16) + 1
  )
)</f>
        <v>00</v>
      </c>
      <c r="E88" t="str" cm="1">
        <f t="array" ref="E88">_xlfn.LET(
  _xlpm.idx, (ROW()-3)*16 + E$1,
  _xlpm.r, MOD(_xlpm.idx, SpriteCount),
  INDEX(
    sprite_data.asm!$B$3:$Q$156,
    INT(_xlpm.idx / SpriteCount) * 7 + INT(_xlpm.r / 16) + 1,
    MOD(_xlpm.r, 16) + 1
  )
)</f>
        <v>07</v>
      </c>
      <c r="F88" t="str" cm="1">
        <f t="array" ref="F88">_xlfn.LET(
  _xlpm.idx, (ROW()-3)*16 + F$1,
  _xlpm.r, MOD(_xlpm.idx, SpriteCount),
  INDEX(
    sprite_data.asm!$B$3:$Q$156,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sprite_data.asm!$B$3:$Q$156,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sprite_data.asm!$B$3:$Q$156,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sprite_data.asm!$B$3:$Q$156,
    INT(_xlpm.idx / SpriteCount) * 7 + INT(_xlpm.r / 16) + 1,
    MOD(_xlpm.r, 16) + 1
  )
)</f>
        <v>00</v>
      </c>
      <c r="J88" t="str" cm="1">
        <f t="array" ref="J88">_xlfn.LET(
  _xlpm.idx, (ROW()-3)*16 + J$1,
  _xlpm.r, MOD(_xlpm.idx, SpriteCount),
  INDEX(
    sprite_data.asm!$B$3:$Q$156,
    INT(_xlpm.idx / SpriteCount) * 7 + INT(_xlpm.r / 16) + 1,
    MOD(_xlpm.r, 16) + 1
  )
)</f>
        <v>01</v>
      </c>
      <c r="K88" t="str" cm="1">
        <f t="array" ref="K88">_xlfn.LET(
  _xlpm.idx, (ROW()-3)*16 + K$1,
  _xlpm.r, MOD(_xlpm.idx, SpriteCount),
  INDEX(
    sprite_data.asm!$B$3:$Q$156,
    INT(_xlpm.idx / SpriteCount) * 7 + INT(_xlpm.r / 16) + 1,
    MOD(_xlpm.r, 16) + 1
  )
)</f>
        <v>06</v>
      </c>
      <c r="L88" t="str" cm="1">
        <f t="array" ref="L88">_xlfn.LET(
  _xlpm.idx, (ROW()-3)*16 + L$1,
  _xlpm.r, MOD(_xlpm.idx, SpriteCount),
  INDEX(
    sprite_data.asm!$B$3:$Q$156,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sprite_data.asm!$B$3:$Q$156,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sprite_data.asm!$B$3:$Q$156,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sprite_data.asm!$B$3:$Q$156,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sprite_data.asm!$B$3:$Q$156,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sprite_data.asm!$B$3:$Q$156,
    INT(_xlpm.idx / SpriteCount) * 7 + INT(_xlpm.r / 16) + 1,
    MOD(_xlpm.r, 16) + 1
  )
)</f>
        <v>00</v>
      </c>
      <c r="R88" t="str" cm="1">
        <f t="array" ref="R88">_xlfn.LET(
  _xlpm.idx, (ROW()-3)*16 + R$1,
  _xlpm.r, MOD(_xlpm.idx, SpriteCount),
  INDEX(
    sprite_data.asm!$B$3:$Q$156,
    INT(_xlpm.idx / SpriteCount) * 7 + INT(_xlpm.r / 16) + 1,
    MOD(_xlpm.r, 16) + 1
  )
)</f>
        <v>00</v>
      </c>
    </row>
    <row r="89" spans="1:18" x14ac:dyDescent="0.45">
      <c r="A89">
        <f t="shared" si="8"/>
        <v>45664</v>
      </c>
      <c r="B89" s="32" t="str">
        <f t="shared" si="9"/>
        <v>B260</v>
      </c>
      <c r="C89" t="str" cm="1">
        <f t="array" ref="C89">_xlfn.LET(
  _xlpm.idx, (ROW()-3)*16 + C$1,
  _xlpm.r, MOD(_xlpm.idx, SpriteCount),
  INDEX(
    sprite_data.asm!$B$3:$Q$156,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sprite_data.asm!$B$3:$Q$156,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sprite_data.asm!$B$3:$Q$156,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sprite_data.asm!$B$3:$Q$156,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sprite_data.asm!$B$3:$Q$156,
    INT(_xlpm.idx / SpriteCount) * 7 + INT(_xlpm.r / 16) + 1,
    MOD(_xlpm.r, 16) + 1
  )
)</f>
        <v>00</v>
      </c>
      <c r="H89" t="str" cm="1">
        <f t="array" ref="H89">_xlfn.LET(
  _xlpm.idx, (ROW()-3)*16 + H$1,
  _xlpm.r, MOD(_xlpm.idx, SpriteCount),
  INDEX(
    sprite_data.asm!$B$3:$Q$156,
    INT(_xlpm.idx / SpriteCount) * 7 + INT(_xlpm.r / 16) + 1,
    MOD(_xlpm.r, 16) + 1
  )
)</f>
        <v>02</v>
      </c>
      <c r="I89" t="str" cm="1">
        <f t="array" ref="I89">_xlfn.LET(
  _xlpm.idx, (ROW()-3)*16 + I$1,
  _xlpm.r, MOD(_xlpm.idx, SpriteCount),
  INDEX(
    sprite_data.asm!$B$3:$Q$156,
    INT(_xlpm.idx / SpriteCount) * 7 + INT(_xlpm.r / 16) + 1,
    MOD(_xlpm.r, 16) + 1
  )
)</f>
        <v>00</v>
      </c>
      <c r="J89" t="str" cm="1">
        <f t="array" ref="J89">_xlfn.LET(
  _xlpm.idx, (ROW()-3)*16 + J$1,
  _xlpm.r, MOD(_xlpm.idx, SpriteCount),
  INDEX(
    sprite_data.asm!$B$3:$Q$156,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sprite_data.asm!$B$3:$Q$156,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sprite_data.asm!$B$3:$Q$156,
    INT(_xlpm.idx / SpriteCount) * 7 + INT(_xlpm.r / 16) + 1,
    MOD(_xlpm.r, 16) + 1
  )
)</f>
        <v>02</v>
      </c>
      <c r="M89" t="str" cm="1">
        <f t="array" ref="M89">_xlfn.LET(
  _xlpm.idx, (ROW()-3)*16 + M$1,
  _xlpm.r, MOD(_xlpm.idx, SpriteCount),
  INDEX(
    sprite_data.asm!$B$3:$Q$156,
    INT(_xlpm.idx / SpriteCount) * 7 + INT(_xlpm.r / 16) + 1,
    MOD(_xlpm.r, 16) + 1
  )
)</f>
        <v>00</v>
      </c>
      <c r="N89" t="str" cm="1">
        <f t="array" ref="N89">_xlfn.LET(
  _xlpm.idx, (ROW()-3)*16 + N$1,
  _xlpm.r, MOD(_xlpm.idx, SpriteCount),
  INDEX(
    sprite_data.asm!$B$3:$Q$156,
    INT(_xlpm.idx / SpriteCount) * 7 + INT(_xlpm.r / 16) + 1,
    MOD(_xlpm.r, 16) + 1
  )
)</f>
        <v>01</v>
      </c>
      <c r="O89" t="str" cm="1">
        <f t="array" ref="O89">_xlfn.LET(
  _xlpm.idx, (ROW()-3)*16 + O$1,
  _xlpm.r, MOD(_xlpm.idx, SpriteCount),
  INDEX(
    sprite_data.asm!$B$3:$Q$156,
    INT(_xlpm.idx / SpriteCount) * 7 + INT(_xlpm.r / 16) + 1,
    MOD(_xlpm.r, 16) + 1
  )
)</f>
        <v>00</v>
      </c>
      <c r="P89" t="str" cm="1">
        <f t="array" ref="P89">_xlfn.LET(
  _xlpm.idx, (ROW()-3)*16 + P$1,
  _xlpm.r, MOD(_xlpm.idx, SpriteCount),
  INDEX(
    sprite_data.asm!$B$3:$Q$156,
    INT(_xlpm.idx / SpriteCount) * 7 + INT(_xlpm.r / 16) + 1,
    MOD(_xlpm.r, 16) + 1
  )
)</f>
        <v>04</v>
      </c>
      <c r="Q89" t="str" cm="1">
        <f t="array" ref="Q89">_xlfn.LET(
  _xlpm.idx, (ROW()-3)*16 + Q$1,
  _xlpm.r, MOD(_xlpm.idx, SpriteCount),
  INDEX(
    sprite_data.asm!$B$3:$Q$156,
    INT(_xlpm.idx / SpriteCount) * 7 + INT(_xlpm.r / 16) + 1,
    MOD(_xlpm.r, 16) + 1
  )
)</f>
        <v>00</v>
      </c>
      <c r="R89" t="str" cm="1">
        <f t="array" ref="R89">_xlfn.LET(
  _xlpm.idx, (ROW()-3)*16 + R$1,
  _xlpm.r, MOD(_xlpm.idx, SpriteCount),
  INDEX(
    sprite_data.asm!$B$3:$Q$156,
    INT(_xlpm.idx / SpriteCount) * 7 + INT(_xlpm.r / 16) + 1,
    MOD(_xlpm.r, 16) + 1
  )
)</f>
        <v>00</v>
      </c>
    </row>
    <row r="90" spans="1:18" x14ac:dyDescent="0.45">
      <c r="A90">
        <f t="shared" si="8"/>
        <v>45680</v>
      </c>
      <c r="B90" s="32" t="str">
        <f t="shared" si="9"/>
        <v>B270</v>
      </c>
      <c r="C90" t="str" cm="1">
        <f t="array" ref="C90">_xlfn.LET(
  _xlpm.idx, (ROW()-3)*16 + C$1,
  _xlpm.r, MOD(_xlpm.idx, SpriteCount),
  INDEX(
    sprite_data.asm!$B$3:$Q$156,
    INT(_xlpm.idx / SpriteCount) * 7 + INT(_xlpm.r / 16) + 1,
    MOD(_xlpm.r, 16) + 1
  )
)</f>
        <v>00</v>
      </c>
      <c r="D90" t="str" cm="1">
        <f t="array" ref="D90">_xlfn.LET(
  _xlpm.idx, (ROW()-3)*16 + D$1,
  _xlpm.r, MOD(_xlpm.idx, SpriteCount),
  INDEX(
    sprite_data.asm!$B$3:$Q$156,
    INT(_xlpm.idx / SpriteCount) * 7 + INT(_xlpm.r / 16) + 1,
    MOD(_xlpm.r, 16) + 1
  )
)</f>
        <v>04</v>
      </c>
      <c r="E90" t="str" cm="1">
        <f t="array" ref="E90">_xlfn.LET(
  _xlpm.idx, (ROW()-3)*16 + E$1,
  _xlpm.r, MOD(_xlpm.idx, SpriteCount),
  INDEX(
    sprite_data.asm!$B$3:$Q$156,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sprite_data.asm!$B$3:$Q$156,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sprite_data.asm!$B$3:$Q$156,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sprite_data.asm!$B$3:$Q$156,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sprite_data.asm!$B$3:$Q$156,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sprite_data.asm!$B$3:$Q$156,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sprite_data.asm!$B$3:$Q$156,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sprite_data.asm!$B$3:$Q$156,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sprite_data.asm!$B$3:$Q$156,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sprite_data.asm!$B$3:$Q$156,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sprite_data.asm!$B$3:$Q$156,
    INT(_xlpm.idx / SpriteCount) * 7 + INT(_xlpm.r / 16) + 1,
    MOD(_xlpm.r, 16) + 1
  )
)</f>
        <v>00</v>
      </c>
      <c r="P90" t="str" cm="1">
        <f t="array" ref="P90">_xlfn.LET(
  _xlpm.idx, (ROW()-3)*16 + P$1,
  _xlpm.r, MOD(_xlpm.idx, SpriteCount),
  INDEX(
    sprite_data.asm!$B$3:$Q$156,
    INT(_xlpm.idx / SpriteCount) * 7 + INT(_xlpm.r / 16) + 1,
    MOD(_xlpm.r, 16) + 1
  )
)</f>
        <v>01</v>
      </c>
      <c r="Q90" t="str" cm="1">
        <f t="array" ref="Q90">_xlfn.LET(
  _xlpm.idx, (ROW()-3)*16 + Q$1,
  _xlpm.r, MOD(_xlpm.idx, SpriteCount),
  INDEX(
    sprite_data.asm!$B$3:$Q$156,
    INT(_xlpm.idx / SpriteCount) * 7 + INT(_xlpm.r / 16) + 1,
    MOD(_xlpm.r, 16) + 1
  )
)</f>
        <v>00</v>
      </c>
      <c r="R90" t="str" cm="1">
        <f t="array" ref="R90">_xlfn.LET(
  _xlpm.idx, (ROW()-3)*16 + R$1,
  _xlpm.r, MOD(_xlpm.idx, SpriteCount),
  INDEX(
    sprite_data.asm!$B$3:$Q$156,
    INT(_xlpm.idx / SpriteCount) * 7 + INT(_xlpm.r / 16) + 1,
    MOD(_xlpm.r, 16) + 1
  )
)</f>
        <v>00</v>
      </c>
    </row>
    <row r="91" spans="1:18" x14ac:dyDescent="0.45">
      <c r="A91">
        <f t="shared" si="8"/>
        <v>45696</v>
      </c>
      <c r="B91" s="32" t="str">
        <f t="shared" si="9"/>
        <v>B280</v>
      </c>
      <c r="C91" t="str" cm="1">
        <f t="array" ref="C91">_xlfn.LET(
  _xlpm.idx, (ROW()-3)*16 + C$1,
  _xlpm.r, MOD(_xlpm.idx, SpriteCount),
  INDEX(
    sprite_data.asm!$B$3:$Q$156,
    INT(_xlpm.idx / SpriteCount) * 7 + INT(_xlpm.r / 16) + 1,
    MOD(_xlpm.r, 16) + 1
  )
)</f>
        <v>02</v>
      </c>
      <c r="D91" t="str" cm="1">
        <f t="array" ref="D91">_xlfn.LET(
  _xlpm.idx, (ROW()-3)*16 + D$1,
  _xlpm.r, MOD(_xlpm.idx, SpriteCount),
  INDEX(
    sprite_data.asm!$B$3:$Q$156,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sprite_data.asm!$B$3:$Q$156,
    INT(_xlpm.idx / SpriteCount) * 7 + INT(_xlpm.r / 16) + 1,
    MOD(_xlpm.r, 16) + 1
  )
)</f>
        <v>00</v>
      </c>
      <c r="F91" t="str" cm="1">
        <f t="array" ref="F91">_xlfn.LET(
  _xlpm.idx, (ROW()-3)*16 + F$1,
  _xlpm.r, MOD(_xlpm.idx, SpriteCount),
  INDEX(
    sprite_data.asm!$B$3:$Q$156,
    INT(_xlpm.idx / SpriteCount) * 7 + INT(_xlpm.r / 16) + 1,
    MOD(_xlpm.r, 16) + 1
  )
)</f>
        <v>01</v>
      </c>
      <c r="G91" t="str" cm="1">
        <f t="array" ref="G91">_xlfn.LET(
  _xlpm.idx, (ROW()-3)*16 + G$1,
  _xlpm.r, MOD(_xlpm.idx, SpriteCount),
  INDEX(
    sprite_data.asm!$B$3:$Q$156,
    INT(_xlpm.idx / SpriteCount) * 7 + INT(_xlpm.r / 16) + 1,
    MOD(_xlpm.r, 16) + 1
  )
)</f>
        <v>00</v>
      </c>
      <c r="H91" t="str" cm="1">
        <f t="array" ref="H91">_xlfn.LET(
  _xlpm.idx, (ROW()-3)*16 + H$1,
  _xlpm.r, MOD(_xlpm.idx, SpriteCount),
  INDEX(
    sprite_data.asm!$B$3:$Q$156,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sprite_data.asm!$B$3:$Q$156,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sprite_data.asm!$B$3:$Q$156,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sprite_data.asm!$B$3:$Q$156,
    INT(_xlpm.idx / SpriteCount) * 7 + INT(_xlpm.r / 16) + 1,
    MOD(_xlpm.r, 16) + 1
  )
)</f>
        <v>01</v>
      </c>
      <c r="L91" t="str" cm="1">
        <f t="array" ref="L91">_xlfn.LET(
  _xlpm.idx, (ROW()-3)*16 + L$1,
  _xlpm.r, MOD(_xlpm.idx, SpriteCount),
  INDEX(
    sprite_data.asm!$B$3:$Q$156,
    INT(_xlpm.idx / SpriteCount) * 7 + INT(_xlpm.r / 16) + 1,
    MOD(_xlpm.r, 16) + 1
  )
)</f>
        <v>00</v>
      </c>
      <c r="M91" t="str" cm="1">
        <f t="array" ref="M91">_xlfn.LET(
  _xlpm.idx, (ROW()-3)*16 + M$1,
  _xlpm.r, MOD(_xlpm.idx, SpriteCount),
  INDEX(
    sprite_data.asm!$B$3:$Q$156,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sprite_data.asm!$B$3:$Q$156,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sprite_data.asm!$B$3:$Q$156,
    INT(_xlpm.idx / SpriteCount) * 7 + INT(_xlpm.r / 16) + 1,
    MOD(_xlpm.r, 16) + 1
  )
)</f>
        <v>01</v>
      </c>
      <c r="P91" t="str" cm="1">
        <f t="array" ref="P91">_xlfn.LET(
  _xlpm.idx, (ROW()-3)*16 + P$1,
  _xlpm.r, MOD(_xlpm.idx, SpriteCount),
  INDEX(
    sprite_data.asm!$B$3:$Q$156,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sprite_data.asm!$B$3:$Q$156,
    INT(_xlpm.idx / SpriteCount) * 7 + INT(_xlpm.r / 16) + 1,
    MOD(_xlpm.r, 16) + 1
  )
)</f>
        <v>00</v>
      </c>
      <c r="R91" t="str" cm="1">
        <f t="array" ref="R91">_xlfn.LET(
  _xlpm.idx, (ROW()-3)*16 + R$1,
  _xlpm.r, MOD(_xlpm.idx, SpriteCount),
  INDEX(
    sprite_data.asm!$B$3:$Q$156,
    INT(_xlpm.idx / SpriteCount) * 7 + INT(_xlpm.r / 16) + 1,
    MOD(_xlpm.r, 16) + 1
  )
)</f>
        <v>00</v>
      </c>
    </row>
    <row r="92" spans="1:18" x14ac:dyDescent="0.45">
      <c r="A92">
        <f t="shared" si="8"/>
        <v>45712</v>
      </c>
      <c r="B92" s="32" t="str">
        <f t="shared" si="9"/>
        <v>B290</v>
      </c>
      <c r="C92" t="str" cm="1">
        <f t="array" ref="C92">_xlfn.LET(
  _xlpm.idx, (ROW()-3)*16 + C$1,
  _xlpm.r, MOD(_xlpm.idx, SpriteCount),
  INDEX(
    sprite_data.asm!$B$3:$Q$156,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sprite_data.asm!$B$3:$Q$156,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sprite_data.asm!$B$3:$Q$156,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sprite_data.asm!$B$3:$Q$156,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sprite_data.asm!$B$3:$Q$156,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sprite_data.asm!$B$3:$Q$156,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sprite_data.asm!$B$3:$Q$156,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sprite_data.asm!$B$3:$Q$156,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sprite_data.asm!$B$3:$Q$156,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sprite_data.asm!$B$3:$Q$156,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sprite_data.asm!$B$3:$Q$156,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sprite_data.asm!$B$3:$Q$156,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sprite_data.asm!$B$3:$Q$156,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sprite_data.asm!$B$3:$Q$156,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sprite_data.asm!$B$3:$Q$156,
    INT(_xlpm.idx / SpriteCount) * 7 + INT(_xlpm.r / 16) + 1,
    MOD(_xlpm.r, 16) + 1
  )
)</f>
        <v>00</v>
      </c>
      <c r="R92" t="str" cm="1">
        <f t="array" ref="R92">_xlfn.LET(
  _xlpm.idx, (ROW()-3)*16 + R$1,
  _xlpm.r, MOD(_xlpm.idx, SpriteCount),
  INDEX(
    sprite_data.asm!$B$3:$Q$156,
    INT(_xlpm.idx / SpriteCount) * 7 + INT(_xlpm.r / 16) + 1,
    MOD(_xlpm.r, 16) + 1
  )
)</f>
        <v>00</v>
      </c>
    </row>
    <row r="93" spans="1:18" x14ac:dyDescent="0.45">
      <c r="A93">
        <f t="shared" si="8"/>
        <v>45728</v>
      </c>
      <c r="B93" s="32" t="str">
        <f t="shared" si="9"/>
        <v>B2A0</v>
      </c>
      <c r="C93" t="str" cm="1">
        <f t="array" ref="C93">_xlfn.LET(
  _xlpm.idx, (ROW()-3)*16 + C$1,
  _xlpm.r, MOD(_xlpm.idx, SpriteCount),
  INDEX(
    sprite_data.asm!$B$3:$Q$156,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sprite_data.asm!$B$3:$Q$156,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sprite_data.asm!$B$3:$Q$156,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sprite_data.asm!$B$3:$Q$156,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sprite_data.asm!$B$3:$Q$156,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sprite_data.asm!$B$3:$Q$156,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sprite_data.asm!$B$3:$Q$156,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sprite_data.asm!$B$3:$Q$156,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sprite_data.asm!$B$3:$Q$156,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sprite_data.asm!$B$3:$Q$156,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sprite_data.asm!$B$3:$Q$156,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sprite_data.asm!$B$3:$Q$156,
    INT(_xlpm.idx / SpriteCount) * 7 + INT(_xlpm.r / 16) + 1,
    MOD(_xlpm.r, 16) + 1
  )
)</f>
        <v>00</v>
      </c>
      <c r="O93" t="str" cm="1">
        <f t="array" ref="O93">_xlfn.LET(
  _xlpm.idx, (ROW()-3)*16 + O$1,
  _xlpm.r, MOD(_xlpm.idx, SpriteCount),
  INDEX(
    sprite_data.asm!$B$3:$Q$156,
    INT(_xlpm.idx / SpriteCount) * 7 + INT(_xlpm.r / 16) + 1,
    MOD(_xlpm.r, 16) + 1
  )
)</f>
        <v>02</v>
      </c>
      <c r="P93" t="str" cm="1">
        <f t="array" ref="P93">_xlfn.LET(
  _xlpm.idx, (ROW()-3)*16 + P$1,
  _xlpm.r, MOD(_xlpm.idx, SpriteCount),
  INDEX(
    sprite_data.asm!$B$3:$Q$156,
    INT(_xlpm.idx / SpriteCount) * 7 + INT(_xlpm.r / 16) + 1,
    MOD(_xlpm.r, 16) + 1
  )
)</f>
        <v>00</v>
      </c>
      <c r="Q93" t="str" cm="1">
        <f t="array" ref="Q93">_xlfn.LET(
  _xlpm.idx, (ROW()-3)*16 + Q$1,
  _xlpm.r, MOD(_xlpm.idx, SpriteCount),
  INDEX(
    sprite_data.asm!$B$3:$Q$156,
    INT(_xlpm.idx / SpriteCount) * 7 + INT(_xlpm.r / 16) + 1,
    MOD(_xlpm.r, 16) + 1
  )
)</f>
        <v>6C</v>
      </c>
      <c r="R93" t="str" cm="1">
        <f t="array" ref="R93">_xlfn.LET(
  _xlpm.idx, (ROW()-3)*16 + R$1,
  _xlpm.r, MOD(_xlpm.idx, SpriteCount),
  INDEX(
    sprite_data.asm!$B$3:$Q$156,
    INT(_xlpm.idx / SpriteCount) * 7 + INT(_xlpm.r / 16) + 1,
    MOD(_xlpm.r, 16) + 1
  )
)</f>
        <v>00</v>
      </c>
    </row>
    <row r="94" spans="1:18" x14ac:dyDescent="0.45">
      <c r="A94">
        <f t="shared" si="8"/>
        <v>45744</v>
      </c>
      <c r="B94" s="32" t="str">
        <f t="shared" si="9"/>
        <v>B2B0</v>
      </c>
      <c r="C94" t="str" cm="1">
        <f t="array" ref="C94">_xlfn.LET(
  _xlpm.idx, (ROW()-3)*16 + C$1,
  _xlpm.r, MOD(_xlpm.idx, SpriteCount),
  INDEX(
    sprite_data.asm!$B$3:$Q$156,
    INT(_xlpm.idx / SpriteCount) * 7 + INT(_xlpm.r / 16) + 1,
    MOD(_xlpm.r, 16) + 1
  )
)</f>
        <v>00</v>
      </c>
      <c r="D94" t="str" cm="1">
        <f t="array" ref="D94">_xlfn.LET(
  _xlpm.idx, (ROW()-3)*16 + D$1,
  _xlpm.r, MOD(_xlpm.idx, SpriteCount),
  INDEX(
    sprite_data.asm!$B$3:$Q$156,
    INT(_xlpm.idx / SpriteCount) * 7 + INT(_xlpm.r / 16) + 1,
    MOD(_xlpm.r, 16) + 1
  )
)</f>
        <v>51</v>
      </c>
      <c r="E94" t="str" cm="1">
        <f t="array" ref="E94">_xlfn.LET(
  _xlpm.idx, (ROW()-3)*16 + E$1,
  _xlpm.r, MOD(_xlpm.idx, SpriteCount),
  INDEX(
    sprite_data.asm!$B$3:$Q$156,
    INT(_xlpm.idx / SpriteCount) * 7 + INT(_xlpm.r / 16) + 1,
    MOD(_xlpm.r, 16) + 1
  )
)</f>
        <v>55</v>
      </c>
      <c r="F94" t="str" cm="1">
        <f t="array" ref="F94">_xlfn.LET(
  _xlpm.idx, (ROW()-3)*16 + F$1,
  _xlpm.r, MOD(_xlpm.idx, SpriteCount),
  INDEX(
    sprite_data.asm!$B$3:$Q$156,
    INT(_xlpm.idx / SpriteCount) * 7 + INT(_xlpm.r / 16) + 1,
    MOD(_xlpm.r, 16) + 1
  )
)</f>
        <v>7E</v>
      </c>
      <c r="G94" t="str" cm="1">
        <f t="array" ref="G94">_xlfn.LET(
  _xlpm.idx, (ROW()-3)*16 + G$1,
  _xlpm.r, MOD(_xlpm.idx, SpriteCount),
  INDEX(
    sprite_data.asm!$B$3:$Q$156,
    INT(_xlpm.idx / SpriteCount) * 7 + INT(_xlpm.r / 16) + 1,
    MOD(_xlpm.r, 16) + 1
  )
)</f>
        <v>00</v>
      </c>
      <c r="H94" t="str" cm="1">
        <f t="array" ref="H94">_xlfn.LET(
  _xlpm.idx, (ROW()-3)*16 + H$1,
  _xlpm.r, MOD(_xlpm.idx, SpriteCount),
  INDEX(
    sprite_data.asm!$B$3:$Q$156,
    INT(_xlpm.idx / SpriteCount) * 7 + INT(_xlpm.r / 16) + 1,
    MOD(_xlpm.r, 16) + 1
  )
)</f>
        <v>30</v>
      </c>
      <c r="I94" t="str" cm="1">
        <f t="array" ref="I94">_xlfn.LET(
  _xlpm.idx, (ROW()-3)*16 + I$1,
  _xlpm.r, MOD(_xlpm.idx, SpriteCount),
  INDEX(
    sprite_data.asm!$B$3:$Q$156,
    INT(_xlpm.idx / SpriteCount) * 7 + INT(_xlpm.r / 16) + 1,
    MOD(_xlpm.r, 16) + 1
  )
)</f>
        <v>06</v>
      </c>
      <c r="J94" t="str" cm="1">
        <f t="array" ref="J94">_xlfn.LET(
  _xlpm.idx, (ROW()-3)*16 + J$1,
  _xlpm.r, MOD(_xlpm.idx, SpriteCount),
  INDEX(
    sprite_data.asm!$B$3:$Q$156,
    INT(_xlpm.idx / SpriteCount) * 7 + INT(_xlpm.r / 16) + 1,
    MOD(_xlpm.r, 16) + 1
  )
)</f>
        <v>78</v>
      </c>
      <c r="K94" t="str" cm="1">
        <f t="array" ref="K94">_xlfn.LET(
  _xlpm.idx, (ROW()-3)*16 + K$1,
  _xlpm.r, MOD(_xlpm.idx, SpriteCount),
  INDEX(
    sprite_data.asm!$B$3:$Q$156,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sprite_data.asm!$B$3:$Q$156,
    INT(_xlpm.idx / SpriteCount) * 7 + INT(_xlpm.r / 16) + 1,
    MOD(_xlpm.r, 16) + 1
  )
)</f>
        <v>70</v>
      </c>
      <c r="M94" t="str" cm="1">
        <f t="array" ref="M94">_xlfn.LET(
  _xlpm.idx, (ROW()-3)*16 + M$1,
  _xlpm.r, MOD(_xlpm.idx, SpriteCount),
  INDEX(
    sprite_data.asm!$B$3:$Q$156,
    INT(_xlpm.idx / SpriteCount) * 7 + INT(_xlpm.r / 16) + 1,
    MOD(_xlpm.r, 16) + 1
  )
)</f>
        <v>7F</v>
      </c>
      <c r="N94" t="str" cm="1">
        <f t="array" ref="N94">_xlfn.LET(
  _xlpm.idx, (ROW()-3)*16 + N$1,
  _xlpm.r, MOD(_xlpm.idx, SpriteCount),
  INDEX(
    sprite_data.asm!$B$3:$Q$156,
    INT(_xlpm.idx / SpriteCount) * 7 + INT(_xlpm.r / 16) + 1,
    MOD(_xlpm.r, 16) + 1
  )
)</f>
        <v>38</v>
      </c>
      <c r="O94" t="str" cm="1">
        <f t="array" ref="O94">_xlfn.LET(
  _xlpm.idx, (ROW()-3)*16 + O$1,
  _xlpm.r, MOD(_xlpm.idx, SpriteCount),
  INDEX(
    sprite_data.asm!$B$3:$Q$156,
    INT(_xlpm.idx / SpriteCount) * 7 + INT(_xlpm.r / 16) + 1,
    MOD(_xlpm.r, 16) + 1
  )
)</f>
        <v>1C</v>
      </c>
      <c r="P94" t="str" cm="1">
        <f t="array" ref="P94">_xlfn.LET(
  _xlpm.idx, (ROW()-3)*16 + P$1,
  _xlpm.r, MOD(_xlpm.idx, SpriteCount),
  INDEX(
    sprite_data.asm!$B$3:$Q$156,
    INT(_xlpm.idx / SpriteCount) * 7 + INT(_xlpm.r / 16) + 1,
    MOD(_xlpm.r, 16) + 1
  )
)</f>
        <v>3C</v>
      </c>
      <c r="Q94" t="str" cm="1">
        <f t="array" ref="Q94">_xlfn.LET(
  _xlpm.idx, (ROW()-3)*16 + Q$1,
  _xlpm.r, MOD(_xlpm.idx, SpriteCount),
  INDEX(
    sprite_data.asm!$B$3:$Q$156,
    INT(_xlpm.idx / SpriteCount) * 7 + INT(_xlpm.r / 16) + 1,
    MOD(_xlpm.r, 16) + 1
  )
)</f>
        <v>58</v>
      </c>
      <c r="R94" t="str" cm="1">
        <f t="array" ref="R94">_xlfn.LET(
  _xlpm.idx, (ROW()-3)*16 + R$1,
  _xlpm.r, MOD(_xlpm.idx, SpriteCount),
  INDEX(
    sprite_data.asm!$B$3:$Q$156,
    INT(_xlpm.idx / SpriteCount) * 7 + INT(_xlpm.r / 16) + 1,
    MOD(_xlpm.r, 16) + 1
  )
)</f>
        <v>60</v>
      </c>
    </row>
    <row r="95" spans="1:18" x14ac:dyDescent="0.45">
      <c r="A95">
        <f t="shared" si="8"/>
        <v>45760</v>
      </c>
      <c r="B95" s="32" t="str">
        <f t="shared" si="9"/>
        <v>B2C0</v>
      </c>
      <c r="C95" t="str" cm="1">
        <f t="array" ref="C95">_xlfn.LET(
  _xlpm.idx, (ROW()-3)*16 + C$1,
  _xlpm.r, MOD(_xlpm.idx, SpriteCount),
  INDEX(
    sprite_data.asm!$B$3:$Q$156,
    INT(_xlpm.idx / SpriteCount) * 7 + INT(_xlpm.r / 16) + 1,
    MOD(_xlpm.r, 16) + 1
  )
)</f>
        <v>60</v>
      </c>
      <c r="D95" t="str" cm="1">
        <f t="array" ref="D95">_xlfn.LET(
  _xlpm.idx, (ROW()-3)*16 + D$1,
  _xlpm.r, MOD(_xlpm.idx, SpriteCount),
  INDEX(
    sprite_data.asm!$B$3:$Q$156,
    INT(_xlpm.idx / SpriteCount) * 7 + INT(_xlpm.r / 16) + 1,
    MOD(_xlpm.r, 16) + 1
  )
)</f>
        <v>70</v>
      </c>
      <c r="E95" t="str" cm="1">
        <f t="array" ref="E95">_xlfn.LET(
  _xlpm.idx, (ROW()-3)*16 + E$1,
  _xlpm.r, MOD(_xlpm.idx, SpriteCount),
  INDEX(
    sprite_data.asm!$B$3:$Q$156,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sprite_data.asm!$B$3:$Q$156,
    INT(_xlpm.idx / SpriteCount) * 7 + INT(_xlpm.r / 16) + 1,
    MOD(_xlpm.r, 16) + 1
  )
)</f>
        <v>6C</v>
      </c>
      <c r="G95" t="str" cm="1">
        <f t="array" ref="G95">_xlfn.LET(
  _xlpm.idx, (ROW()-3)*16 + G$1,
  _xlpm.r, MOD(_xlpm.idx, SpriteCount),
  INDEX(
    sprite_data.asm!$B$3:$Q$156,
    INT(_xlpm.idx / SpriteCount) * 7 + INT(_xlpm.r / 16) + 1,
    MOD(_xlpm.r, 16) + 1
  )
)</f>
        <v>58</v>
      </c>
      <c r="H95" t="str" cm="1">
        <f t="array" ref="H95">_xlfn.LET(
  _xlpm.idx, (ROW()-3)*16 + H$1,
  _xlpm.r, MOD(_xlpm.idx, SpriteCount),
  INDEX(
    sprite_data.asm!$B$3:$Q$156,
    INT(_xlpm.idx / SpriteCount) * 7 + INT(_xlpm.r / 16) + 1,
    MOD(_xlpm.r, 16) + 1
  )
)</f>
        <v>1E</v>
      </c>
      <c r="I95" t="str" cm="1">
        <f t="array" ref="I95">_xlfn.LET(
  _xlpm.idx, (ROW()-3)*16 + I$1,
  _xlpm.r, MOD(_xlpm.idx, SpriteCount),
  INDEX(
    sprite_data.asm!$B$3:$Q$156,
    INT(_xlpm.idx / SpriteCount) * 7 + INT(_xlpm.r / 16) + 1,
    MOD(_xlpm.r, 16) + 1
  )
)</f>
        <v>1C</v>
      </c>
      <c r="J95" t="str" cm="1">
        <f t="array" ref="J95">_xlfn.LET(
  _xlpm.idx, (ROW()-3)*16 + J$1,
  _xlpm.r, MOD(_xlpm.idx, SpriteCount),
  INDEX(
    sprite_data.asm!$B$3:$Q$156,
    INT(_xlpm.idx / SpriteCount) * 7 + INT(_xlpm.r / 16) + 1,
    MOD(_xlpm.r, 16) + 1
  )
)</f>
        <v>70</v>
      </c>
      <c r="K95" t="str" cm="1">
        <f t="array" ref="K95">_xlfn.LET(
  _xlpm.idx, (ROW()-3)*16 + K$1,
  _xlpm.r, MOD(_xlpm.idx, SpriteCount),
  INDEX(
    sprite_data.asm!$B$3:$Q$156,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sprite_data.asm!$B$3:$Q$156,
    INT(_xlpm.idx / SpriteCount) * 7 + INT(_xlpm.r / 16) + 1,
    MOD(_xlpm.r, 16) + 1
  )
)</f>
        <v>60</v>
      </c>
      <c r="M95" t="str" cm="1">
        <f t="array" ref="M95">_xlfn.LET(
  _xlpm.idx, (ROW()-3)*16 + M$1,
  _xlpm.r, MOD(_xlpm.idx, SpriteCount),
  INDEX(
    sprite_data.asm!$B$3:$Q$156,
    INT(_xlpm.idx / SpriteCount) * 7 + INT(_xlpm.r / 16) + 1,
    MOD(_xlpm.r, 16) + 1
  )
)</f>
        <v>38</v>
      </c>
      <c r="N95" t="str" cm="1">
        <f t="array" ref="N95">_xlfn.LET(
  _xlpm.idx, (ROW()-3)*16 + N$1,
  _xlpm.r, MOD(_xlpm.idx, SpriteCount),
  INDEX(
    sprite_data.asm!$B$3:$Q$156,
    INT(_xlpm.idx / SpriteCount) * 7 + INT(_xlpm.r / 16) + 1,
    MOD(_xlpm.r, 16) + 1
  )
)</f>
        <v>40</v>
      </c>
      <c r="O95" t="str" cm="1">
        <f t="array" ref="O95">_xlfn.LET(
  _xlpm.idx, (ROW()-3)*16 + O$1,
  _xlpm.r, MOD(_xlpm.idx, SpriteCount),
  INDEX(
    sprite_data.asm!$B$3:$Q$156,
    INT(_xlpm.idx / SpriteCount) * 7 + INT(_xlpm.r / 16) + 1,
    MOD(_xlpm.r, 16) + 1
  )
)</f>
        <v>04</v>
      </c>
      <c r="P95" t="str" cm="1">
        <f t="array" ref="P95">_xlfn.LET(
  _xlpm.idx, (ROW()-3)*16 + P$1,
  _xlpm.r, MOD(_xlpm.idx, SpriteCount),
  INDEX(
    sprite_data.asm!$B$3:$Q$156,
    INT(_xlpm.idx / SpriteCount) * 7 + INT(_xlpm.r / 16) + 1,
    MOD(_xlpm.r, 16) + 1
  )
)</f>
        <v>01</v>
      </c>
      <c r="Q95" t="str" cm="1">
        <f t="array" ref="Q95">_xlfn.LET(
  _xlpm.idx, (ROW()-3)*16 + Q$1,
  _xlpm.r, MOD(_xlpm.idx, SpriteCount),
  INDEX(
    sprite_data.asm!$B$3:$Q$156,
    INT(_xlpm.idx / SpriteCount) * 7 + INT(_xlpm.r / 16) + 1,
    MOD(_xlpm.r, 16) + 1
  )
)</f>
        <v>00</v>
      </c>
      <c r="R95" t="str" cm="1">
        <f t="array" ref="R95">_xlfn.LET(
  _xlpm.idx, (ROW()-3)*16 + R$1,
  _xlpm.r, MOD(_xlpm.idx, SpriteCount),
  INDEX(
    sprite_data.asm!$B$3:$Q$156,
    INT(_xlpm.idx / SpriteCount) * 7 + INT(_xlpm.r / 16) + 1,
    MOD(_xlpm.r, 16) + 1
  )
)</f>
        <v>51</v>
      </c>
    </row>
    <row r="96" spans="1:18" x14ac:dyDescent="0.45">
      <c r="A96">
        <f t="shared" si="8"/>
        <v>45776</v>
      </c>
      <c r="B96" s="32" t="str">
        <f t="shared" si="9"/>
        <v>B2D0</v>
      </c>
      <c r="C96" t="str" cm="1">
        <f t="array" ref="C96">_xlfn.LET(
  _xlpm.idx, (ROW()-3)*16 + C$1,
  _xlpm.r, MOD(_xlpm.idx, SpriteCount),
  INDEX(
    sprite_data.asm!$B$3:$Q$156,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sprite_data.asm!$B$3:$Q$156,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sprite_data.asm!$B$3:$Q$156,
    INT(_xlpm.idx / SpriteCount) * 7 + INT(_xlpm.r / 16) + 1,
    MOD(_xlpm.r, 16) + 1
  )
)</f>
        <v>51</v>
      </c>
      <c r="F96" t="str" cm="1">
        <f t="array" ref="F96">_xlfn.LET(
  _xlpm.idx, (ROW()-3)*16 + F$1,
  _xlpm.r, MOD(_xlpm.idx, SpriteCount),
  INDEX(
    sprite_data.asm!$B$3:$Q$156,
    INT(_xlpm.idx / SpriteCount) * 7 + INT(_xlpm.r / 16) + 1,
    MOD(_xlpm.r, 16) + 1
  )
)</f>
        <v>29</v>
      </c>
      <c r="G96" t="str" cm="1">
        <f t="array" ref="G96">_xlfn.LET(
  _xlpm.idx, (ROW()-3)*16 + G$1,
  _xlpm.r, MOD(_xlpm.idx, SpriteCount),
  INDEX(
    sprite_data.asm!$B$3:$Q$156,
    INT(_xlpm.idx / SpriteCount) * 7 + INT(_xlpm.r / 16) + 1,
    MOD(_xlpm.r, 16) + 1
  )
)</f>
        <v>20</v>
      </c>
      <c r="H96" t="str" cm="1">
        <f t="array" ref="H96">_xlfn.LET(
  _xlpm.idx, (ROW()-3)*16 + H$1,
  _xlpm.r, MOD(_xlpm.idx, SpriteCount),
  INDEX(
    sprite_data.asm!$B$3:$Q$156,
    INT(_xlpm.idx / SpriteCount) * 7 + INT(_xlpm.r / 16) + 1,
    MOD(_xlpm.r, 16) + 1
  )
)</f>
        <v>38</v>
      </c>
      <c r="I96" t="str" cm="1">
        <f t="array" ref="I96">_xlfn.LET(
  _xlpm.idx, (ROW()-3)*16 + I$1,
  _xlpm.r, MOD(_xlpm.idx, SpriteCount),
  INDEX(
    sprite_data.asm!$B$3:$Q$156,
    INT(_xlpm.idx / SpriteCount) * 7 + INT(_xlpm.r / 16) + 1,
    MOD(_xlpm.r, 16) + 1
  )
)</f>
        <v>44</v>
      </c>
      <c r="J96" t="str" cm="1">
        <f t="array" ref="J96">_xlfn.LET(
  _xlpm.idx, (ROW()-3)*16 + J$1,
  _xlpm.r, MOD(_xlpm.idx, SpriteCount),
  INDEX(
    sprite_data.asm!$B$3:$Q$156,
    INT(_xlpm.idx / SpriteCount) * 7 + INT(_xlpm.r / 16) + 1,
    MOD(_xlpm.r, 16) + 1
  )
)</f>
        <v>02</v>
      </c>
      <c r="K96" t="str" cm="1">
        <f t="array" ref="K96">_xlfn.LET(
  _xlpm.idx, (ROW()-3)*16 + K$1,
  _xlpm.r, MOD(_xlpm.idx, SpriteCount),
  INDEX(
    sprite_data.asm!$B$3:$Q$156,
    INT(_xlpm.idx / SpriteCount) * 7 + INT(_xlpm.r / 16) + 1,
    MOD(_xlpm.r, 16) + 1
  )
)</f>
        <v>70</v>
      </c>
      <c r="L96" t="str" cm="1">
        <f t="array" ref="L96">_xlfn.LET(
  _xlpm.idx, (ROW()-3)*16 + L$1,
  _xlpm.r, MOD(_xlpm.idx, SpriteCount),
  INDEX(
    sprite_data.asm!$B$3:$Q$156,
    INT(_xlpm.idx / SpriteCount) * 7 + INT(_xlpm.r / 16) + 1,
    MOD(_xlpm.r, 16) + 1
  )
)</f>
        <v>60</v>
      </c>
      <c r="M96" t="str" cm="1">
        <f t="array" ref="M96">_xlfn.LET(
  _xlpm.idx, (ROW()-3)*16 + M$1,
  _xlpm.r, MOD(_xlpm.idx, SpriteCount),
  INDEX(
    sprite_data.asm!$B$3:$Q$156,
    INT(_xlpm.idx / SpriteCount) * 7 + INT(_xlpm.r / 16) + 1,
    MOD(_xlpm.r, 16) + 1
  )
)</f>
        <v>70</v>
      </c>
      <c r="N96" t="str" cm="1">
        <f t="array" ref="N96">_xlfn.LET(
  _xlpm.idx, (ROW()-3)*16 + N$1,
  _xlpm.r, MOD(_xlpm.idx, SpriteCount),
  INDEX(
    sprite_data.asm!$B$3:$Q$156,
    INT(_xlpm.idx / SpriteCount) * 7 + INT(_xlpm.r / 16) + 1,
    MOD(_xlpm.r, 16) + 1
  )
)</f>
        <v>38</v>
      </c>
      <c r="O96" t="str" cm="1">
        <f t="array" ref="O96">_xlfn.LET(
  _xlpm.idx, (ROW()-3)*16 + O$1,
  _xlpm.r, MOD(_xlpm.idx, SpriteCount),
  INDEX(
    sprite_data.asm!$B$3:$Q$156,
    INT(_xlpm.idx / SpriteCount) * 7 + INT(_xlpm.r / 16) + 1,
    MOD(_xlpm.r, 16) + 1
  )
)</f>
        <v>78</v>
      </c>
      <c r="P96" t="str" cm="1">
        <f t="array" ref="P96">_xlfn.LET(
  _xlpm.idx, (ROW()-3)*16 + P$1,
  _xlpm.r, MOD(_xlpm.idx, SpriteCount),
  INDEX(
    sprite_data.asm!$B$3:$Q$156,
    INT(_xlpm.idx / SpriteCount) * 7 + INT(_xlpm.r / 16) + 1,
    MOD(_xlpm.r, 16) + 1
  )
)</f>
        <v>1E</v>
      </c>
      <c r="Q96" t="str" cm="1">
        <f t="array" ref="Q96">_xlfn.LET(
  _xlpm.idx, (ROW()-3)*16 + Q$1,
  _xlpm.r, MOD(_xlpm.idx, SpriteCount),
  INDEX(
    sprite_data.asm!$B$3:$Q$156,
    INT(_xlpm.idx / SpriteCount) * 7 + INT(_xlpm.r / 16) + 1,
    MOD(_xlpm.r, 16) + 1
  )
)</f>
        <v>1C</v>
      </c>
      <c r="R96" t="str" cm="1">
        <f t="array" ref="R96">_xlfn.LET(
  _xlpm.idx, (ROW()-3)*16 + R$1,
  _xlpm.r, MOD(_xlpm.idx, SpriteCount),
  INDEX(
    sprite_data.asm!$B$3:$Q$156,
    INT(_xlpm.idx / SpriteCount) * 7 + INT(_xlpm.r / 16) + 1,
    MOD(_xlpm.r, 16) + 1
  )
)</f>
        <v>70</v>
      </c>
    </row>
    <row r="97" spans="1:18" x14ac:dyDescent="0.45">
      <c r="A97">
        <f t="shared" si="8"/>
        <v>45792</v>
      </c>
      <c r="B97" s="32" t="str">
        <f t="shared" si="9"/>
        <v>B2E0</v>
      </c>
      <c r="C97" t="str" cm="1">
        <f t="array" ref="C97">_xlfn.LET(
  _xlpm.idx, (ROW()-3)*16 + C$1,
  _xlpm.r, MOD(_xlpm.idx, SpriteCount),
  INDEX(
    sprite_data.asm!$B$3:$Q$156,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sprite_data.asm!$B$3:$Q$156,
    INT(_xlpm.idx / SpriteCount) * 7 + INT(_xlpm.r / 16) + 1,
    MOD(_xlpm.r, 16) + 1
  )
)</f>
        <v>70</v>
      </c>
      <c r="E97" t="str" cm="1">
        <f t="array" ref="E97">_xlfn.LET(
  _xlpm.idx, (ROW()-3)*16 + E$1,
  _xlpm.r, MOD(_xlpm.idx, SpriteCount),
  INDEX(
    sprite_data.asm!$B$3:$Q$156,
    INT(_xlpm.idx / SpriteCount) * 7 + INT(_xlpm.r / 16) + 1,
    MOD(_xlpm.r, 16) + 1
  )
)</f>
        <v>1C</v>
      </c>
      <c r="F97" t="str" cm="1">
        <f t="array" ref="F97">_xlfn.LET(
  _xlpm.idx, (ROW()-3)*16 + F$1,
  _xlpm.r, MOD(_xlpm.idx, SpriteCount),
  INDEX(
    sprite_data.asm!$B$3:$Q$156,
    INT(_xlpm.idx / SpriteCount) * 7 + INT(_xlpm.r / 16) + 1,
    MOD(_xlpm.r, 16) + 1
  )
)</f>
        <v>58</v>
      </c>
      <c r="G97" t="str" cm="1">
        <f t="array" ref="G97">_xlfn.LET(
  _xlpm.idx, (ROW()-3)*16 + G$1,
  _xlpm.r, MOD(_xlpm.idx, SpriteCount),
  INDEX(
    sprite_data.asm!$B$3:$Q$156,
    INT(_xlpm.idx / SpriteCount) * 7 + INT(_xlpm.r / 16) + 1,
    MOD(_xlpm.r, 16) + 1
  )
)</f>
        <v>6C</v>
      </c>
      <c r="H97" t="str" cm="1">
        <f t="array" ref="H97">_xlfn.LET(
  _xlpm.idx, (ROW()-3)*16 + H$1,
  _xlpm.r, MOD(_xlpm.idx, SpriteCount),
  INDEX(
    sprite_data.asm!$B$3:$Q$156,
    INT(_xlpm.idx / SpriteCount) * 7 + INT(_xlpm.r / 16) + 1,
    MOD(_xlpm.r, 16) + 1
  )
)</f>
        <v>30</v>
      </c>
      <c r="I97" t="str" cm="1">
        <f t="array" ref="I97">_xlfn.LET(
  _xlpm.idx, (ROW()-3)*16 + I$1,
  _xlpm.r, MOD(_xlpm.idx, SpriteCount),
  INDEX(
    sprite_data.asm!$B$3:$Q$156,
    INT(_xlpm.idx / SpriteCount) * 7 + INT(_xlpm.r / 16) + 1,
    MOD(_xlpm.r, 16) + 1
  )
)</f>
        <v>6C</v>
      </c>
      <c r="J97" t="str" cm="1">
        <f t="array" ref="J97">_xlfn.LET(
  _xlpm.idx, (ROW()-3)*16 + J$1,
  _xlpm.r, MOD(_xlpm.idx, SpriteCount),
  INDEX(
    sprite_data.asm!$B$3:$Q$156,
    INT(_xlpm.idx / SpriteCount) * 7 + INT(_xlpm.r / 16) + 1,
    MOD(_xlpm.r, 16) + 1
  )
)</f>
        <v>00</v>
      </c>
      <c r="K97" t="str" cm="1">
        <f t="array" ref="K97">_xlfn.LET(
  _xlpm.idx, (ROW()-3)*16 + K$1,
  _xlpm.r, MOD(_xlpm.idx, SpriteCount),
  INDEX(
    sprite_data.asm!$B$3:$Q$156,
    INT(_xlpm.idx / SpriteCount) * 7 + INT(_xlpm.r / 16) + 1,
    MOD(_xlpm.r, 16) + 1
  )
)</f>
        <v>01</v>
      </c>
      <c r="L97" t="str" cm="1">
        <f t="array" ref="L97">_xlfn.LET(
  _xlpm.idx, (ROW()-3)*16 + L$1,
  _xlpm.r, MOD(_xlpm.idx, SpriteCount),
  INDEX(
    sprite_data.asm!$B$3:$Q$156,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sprite_data.asm!$B$3:$Q$156,
    INT(_xlpm.idx / SpriteCount) * 7 + INT(_xlpm.r / 16) + 1,
    MOD(_xlpm.r, 16) + 1
  )
)</f>
        <v>00</v>
      </c>
      <c r="N97" t="str" cm="1">
        <f t="array" ref="N97">_xlfn.LET(
  _xlpm.idx, (ROW()-3)*16 + N$1,
  _xlpm.r, MOD(_xlpm.idx, SpriteCount),
  INDEX(
    sprite_data.asm!$B$3:$Q$156,
    INT(_xlpm.idx / SpriteCount) * 7 + INT(_xlpm.r / 16) + 1,
    MOD(_xlpm.r, 16) + 1
  )
)</f>
        <v>22</v>
      </c>
      <c r="O97" t="str" cm="1">
        <f t="array" ref="O97">_xlfn.LET(
  _xlpm.idx, (ROW()-3)*16 + O$1,
  _xlpm.r, MOD(_xlpm.idx, SpriteCount),
  INDEX(
    sprite_data.asm!$B$3:$Q$156,
    INT(_xlpm.idx / SpriteCount) * 7 + INT(_xlpm.r / 16) + 1,
    MOD(_xlpm.r, 16) + 1
  )
)</f>
        <v>20</v>
      </c>
      <c r="P97" t="str" cm="1">
        <f t="array" ref="P97">_xlfn.LET(
  _xlpm.idx, (ROW()-3)*16 + P$1,
  _xlpm.r, MOD(_xlpm.idx, SpriteCount),
  INDEX(
    sprite_data.asm!$B$3:$Q$156,
    INT(_xlpm.idx / SpriteCount) * 7 + INT(_xlpm.r / 16) + 1,
    MOD(_xlpm.r, 16) + 1
  )
)</f>
        <v>02</v>
      </c>
      <c r="Q97" t="str" cm="1">
        <f t="array" ref="Q97">_xlfn.LET(
  _xlpm.idx, (ROW()-3)*16 + Q$1,
  _xlpm.r, MOD(_xlpm.idx, SpriteCount),
  INDEX(
    sprite_data.asm!$B$3:$Q$156,
    INT(_xlpm.idx / SpriteCount) * 7 + INT(_xlpm.r / 16) + 1,
    MOD(_xlpm.r, 16) + 1
  )
)</f>
        <v>00</v>
      </c>
      <c r="R97" t="str" cm="1">
        <f t="array" ref="R97">_xlfn.LET(
  _xlpm.idx, (ROW()-3)*16 + R$1,
  _xlpm.r, MOD(_xlpm.idx, SpriteCount),
  INDEX(
    sprite_data.asm!$B$3:$Q$156,
    INT(_xlpm.idx / SpriteCount) * 7 + INT(_xlpm.r / 16) + 1,
    MOD(_xlpm.r, 16) + 1
  )
)</f>
        <v>00</v>
      </c>
    </row>
    <row r="98" spans="1:18" x14ac:dyDescent="0.45">
      <c r="A98">
        <f t="shared" si="8"/>
        <v>45808</v>
      </c>
      <c r="B98" s="32" t="str">
        <f t="shared" si="9"/>
        <v>B2F0</v>
      </c>
      <c r="C98" t="str" cm="1">
        <f t="array" ref="C98">_xlfn.LET(
  _xlpm.idx, (ROW()-3)*16 + C$1,
  _xlpm.r, MOD(_xlpm.idx, SpriteCount),
  INDEX(
    sprite_data.asm!$B$3:$Q$156,
    INT(_xlpm.idx / SpriteCount) * 7 + INT(_xlpm.r / 16) + 1,
    MOD(_xlpm.r, 16) + 1
  )
)</f>
        <v>20</v>
      </c>
      <c r="D98" t="str" cm="1">
        <f t="array" ref="D98">_xlfn.LET(
  _xlpm.idx, (ROW()-3)*16 + D$1,
  _xlpm.r, MOD(_xlpm.idx, SpriteCount),
  INDEX(
    sprite_data.asm!$B$3:$Q$156,
    INT(_xlpm.idx / SpriteCount) * 7 + INT(_xlpm.r / 16) + 1,
    MOD(_xlpm.r, 16) + 1
  )
)</f>
        <v>2A</v>
      </c>
      <c r="E98" t="str" cm="1">
        <f t="array" ref="E98">_xlfn.LET(
  _xlpm.idx, (ROW()-3)*16 + E$1,
  _xlpm.r, MOD(_xlpm.idx, SpriteCount),
  INDEX(
    sprite_data.asm!$B$3:$Q$156,
    INT(_xlpm.idx / SpriteCount) * 7 + INT(_xlpm.r / 16) + 1,
    MOD(_xlpm.r, 16) + 1
  )
)</f>
        <v>28</v>
      </c>
      <c r="F98" t="str" cm="1">
        <f t="array" ref="F98">_xlfn.LET(
  _xlpm.idx, (ROW()-3)*16 + F$1,
  _xlpm.r, MOD(_xlpm.idx, SpriteCount),
  INDEX(
    sprite_data.asm!$B$3:$Q$156,
    INT(_xlpm.idx / SpriteCount) * 7 + INT(_xlpm.r / 16) + 1,
    MOD(_xlpm.r, 16) + 1
  )
)</f>
        <v>02</v>
      </c>
      <c r="G98" t="str" cm="1">
        <f t="array" ref="G98">_xlfn.LET(
  _xlpm.idx, (ROW()-3)*16 + G$1,
  _xlpm.r, MOD(_xlpm.idx, SpriteCount),
  INDEX(
    sprite_data.asm!$B$3:$Q$156,
    INT(_xlpm.idx / SpriteCount) * 7 + INT(_xlpm.r / 16) + 1,
    MOD(_xlpm.r, 16) + 1
  )
)</f>
        <v>20</v>
      </c>
      <c r="H98" t="str" cm="1">
        <f t="array" ref="H98">_xlfn.LET(
  _xlpm.idx, (ROW()-3)*16 + H$1,
  _xlpm.r, MOD(_xlpm.idx, SpriteCount),
  INDEX(
    sprite_data.asm!$B$3:$Q$156,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sprite_data.asm!$B$3:$Q$156,
    INT(_xlpm.idx / SpriteCount) * 7 + INT(_xlpm.r / 16) + 1,
    MOD(_xlpm.r, 16) + 1
  )
)</f>
        <v>41</v>
      </c>
      <c r="J98" t="str" cm="1">
        <f t="array" ref="J98">_xlfn.LET(
  _xlpm.idx, (ROW()-3)*16 + J$1,
  _xlpm.r, MOD(_xlpm.idx, SpriteCount),
  INDEX(
    sprite_data.asm!$B$3:$Q$156,
    INT(_xlpm.idx / SpriteCount) * 7 + INT(_xlpm.r / 16) + 1,
    MOD(_xlpm.r, 16) + 1
  )
)</f>
        <v>05</v>
      </c>
      <c r="K98" t="str" cm="1">
        <f t="array" ref="K98">_xlfn.LET(
  _xlpm.idx, (ROW()-3)*16 + K$1,
  _xlpm.r, MOD(_xlpm.idx, SpriteCount),
  INDEX(
    sprite_data.asm!$B$3:$Q$156,
    INT(_xlpm.idx / SpriteCount) * 7 + INT(_xlpm.r / 16) + 1,
    MOD(_xlpm.r, 16) + 1
  )
)</f>
        <v>45</v>
      </c>
      <c r="L98" t="str" cm="1">
        <f t="array" ref="L98">_xlfn.LET(
  _xlpm.idx, (ROW()-3)*16 + L$1,
  _xlpm.r, MOD(_xlpm.idx, SpriteCount),
  INDEX(
    sprite_data.asm!$B$3:$Q$156,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sprite_data.asm!$B$3:$Q$156,
    INT(_xlpm.idx / SpriteCount) * 7 + INT(_xlpm.r / 16) + 1,
    MOD(_xlpm.r, 16) + 1
  )
)</f>
        <v>01</v>
      </c>
      <c r="N98" t="str" cm="1">
        <f t="array" ref="N98">_xlfn.LET(
  _xlpm.idx, (ROW()-3)*16 + N$1,
  _xlpm.r, MOD(_xlpm.idx, SpriteCount),
  INDEX(
    sprite_data.asm!$B$3:$Q$156,
    INT(_xlpm.idx / SpriteCount) * 7 + INT(_xlpm.r / 16) + 1,
    MOD(_xlpm.r, 16) + 1
  )
)</f>
        <v>51</v>
      </c>
      <c r="O98" t="str" cm="1">
        <f t="array" ref="O98">_xlfn.LET(
  _xlpm.idx, (ROW()-3)*16 + O$1,
  _xlpm.r, MOD(_xlpm.idx, SpriteCount),
  INDEX(
    sprite_data.asm!$B$3:$Q$156,
    INT(_xlpm.idx / SpriteCount) * 7 + INT(_xlpm.r / 16) + 1,
    MOD(_xlpm.r, 16) + 1
  )
)</f>
        <v>45</v>
      </c>
      <c r="P98" t="str" cm="1">
        <f t="array" ref="P98">_xlfn.LET(
  _xlpm.idx, (ROW()-3)*16 + P$1,
  _xlpm.r, MOD(_xlpm.idx, SpriteCount),
  INDEX(
    sprite_data.asm!$B$3:$Q$156,
    INT(_xlpm.idx / SpriteCount) * 7 + INT(_xlpm.r / 16) + 1,
    MOD(_xlpm.r, 16) + 1
  )
)</f>
        <v>14</v>
      </c>
      <c r="Q98" t="str" cm="1">
        <f t="array" ref="Q98">_xlfn.LET(
  _xlpm.idx, (ROW()-3)*16 + Q$1,
  _xlpm.r, MOD(_xlpm.idx, SpriteCount),
  INDEX(
    sprite_data.asm!$B$3:$Q$156,
    INT(_xlpm.idx / SpriteCount) * 7 + INT(_xlpm.r / 16) + 1,
    MOD(_xlpm.r, 16) + 1
  )
)</f>
        <v>50</v>
      </c>
      <c r="R98" t="str" cm="1">
        <f t="array" ref="R98">_xlfn.LET(
  _xlpm.idx, (ROW()-3)*16 + R$1,
  _xlpm.r, MOD(_xlpm.idx, SpriteCount),
  INDEX(
    sprite_data.asm!$B$3:$Q$156,
    INT(_xlpm.idx / SpriteCount) * 7 + INT(_xlpm.r / 16) + 1,
    MOD(_xlpm.r, 16) + 1
  )
)</f>
        <v>55</v>
      </c>
    </row>
    <row r="99" spans="1:18" x14ac:dyDescent="0.45">
      <c r="A99">
        <f t="shared" si="8"/>
        <v>45824</v>
      </c>
      <c r="B99" s="32" t="str">
        <f t="shared" si="9"/>
        <v>B300</v>
      </c>
      <c r="C99" t="str" cm="1">
        <f t="array" ref="C99">_xlfn.LET(
  _xlpm.idx, (ROW()-3)*16 + C$1,
  _xlpm.r, MOD(_xlpm.idx, SpriteCount),
  INDEX(
    sprite_data.asm!$B$3:$Q$156,
    INT(_xlpm.idx / SpriteCount) * 7 + INT(_xlpm.r / 16) + 1,
    MOD(_xlpm.r, 16) + 1
  )
)</f>
        <v>05</v>
      </c>
      <c r="D99" t="str" cm="1">
        <f t="array" ref="D99">_xlfn.LET(
  _xlpm.idx, (ROW()-3)*16 + D$1,
  _xlpm.r, MOD(_xlpm.idx, SpriteCount),
  INDEX(
    sprite_data.asm!$B$3:$Q$156,
    INT(_xlpm.idx / SpriteCount) * 7 + INT(_xlpm.r / 16) + 1,
    MOD(_xlpm.r, 16) + 1
  )
)</f>
        <v>41</v>
      </c>
      <c r="E99" t="str" cm="1">
        <f t="array" ref="E99">_xlfn.LET(
  _xlpm.idx, (ROW()-3)*16 + E$1,
  _xlpm.r, MOD(_xlpm.idx, SpriteCount),
  INDEX(
    sprite_data.asm!$B$3:$Q$156,
    INT(_xlpm.idx / SpriteCount) * 7 + INT(_xlpm.r / 16) + 1,
    MOD(_xlpm.r, 16) + 1
  )
)</f>
        <v>55</v>
      </c>
      <c r="F99" t="str" cm="1">
        <f t="array" ref="F99">_xlfn.LET(
  _xlpm.idx, (ROW()-3)*16 + F$1,
  _xlpm.r, MOD(_xlpm.idx, SpriteCount),
  INDEX(
    sprite_data.asm!$B$3:$Q$156,
    INT(_xlpm.idx / SpriteCount) * 7 + INT(_xlpm.r / 16) + 1,
    MOD(_xlpm.r, 16) + 1
  )
)</f>
        <v>41</v>
      </c>
      <c r="G99" t="str" cm="1">
        <f t="array" ref="G99">_xlfn.LET(
  _xlpm.idx, (ROW()-3)*16 + G$1,
  _xlpm.r, MOD(_xlpm.idx, SpriteCount),
  INDEX(
    sprite_data.asm!$B$3:$Q$156,
    INT(_xlpm.idx / SpriteCount) * 7 + INT(_xlpm.r / 16) + 1,
    MOD(_xlpm.r, 16) + 1
  )
)</f>
        <v>05</v>
      </c>
      <c r="H99" t="str" cm="1">
        <f t="array" ref="H99">_xlfn.LET(
  _xlpm.idx, (ROW()-3)*16 + H$1,
  _xlpm.r, MOD(_xlpm.idx, SpriteCount),
  INDEX(
    sprite_data.asm!$B$3:$Q$156,
    INT(_xlpm.idx / SpriteCount) * 7 + INT(_xlpm.r / 16) + 1,
    MOD(_xlpm.r, 16) + 1
  )
)</f>
        <v>41</v>
      </c>
      <c r="I99" t="str" cm="1">
        <f t="array" ref="I99">_xlfn.LET(
  _xlpm.idx, (ROW()-3)*16 + I$1,
  _xlpm.r, MOD(_xlpm.idx, SpriteCount),
  INDEX(
    sprite_data.asm!$B$3:$Q$156,
    INT(_xlpm.idx / SpriteCount) * 7 + INT(_xlpm.r / 16) + 1,
    MOD(_xlpm.r, 16) + 1
  )
)</f>
        <v>15</v>
      </c>
      <c r="J99" t="str" cm="1">
        <f t="array" ref="J99">_xlfn.LET(
  _xlpm.idx, (ROW()-3)*16 + J$1,
  _xlpm.r, MOD(_xlpm.idx, SpriteCount),
  INDEX(
    sprite_data.asm!$B$3:$Q$156,
    INT(_xlpm.idx / SpriteCount) * 7 + INT(_xlpm.r / 16) + 1,
    MOD(_xlpm.r, 16) + 1
  )
)</f>
        <v>50</v>
      </c>
      <c r="K99" t="str" cm="1">
        <f t="array" ref="K99">_xlfn.LET(
  _xlpm.idx, (ROW()-3)*16 + K$1,
  _xlpm.r, MOD(_xlpm.idx, SpriteCount),
  INDEX(
    sprite_data.asm!$B$3:$Q$156,
    INT(_xlpm.idx / SpriteCount) * 7 + INT(_xlpm.r / 16) + 1,
    MOD(_xlpm.r, 16) + 1
  )
)</f>
        <v>14</v>
      </c>
      <c r="L99" t="str" cm="1">
        <f t="array" ref="L99">_xlfn.LET(
  _xlpm.idx, (ROW()-3)*16 + L$1,
  _xlpm.r, MOD(_xlpm.idx, SpriteCount),
  INDEX(
    sprite_data.asm!$B$3:$Q$156,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sprite_data.asm!$B$3:$Q$156,
    INT(_xlpm.idx / SpriteCount) * 7 + INT(_xlpm.r / 16) + 1,
    MOD(_xlpm.r, 16) + 1
  )
)</f>
        <v>45</v>
      </c>
      <c r="N99" t="str" cm="1">
        <f t="array" ref="N99">_xlfn.LET(
  _xlpm.idx, (ROW()-3)*16 + N$1,
  _xlpm.r, MOD(_xlpm.idx, SpriteCount),
  INDEX(
    sprite_data.asm!$B$3:$Q$156,
    INT(_xlpm.idx / SpriteCount) * 7 + INT(_xlpm.r / 16) + 1,
    MOD(_xlpm.r, 16) + 1
  )
)</f>
        <v>55</v>
      </c>
      <c r="O99" t="str" cm="1">
        <f t="array" ref="O99">_xlfn.LET(
  _xlpm.idx, (ROW()-3)*16 + O$1,
  _xlpm.r, MOD(_xlpm.idx, SpriteCount),
  INDEX(
    sprite_data.asm!$B$3:$Q$156,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sprite_data.asm!$B$3:$Q$156,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sprite_data.asm!$B$3:$Q$156,
    INT(_xlpm.idx / SpriteCount) * 7 + INT(_xlpm.r / 16) + 1,
    MOD(_xlpm.r, 16) + 1
  )
)</f>
        <v>14</v>
      </c>
      <c r="R99" t="str" cm="1">
        <f t="array" ref="R99">_xlfn.LET(
  _xlpm.idx, (ROW()-3)*16 + R$1,
  _xlpm.r, MOD(_xlpm.idx, SpriteCount),
  INDEX(
    sprite_data.asm!$B$3:$Q$156,
    INT(_xlpm.idx / SpriteCount) * 7 + INT(_xlpm.r / 16) + 1,
    MOD(_xlpm.r, 16) + 1
  )
)</f>
        <v>50</v>
      </c>
    </row>
    <row r="100" spans="1:18" x14ac:dyDescent="0.45">
      <c r="A100">
        <f t="shared" si="8"/>
        <v>45840</v>
      </c>
      <c r="B100" s="32" t="str">
        <f t="shared" si="9"/>
        <v>B310</v>
      </c>
      <c r="C100" t="str" cm="1">
        <f t="array" ref="C100">_xlfn.LET(
  _xlpm.idx, (ROW()-3)*16 + C$1,
  _xlpm.r, MOD(_xlpm.idx, SpriteCount),
  INDEX(
    sprite_data.asm!$B$3:$Q$156,
    INT(_xlpm.idx / SpriteCount) * 7 + INT(_xlpm.r / 16) + 1,
    MOD(_xlpm.r, 16) + 1
  )
)</f>
        <v>00</v>
      </c>
      <c r="D100" t="str" cm="1">
        <f t="array" ref="D100">_xlfn.LET(
  _xlpm.idx, (ROW()-3)*16 + D$1,
  _xlpm.r, MOD(_xlpm.idx, SpriteCount),
  INDEX(
    sprite_data.asm!$B$3:$Q$156,
    INT(_xlpm.idx / SpriteCount) * 7 + INT(_xlpm.r / 16) + 1,
    MOD(_xlpm.r, 16) + 1
  )
)</f>
        <v>05</v>
      </c>
      <c r="E100" t="str" cm="1">
        <f t="array" ref="E100">_xlfn.LET(
  _xlpm.idx, (ROW()-3)*16 + E$1,
  _xlpm.r, MOD(_xlpm.idx, SpriteCount),
  INDEX(
    sprite_data.asm!$B$3:$Q$156,
    INT(_xlpm.idx / SpriteCount) * 7 + INT(_xlpm.r / 16) + 1,
    MOD(_xlpm.r, 16) + 1
  )
)</f>
        <v>50</v>
      </c>
      <c r="F100" t="str" cm="1">
        <f t="array" ref="F100">_xlfn.LET(
  _xlpm.idx, (ROW()-3)*16 + F$1,
  _xlpm.r, MOD(_xlpm.idx, SpriteCount),
  INDEX(
    sprite_data.asm!$B$3:$Q$156,
    INT(_xlpm.idx / SpriteCount) * 7 + INT(_xlpm.r / 16) + 1,
    MOD(_xlpm.r, 16) + 1
  )
)</f>
        <v>04</v>
      </c>
      <c r="G100" t="str" cm="1">
        <f t="array" ref="G100">_xlfn.LET(
  _xlpm.idx, (ROW()-3)*16 + G$1,
  _xlpm.r, MOD(_xlpm.idx, SpriteCount),
  INDEX(
    sprite_data.asm!$B$3:$Q$156,
    INT(_xlpm.idx / SpriteCount) * 7 + INT(_xlpm.r / 16) + 1,
    MOD(_xlpm.r, 16) + 1
  )
)</f>
        <v>55</v>
      </c>
      <c r="H100" t="str" cm="1">
        <f t="array" ref="H100">_xlfn.LET(
  _xlpm.idx, (ROW()-3)*16 + H$1,
  _xlpm.r, MOD(_xlpm.idx, SpriteCount),
  INDEX(
    sprite_data.asm!$B$3:$Q$156,
    INT(_xlpm.idx / SpriteCount) * 7 + INT(_xlpm.r / 16) + 1,
    MOD(_xlpm.r, 16) + 1
  )
)</f>
        <v>05</v>
      </c>
      <c r="I100" t="str" cm="1">
        <f t="array" ref="I100">_xlfn.LET(
  _xlpm.idx, (ROW()-3)*16 + I$1,
  _xlpm.r, MOD(_xlpm.idx, SpriteCount),
  INDEX(
    sprite_data.asm!$B$3:$Q$156,
    INT(_xlpm.idx / SpriteCount) * 7 + INT(_xlpm.r / 16) + 1,
    MOD(_xlpm.r, 16) + 1
  )
)</f>
        <v>00</v>
      </c>
      <c r="J100" t="str" cm="1">
        <f t="array" ref="J100">_xlfn.LET(
  _xlpm.idx, (ROW()-3)*16 + J$1,
  _xlpm.r, MOD(_xlpm.idx, SpriteCount),
  INDEX(
    sprite_data.asm!$B$3:$Q$156,
    INT(_xlpm.idx / SpriteCount) * 7 + INT(_xlpm.r / 16) + 1,
    MOD(_xlpm.r, 16) + 1
  )
)</f>
        <v>01</v>
      </c>
      <c r="K100" t="str" cm="1">
        <f t="array" ref="K100">_xlfn.LET(
  _xlpm.idx, (ROW()-3)*16 + K$1,
  _xlpm.r, MOD(_xlpm.idx, SpriteCount),
  INDEX(
    sprite_data.asm!$B$3:$Q$156,
    INT(_xlpm.idx / SpriteCount) * 7 + INT(_xlpm.r / 16) + 1,
    MOD(_xlpm.r, 16) + 1
  )
)</f>
        <v>00</v>
      </c>
      <c r="L100" t="str" cm="1">
        <f t="array" ref="L100">_xlfn.LET(
  _xlpm.idx, (ROW()-3)*16 + L$1,
  _xlpm.r, MOD(_xlpm.idx, SpriteCount),
  INDEX(
    sprite_data.asm!$B$3:$Q$156,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sprite_data.asm!$B$3:$Q$156,
    INT(_xlpm.idx / SpriteCount) * 7 + INT(_xlpm.r / 16) + 1,
    MOD(_xlpm.r, 16) + 1
  )
)</f>
        <v>02</v>
      </c>
      <c r="N100" t="str" cm="1">
        <f t="array" ref="N100">_xlfn.LET(
  _xlpm.idx, (ROW()-3)*16 + N$1,
  _xlpm.r, MOD(_xlpm.idx, SpriteCount),
  INDEX(
    sprite_data.asm!$B$3:$Q$156,
    INT(_xlpm.idx / SpriteCount) * 7 + INT(_xlpm.r / 16) + 1,
    MOD(_xlpm.r, 16) + 1
  )
)</f>
        <v>03</v>
      </c>
      <c r="O100" t="str" cm="1">
        <f t="array" ref="O100">_xlfn.LET(
  _xlpm.idx, (ROW()-3)*16 + O$1,
  _xlpm.r, MOD(_xlpm.idx, SpriteCount),
  INDEX(
    sprite_data.asm!$B$3:$Q$156,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sprite_data.asm!$B$3:$Q$156,
    INT(_xlpm.idx / SpriteCount) * 7 + INT(_xlpm.r / 16) + 1,
    MOD(_xlpm.r, 16) + 1
  )
)</f>
        <v>00</v>
      </c>
      <c r="Q100" t="str" cm="1">
        <f t="array" ref="Q100">_xlfn.LET(
  _xlpm.idx, (ROW()-3)*16 + Q$1,
  _xlpm.r, MOD(_xlpm.idx, SpriteCount),
  INDEX(
    sprite_data.asm!$B$3:$Q$156,
    INT(_xlpm.idx / SpriteCount) * 7 + INT(_xlpm.r / 16) + 1,
    MOD(_xlpm.r, 16) + 1
  )
)</f>
        <v>03</v>
      </c>
      <c r="R100" t="str" cm="1">
        <f t="array" ref="R100">_xlfn.LET(
  _xlpm.idx, (ROW()-3)*16 + R$1,
  _xlpm.r, MOD(_xlpm.idx, SpriteCount),
  INDEX(
    sprite_data.asm!$B$3:$Q$156,
    INT(_xlpm.idx / SpriteCount) * 7 + INT(_xlpm.r / 16) + 1,
    MOD(_xlpm.r, 16) + 1
  )
)</f>
        <v>01</v>
      </c>
    </row>
    <row r="101" spans="1:18" x14ac:dyDescent="0.45">
      <c r="A101">
        <f t="shared" si="8"/>
        <v>45856</v>
      </c>
      <c r="B101" s="32" t="str">
        <f t="shared" si="9"/>
        <v>B320</v>
      </c>
      <c r="C101" t="str" cm="1">
        <f t="array" ref="C101">_xlfn.LET(
  _xlpm.idx, (ROW()-3)*16 + C$1,
  _xlpm.r, MOD(_xlpm.idx, SpriteCount),
  INDEX(
    sprite_data.asm!$B$3:$Q$156,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sprite_data.asm!$B$3:$Q$156,
    INT(_xlpm.idx / SpriteCount) * 7 + INT(_xlpm.r / 16) + 1,
    MOD(_xlpm.r, 16) + 1
  )
)</f>
        <v>00</v>
      </c>
      <c r="E101" t="str" cm="1">
        <f t="array" ref="E101">_xlfn.LET(
  _xlpm.idx, (ROW()-3)*16 + E$1,
  _xlpm.r, MOD(_xlpm.idx, SpriteCount),
  INDEX(
    sprite_data.asm!$B$3:$Q$156,
    INT(_xlpm.idx / SpriteCount) * 7 + INT(_xlpm.r / 16) + 1,
    MOD(_xlpm.r, 16) + 1
  )
)</f>
        <v>07</v>
      </c>
      <c r="F101" t="str" cm="1">
        <f t="array" ref="F101">_xlfn.LET(
  _xlpm.idx, (ROW()-3)*16 + F$1,
  _xlpm.r, MOD(_xlpm.idx, SpriteCount),
  INDEX(
    sprite_data.asm!$B$3:$Q$156,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sprite_data.asm!$B$3:$Q$156,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sprite_data.asm!$B$3:$Q$156,
    INT(_xlpm.idx / SpriteCount) * 7 + INT(_xlpm.r / 16) + 1,
    MOD(_xlpm.r, 16) + 1
  )
)</f>
        <v>00</v>
      </c>
      <c r="I101" t="str" cm="1">
        <f t="array" ref="I101">_xlfn.LET(
  _xlpm.idx, (ROW()-3)*16 + I$1,
  _xlpm.r, MOD(_xlpm.idx, SpriteCount),
  INDEX(
    sprite_data.asm!$B$3:$Q$156,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sprite_data.asm!$B$3:$Q$156,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sprite_data.asm!$B$3:$Q$156,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sprite_data.asm!$B$3:$Q$156,
    INT(_xlpm.idx / SpriteCount) * 7 + INT(_xlpm.r / 16) + 1,
    MOD(_xlpm.r, 16) + 1
  )
)</f>
        <v>01</v>
      </c>
      <c r="M101" t="str" cm="1">
        <f t="array" ref="M101">_xlfn.LET(
  _xlpm.idx, (ROW()-3)*16 + M$1,
  _xlpm.r, MOD(_xlpm.idx, SpriteCount),
  INDEX(
    sprite_data.asm!$B$3:$Q$156,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sprite_data.asm!$B$3:$Q$156,
    INT(_xlpm.idx / SpriteCount) * 7 + INT(_xlpm.r / 16) + 1,
    MOD(_xlpm.r, 16) + 1
  )
)</f>
        <v>00</v>
      </c>
      <c r="O101" t="str" cm="1">
        <f t="array" ref="O101">_xlfn.LET(
  _xlpm.idx, (ROW()-3)*16 + O$1,
  _xlpm.r, MOD(_xlpm.idx, SpriteCount),
  INDEX(
    sprite_data.asm!$B$3:$Q$156,
    INT(_xlpm.idx / SpriteCount) * 7 + INT(_xlpm.r / 16) + 1,
    MOD(_xlpm.r, 16) + 1
  )
)</f>
        <v>01</v>
      </c>
      <c r="P101" t="str" cm="1">
        <f t="array" ref="P101">_xlfn.LET(
  _xlpm.idx, (ROW()-3)*16 + P$1,
  _xlpm.r, MOD(_xlpm.idx, SpriteCount),
  INDEX(
    sprite_data.asm!$B$3:$Q$156,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sprite_data.asm!$B$3:$Q$156,
    INT(_xlpm.idx / SpriteCount) * 7 + INT(_xlpm.r / 16) + 1,
    MOD(_xlpm.r, 16) + 1
  )
)</f>
        <v>00</v>
      </c>
      <c r="R101" t="str" cm="1">
        <f t="array" ref="R101">_xlfn.LET(
  _xlpm.idx, (ROW()-3)*16 + R$1,
  _xlpm.r, MOD(_xlpm.idx, SpriteCount),
  INDEX(
    sprite_data.asm!$B$3:$Q$156,
    INT(_xlpm.idx / SpriteCount) * 7 + INT(_xlpm.r / 16) + 1,
    MOD(_xlpm.r, 16) + 1
  )
)</f>
        <v>00</v>
      </c>
    </row>
    <row r="102" spans="1:18" x14ac:dyDescent="0.45">
      <c r="A102">
        <f t="shared" si="8"/>
        <v>45872</v>
      </c>
      <c r="B102" s="32" t="str">
        <f t="shared" si="9"/>
        <v>B330</v>
      </c>
      <c r="C102" t="str" cm="1">
        <f t="array" ref="C102">_xlfn.LET(
  _xlpm.idx, (ROW()-3)*16 + C$1,
  _xlpm.r, MOD(_xlpm.idx, SpriteCount),
  INDEX(
    sprite_data.asm!$B$3:$Q$156,
    INT(_xlpm.idx / SpriteCount) * 7 + INT(_xlpm.r / 16) + 1,
    MOD(_xlpm.r, 16) + 1
  )
)</f>
        <v>03</v>
      </c>
      <c r="D102" t="str" cm="1">
        <f t="array" ref="D102">_xlfn.LET(
  _xlpm.idx, (ROW()-3)*16 + D$1,
  _xlpm.r, MOD(_xlpm.idx, SpriteCount),
  INDEX(
    sprite_data.asm!$B$3:$Q$156,
    INT(_xlpm.idx / SpriteCount) * 7 + INT(_xlpm.r / 16) + 1,
    MOD(_xlpm.r, 16) + 1
  )
)</f>
        <v>01</v>
      </c>
      <c r="E102" t="str" cm="1">
        <f t="array" ref="E102">_xlfn.LET(
  _xlpm.idx, (ROW()-3)*16 + E$1,
  _xlpm.r, MOD(_xlpm.idx, SpriteCount),
  INDEX(
    sprite_data.asm!$B$3:$Q$156,
    INT(_xlpm.idx / SpriteCount) * 7 + INT(_xlpm.r / 16) + 1,
    MOD(_xlpm.r, 16) + 1
  )
)</f>
        <v>00</v>
      </c>
      <c r="F102" t="str" cm="1">
        <f t="array" ref="F102">_xlfn.LET(
  _xlpm.idx, (ROW()-3)*16 + F$1,
  _xlpm.r, MOD(_xlpm.idx, SpriteCount),
  INDEX(
    sprite_data.asm!$B$3:$Q$156,
    INT(_xlpm.idx / SpriteCount) * 7 + INT(_xlpm.r / 16) + 1,
    MOD(_xlpm.r, 16) + 1
  )
)</f>
        <v>04</v>
      </c>
      <c r="G102" t="str" cm="1">
        <f t="array" ref="G102">_xlfn.LET(
  _xlpm.idx, (ROW()-3)*16 + G$1,
  _xlpm.r, MOD(_xlpm.idx, SpriteCount),
  INDEX(
    sprite_data.asm!$B$3:$Q$156,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sprite_data.asm!$B$3:$Q$156,
    INT(_xlpm.idx / SpriteCount) * 7 + INT(_xlpm.r / 16) + 1,
    MOD(_xlpm.r, 16) + 1
  )
)</f>
        <v>00</v>
      </c>
      <c r="I102" t="str" cm="1">
        <f t="array" ref="I102">_xlfn.LET(
  _xlpm.idx, (ROW()-3)*16 + I$1,
  _xlpm.r, MOD(_xlpm.idx, SpriteCount),
  INDEX(
    sprite_data.asm!$B$3:$Q$156,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sprite_data.asm!$B$3:$Q$156,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sprite_data.asm!$B$3:$Q$156,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sprite_data.asm!$B$3:$Q$156,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sprite_data.asm!$B$3:$Q$156,
    INT(_xlpm.idx / SpriteCount) * 7 + INT(_xlpm.r / 16) + 1,
    MOD(_xlpm.r, 16) + 1
  )
)</f>
        <v>02</v>
      </c>
      <c r="N102" t="str" cm="1">
        <f t="array" ref="N102">_xlfn.LET(
  _xlpm.idx, (ROW()-3)*16 + N$1,
  _xlpm.r, MOD(_xlpm.idx, SpriteCount),
  INDEX(
    sprite_data.asm!$B$3:$Q$156,
    INT(_xlpm.idx / SpriteCount) * 7 + INT(_xlpm.r / 16) + 1,
    MOD(_xlpm.r, 16) + 1
  )
)</f>
        <v>01</v>
      </c>
      <c r="O102" t="str" cm="1">
        <f t="array" ref="O102">_xlfn.LET(
  _xlpm.idx, (ROW()-3)*16 + O$1,
  _xlpm.r, MOD(_xlpm.idx, SpriteCount),
  INDEX(
    sprite_data.asm!$B$3:$Q$156,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sprite_data.asm!$B$3:$Q$156,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sprite_data.asm!$B$3:$Q$156,
    INT(_xlpm.idx / SpriteCount) * 7 + INT(_xlpm.r / 16) + 1,
    MOD(_xlpm.r, 16) + 1
  )
)</f>
        <v>00</v>
      </c>
      <c r="R102" t="str" cm="1">
        <f t="array" ref="R102">_xlfn.LET(
  _xlpm.idx, (ROW()-3)*16 + R$1,
  _xlpm.r, MOD(_xlpm.idx, SpriteCount),
  INDEX(
    sprite_data.asm!$B$3:$Q$156,
    INT(_xlpm.idx / SpriteCount) * 7 + INT(_xlpm.r / 16) + 1,
    MOD(_xlpm.r, 16) + 1
  )
)</f>
        <v>00</v>
      </c>
    </row>
    <row r="103" spans="1:18" x14ac:dyDescent="0.45">
      <c r="A103">
        <f t="shared" si="8"/>
        <v>45888</v>
      </c>
      <c r="B103" s="32" t="str">
        <f t="shared" si="9"/>
        <v>B340</v>
      </c>
      <c r="C103" t="str" cm="1">
        <f t="array" ref="C103">_xlfn.LET(
  _xlpm.idx, (ROW()-3)*16 + C$1,
  _xlpm.r, MOD(_xlpm.idx, SpriteCount),
  INDEX(
    sprite_data.asm!$B$3:$Q$156,
    INT(_xlpm.idx / SpriteCount) * 7 + INT(_xlpm.r / 16) + 1,
    MOD(_xlpm.r, 16) + 1
  )
)</f>
        <v>00</v>
      </c>
      <c r="D103" t="str" cm="1">
        <f t="array" ref="D103">_xlfn.LET(
  _xlpm.idx, (ROW()-3)*16 + D$1,
  _xlpm.r, MOD(_xlpm.idx, SpriteCount),
  INDEX(
    sprite_data.asm!$B$3:$Q$156,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sprite_data.asm!$B$3:$Q$156,
    INT(_xlpm.idx / SpriteCount) * 7 + INT(_xlpm.r / 16) + 1,
    MOD(_xlpm.r, 16) + 1
  )
)</f>
        <v>01</v>
      </c>
      <c r="F103" t="str" cm="1">
        <f t="array" ref="F103">_xlfn.LET(
  _xlpm.idx, (ROW()-3)*16 + F$1,
  _xlpm.r, MOD(_xlpm.idx, SpriteCount),
  INDEX(
    sprite_data.asm!$B$3:$Q$156,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sprite_data.asm!$B$3:$Q$156,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sprite_data.asm!$B$3:$Q$156,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sprite_data.asm!$B$3:$Q$156,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sprite_data.asm!$B$3:$Q$156,
    INT(_xlpm.idx / SpriteCount) * 7 + INT(_xlpm.r / 16) + 1,
    MOD(_xlpm.r, 16) + 1
  )
)</f>
        <v>00</v>
      </c>
      <c r="K103" t="str" cm="1">
        <f t="array" ref="K103">_xlfn.LET(
  _xlpm.idx, (ROW()-3)*16 + K$1,
  _xlpm.r, MOD(_xlpm.idx, SpriteCount),
  INDEX(
    sprite_data.asm!$B$3:$Q$156,
    INT(_xlpm.idx / SpriteCount) * 7 + INT(_xlpm.r / 16) + 1,
    MOD(_xlpm.r, 16) + 1
  )
)</f>
        <v>01</v>
      </c>
      <c r="L103" t="str" cm="1">
        <f t="array" ref="L103">_xlfn.LET(
  _xlpm.idx, (ROW()-3)*16 + L$1,
  _xlpm.r, MOD(_xlpm.idx, SpriteCount),
  INDEX(
    sprite_data.asm!$B$3:$Q$156,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sprite_data.asm!$B$3:$Q$156,
    INT(_xlpm.idx / SpriteCount) * 7 + INT(_xlpm.r / 16) + 1,
    MOD(_xlpm.r, 16) + 1
  )
)</f>
        <v>00</v>
      </c>
      <c r="N103" t="str" cm="1">
        <f t="array" ref="N103">_xlfn.LET(
  _xlpm.idx, (ROW()-3)*16 + N$1,
  _xlpm.r, MOD(_xlpm.idx, SpriteCount),
  INDEX(
    sprite_data.asm!$B$3:$Q$156,
    INT(_xlpm.idx / SpriteCount) * 7 + INT(_xlpm.r / 16) + 1,
    MOD(_xlpm.r, 16) + 1
  )
)</f>
        <v>01</v>
      </c>
      <c r="O103" t="str" cm="1">
        <f t="array" ref="O103">_xlfn.LET(
  _xlpm.idx, (ROW()-3)*16 + O$1,
  _xlpm.r, MOD(_xlpm.idx, SpriteCount),
  INDEX(
    sprite_data.asm!$B$3:$Q$156,
    INT(_xlpm.idx / SpriteCount) * 7 + INT(_xlpm.r / 16) + 1,
    MOD(_xlpm.r, 16) + 1
  )
)</f>
        <v>00</v>
      </c>
      <c r="P103" t="str" cm="1">
        <f t="array" ref="P103">_xlfn.LET(
  _xlpm.idx, (ROW()-3)*16 + P$1,
  _xlpm.r, MOD(_xlpm.idx, SpriteCount),
  INDEX(
    sprite_data.asm!$B$3:$Q$156,
    INT(_xlpm.idx / SpriteCount) * 7 + INT(_xlpm.r / 16) + 1,
    MOD(_xlpm.r, 16) + 1
  )
)</f>
        <v>03</v>
      </c>
      <c r="Q103" t="str" cm="1">
        <f t="array" ref="Q103">_xlfn.LET(
  _xlpm.idx, (ROW()-3)*16 + Q$1,
  _xlpm.r, MOD(_xlpm.idx, SpriteCount),
  INDEX(
    sprite_data.asm!$B$3:$Q$156,
    INT(_xlpm.idx / SpriteCount) * 7 + INT(_xlpm.r / 16) + 1,
    MOD(_xlpm.r, 16) + 1
  )
)</f>
        <v>00</v>
      </c>
      <c r="R103" t="str" cm="1">
        <f t="array" ref="R103">_xlfn.LET(
  _xlpm.idx, (ROW()-3)*16 + R$1,
  _xlpm.r, MOD(_xlpm.idx, SpriteCount),
  INDEX(
    sprite_data.asm!$B$3:$Q$156,
    INT(_xlpm.idx / SpriteCount) * 7 + INT(_xlpm.r / 16) + 1,
    MOD(_xlpm.r, 16) + 1
  )
)</f>
        <v>00</v>
      </c>
    </row>
    <row r="104" spans="1:18" x14ac:dyDescent="0.45">
      <c r="A104">
        <f t="shared" si="8"/>
        <v>45904</v>
      </c>
      <c r="B104" s="32" t="str">
        <f t="shared" si="9"/>
        <v>B350</v>
      </c>
      <c r="C104" t="str" cm="1">
        <f t="array" ref="C104">_xlfn.LET(
  _xlpm.idx, (ROW()-3)*16 + C$1,
  _xlpm.r, MOD(_xlpm.idx, SpriteCount),
  INDEX(
    sprite_data.asm!$B$3:$Q$156,
    INT(_xlpm.idx / SpriteCount) * 7 + INT(_xlpm.r / 16) + 1,
    MOD(_xlpm.r, 16) + 1
  )
)</f>
        <v>02</v>
      </c>
      <c r="D104" t="str" cm="1">
        <f t="array" ref="D104">_xlfn.LET(
  _xlpm.idx, (ROW()-3)*16 + D$1,
  _xlpm.r, MOD(_xlpm.idx, SpriteCount),
  INDEX(
    sprite_data.asm!$B$3:$Q$156,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sprite_data.asm!$B$3:$Q$156,
    INT(_xlpm.idx / SpriteCount) * 7 + INT(_xlpm.r / 16) + 1,
    MOD(_xlpm.r, 16) + 1
  )
)</f>
        <v>00</v>
      </c>
      <c r="F104" t="str" cm="1">
        <f t="array" ref="F104">_xlfn.LET(
  _xlpm.idx, (ROW()-3)*16 + F$1,
  _xlpm.r, MOD(_xlpm.idx, SpriteCount),
  INDEX(
    sprite_data.asm!$B$3:$Q$156,
    INT(_xlpm.idx / SpriteCount) * 7 + INT(_xlpm.r / 16) + 1,
    MOD(_xlpm.r, 16) + 1
  )
)</f>
        <v>01</v>
      </c>
      <c r="G104" t="str" cm="1">
        <f t="array" ref="G104">_xlfn.LET(
  _xlpm.idx, (ROW()-3)*16 + G$1,
  _xlpm.r, MOD(_xlpm.idx, SpriteCount),
  INDEX(
    sprite_data.asm!$B$3:$Q$156,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sprite_data.asm!$B$3:$Q$156,
    INT(_xlpm.idx / SpriteCount) * 7 + INT(_xlpm.r / 16) + 1,
    MOD(_xlpm.r, 16) + 1
  )
)</f>
        <v>00</v>
      </c>
      <c r="I104" t="str" cm="1">
        <f t="array" ref="I104">_xlfn.LET(
  _xlpm.idx, (ROW()-3)*16 + I$1,
  _xlpm.r, MOD(_xlpm.idx, SpriteCount),
  INDEX(
    sprite_data.asm!$B$3:$Q$156,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sprite_data.asm!$B$3:$Q$156,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sprite_data.asm!$B$3:$Q$156,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sprite_data.asm!$B$3:$Q$156,
    INT(_xlpm.idx / SpriteCount) * 7 + INT(_xlpm.r / 16) + 1,
    MOD(_xlpm.r, 16) + 1
  )
)</f>
        <v>01</v>
      </c>
      <c r="M104" t="str" cm="1">
        <f t="array" ref="M104">_xlfn.LET(
  _xlpm.idx, (ROW()-3)*16 + M$1,
  _xlpm.r, MOD(_xlpm.idx, SpriteCount),
  INDEX(
    sprite_data.asm!$B$3:$Q$156,
    INT(_xlpm.idx / SpriteCount) * 7 + INT(_xlpm.r / 16) + 1,
    MOD(_xlpm.r, 16) + 1
  )
)</f>
        <v>00</v>
      </c>
      <c r="N104" t="str" cm="1">
        <f t="array" ref="N104">_xlfn.LET(
  _xlpm.idx, (ROW()-3)*16 + N$1,
  _xlpm.r, MOD(_xlpm.idx, SpriteCount),
  INDEX(
    sprite_data.asm!$B$3:$Q$156,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sprite_data.asm!$B$3:$Q$156,
    INT(_xlpm.idx / SpriteCount) * 7 + INT(_xlpm.r / 16) + 1,
    MOD(_xlpm.r, 16) + 1
  )
)</f>
        <v>01</v>
      </c>
      <c r="P104" t="str" cm="1">
        <f t="array" ref="P104">_xlfn.LET(
  _xlpm.idx, (ROW()-3)*16 + P$1,
  _xlpm.r, MOD(_xlpm.idx, SpriteCount),
  INDEX(
    sprite_data.asm!$B$3:$Q$156,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sprite_data.asm!$B$3:$Q$156,
    INT(_xlpm.idx / SpriteCount) * 7 + INT(_xlpm.r / 16) + 1,
    MOD(_xlpm.r, 16) + 1
  )
)</f>
        <v>00</v>
      </c>
      <c r="R104" t="str" cm="1">
        <f t="array" ref="R104">_xlfn.LET(
  _xlpm.idx, (ROW()-3)*16 + R$1,
  _xlpm.r, MOD(_xlpm.idx, SpriteCount),
  INDEX(
    sprite_data.asm!$B$3:$Q$156,
    INT(_xlpm.idx / SpriteCount) * 7 + INT(_xlpm.r / 16) + 1,
    MOD(_xlpm.r, 16) + 1
  )
)</f>
        <v>00</v>
      </c>
    </row>
    <row r="105" spans="1:18" x14ac:dyDescent="0.45">
      <c r="A105">
        <f t="shared" si="8"/>
        <v>45920</v>
      </c>
      <c r="B105" s="32" t="str">
        <f t="shared" si="9"/>
        <v>B360</v>
      </c>
      <c r="C105" t="str" cm="1">
        <f t="array" ref="C105">_xlfn.LET(
  _xlpm.idx, (ROW()-3)*16 + C$1,
  _xlpm.r, MOD(_xlpm.idx, SpriteCount),
  INDEX(
    sprite_data.asm!$B$3:$Q$156,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sprite_data.asm!$B$3:$Q$156,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sprite_data.asm!$B$3:$Q$156,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sprite_data.asm!$B$3:$Q$156,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sprite_data.asm!$B$3:$Q$156,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sprite_data.asm!$B$3:$Q$156,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sprite_data.asm!$B$3:$Q$156,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sprite_data.asm!$B$3:$Q$156,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sprite_data.asm!$B$3:$Q$156,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sprite_data.asm!$B$3:$Q$156,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sprite_data.asm!$B$3:$Q$156,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sprite_data.asm!$B$3:$Q$156,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sprite_data.asm!$B$3:$Q$156,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sprite_data.asm!$B$3:$Q$156,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sprite_data.asm!$B$3:$Q$156,
    INT(_xlpm.idx / SpriteCount) * 7 + INT(_xlpm.r / 16) + 1,
    MOD(_xlpm.r, 16) + 1
  )
)</f>
        <v>00</v>
      </c>
      <c r="R105" t="str" cm="1">
        <f t="array" ref="R105">_xlfn.LET(
  _xlpm.idx, (ROW()-3)*16 + R$1,
  _xlpm.r, MOD(_xlpm.idx, SpriteCount),
  INDEX(
    sprite_data.asm!$B$3:$Q$156,
    INT(_xlpm.idx / SpriteCount) * 7 + INT(_xlpm.r / 16) + 1,
    MOD(_xlpm.r, 16) + 1
  )
)</f>
        <v>00</v>
      </c>
    </row>
    <row r="106" spans="1:18" x14ac:dyDescent="0.45">
      <c r="A106">
        <f t="shared" si="8"/>
        <v>45936</v>
      </c>
      <c r="B106" s="32" t="str">
        <f t="shared" si="9"/>
        <v>B370</v>
      </c>
      <c r="C106" t="str" cm="1">
        <f t="array" ref="C106">_xlfn.LET(
  _xlpm.idx, (ROW()-3)*16 + C$1,
  _xlpm.r, MOD(_xlpm.idx, SpriteCount),
  INDEX(
    sprite_data.asm!$B$3:$Q$156,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sprite_data.asm!$B$3:$Q$156,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sprite_data.asm!$B$3:$Q$156,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sprite_data.asm!$B$3:$Q$156,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sprite_data.asm!$B$3:$Q$156,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sprite_data.asm!$B$3:$Q$156,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sprite_data.asm!$B$3:$Q$156,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sprite_data.asm!$B$3:$Q$156,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sprite_data.asm!$B$3:$Q$156,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sprite_data.asm!$B$3:$Q$156,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sprite_data.asm!$B$3:$Q$156,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sprite_data.asm!$B$3:$Q$156,
    INT(_xlpm.idx / SpriteCount) * 7 + INT(_xlpm.r / 16) + 1,
    MOD(_xlpm.r, 16) + 1
  )
)</f>
        <v>00</v>
      </c>
      <c r="O106" t="str" cm="1">
        <f t="array" ref="O106">_xlfn.LET(
  _xlpm.idx, (ROW()-3)*16 + O$1,
  _xlpm.r, MOD(_xlpm.idx, SpriteCount),
  INDEX(
    sprite_data.asm!$B$3:$Q$156,
    INT(_xlpm.idx / SpriteCount) * 7 + INT(_xlpm.r / 16) + 1,
    MOD(_xlpm.r, 16) + 1
  )
)</f>
        <v>02</v>
      </c>
      <c r="P106" t="str" cm="1">
        <f t="array" ref="P106">_xlfn.LET(
  _xlpm.idx, (ROW()-3)*16 + P$1,
  _xlpm.r, MOD(_xlpm.idx, SpriteCount),
  INDEX(
    sprite_data.asm!$B$3:$Q$156,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sprite_data.asm!$B$3:$Q$156,
    INT(_xlpm.idx / SpriteCount) * 7 + INT(_xlpm.r / 16) + 1,
    MOD(_xlpm.r, 16) + 1
  )
)</f>
        <v>00</v>
      </c>
      <c r="R106" t="str" cm="1">
        <f t="array" ref="R106">_xlfn.LET(
  _xlpm.idx, (ROW()-3)*16 + R$1,
  _xlpm.r, MOD(_xlpm.idx, SpriteCount),
  INDEX(
    sprite_data.asm!$B$3:$Q$156,
    INT(_xlpm.idx / SpriteCount) * 7 + INT(_xlpm.r / 16) + 1,
    MOD(_xlpm.r, 16) + 1
  )
)</f>
        <v>00</v>
      </c>
    </row>
    <row r="107" spans="1:18" x14ac:dyDescent="0.45">
      <c r="A107">
        <f t="shared" si="8"/>
        <v>45952</v>
      </c>
      <c r="B107" s="32" t="str">
        <f t="shared" si="9"/>
        <v>B380</v>
      </c>
      <c r="C107" t="str" cm="1">
        <f t="array" ref="C107">_xlfn.LET(
  _xlpm.idx, (ROW()-3)*16 + C$1,
  _xlpm.r, MOD(_xlpm.idx, SpriteCount),
  INDEX(
    sprite_data.asm!$B$3:$Q$156,
    INT(_xlpm.idx / SpriteCount) * 7 + INT(_xlpm.r / 16) + 1,
    MOD(_xlpm.r, 16) + 1
  )
)</f>
        <v>00</v>
      </c>
      <c r="D107" t="str" cm="1">
        <f t="array" ref="D107">_xlfn.LET(
  _xlpm.idx, (ROW()-3)*16 + D$1,
  _xlpm.r, MOD(_xlpm.idx, SpriteCount),
  INDEX(
    sprite_data.asm!$B$3:$Q$156,
    INT(_xlpm.idx / SpriteCount) * 7 + INT(_xlpm.r / 16) + 1,
    MOD(_xlpm.r, 16) + 1
  )
)</f>
        <v>51</v>
      </c>
      <c r="E107" t="str" cm="1">
        <f t="array" ref="E107">_xlfn.LET(
  _xlpm.idx, (ROW()-3)*16 + E$1,
  _xlpm.r, MOD(_xlpm.idx, SpriteCount),
  INDEX(
    sprite_data.asm!$B$3:$Q$156,
    INT(_xlpm.idx / SpriteCount) * 7 + INT(_xlpm.r / 16) + 1,
    MOD(_xlpm.r, 16) + 1
  )
)</f>
        <v>55</v>
      </c>
      <c r="F107" t="str" cm="1">
        <f t="array" ref="F107">_xlfn.LET(
  _xlpm.idx, (ROW()-3)*16 + F$1,
  _xlpm.r, MOD(_xlpm.idx, SpriteCount),
  INDEX(
    sprite_data.asm!$B$3:$Q$156,
    INT(_xlpm.idx / SpriteCount) * 7 + INT(_xlpm.r / 16) + 1,
    MOD(_xlpm.r, 16) + 1
  )
)</f>
        <v>06</v>
      </c>
      <c r="G107" t="str" cm="1">
        <f t="array" ref="G107">_xlfn.LET(
  _xlpm.idx, (ROW()-3)*16 + G$1,
  _xlpm.r, MOD(_xlpm.idx, SpriteCount),
  INDEX(
    sprite_data.asm!$B$3:$Q$156,
    INT(_xlpm.idx / SpriteCount) * 7 + INT(_xlpm.r / 16) + 1,
    MOD(_xlpm.r, 16) + 1
  )
)</f>
        <v>00</v>
      </c>
      <c r="H107" t="str" cm="1">
        <f t="array" ref="H107">_xlfn.LET(
  _xlpm.idx, (ROW()-3)*16 + H$1,
  _xlpm.r, MOD(_xlpm.idx, SpriteCount),
  INDEX(
    sprite_data.asm!$B$3:$Q$156,
    INT(_xlpm.idx / SpriteCount) * 7 + INT(_xlpm.r / 16) + 1,
    MOD(_xlpm.r, 16) + 1
  )
)</f>
        <v>55</v>
      </c>
      <c r="I107" t="str" cm="1">
        <f t="array" ref="I107">_xlfn.LET(
  _xlpm.idx, (ROW()-3)*16 + I$1,
  _xlpm.r, MOD(_xlpm.idx, SpriteCount),
  INDEX(
    sprite_data.asm!$B$3:$Q$156,
    INT(_xlpm.idx / SpriteCount) * 7 + INT(_xlpm.r / 16) + 1,
    MOD(_xlpm.r, 16) + 1
  )
)</f>
        <v>7E</v>
      </c>
      <c r="J107" t="str" cm="1">
        <f t="array" ref="J107">_xlfn.LET(
  _xlpm.idx, (ROW()-3)*16 + J$1,
  _xlpm.r, MOD(_xlpm.idx, SpriteCount),
  INDEX(
    sprite_data.asm!$B$3:$Q$156,
    INT(_xlpm.idx / SpriteCount) * 7 + INT(_xlpm.r / 16) + 1,
    MOD(_xlpm.r, 16) + 1
  )
)</f>
        <v>28</v>
      </c>
      <c r="K107" t="str" cm="1">
        <f t="array" ref="K107">_xlfn.LET(
  _xlpm.idx, (ROW()-3)*16 + K$1,
  _xlpm.r, MOD(_xlpm.idx, SpriteCount),
  INDEX(
    sprite_data.asm!$B$3:$Q$156,
    INT(_xlpm.idx / SpriteCount) * 7 + INT(_xlpm.r / 16) + 1,
    MOD(_xlpm.r, 16) + 1
  )
)</f>
        <v>58</v>
      </c>
      <c r="L107" t="str" cm="1">
        <f t="array" ref="L107">_xlfn.LET(
  _xlpm.idx, (ROW()-3)*16 + L$1,
  _xlpm.r, MOD(_xlpm.idx, SpriteCount),
  INDEX(
    sprite_data.asm!$B$3:$Q$156,
    INT(_xlpm.idx / SpriteCount) * 7 + INT(_xlpm.r / 16) + 1,
    MOD(_xlpm.r, 16) + 1
  )
)</f>
        <v>5E</v>
      </c>
      <c r="M107" t="str" cm="1">
        <f t="array" ref="M107">_xlfn.LET(
  _xlpm.idx, (ROW()-3)*16 + M$1,
  _xlpm.r, MOD(_xlpm.idx, SpriteCount),
  INDEX(
    sprite_data.asm!$B$3:$Q$156,
    INT(_xlpm.idx / SpriteCount) * 7 + INT(_xlpm.r / 16) + 1,
    MOD(_xlpm.r, 16) + 1
  )
)</f>
        <v>7F</v>
      </c>
      <c r="N107" t="str" cm="1">
        <f t="array" ref="N107">_xlfn.LET(
  _xlpm.idx, (ROW()-3)*16 + N$1,
  _xlpm.r, MOD(_xlpm.idx, SpriteCount),
  INDEX(
    sprite_data.asm!$B$3:$Q$156,
    INT(_xlpm.idx / SpriteCount) * 7 + INT(_xlpm.r / 16) + 1,
    MOD(_xlpm.r, 16) + 1
  )
)</f>
        <v>6C</v>
      </c>
      <c r="O107" t="str" cm="1">
        <f t="array" ref="O107">_xlfn.LET(
  _xlpm.idx, (ROW()-3)*16 + O$1,
  _xlpm.r, MOD(_xlpm.idx, SpriteCount),
  INDEX(
    sprite_data.asm!$B$3:$Q$156,
    INT(_xlpm.idx / SpriteCount) * 7 + INT(_xlpm.r / 16) + 1,
    MOD(_xlpm.r, 16) + 1
  )
)</f>
        <v>3C</v>
      </c>
      <c r="P107" t="str" cm="1">
        <f t="array" ref="P107">_xlfn.LET(
  _xlpm.idx, (ROW()-3)*16 + P$1,
  _xlpm.r, MOD(_xlpm.idx, SpriteCount),
  INDEX(
    sprite_data.asm!$B$3:$Q$156,
    INT(_xlpm.idx / SpriteCount) * 7 + INT(_xlpm.r / 16) + 1,
    MOD(_xlpm.r, 16) + 1
  )
)</f>
        <v>66</v>
      </c>
      <c r="Q107" t="str" cm="1">
        <f t="array" ref="Q107">_xlfn.LET(
  _xlpm.idx, (ROW()-3)*16 + Q$1,
  _xlpm.r, MOD(_xlpm.idx, SpriteCount),
  INDEX(
    sprite_data.asm!$B$3:$Q$156,
    INT(_xlpm.idx / SpriteCount) * 7 + INT(_xlpm.r / 16) + 1,
    MOD(_xlpm.r, 16) + 1
  )
)</f>
        <v>58</v>
      </c>
      <c r="R107" t="str" cm="1">
        <f t="array" ref="R107">_xlfn.LET(
  _xlpm.idx, (ROW()-3)*16 + R$1,
  _xlpm.r, MOD(_xlpm.idx, SpriteCount),
  INDEX(
    sprite_data.asm!$B$3:$Q$156,
    INT(_xlpm.idx / SpriteCount) * 7 + INT(_xlpm.r / 16) + 1,
    MOD(_xlpm.r, 16) + 1
  )
)</f>
        <v>30</v>
      </c>
    </row>
    <row r="108" spans="1:18" x14ac:dyDescent="0.45">
      <c r="A108">
        <f t="shared" si="8"/>
        <v>45968</v>
      </c>
      <c r="B108" s="32" t="str">
        <f t="shared" si="9"/>
        <v>B390</v>
      </c>
      <c r="C108" t="str" cm="1">
        <f t="array" ref="C108">_xlfn.LET(
  _xlpm.idx, (ROW()-3)*16 + C$1,
  _xlpm.r, MOD(_xlpm.idx, SpriteCount),
  INDEX(
    sprite_data.asm!$B$3:$Q$156,
    INT(_xlpm.idx / SpriteCount) * 7 + INT(_xlpm.r / 16) + 1,
    MOD(_xlpm.r, 16) + 1
  )
)</f>
        <v>70</v>
      </c>
      <c r="D108" t="str" cm="1">
        <f t="array" ref="D108">_xlfn.LET(
  _xlpm.idx, (ROW()-3)*16 + D$1,
  _xlpm.r, MOD(_xlpm.idx, SpriteCount),
  INDEX(
    sprite_data.asm!$B$3:$Q$156,
    INT(_xlpm.idx / SpriteCount) * 7 + INT(_xlpm.r / 16) + 1,
    MOD(_xlpm.r, 16) + 1
  )
)</f>
        <v>18</v>
      </c>
      <c r="E108" t="str" cm="1">
        <f t="array" ref="E108">_xlfn.LET(
  _xlpm.idx, (ROW()-3)*16 + E$1,
  _xlpm.r, MOD(_xlpm.idx, SpriteCount),
  INDEX(
    sprite_data.asm!$B$3:$Q$156,
    INT(_xlpm.idx / SpriteCount) * 7 + INT(_xlpm.r / 16) + 1,
    MOD(_xlpm.r, 16) + 1
  )
)</f>
        <v>6E</v>
      </c>
      <c r="F108" t="str" cm="1">
        <f t="array" ref="F108">_xlfn.LET(
  _xlpm.idx, (ROW()-3)*16 + F$1,
  _xlpm.r, MOD(_xlpm.idx, SpriteCount),
  INDEX(
    sprite_data.asm!$B$3:$Q$156,
    INT(_xlpm.idx / SpriteCount) * 7 + INT(_xlpm.r / 16) + 1,
    MOD(_xlpm.r, 16) + 1
  )
)</f>
        <v>6C</v>
      </c>
      <c r="G108" t="str" cm="1">
        <f t="array" ref="G108">_xlfn.LET(
  _xlpm.idx, (ROW()-3)*16 + G$1,
  _xlpm.r, MOD(_xlpm.idx, SpriteCount),
  INDEX(
    sprite_data.asm!$B$3:$Q$156,
    INT(_xlpm.idx / SpriteCount) * 7 + INT(_xlpm.r / 16) + 1,
    MOD(_xlpm.r, 16) + 1
  )
)</f>
        <v>58</v>
      </c>
      <c r="H108" t="str" cm="1">
        <f t="array" ref="H108">_xlfn.LET(
  _xlpm.idx, (ROW()-3)*16 + H$1,
  _xlpm.r, MOD(_xlpm.idx, SpriteCount),
  INDEX(
    sprite_data.asm!$B$3:$Q$156,
    INT(_xlpm.idx / SpriteCount) * 7 + INT(_xlpm.r / 16) + 1,
    MOD(_xlpm.r, 16) + 1
  )
)</f>
        <v>13</v>
      </c>
      <c r="I108" t="str" cm="1">
        <f t="array" ref="I108">_xlfn.LET(
  _xlpm.idx, (ROW()-3)*16 + I$1,
  _xlpm.r, MOD(_xlpm.idx, SpriteCount),
  INDEX(
    sprite_data.asm!$B$3:$Q$156,
    INT(_xlpm.idx / SpriteCount) * 7 + INT(_xlpm.r / 16) + 1,
    MOD(_xlpm.r, 16) + 1
  )
)</f>
        <v>36</v>
      </c>
      <c r="J108" t="str" cm="1">
        <f t="array" ref="J108">_xlfn.LET(
  _xlpm.idx, (ROW()-3)*16 + J$1,
  _xlpm.r, MOD(_xlpm.idx, SpriteCount),
  INDEX(
    sprite_data.asm!$B$3:$Q$156,
    INT(_xlpm.idx / SpriteCount) * 7 + INT(_xlpm.r / 16) + 1,
    MOD(_xlpm.r, 16) + 1
  )
)</f>
        <v>58</v>
      </c>
      <c r="K108" t="str" cm="1">
        <f t="array" ref="K108">_xlfn.LET(
  _xlpm.idx, (ROW()-3)*16 + K$1,
  _xlpm.r, MOD(_xlpm.idx, SpriteCount),
  INDEX(
    sprite_data.asm!$B$3:$Q$156,
    INT(_xlpm.idx / SpriteCount) * 7 + INT(_xlpm.r / 16) + 1,
    MOD(_xlpm.r, 16) + 1
  )
)</f>
        <v>20</v>
      </c>
      <c r="L108" t="str" cm="1">
        <f t="array" ref="L108">_xlfn.LET(
  _xlpm.idx, (ROW()-3)*16 + L$1,
  _xlpm.r, MOD(_xlpm.idx, SpriteCount),
  INDEX(
    sprite_data.asm!$B$3:$Q$156,
    INT(_xlpm.idx / SpriteCount) * 7 + INT(_xlpm.r / 16) + 1,
    MOD(_xlpm.r, 16) + 1
  )
)</f>
        <v>30</v>
      </c>
      <c r="M108" t="str" cm="1">
        <f t="array" ref="M108">_xlfn.LET(
  _xlpm.idx, (ROW()-3)*16 + M$1,
  _xlpm.r, MOD(_xlpm.idx, SpriteCount),
  INDEX(
    sprite_data.asm!$B$3:$Q$156,
    INT(_xlpm.idx / SpriteCount) * 7 + INT(_xlpm.r / 16) + 1,
    MOD(_xlpm.r, 16) + 1
  )
)</f>
        <v>6C</v>
      </c>
      <c r="N108" t="str" cm="1">
        <f t="array" ref="N108">_xlfn.LET(
  _xlpm.idx, (ROW()-3)*16 + N$1,
  _xlpm.r, MOD(_xlpm.idx, SpriteCount),
  INDEX(
    sprite_data.asm!$B$3:$Q$156,
    INT(_xlpm.idx / SpriteCount) * 7 + INT(_xlpm.r / 16) + 1,
    MOD(_xlpm.r, 16) + 1
  )
)</f>
        <v>04</v>
      </c>
      <c r="O108" t="str" cm="1">
        <f t="array" ref="O108">_xlfn.LET(
  _xlpm.idx, (ROW()-3)*16 + O$1,
  _xlpm.r, MOD(_xlpm.idx, SpriteCount),
  INDEX(
    sprite_data.asm!$B$3:$Q$156,
    INT(_xlpm.idx / SpriteCount) * 7 + INT(_xlpm.r / 16) + 1,
    MOD(_xlpm.r, 16) + 1
  )
)</f>
        <v>50</v>
      </c>
      <c r="P108" t="str" cm="1">
        <f t="array" ref="P108">_xlfn.LET(
  _xlpm.idx, (ROW()-3)*16 + P$1,
  _xlpm.r, MOD(_xlpm.idx, SpriteCount),
  INDEX(
    sprite_data.asm!$B$3:$Q$156,
    INT(_xlpm.idx / SpriteCount) * 7 + INT(_xlpm.r / 16) + 1,
    MOD(_xlpm.r, 16) + 1
  )
)</f>
        <v>04</v>
      </c>
      <c r="Q108" t="str" cm="1">
        <f t="array" ref="Q108">_xlfn.LET(
  _xlpm.idx, (ROW()-3)*16 + Q$1,
  _xlpm.r, MOD(_xlpm.idx, SpriteCount),
  INDEX(
    sprite_data.asm!$B$3:$Q$156,
    INT(_xlpm.idx / SpriteCount) * 7 + INT(_xlpm.r / 16) + 1,
    MOD(_xlpm.r, 16) + 1
  )
)</f>
        <v>00</v>
      </c>
      <c r="R108" t="str" cm="1">
        <f t="array" ref="R108">_xlfn.LET(
  _xlpm.idx, (ROW()-3)*16 + R$1,
  _xlpm.r, MOD(_xlpm.idx, SpriteCount),
  INDEX(
    sprite_data.asm!$B$3:$Q$156,
    INT(_xlpm.idx / SpriteCount) * 7 + INT(_xlpm.r / 16) + 1,
    MOD(_xlpm.r, 16) + 1
  )
)</f>
        <v>51</v>
      </c>
    </row>
    <row r="109" spans="1:18" x14ac:dyDescent="0.45">
      <c r="A109">
        <f t="shared" si="8"/>
        <v>45984</v>
      </c>
      <c r="B109" s="32" t="str">
        <f t="shared" si="9"/>
        <v>B3A0</v>
      </c>
      <c r="C109" t="str" cm="1">
        <f t="array" ref="C109">_xlfn.LET(
  _xlpm.idx, (ROW()-3)*16 + C$1,
  _xlpm.r, MOD(_xlpm.idx, SpriteCount),
  INDEX(
    sprite_data.asm!$B$3:$Q$156,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sprite_data.asm!$B$3:$Q$156,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sprite_data.asm!$B$3:$Q$156,
    INT(_xlpm.idx / SpriteCount) * 7 + INT(_xlpm.r / 16) + 1,
    MOD(_xlpm.r, 16) + 1
  )
)</f>
        <v>51</v>
      </c>
      <c r="F109" t="str" cm="1">
        <f t="array" ref="F109">_xlfn.LET(
  _xlpm.idx, (ROW()-3)*16 + F$1,
  _xlpm.r, MOD(_xlpm.idx, SpriteCount),
  INDEX(
    sprite_data.asm!$B$3:$Q$156,
    INT(_xlpm.idx / SpriteCount) * 7 + INT(_xlpm.r / 16) + 1,
    MOD(_xlpm.r, 16) + 1
  )
)</f>
        <v>01</v>
      </c>
      <c r="G109" t="str" cm="1">
        <f t="array" ref="G109">_xlfn.LET(
  _xlpm.idx, (ROW()-3)*16 + G$1,
  _xlpm.r, MOD(_xlpm.idx, SpriteCount),
  INDEX(
    sprite_data.asm!$B$3:$Q$156,
    INT(_xlpm.idx / SpriteCount) * 7 + INT(_xlpm.r / 16) + 1,
    MOD(_xlpm.r, 16) + 1
  )
)</f>
        <v>28</v>
      </c>
      <c r="H109" t="str" cm="1">
        <f t="array" ref="H109">_xlfn.LET(
  _xlpm.idx, (ROW()-3)*16 + H$1,
  _xlpm.r, MOD(_xlpm.idx, SpriteCount),
  INDEX(
    sprite_data.asm!$B$3:$Q$156,
    INT(_xlpm.idx / SpriteCount) * 7 + INT(_xlpm.r / 16) + 1,
    MOD(_xlpm.r, 16) + 1
  )
)</f>
        <v>6C</v>
      </c>
      <c r="I109" t="str" cm="1">
        <f t="array" ref="I109">_xlfn.LET(
  _xlpm.idx, (ROW()-3)*16 + I$1,
  _xlpm.r, MOD(_xlpm.idx, SpriteCount),
  INDEX(
    sprite_data.asm!$B$3:$Q$156,
    INT(_xlpm.idx / SpriteCount) * 7 + INT(_xlpm.r / 16) + 1,
    MOD(_xlpm.r, 16) + 1
  )
)</f>
        <v>12</v>
      </c>
      <c r="J109" t="str" cm="1">
        <f t="array" ref="J109">_xlfn.LET(
  _xlpm.idx, (ROW()-3)*16 + J$1,
  _xlpm.r, MOD(_xlpm.idx, SpriteCount),
  INDEX(
    sprite_data.asm!$B$3:$Q$156,
    INT(_xlpm.idx / SpriteCount) * 7 + INT(_xlpm.r / 16) + 1,
    MOD(_xlpm.r, 16) + 1
  )
)</f>
        <v>52</v>
      </c>
      <c r="K109" t="str" cm="1">
        <f t="array" ref="K109">_xlfn.LET(
  _xlpm.idx, (ROW()-3)*16 + K$1,
  _xlpm.r, MOD(_xlpm.idx, SpriteCount),
  INDEX(
    sprite_data.asm!$B$3:$Q$156,
    INT(_xlpm.idx / SpriteCount) * 7 + INT(_xlpm.r / 16) + 1,
    MOD(_xlpm.r, 16) + 1
  )
)</f>
        <v>5E</v>
      </c>
      <c r="L109" t="str" cm="1">
        <f t="array" ref="L109">_xlfn.LET(
  _xlpm.idx, (ROW()-3)*16 + L$1,
  _xlpm.r, MOD(_xlpm.idx, SpriteCount),
  INDEX(
    sprite_data.asm!$B$3:$Q$156,
    INT(_xlpm.idx / SpriteCount) * 7 + INT(_xlpm.r / 16) + 1,
    MOD(_xlpm.r, 16) + 1
  )
)</f>
        <v>70</v>
      </c>
      <c r="M109" t="str" cm="1">
        <f t="array" ref="M109">_xlfn.LET(
  _xlpm.idx, (ROW()-3)*16 + M$1,
  _xlpm.r, MOD(_xlpm.idx, SpriteCount),
  INDEX(
    sprite_data.asm!$B$3:$Q$156,
    INT(_xlpm.idx / SpriteCount) * 7 + INT(_xlpm.r / 16) + 1,
    MOD(_xlpm.r, 16) + 1
  )
)</f>
        <v>18</v>
      </c>
      <c r="N109" t="str" cm="1">
        <f t="array" ref="N109">_xlfn.LET(
  _xlpm.idx, (ROW()-3)*16 + N$1,
  _xlpm.r, MOD(_xlpm.idx, SpriteCount),
  INDEX(
    sprite_data.asm!$B$3:$Q$156,
    INT(_xlpm.idx / SpriteCount) * 7 + INT(_xlpm.r / 16) + 1,
    MOD(_xlpm.r, 16) + 1
  )
)</f>
        <v>78</v>
      </c>
      <c r="O109" t="str" cm="1">
        <f t="array" ref="O109">_xlfn.LET(
  _xlpm.idx, (ROW()-3)*16 + O$1,
  _xlpm.r, MOD(_xlpm.idx, SpriteCount),
  INDEX(
    sprite_data.asm!$B$3:$Q$156,
    INT(_xlpm.idx / SpriteCount) * 7 + INT(_xlpm.r / 16) + 1,
    MOD(_xlpm.r, 16) + 1
  )
)</f>
        <v>4C</v>
      </c>
      <c r="P109" t="str" cm="1">
        <f t="array" ref="P109">_xlfn.LET(
  _xlpm.idx, (ROW()-3)*16 + P$1,
  _xlpm.r, MOD(_xlpm.idx, SpriteCount),
  INDEX(
    sprite_data.asm!$B$3:$Q$156,
    INT(_xlpm.idx / SpriteCount) * 7 + INT(_xlpm.r / 16) + 1,
    MOD(_xlpm.r, 16) + 1
  )
)</f>
        <v>13</v>
      </c>
      <c r="Q109" t="str" cm="1">
        <f t="array" ref="Q109">_xlfn.LET(
  _xlpm.idx, (ROW()-3)*16 + Q$1,
  _xlpm.r, MOD(_xlpm.idx, SpriteCount),
  INDEX(
    sprite_data.asm!$B$3:$Q$156,
    INT(_xlpm.idx / SpriteCount) * 7 + INT(_xlpm.r / 16) + 1,
    MOD(_xlpm.r, 16) + 1
  )
)</f>
        <v>36</v>
      </c>
      <c r="R109" t="str" cm="1">
        <f t="array" ref="R109">_xlfn.LET(
  _xlpm.idx, (ROW()-3)*16 + R$1,
  _xlpm.r, MOD(_xlpm.idx, SpriteCount),
  INDEX(
    sprite_data.asm!$B$3:$Q$156,
    INT(_xlpm.idx / SpriteCount) * 7 + INT(_xlpm.r / 16) + 1,
    MOD(_xlpm.r, 16) + 1
  )
)</f>
        <v>58</v>
      </c>
    </row>
    <row r="110" spans="1:18" x14ac:dyDescent="0.45">
      <c r="A110">
        <f t="shared" si="8"/>
        <v>46000</v>
      </c>
      <c r="B110" s="32" t="str">
        <f t="shared" si="9"/>
        <v>B3B0</v>
      </c>
      <c r="C110" t="str" cm="1">
        <f t="array" ref="C110">_xlfn.LET(
  _xlpm.idx, (ROW()-3)*16 + C$1,
  _xlpm.r, MOD(_xlpm.idx, SpriteCount),
  INDEX(
    sprite_data.asm!$B$3:$Q$156,
    INT(_xlpm.idx / SpriteCount) * 7 + INT(_xlpm.r / 16) + 1,
    MOD(_xlpm.r, 16) + 1
  )
)</f>
        <v>10</v>
      </c>
      <c r="D110" t="str" cm="1">
        <f t="array" ref="D110">_xlfn.LET(
  _xlpm.idx, (ROW()-3)*16 + D$1,
  _xlpm.r, MOD(_xlpm.idx, SpriteCount),
  INDEX(
    sprite_data.asm!$B$3:$Q$156,
    INT(_xlpm.idx / SpriteCount) * 7 + INT(_xlpm.r / 16) + 1,
    MOD(_xlpm.r, 16) + 1
  )
)</f>
        <v>58</v>
      </c>
      <c r="E110" t="str" cm="1">
        <f t="array" ref="E110">_xlfn.LET(
  _xlpm.idx, (ROW()-3)*16 + E$1,
  _xlpm.r, MOD(_xlpm.idx, SpriteCount),
  INDEX(
    sprite_data.asm!$B$3:$Q$156,
    INT(_xlpm.idx / SpriteCount) * 7 + INT(_xlpm.r / 16) + 1,
    MOD(_xlpm.r, 16) + 1
  )
)</f>
        <v>36</v>
      </c>
      <c r="F110" t="str" cm="1">
        <f t="array" ref="F110">_xlfn.LET(
  _xlpm.idx, (ROW()-3)*16 + F$1,
  _xlpm.r, MOD(_xlpm.idx, SpriteCount),
  INDEX(
    sprite_data.asm!$B$3:$Q$156,
    INT(_xlpm.idx / SpriteCount) * 7 + INT(_xlpm.r / 16) + 1,
    MOD(_xlpm.r, 16) + 1
  )
)</f>
        <v>58</v>
      </c>
      <c r="G110" t="str" cm="1">
        <f t="array" ref="G110">_xlfn.LET(
  _xlpm.idx, (ROW()-3)*16 + G$1,
  _xlpm.r, MOD(_xlpm.idx, SpriteCount),
  INDEX(
    sprite_data.asm!$B$3:$Q$156,
    INT(_xlpm.idx / SpriteCount) * 7 + INT(_xlpm.r / 16) + 1,
    MOD(_xlpm.r, 16) + 1
  )
)</f>
        <v>6E</v>
      </c>
      <c r="H110" t="str" cm="1">
        <f t="array" ref="H110">_xlfn.LET(
  _xlpm.idx, (ROW()-3)*16 + H$1,
  _xlpm.r, MOD(_xlpm.idx, SpriteCount),
  INDEX(
    sprite_data.asm!$B$3:$Q$156,
    INT(_xlpm.idx / SpriteCount) * 7 + INT(_xlpm.r / 16) + 1,
    MOD(_xlpm.r, 16) + 1
  )
)</f>
        <v>30</v>
      </c>
      <c r="I110" t="str" cm="1">
        <f t="array" ref="I110">_xlfn.LET(
  _xlpm.idx, (ROW()-3)*16 + I$1,
  _xlpm.r, MOD(_xlpm.idx, SpriteCount),
  INDEX(
    sprite_data.asm!$B$3:$Q$156,
    INT(_xlpm.idx / SpriteCount) * 7 + INT(_xlpm.r / 16) + 1,
    MOD(_xlpm.r, 16) + 1
  )
)</f>
        <v>6C</v>
      </c>
      <c r="J110" t="str" cm="1">
        <f t="array" ref="J110">_xlfn.LET(
  _xlpm.idx, (ROW()-3)*16 + J$1,
  _xlpm.r, MOD(_xlpm.idx, SpriteCount),
  INDEX(
    sprite_data.asm!$B$3:$Q$156,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sprite_data.asm!$B$3:$Q$156,
    INT(_xlpm.idx / SpriteCount) * 7 + INT(_xlpm.r / 16) + 1,
    MOD(_xlpm.r, 16) + 1
  )
)</f>
        <v>01</v>
      </c>
      <c r="L110" t="str" cm="1">
        <f t="array" ref="L110">_xlfn.LET(
  _xlpm.idx, (ROW()-3)*16 + L$1,
  _xlpm.r, MOD(_xlpm.idx, SpriteCount),
  INDEX(
    sprite_data.asm!$B$3:$Q$156,
    INT(_xlpm.idx / SpriteCount) * 7 + INT(_xlpm.r / 16) + 1,
    MOD(_xlpm.r, 16) + 1
  )
)</f>
        <v>00</v>
      </c>
      <c r="M110" t="str" cm="1">
        <f t="array" ref="M110">_xlfn.LET(
  _xlpm.idx, (ROW()-3)*16 + M$1,
  _xlpm.r, MOD(_xlpm.idx, SpriteCount),
  INDEX(
    sprite_data.asm!$B$3:$Q$156,
    INT(_xlpm.idx / SpriteCount) * 7 + INT(_xlpm.r / 16) + 1,
    MOD(_xlpm.r, 16) + 1
  )
)</f>
        <v>28</v>
      </c>
      <c r="N110" t="str" cm="1">
        <f t="array" ref="N110">_xlfn.LET(
  _xlpm.idx, (ROW()-3)*16 + N$1,
  _xlpm.r, MOD(_xlpm.idx, SpriteCount),
  INDEX(
    sprite_data.asm!$B$3:$Q$156,
    INT(_xlpm.idx / SpriteCount) * 7 + INT(_xlpm.r / 16) + 1,
    MOD(_xlpm.r, 16) + 1
  )
)</f>
        <v>22</v>
      </c>
      <c r="O110" t="str" cm="1">
        <f t="array" ref="O110">_xlfn.LET(
  _xlpm.idx, (ROW()-3)*16 + O$1,
  _xlpm.r, MOD(_xlpm.idx, SpriteCount),
  INDEX(
    sprite_data.asm!$B$3:$Q$156,
    INT(_xlpm.idx / SpriteCount) * 7 + INT(_xlpm.r / 16) + 1,
    MOD(_xlpm.r, 16) + 1
  )
)</f>
        <v>20</v>
      </c>
      <c r="P110" t="str" cm="1">
        <f t="array" ref="P110">_xlfn.LET(
  _xlpm.idx, (ROW()-3)*16 + P$1,
  _xlpm.r, MOD(_xlpm.idx, SpriteCount),
  INDEX(
    sprite_data.asm!$B$3:$Q$156,
    INT(_xlpm.idx / SpriteCount) * 7 + INT(_xlpm.r / 16) + 1,
    MOD(_xlpm.r, 16) + 1
  )
)</f>
        <v>02</v>
      </c>
      <c r="Q110" t="str" cm="1">
        <f t="array" ref="Q110">_xlfn.LET(
  _xlpm.idx, (ROW()-3)*16 + Q$1,
  _xlpm.r, MOD(_xlpm.idx, SpriteCount),
  INDEX(
    sprite_data.asm!$B$3:$Q$156,
    INT(_xlpm.idx / SpriteCount) * 7 + INT(_xlpm.r / 16) + 1,
    MOD(_xlpm.r, 16) + 1
  )
)</f>
        <v>00</v>
      </c>
      <c r="R110" t="str" cm="1">
        <f t="array" ref="R110">_xlfn.LET(
  _xlpm.idx, (ROW()-3)*16 + R$1,
  _xlpm.r, MOD(_xlpm.idx, SpriteCount),
  INDEX(
    sprite_data.asm!$B$3:$Q$156,
    INT(_xlpm.idx / SpriteCount) * 7 + INT(_xlpm.r / 16) + 1,
    MOD(_xlpm.r, 16) + 1
  )
)</f>
        <v>00</v>
      </c>
    </row>
    <row r="111" spans="1:18" x14ac:dyDescent="0.45">
      <c r="A111">
        <f t="shared" si="8"/>
        <v>46016</v>
      </c>
      <c r="B111" s="32" t="str">
        <f t="shared" si="9"/>
        <v>B3C0</v>
      </c>
      <c r="C111" t="str" cm="1">
        <f t="array" ref="C111">_xlfn.LET(
  _xlpm.idx, (ROW()-3)*16 + C$1,
  _xlpm.r, MOD(_xlpm.idx, SpriteCount),
  INDEX(
    sprite_data.asm!$B$3:$Q$156,
    INT(_xlpm.idx / SpriteCount) * 7 + INT(_xlpm.r / 16) + 1,
    MOD(_xlpm.r, 16) + 1
  )
)</f>
        <v>20</v>
      </c>
      <c r="D111" t="str" cm="1">
        <f t="array" ref="D111">_xlfn.LET(
  _xlpm.idx, (ROW()-3)*16 + D$1,
  _xlpm.r, MOD(_xlpm.idx, SpriteCount),
  INDEX(
    sprite_data.asm!$B$3:$Q$156,
    INT(_xlpm.idx / SpriteCount) * 7 + INT(_xlpm.r / 16) + 1,
    MOD(_xlpm.r, 16) + 1
  )
)</f>
        <v>22</v>
      </c>
      <c r="E111" t="str" cm="1">
        <f t="array" ref="E111">_xlfn.LET(
  _xlpm.idx, (ROW()-3)*16 + E$1,
  _xlpm.r, MOD(_xlpm.idx, SpriteCount),
  INDEX(
    sprite_data.asm!$B$3:$Q$156,
    INT(_xlpm.idx / SpriteCount) * 7 + INT(_xlpm.r / 16) + 1,
    MOD(_xlpm.r, 16) + 1
  )
)</f>
        <v>08</v>
      </c>
      <c r="F111" t="str" cm="1">
        <f t="array" ref="F111">_xlfn.LET(
  _xlpm.idx, (ROW()-3)*16 + F$1,
  _xlpm.r, MOD(_xlpm.idx, SpriteCount),
  INDEX(
    sprite_data.asm!$B$3:$Q$156,
    INT(_xlpm.idx / SpriteCount) * 7 + INT(_xlpm.r / 16) + 1,
    MOD(_xlpm.r, 16) + 1
  )
)</f>
        <v>02</v>
      </c>
      <c r="G111" t="str" cm="1">
        <f t="array" ref="G111">_xlfn.LET(
  _xlpm.idx, (ROW()-3)*16 + G$1,
  _xlpm.r, MOD(_xlpm.idx, SpriteCount),
  INDEX(
    sprite_data.asm!$B$3:$Q$156,
    INT(_xlpm.idx / SpriteCount) * 7 + INT(_xlpm.r / 16) + 1,
    MOD(_xlpm.r, 16) + 1
  )
)</f>
        <v>20</v>
      </c>
      <c r="H111" t="str" cm="1">
        <f t="array" ref="H111">_xlfn.LET(
  _xlpm.idx, (ROW()-3)*16 + H$1,
  _xlpm.r, MOD(_xlpm.idx, SpriteCount),
  INDEX(
    sprite_data.asm!$B$3:$Q$156,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sprite_data.asm!$B$3:$Q$156,
    INT(_xlpm.idx / SpriteCount) * 7 + INT(_xlpm.r / 16) + 1,
    MOD(_xlpm.r, 16) + 1
  )
)</f>
        <v>41</v>
      </c>
      <c r="J111" t="str" cm="1">
        <f t="array" ref="J111">_xlfn.LET(
  _xlpm.idx, (ROW()-3)*16 + J$1,
  _xlpm.r, MOD(_xlpm.idx, SpriteCount),
  INDEX(
    sprite_data.asm!$B$3:$Q$156,
    INT(_xlpm.idx / SpriteCount) * 7 + INT(_xlpm.r / 16) + 1,
    MOD(_xlpm.r, 16) + 1
  )
)</f>
        <v>05</v>
      </c>
      <c r="K111" t="str" cm="1">
        <f t="array" ref="K111">_xlfn.LET(
  _xlpm.idx, (ROW()-3)*16 + K$1,
  _xlpm.r, MOD(_xlpm.idx, SpriteCount),
  INDEX(
    sprite_data.asm!$B$3:$Q$156,
    INT(_xlpm.idx / SpriteCount) * 7 + INT(_xlpm.r / 16) + 1,
    MOD(_xlpm.r, 16) + 1
  )
)</f>
        <v>45</v>
      </c>
      <c r="L111" t="str" cm="1">
        <f t="array" ref="L111">_xlfn.LET(
  _xlpm.idx, (ROW()-3)*16 + L$1,
  _xlpm.r, MOD(_xlpm.idx, SpriteCount),
  INDEX(
    sprite_data.asm!$B$3:$Q$156,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sprite_data.asm!$B$3:$Q$156,
    INT(_xlpm.idx / SpriteCount) * 7 + INT(_xlpm.r / 16) + 1,
    MOD(_xlpm.r, 16) + 1
  )
)</f>
        <v>01</v>
      </c>
      <c r="N111" t="str" cm="1">
        <f t="array" ref="N111">_xlfn.LET(
  _xlpm.idx, (ROW()-3)*16 + N$1,
  _xlpm.r, MOD(_xlpm.idx, SpriteCount),
  INDEX(
    sprite_data.asm!$B$3:$Q$156,
    INT(_xlpm.idx / SpriteCount) * 7 + INT(_xlpm.r / 16) + 1,
    MOD(_xlpm.r, 16) + 1
  )
)</f>
        <v>51</v>
      </c>
      <c r="O111" t="str" cm="1">
        <f t="array" ref="O111">_xlfn.LET(
  _xlpm.idx, (ROW()-3)*16 + O$1,
  _xlpm.r, MOD(_xlpm.idx, SpriteCount),
  INDEX(
    sprite_data.asm!$B$3:$Q$156,
    INT(_xlpm.idx / SpriteCount) * 7 + INT(_xlpm.r / 16) + 1,
    MOD(_xlpm.r, 16) + 1
  )
)</f>
        <v>45</v>
      </c>
      <c r="P111" t="str" cm="1">
        <f t="array" ref="P111">_xlfn.LET(
  _xlpm.idx, (ROW()-3)*16 + P$1,
  _xlpm.r, MOD(_xlpm.idx, SpriteCount),
  INDEX(
    sprite_data.asm!$B$3:$Q$156,
    INT(_xlpm.idx / SpriteCount) * 7 + INT(_xlpm.r / 16) + 1,
    MOD(_xlpm.r, 16) + 1
  )
)</f>
        <v>14</v>
      </c>
      <c r="Q111" t="str" cm="1">
        <f t="array" ref="Q111">_xlfn.LET(
  _xlpm.idx, (ROW()-3)*16 + Q$1,
  _xlpm.r, MOD(_xlpm.idx, SpriteCount),
  INDEX(
    sprite_data.asm!$B$3:$Q$156,
    INT(_xlpm.idx / SpriteCount) * 7 + INT(_xlpm.r / 16) + 1,
    MOD(_xlpm.r, 16) + 1
  )
)</f>
        <v>50</v>
      </c>
      <c r="R111" t="str" cm="1">
        <f t="array" ref="R111">_xlfn.LET(
  _xlpm.idx, (ROW()-3)*16 + R$1,
  _xlpm.r, MOD(_xlpm.idx, SpriteCount),
  INDEX(
    sprite_data.asm!$B$3:$Q$156,
    INT(_xlpm.idx / SpriteCount) * 7 + INT(_xlpm.r / 16) + 1,
    MOD(_xlpm.r, 16) + 1
  )
)</f>
        <v>45</v>
      </c>
    </row>
    <row r="112" spans="1:18" x14ac:dyDescent="0.45">
      <c r="A112">
        <f t="shared" si="8"/>
        <v>46032</v>
      </c>
      <c r="B112" s="32" t="str">
        <f t="shared" si="9"/>
        <v>B3D0</v>
      </c>
      <c r="C112" t="str" cm="1">
        <f t="array" ref="C112">_xlfn.LET(
  _xlpm.idx, (ROW()-3)*16 + C$1,
  _xlpm.r, MOD(_xlpm.idx, SpriteCount),
  INDEX(
    sprite_data.asm!$B$3:$Q$156,
    INT(_xlpm.idx / SpriteCount) * 7 + INT(_xlpm.r / 16) + 1,
    MOD(_xlpm.r, 16) + 1
  )
)</f>
        <v>05</v>
      </c>
      <c r="D112" t="str" cm="1">
        <f t="array" ref="D112">_xlfn.LET(
  _xlpm.idx, (ROW()-3)*16 + D$1,
  _xlpm.r, MOD(_xlpm.idx, SpriteCount),
  INDEX(
    sprite_data.asm!$B$3:$Q$156,
    INT(_xlpm.idx / SpriteCount) * 7 + INT(_xlpm.r / 16) + 1,
    MOD(_xlpm.r, 16) + 1
  )
)</f>
        <v>41</v>
      </c>
      <c r="E112" t="str" cm="1">
        <f t="array" ref="E112">_xlfn.LET(
  _xlpm.idx, (ROW()-3)*16 + E$1,
  _xlpm.r, MOD(_xlpm.idx, SpriteCount),
  INDEX(
    sprite_data.asm!$B$3:$Q$156,
    INT(_xlpm.idx / SpriteCount) * 7 + INT(_xlpm.r / 16) + 1,
    MOD(_xlpm.r, 16) + 1
  )
)</f>
        <v>51</v>
      </c>
      <c r="F112" t="str" cm="1">
        <f t="array" ref="F112">_xlfn.LET(
  _xlpm.idx, (ROW()-3)*16 + F$1,
  _xlpm.r, MOD(_xlpm.idx, SpriteCount),
  INDEX(
    sprite_data.asm!$B$3:$Q$156,
    INT(_xlpm.idx / SpriteCount) * 7 + INT(_xlpm.r / 16) + 1,
    MOD(_xlpm.r, 16) + 1
  )
)</f>
        <v>41</v>
      </c>
      <c r="G112" t="str" cm="1">
        <f t="array" ref="G112">_xlfn.LET(
  _xlpm.idx, (ROW()-3)*16 + G$1,
  _xlpm.r, MOD(_xlpm.idx, SpriteCount),
  INDEX(
    sprite_data.asm!$B$3:$Q$156,
    INT(_xlpm.idx / SpriteCount) * 7 + INT(_xlpm.r / 16) + 1,
    MOD(_xlpm.r, 16) + 1
  )
)</f>
        <v>05</v>
      </c>
      <c r="H112" t="str" cm="1">
        <f t="array" ref="H112">_xlfn.LET(
  _xlpm.idx, (ROW()-3)*16 + H$1,
  _xlpm.r, MOD(_xlpm.idx, SpriteCount),
  INDEX(
    sprite_data.asm!$B$3:$Q$156,
    INT(_xlpm.idx / SpriteCount) * 7 + INT(_xlpm.r / 16) + 1,
    MOD(_xlpm.r, 16) + 1
  )
)</f>
        <v>41</v>
      </c>
      <c r="I112" t="str" cm="1">
        <f t="array" ref="I112">_xlfn.LET(
  _xlpm.idx, (ROW()-3)*16 + I$1,
  _xlpm.r, MOD(_xlpm.idx, SpriteCount),
  INDEX(
    sprite_data.asm!$B$3:$Q$156,
    INT(_xlpm.idx / SpriteCount) * 7 + INT(_xlpm.r / 16) + 1,
    MOD(_xlpm.r, 16) + 1
  )
)</f>
        <v>15</v>
      </c>
      <c r="J112" t="str" cm="1">
        <f t="array" ref="J112">_xlfn.LET(
  _xlpm.idx, (ROW()-3)*16 + J$1,
  _xlpm.r, MOD(_xlpm.idx, SpriteCount),
  INDEX(
    sprite_data.asm!$B$3:$Q$156,
    INT(_xlpm.idx / SpriteCount) * 7 + INT(_xlpm.r / 16) + 1,
    MOD(_xlpm.r, 16) + 1
  )
)</f>
        <v>50</v>
      </c>
      <c r="K112" t="str" cm="1">
        <f t="array" ref="K112">_xlfn.LET(
  _xlpm.idx, (ROW()-3)*16 + K$1,
  _xlpm.r, MOD(_xlpm.idx, SpriteCount),
  INDEX(
    sprite_data.asm!$B$3:$Q$156,
    INT(_xlpm.idx / SpriteCount) * 7 + INT(_xlpm.r / 16) + 1,
    MOD(_xlpm.r, 16) + 1
  )
)</f>
        <v>14</v>
      </c>
      <c r="L112" t="str" cm="1">
        <f t="array" ref="L112">_xlfn.LET(
  _xlpm.idx, (ROW()-3)*16 + L$1,
  _xlpm.r, MOD(_xlpm.idx, SpriteCount),
  INDEX(
    sprite_data.asm!$B$3:$Q$156,
    INT(_xlpm.idx / SpriteCount) * 7 + INT(_xlpm.r / 16) + 1,
    MOD(_xlpm.r, 16) + 1
  )
)</f>
        <v>45</v>
      </c>
      <c r="M112" t="str" cm="1">
        <f t="array" ref="M112">_xlfn.LET(
  _xlpm.idx, (ROW()-3)*16 + M$1,
  _xlpm.r, MOD(_xlpm.idx, SpriteCount),
  INDEX(
    sprite_data.asm!$B$3:$Q$156,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sprite_data.asm!$B$3:$Q$156,
    INT(_xlpm.idx / SpriteCount) * 7 + INT(_xlpm.r / 16) + 1,
    MOD(_xlpm.r, 16) + 1
  )
)</f>
        <v>55</v>
      </c>
      <c r="O112" t="str" cm="1">
        <f t="array" ref="O112">_xlfn.LET(
  _xlpm.idx, (ROW()-3)*16 + O$1,
  _xlpm.r, MOD(_xlpm.idx, SpriteCount),
  INDEX(
    sprite_data.asm!$B$3:$Q$156,
    INT(_xlpm.idx / SpriteCount) * 7 + INT(_xlpm.r / 16) + 1,
    MOD(_xlpm.r, 16) + 1
  )
)</f>
        <v>41</v>
      </c>
      <c r="P112" t="str" cm="1">
        <f t="array" ref="P112">_xlfn.LET(
  _xlpm.idx, (ROW()-3)*16 + P$1,
  _xlpm.r, MOD(_xlpm.idx, SpriteCount),
  INDEX(
    sprite_data.asm!$B$3:$Q$156,
    INT(_xlpm.idx / SpriteCount) * 7 + INT(_xlpm.r / 16) + 1,
    MOD(_xlpm.r, 16) + 1
  )
)</f>
        <v>14</v>
      </c>
      <c r="Q112" t="str" cm="1">
        <f t="array" ref="Q112">_xlfn.LET(
  _xlpm.idx, (ROW()-3)*16 + Q$1,
  _xlpm.r, MOD(_xlpm.idx, SpriteCount),
  INDEX(
    sprite_data.asm!$B$3:$Q$156,
    INT(_xlpm.idx / SpriteCount) * 7 + INT(_xlpm.r / 16) + 1,
    MOD(_xlpm.r, 16) + 1
  )
)</f>
        <v>01</v>
      </c>
      <c r="R112" t="str" cm="1">
        <f t="array" ref="R112">_xlfn.LET(
  _xlpm.idx, (ROW()-3)*16 + R$1,
  _xlpm.r, MOD(_xlpm.idx, SpriteCount),
  INDEX(
    sprite_data.asm!$B$3:$Q$156,
    INT(_xlpm.idx / SpriteCount) * 7 + INT(_xlpm.r / 16) + 1,
    MOD(_xlpm.r, 16) + 1
  )
)</f>
        <v>14</v>
      </c>
    </row>
    <row r="113" spans="1:18" x14ac:dyDescent="0.45">
      <c r="A113">
        <f t="shared" ref="A113:A128" si="10">A112+16</f>
        <v>46048</v>
      </c>
      <c r="B113" s="32" t="str">
        <f t="shared" ref="B113:B128" si="11">DEC2HEX(HEX2DEC(B112)+16)</f>
        <v>B3E0</v>
      </c>
      <c r="C113" t="str" cm="1">
        <f t="array" ref="C113">_xlfn.LET(
  _xlpm.idx, (ROW()-3)*16 + C$1,
  _xlpm.r, MOD(_xlpm.idx, SpriteCount),
  INDEX(
    sprite_data.asm!$B$3:$Q$156,
    INT(_xlpm.idx / SpriteCount) * 7 + INT(_xlpm.r / 16) + 1,
    MOD(_xlpm.r, 16) + 1
  )
)</f>
        <v>14</v>
      </c>
      <c r="D113" t="str" cm="1">
        <f t="array" ref="D113">_xlfn.LET(
  _xlpm.idx, (ROW()-3)*16 + D$1,
  _xlpm.r, MOD(_xlpm.idx, SpriteCount),
  INDEX(
    sprite_data.asm!$B$3:$Q$156,
    INT(_xlpm.idx / SpriteCount) * 7 + INT(_xlpm.r / 16) + 1,
    MOD(_xlpm.r, 16) + 1
  )
)</f>
        <v>05</v>
      </c>
      <c r="E113" t="str" cm="1">
        <f t="array" ref="E113">_xlfn.LET(
  _xlpm.idx, (ROW()-3)*16 + E$1,
  _xlpm.r, MOD(_xlpm.idx, SpriteCount),
  INDEX(
    sprite_data.asm!$B$3:$Q$156,
    INT(_xlpm.idx / SpriteCount) * 7 + INT(_xlpm.r / 16) + 1,
    MOD(_xlpm.r, 16) + 1
  )
)</f>
        <v>50</v>
      </c>
      <c r="F113" t="str" cm="1">
        <f t="array" ref="F113">_xlfn.LET(
  _xlpm.idx, (ROW()-3)*16 + F$1,
  _xlpm.r, MOD(_xlpm.idx, SpriteCount),
  INDEX(
    sprite_data.asm!$B$3:$Q$156,
    INT(_xlpm.idx / SpriteCount) * 7 + INT(_xlpm.r / 16) + 1,
    MOD(_xlpm.r, 16) + 1
  )
)</f>
        <v>04</v>
      </c>
      <c r="G113" t="str" cm="1">
        <f t="array" ref="G113">_xlfn.LET(
  _xlpm.idx, (ROW()-3)*16 + G$1,
  _xlpm.r, MOD(_xlpm.idx, SpriteCount),
  INDEX(
    sprite_data.asm!$B$3:$Q$156,
    INT(_xlpm.idx / SpriteCount) * 7 + INT(_xlpm.r / 16) + 1,
    MOD(_xlpm.r, 16) + 1
  )
)</f>
        <v>55</v>
      </c>
      <c r="H113" t="str" cm="1">
        <f t="array" ref="H113">_xlfn.LET(
  _xlpm.idx, (ROW()-3)*16 + H$1,
  _xlpm.r, MOD(_xlpm.idx, SpriteCount),
  INDEX(
    sprite_data.asm!$B$3:$Q$156,
    INT(_xlpm.idx / SpriteCount) * 7 + INT(_xlpm.r / 16) + 1,
    MOD(_xlpm.r, 16) + 1
  )
)</f>
        <v>14</v>
      </c>
      <c r="I113" t="str" cm="1">
        <f t="array" ref="I113">_xlfn.LET(
  _xlpm.idx, (ROW()-3)*16 + I$1,
  _xlpm.r, MOD(_xlpm.idx, SpriteCount),
  INDEX(
    sprite_data.asm!$B$3:$Q$156,
    INT(_xlpm.idx / SpriteCount) * 7 + INT(_xlpm.r / 16) + 1,
    MOD(_xlpm.r, 16) + 1
  )
)</f>
        <v>00</v>
      </c>
      <c r="J113" t="str" cm="1">
        <f t="array" ref="J113">_xlfn.LET(
  _xlpm.idx, (ROW()-3)*16 + J$1,
  _xlpm.r, MOD(_xlpm.idx, SpriteCount),
  INDEX(
    sprite_data.asm!$B$3:$Q$156,
    INT(_xlpm.idx / SpriteCount) * 7 + INT(_xlpm.r / 16) + 1,
    MOD(_xlpm.r, 16) + 1
  )
)</f>
        <v>01</v>
      </c>
      <c r="K113" t="str" cm="1">
        <f t="array" ref="K113">_xlfn.LET(
  _xlpm.idx, (ROW()-3)*16 + K$1,
  _xlpm.r, MOD(_xlpm.idx, SpriteCount),
  INDEX(
    sprite_data.asm!$B$3:$Q$156,
    INT(_xlpm.idx / SpriteCount) * 7 + INT(_xlpm.r / 16) + 1,
    MOD(_xlpm.r, 16) + 1
  )
)</f>
        <v>00</v>
      </c>
      <c r="L113" t="str" cm="1">
        <f t="array" ref="L113">_xlfn.LET(
  _xlpm.idx, (ROW()-3)*16 + L$1,
  _xlpm.r, MOD(_xlpm.idx, SpriteCount),
  INDEX(
    sprite_data.asm!$B$3:$Q$156,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sprite_data.asm!$B$3:$Q$156,
    INT(_xlpm.idx / SpriteCount) * 7 + INT(_xlpm.r / 16) + 1,
    MOD(_xlpm.r, 16) + 1
  )
)</f>
        <v>02</v>
      </c>
      <c r="N113" t="str" cm="1">
        <f t="array" ref="N113">_xlfn.LET(
  _xlpm.idx, (ROW()-3)*16 + N$1,
  _xlpm.r, MOD(_xlpm.idx, SpriteCount),
  INDEX(
    sprite_data.asm!$B$3:$Q$156,
    INT(_xlpm.idx / SpriteCount) * 7 + INT(_xlpm.r / 16) + 1,
    MOD(_xlpm.r, 16) + 1
  )
)</f>
        <v>03</v>
      </c>
      <c r="O113" t="str" cm="1">
        <f t="array" ref="O113">_xlfn.LET(
  _xlpm.idx, (ROW()-3)*16 + O$1,
  _xlpm.r, MOD(_xlpm.idx, SpriteCount),
  INDEX(
    sprite_data.asm!$B$3:$Q$156,
    INT(_xlpm.idx / SpriteCount) * 7 + INT(_xlpm.r / 16) + 1,
    MOD(_xlpm.r, 16) + 1
  )
)</f>
        <v>00</v>
      </c>
      <c r="P113" t="str" cm="1">
        <f t="array" ref="P113">_xlfn.LET(
  _xlpm.idx, (ROW()-3)*16 + P$1,
  _xlpm.r, MOD(_xlpm.idx, SpriteCount),
  INDEX(
    sprite_data.asm!$B$3:$Q$156,
    INT(_xlpm.idx / SpriteCount) * 7 + INT(_xlpm.r / 16) + 1,
    MOD(_xlpm.r, 16) + 1
  )
)</f>
        <v>02</v>
      </c>
      <c r="Q113" t="str" cm="1">
        <f t="array" ref="Q113">_xlfn.LET(
  _xlpm.idx, (ROW()-3)*16 + Q$1,
  _xlpm.r, MOD(_xlpm.idx, SpriteCount),
  INDEX(
    sprite_data.asm!$B$3:$Q$156,
    INT(_xlpm.idx / SpriteCount) * 7 + INT(_xlpm.r / 16) + 1,
    MOD(_xlpm.r, 16) + 1
  )
)</f>
        <v>03</v>
      </c>
      <c r="R113" t="str" cm="1">
        <f t="array" ref="R113">_xlfn.LET(
  _xlpm.idx, (ROW()-3)*16 + R$1,
  _xlpm.r, MOD(_xlpm.idx, SpriteCount),
  INDEX(
    sprite_data.asm!$B$3:$Q$156,
    INT(_xlpm.idx / SpriteCount) * 7 + INT(_xlpm.r / 16) + 1,
    MOD(_xlpm.r, 16) + 1
  )
)</f>
        <v>01</v>
      </c>
    </row>
    <row r="114" spans="1:18" x14ac:dyDescent="0.45">
      <c r="A114">
        <f t="shared" si="10"/>
        <v>46064</v>
      </c>
      <c r="B114" s="32" t="str">
        <f t="shared" si="11"/>
        <v>B3F0</v>
      </c>
      <c r="C114" t="str" cm="1">
        <f t="array" ref="C114">_xlfn.LET(
  _xlpm.idx, (ROW()-3)*16 + C$1,
  _xlpm.r, MOD(_xlpm.idx, SpriteCount),
  INDEX(
    sprite_data.asm!$B$3:$Q$156,
    INT(_xlpm.idx / SpriteCount) * 7 + INT(_xlpm.r / 16) + 1,
    MOD(_xlpm.r, 16) + 1
  )
)</f>
        <v>07</v>
      </c>
      <c r="D114" t="str" cm="1">
        <f t="array" ref="D114">_xlfn.LET(
  _xlpm.idx, (ROW()-3)*16 + D$1,
  _xlpm.r, MOD(_xlpm.idx, SpriteCount),
  INDEX(
    sprite_data.asm!$B$3:$Q$156,
    INT(_xlpm.idx / SpriteCount) * 7 + INT(_xlpm.r / 16) + 1,
    MOD(_xlpm.r, 16) + 1
  )
)</f>
        <v>01</v>
      </c>
      <c r="E114" t="str" cm="1">
        <f t="array" ref="E114">_xlfn.LET(
  _xlpm.idx, (ROW()-3)*16 + E$1,
  _xlpm.r, MOD(_xlpm.idx, SpriteCount),
  INDEX(
    sprite_data.asm!$B$3:$Q$156,
    INT(_xlpm.idx / SpriteCount) * 7 + INT(_xlpm.r / 16) + 1,
    MOD(_xlpm.r, 16) + 1
  )
)</f>
        <v>07</v>
      </c>
      <c r="F114" t="str" cm="1">
        <f t="array" ref="F114">_xlfn.LET(
  _xlpm.idx, (ROW()-3)*16 + F$1,
  _xlpm.r, MOD(_xlpm.idx, SpriteCount),
  INDEX(
    sprite_data.asm!$B$3:$Q$156,
    INT(_xlpm.idx / SpriteCount) * 7 + INT(_xlpm.r / 16) + 1,
    MOD(_xlpm.r, 16) + 1
  )
)</f>
        <v>03</v>
      </c>
      <c r="G114" t="str" cm="1">
        <f t="array" ref="G114">_xlfn.LET(
  _xlpm.idx, (ROW()-3)*16 + G$1,
  _xlpm.r, MOD(_xlpm.idx, SpriteCount),
  INDEX(
    sprite_data.asm!$B$3:$Q$156,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sprite_data.asm!$B$3:$Q$156,
    INT(_xlpm.idx / SpriteCount) * 7 + INT(_xlpm.r / 16) + 1,
    MOD(_xlpm.r, 16) + 1
  )
)</f>
        <v>00</v>
      </c>
      <c r="I114" t="str" cm="1">
        <f t="array" ref="I114">_xlfn.LET(
  _xlpm.idx, (ROW()-3)*16 + I$1,
  _xlpm.r, MOD(_xlpm.idx, SpriteCount),
  INDEX(
    sprite_data.asm!$B$3:$Q$156,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sprite_data.asm!$B$3:$Q$156,
    INT(_xlpm.idx / SpriteCount) * 7 + INT(_xlpm.r / 16) + 1,
    MOD(_xlpm.r, 16) + 1
  )
)</f>
        <v>03</v>
      </c>
      <c r="K114" t="str" cm="1">
        <f t="array" ref="K114">_xlfn.LET(
  _xlpm.idx, (ROW()-3)*16 + K$1,
  _xlpm.r, MOD(_xlpm.idx, SpriteCount),
  INDEX(
    sprite_data.asm!$B$3:$Q$156,
    INT(_xlpm.idx / SpriteCount) * 7 + INT(_xlpm.r / 16) + 1,
    MOD(_xlpm.r, 16) + 1
  )
)</f>
        <v>01</v>
      </c>
      <c r="L114" t="str" cm="1">
        <f t="array" ref="L114">_xlfn.LET(
  _xlpm.idx, (ROW()-3)*16 + L$1,
  _xlpm.r, MOD(_xlpm.idx, SpriteCount),
  INDEX(
    sprite_data.asm!$B$3:$Q$156,
    INT(_xlpm.idx / SpriteCount) * 7 + INT(_xlpm.r / 16) + 1,
    MOD(_xlpm.r, 16) + 1
  )
)</f>
        <v>03</v>
      </c>
      <c r="M114" t="str" cm="1">
        <f t="array" ref="M114">_xlfn.LET(
  _xlpm.idx, (ROW()-3)*16 + M$1,
  _xlpm.r, MOD(_xlpm.idx, SpriteCount),
  INDEX(
    sprite_data.asm!$B$3:$Q$156,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sprite_data.asm!$B$3:$Q$156,
    INT(_xlpm.idx / SpriteCount) * 7 + INT(_xlpm.r / 16) + 1,
    MOD(_xlpm.r, 16) + 1
  )
)</f>
        <v>00</v>
      </c>
      <c r="O114" t="str" cm="1">
        <f t="array" ref="O114">_xlfn.LET(
  _xlpm.idx, (ROW()-3)*16 + O$1,
  _xlpm.r, MOD(_xlpm.idx, SpriteCount),
  INDEX(
    sprite_data.asm!$B$3:$Q$156,
    INT(_xlpm.idx / SpriteCount) * 7 + INT(_xlpm.r / 16) + 1,
    MOD(_xlpm.r, 16) + 1
  )
)</f>
        <v>01</v>
      </c>
      <c r="P114" t="str" cm="1">
        <f t="array" ref="P114">_xlfn.LET(
  _xlpm.idx, (ROW()-3)*16 + P$1,
  _xlpm.r, MOD(_xlpm.idx, SpriteCount),
  INDEX(
    sprite_data.asm!$B$3:$Q$156,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sprite_data.asm!$B$3:$Q$156,
    INT(_xlpm.idx / SpriteCount) * 7 + INT(_xlpm.r / 16) + 1,
    MOD(_xlpm.r, 16) + 1
  )
)</f>
        <v>00</v>
      </c>
      <c r="R114" t="str" cm="1">
        <f t="array" ref="R114">_xlfn.LET(
  _xlpm.idx, (ROW()-3)*16 + R$1,
  _xlpm.r, MOD(_xlpm.idx, SpriteCount),
  INDEX(
    sprite_data.asm!$B$3:$Q$156,
    INT(_xlpm.idx / SpriteCount) * 7 + INT(_xlpm.r / 16) + 1,
    MOD(_xlpm.r, 16) + 1
  )
)</f>
        <v>01</v>
      </c>
    </row>
    <row r="115" spans="1:18" x14ac:dyDescent="0.45">
      <c r="A115">
        <f t="shared" si="10"/>
        <v>46080</v>
      </c>
      <c r="B115" s="32" t="str">
        <f t="shared" si="11"/>
        <v>B400</v>
      </c>
      <c r="C115" t="str" cm="1">
        <f t="array" ref="C115">_xlfn.LET(
  _xlpm.idx, (ROW()-3)*16 + C$1,
  _xlpm.r, MOD(_xlpm.idx, SpriteCount),
  INDEX(
    sprite_data.asm!$B$3:$Q$156,
    INT(_xlpm.idx / SpriteCount) * 7 + INT(_xlpm.r / 16) + 1,
    MOD(_xlpm.r, 16) + 1
  )
)</f>
        <v>06</v>
      </c>
      <c r="D115" t="str" cm="1">
        <f t="array" ref="D115">_xlfn.LET(
  _xlpm.idx, (ROW()-3)*16 + D$1,
  _xlpm.r, MOD(_xlpm.idx, SpriteCount),
  INDEX(
    sprite_data.asm!$B$3:$Q$156,
    INT(_xlpm.idx / SpriteCount) * 7 + INT(_xlpm.r / 16) + 1,
    MOD(_xlpm.r, 16) + 1
  )
)</f>
        <v>03</v>
      </c>
      <c r="E115" t="str" cm="1">
        <f t="array" ref="E115">_xlfn.LET(
  _xlpm.idx, (ROW()-3)*16 + E$1,
  _xlpm.r, MOD(_xlpm.idx, SpriteCount),
  INDEX(
    sprite_data.asm!$B$3:$Q$156,
    INT(_xlpm.idx / SpriteCount) * 7 + INT(_xlpm.r / 16) + 1,
    MOD(_xlpm.r, 16) + 1
  )
)</f>
        <v>00</v>
      </c>
      <c r="F115" t="str" cm="1">
        <f t="array" ref="F115">_xlfn.LET(
  _xlpm.idx, (ROW()-3)*16 + F$1,
  _xlpm.r, MOD(_xlpm.idx, SpriteCount),
  INDEX(
    sprite_data.asm!$B$3:$Q$156,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sprite_data.asm!$B$3:$Q$156,
    INT(_xlpm.idx / SpriteCount) * 7 + INT(_xlpm.r / 16) + 1,
    MOD(_xlpm.r, 16) + 1
  )
)</f>
        <v>04</v>
      </c>
      <c r="H115" t="str" cm="1">
        <f t="array" ref="H115">_xlfn.LET(
  _xlpm.idx, (ROW()-3)*16 + H$1,
  _xlpm.r, MOD(_xlpm.idx, SpriteCount),
  INDEX(
    sprite_data.asm!$B$3:$Q$156,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sprite_data.asm!$B$3:$Q$156,
    INT(_xlpm.idx / SpriteCount) * 7 + INT(_xlpm.r / 16) + 1,
    MOD(_xlpm.r, 16) + 1
  )
)</f>
        <v>00</v>
      </c>
      <c r="J115" t="str" cm="1">
        <f t="array" ref="J115">_xlfn.LET(
  _xlpm.idx, (ROW()-3)*16 + J$1,
  _xlpm.r, MOD(_xlpm.idx, SpriteCount),
  INDEX(
    sprite_data.asm!$B$3:$Q$156,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sprite_data.asm!$B$3:$Q$156,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sprite_data.asm!$B$3:$Q$156,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sprite_data.asm!$B$3:$Q$156,
    INT(_xlpm.idx / SpriteCount) * 7 + INT(_xlpm.r / 16) + 1,
    MOD(_xlpm.r, 16) + 1
  )
)</f>
        <v>02</v>
      </c>
      <c r="N115" t="str" cm="1">
        <f t="array" ref="N115">_xlfn.LET(
  _xlpm.idx, (ROW()-3)*16 + N$1,
  _xlpm.r, MOD(_xlpm.idx, SpriteCount),
  INDEX(
    sprite_data.asm!$B$3:$Q$156,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sprite_data.asm!$B$3:$Q$156,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sprite_data.asm!$B$3:$Q$156,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sprite_data.asm!$B$3:$Q$156,
    INT(_xlpm.idx / SpriteCount) * 7 + INT(_xlpm.r / 16) + 1,
    MOD(_xlpm.r, 16) + 1
  )
)</f>
        <v>00</v>
      </c>
      <c r="R115" t="str" cm="1">
        <f t="array" ref="R115">_xlfn.LET(
  _xlpm.idx, (ROW()-3)*16 + R$1,
  _xlpm.r, MOD(_xlpm.idx, SpriteCount),
  INDEX(
    sprite_data.asm!$B$3:$Q$156,
    INT(_xlpm.idx / SpriteCount) * 7 + INT(_xlpm.r / 16) + 1,
    MOD(_xlpm.r, 16) + 1
  )
)</f>
        <v>00</v>
      </c>
    </row>
    <row r="116" spans="1:18" x14ac:dyDescent="0.45">
      <c r="A116">
        <f t="shared" si="10"/>
        <v>46096</v>
      </c>
      <c r="B116" s="32" t="str">
        <f t="shared" si="11"/>
        <v>B410</v>
      </c>
      <c r="C116" t="str" cm="1">
        <f t="array" ref="C116">_xlfn.LET(
  _xlpm.idx, (ROW()-3)*16 + C$1,
  _xlpm.r, MOD(_xlpm.idx, SpriteCount),
  INDEX(
    sprite_data.asm!$B$3:$Q$156,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sprite_data.asm!$B$3:$Q$156,
    INT(_xlpm.idx / SpriteCount) * 7 + INT(_xlpm.r / 16) + 1,
    MOD(_xlpm.r, 16) + 1
  )
)</f>
        <v>01</v>
      </c>
      <c r="E116" t="str" cm="1">
        <f t="array" ref="E116">_xlfn.LET(
  _xlpm.idx, (ROW()-3)*16 + E$1,
  _xlpm.r, MOD(_xlpm.idx, SpriteCount),
  INDEX(
    sprite_data.asm!$B$3:$Q$156,
    INT(_xlpm.idx / SpriteCount) * 7 + INT(_xlpm.r / 16) + 1,
    MOD(_xlpm.r, 16) + 1
  )
)</f>
        <v>03</v>
      </c>
      <c r="F116" t="str" cm="1">
        <f t="array" ref="F116">_xlfn.LET(
  _xlpm.idx, (ROW()-3)*16 + F$1,
  _xlpm.r, MOD(_xlpm.idx, SpriteCount),
  INDEX(
    sprite_data.asm!$B$3:$Q$156,
    INT(_xlpm.idx / SpriteCount) * 7 + INT(_xlpm.r / 16) + 1,
    MOD(_xlpm.r, 16) + 1
  )
)</f>
        <v>00</v>
      </c>
      <c r="G116" t="str" cm="1">
        <f t="array" ref="G116">_xlfn.LET(
  _xlpm.idx, (ROW()-3)*16 + G$1,
  _xlpm.r, MOD(_xlpm.idx, SpriteCount),
  INDEX(
    sprite_data.asm!$B$3:$Q$156,
    INT(_xlpm.idx / SpriteCount) * 7 + INT(_xlpm.r / 16) + 1,
    MOD(_xlpm.r, 16) + 1
  )
)</f>
        <v>01</v>
      </c>
      <c r="H116" t="str" cm="1">
        <f t="array" ref="H116">_xlfn.LET(
  _xlpm.idx, (ROW()-3)*16 + H$1,
  _xlpm.r, MOD(_xlpm.idx, SpriteCount),
  INDEX(
    sprite_data.asm!$B$3:$Q$156,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sprite_data.asm!$B$3:$Q$156,
    INT(_xlpm.idx / SpriteCount) * 7 + INT(_xlpm.r / 16) + 1,
    MOD(_xlpm.r, 16) + 1
  )
)</f>
        <v>00</v>
      </c>
      <c r="J116" t="str" cm="1">
        <f t="array" ref="J116">_xlfn.LET(
  _xlpm.idx, (ROW()-3)*16 + J$1,
  _xlpm.r, MOD(_xlpm.idx, SpriteCount),
  INDEX(
    sprite_data.asm!$B$3:$Q$156,
    INT(_xlpm.idx / SpriteCount) * 7 + INT(_xlpm.r / 16) + 1,
    MOD(_xlpm.r, 16) + 1
  )
)</f>
        <v>01</v>
      </c>
      <c r="K116" t="str" cm="1">
        <f t="array" ref="K116">_xlfn.LET(
  _xlpm.idx, (ROW()-3)*16 + K$1,
  _xlpm.r, MOD(_xlpm.idx, SpriteCount),
  INDEX(
    sprite_data.asm!$B$3:$Q$156,
    INT(_xlpm.idx / SpriteCount) * 7 + INT(_xlpm.r / 16) + 1,
    MOD(_xlpm.r, 16) + 1
  )
)</f>
        <v>03</v>
      </c>
      <c r="L116" t="str" cm="1">
        <f t="array" ref="L116">_xlfn.LET(
  _xlpm.idx, (ROW()-3)*16 + L$1,
  _xlpm.r, MOD(_xlpm.idx, SpriteCount),
  INDEX(
    sprite_data.asm!$B$3:$Q$156,
    INT(_xlpm.idx / SpriteCount) * 7 + INT(_xlpm.r / 16) + 1,
    MOD(_xlpm.r, 16) + 1
  )
)</f>
        <v>01</v>
      </c>
      <c r="M116" t="str" cm="1">
        <f t="array" ref="M116">_xlfn.LET(
  _xlpm.idx, (ROW()-3)*16 + M$1,
  _xlpm.r, MOD(_xlpm.idx, SpriteCount),
  INDEX(
    sprite_data.asm!$B$3:$Q$156,
    INT(_xlpm.idx / SpriteCount) * 7 + INT(_xlpm.r / 16) + 1,
    MOD(_xlpm.r, 16) + 1
  )
)</f>
        <v>00</v>
      </c>
      <c r="N116" t="str" cm="1">
        <f t="array" ref="N116">_xlfn.LET(
  _xlpm.idx, (ROW()-3)*16 + N$1,
  _xlpm.r, MOD(_xlpm.idx, SpriteCount),
  INDEX(
    sprite_data.asm!$B$3:$Q$156,
    INT(_xlpm.idx / SpriteCount) * 7 + INT(_xlpm.r / 16) + 1,
    MOD(_xlpm.r, 16) + 1
  )
)</f>
        <v>03</v>
      </c>
      <c r="O116" t="str" cm="1">
        <f t="array" ref="O116">_xlfn.LET(
  _xlpm.idx, (ROW()-3)*16 + O$1,
  _xlpm.r, MOD(_xlpm.idx, SpriteCount),
  INDEX(
    sprite_data.asm!$B$3:$Q$156,
    INT(_xlpm.idx / SpriteCount) * 7 + INT(_xlpm.r / 16) + 1,
    MOD(_xlpm.r, 16) + 1
  )
)</f>
        <v>00</v>
      </c>
      <c r="P116" t="str" cm="1">
        <f t="array" ref="P116">_xlfn.LET(
  _xlpm.idx, (ROW()-3)*16 + P$1,
  _xlpm.r, MOD(_xlpm.idx, SpriteCount),
  INDEX(
    sprite_data.asm!$B$3:$Q$156,
    INT(_xlpm.idx / SpriteCount) * 7 + INT(_xlpm.r / 16) + 1,
    MOD(_xlpm.r, 16) + 1
  )
)</f>
        <v>03</v>
      </c>
      <c r="Q116" t="str" cm="1">
        <f t="array" ref="Q116">_xlfn.LET(
  _xlpm.idx, (ROW()-3)*16 + Q$1,
  _xlpm.r, MOD(_xlpm.idx, SpriteCount),
  INDEX(
    sprite_data.asm!$B$3:$Q$156,
    INT(_xlpm.idx / SpriteCount) * 7 + INT(_xlpm.r / 16) + 1,
    MOD(_xlpm.r, 16) + 1
  )
)</f>
        <v>00</v>
      </c>
      <c r="R116" t="str" cm="1">
        <f t="array" ref="R116">_xlfn.LET(
  _xlpm.idx, (ROW()-3)*16 + R$1,
  _xlpm.r, MOD(_xlpm.idx, SpriteCount),
  INDEX(
    sprite_data.asm!$B$3:$Q$156,
    INT(_xlpm.idx / SpriteCount) * 7 + INT(_xlpm.r / 16) + 1,
    MOD(_xlpm.r, 16) + 1
  )
)</f>
        <v>02</v>
      </c>
    </row>
    <row r="117" spans="1:18" x14ac:dyDescent="0.45">
      <c r="A117">
        <f t="shared" si="10"/>
        <v>46112</v>
      </c>
      <c r="B117" s="32" t="str">
        <f t="shared" si="11"/>
        <v>B420</v>
      </c>
      <c r="C117" t="str" cm="1">
        <f t="array" ref="C117">_xlfn.LET(
  _xlpm.idx, (ROW()-3)*16 + C$1,
  _xlpm.r, MOD(_xlpm.idx, SpriteCount),
  INDEX(
    sprite_data.asm!$B$3:$Q$156,
    INT(_xlpm.idx / SpriteCount) * 7 + INT(_xlpm.r / 16) + 1,
    MOD(_xlpm.r, 16) + 1
  )
)</f>
        <v>02</v>
      </c>
      <c r="D117" t="str" cm="1">
        <f t="array" ref="D117">_xlfn.LET(
  _xlpm.idx, (ROW()-3)*16 + D$1,
  _xlpm.r, MOD(_xlpm.idx, SpriteCount),
  INDEX(
    sprite_data.asm!$B$3:$Q$156,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sprite_data.asm!$B$3:$Q$156,
    INT(_xlpm.idx / SpriteCount) * 7 + INT(_xlpm.r / 16) + 1,
    MOD(_xlpm.r, 16) + 1
  )
)</f>
        <v>00</v>
      </c>
      <c r="F117" t="str" cm="1">
        <f t="array" ref="F117">_xlfn.LET(
  _xlpm.idx, (ROW()-3)*16 + F$1,
  _xlpm.r, MOD(_xlpm.idx, SpriteCount),
  INDEX(
    sprite_data.asm!$B$3:$Q$156,
    INT(_xlpm.idx / SpriteCount) * 7 + INT(_xlpm.r / 16) + 1,
    MOD(_xlpm.r, 16) + 1
  )
)</f>
        <v>01</v>
      </c>
      <c r="G117" t="str" cm="1">
        <f t="array" ref="G117">_xlfn.LET(
  _xlpm.idx, (ROW()-3)*16 + G$1,
  _xlpm.r, MOD(_xlpm.idx, SpriteCount),
  INDEX(
    sprite_data.asm!$B$3:$Q$156,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sprite_data.asm!$B$3:$Q$156,
    INT(_xlpm.idx / SpriteCount) * 7 + INT(_xlpm.r / 16) + 1,
    MOD(_xlpm.r, 16) + 1
  )
)</f>
        <v>00</v>
      </c>
      <c r="I117" t="str" cm="1">
        <f t="array" ref="I117">_xlfn.LET(
  _xlpm.idx, (ROW()-3)*16 + I$1,
  _xlpm.r, MOD(_xlpm.idx, SpriteCount),
  INDEX(
    sprite_data.asm!$B$3:$Q$156,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sprite_data.asm!$B$3:$Q$156,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sprite_data.asm!$B$3:$Q$156,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sprite_data.asm!$B$3:$Q$156,
    INT(_xlpm.idx / SpriteCount) * 7 + INT(_xlpm.r / 16) + 1,
    MOD(_xlpm.r, 16) + 1
  )
)</f>
        <v>01</v>
      </c>
      <c r="M117" t="str" cm="1">
        <f t="array" ref="M117">_xlfn.LET(
  _xlpm.idx, (ROW()-3)*16 + M$1,
  _xlpm.r, MOD(_xlpm.idx, SpriteCount),
  INDEX(
    sprite_data.asm!$B$3:$Q$156,
    INT(_xlpm.idx / SpriteCount) * 7 + INT(_xlpm.r / 16) + 1,
    MOD(_xlpm.r, 16) + 1
  )
)</f>
        <v>00</v>
      </c>
      <c r="N117" t="str" cm="1">
        <f t="array" ref="N117">_xlfn.LET(
  _xlpm.idx, (ROW()-3)*16 + N$1,
  _xlpm.r, MOD(_xlpm.idx, SpriteCount),
  INDEX(
    sprite_data.asm!$B$3:$Q$156,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sprite_data.asm!$B$3:$Q$156,
    INT(_xlpm.idx / SpriteCount) * 7 + INT(_xlpm.r / 16) + 1,
    MOD(_xlpm.r, 16) + 1
  )
)</f>
        <v>01</v>
      </c>
      <c r="P117" t="str" cm="1">
        <f t="array" ref="P117">_xlfn.LET(
  _xlpm.idx, (ROW()-3)*16 + P$1,
  _xlpm.r, MOD(_xlpm.idx, SpriteCount),
  INDEX(
    sprite_data.asm!$B$3:$Q$156,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sprite_data.asm!$B$3:$Q$156,
    INT(_xlpm.idx / SpriteCount) * 7 + INT(_xlpm.r / 16) + 1,
    MOD(_xlpm.r, 16) + 1
  )
)</f>
        <v>00</v>
      </c>
      <c r="R117" t="str" cm="1">
        <f t="array" ref="R117">_xlfn.LET(
  _xlpm.idx, (ROW()-3)*16 + R$1,
  _xlpm.r, MOD(_xlpm.idx, SpriteCount),
  INDEX(
    sprite_data.asm!$B$3:$Q$156,
    INT(_xlpm.idx / SpriteCount) * 7 + INT(_xlpm.r / 16) + 1,
    MOD(_xlpm.r, 16) + 1
  )
)</f>
        <v>00</v>
      </c>
    </row>
    <row r="118" spans="1:18" x14ac:dyDescent="0.45">
      <c r="A118">
        <f t="shared" si="10"/>
        <v>46128</v>
      </c>
      <c r="B118" s="32" t="str">
        <f t="shared" si="11"/>
        <v>B430</v>
      </c>
      <c r="C118" t="str" cm="1">
        <f t="array" ref="C118">_xlfn.LET(
  _xlpm.idx, (ROW()-3)*16 + C$1,
  _xlpm.r, MOD(_xlpm.idx, SpriteCount),
  INDEX(
    sprite_data.asm!$B$3:$Q$156,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sprite_data.asm!$B$3:$Q$156,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sprite_data.asm!$B$3:$Q$156,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sprite_data.asm!$B$3:$Q$156,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sprite_data.asm!$B$3:$Q$156,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sprite_data.asm!$B$3:$Q$156,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sprite_data.asm!$B$3:$Q$156,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sprite_data.asm!$B$3:$Q$156,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sprite_data.asm!$B$3:$Q$156,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sprite_data.asm!$B$3:$Q$156,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sprite_data.asm!$B$3:$Q$156,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sprite_data.asm!$B$3:$Q$156,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sprite_data.asm!$B$3:$Q$156,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sprite_data.asm!$B$3:$Q$156,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sprite_data.asm!$B$3:$Q$156,
    INT(_xlpm.idx / SpriteCount) * 7 + INT(_xlpm.r / 16) + 1,
    MOD(_xlpm.r, 16) + 1
  )
)</f>
        <v>00</v>
      </c>
      <c r="R118" t="str" cm="1">
        <f t="array" ref="R118">_xlfn.LET(
  _xlpm.idx, (ROW()-3)*16 + R$1,
  _xlpm.r, MOD(_xlpm.idx, SpriteCount),
  INDEX(
    sprite_data.asm!$B$3:$Q$156,
    INT(_xlpm.idx / SpriteCount) * 7 + INT(_xlpm.r / 16) + 1,
    MOD(_xlpm.r, 16) + 1
  )
)</f>
        <v>00</v>
      </c>
    </row>
    <row r="119" spans="1:18" x14ac:dyDescent="0.45">
      <c r="A119">
        <f t="shared" si="10"/>
        <v>46144</v>
      </c>
      <c r="B119" s="32" t="str">
        <f t="shared" si="11"/>
        <v>B440</v>
      </c>
      <c r="C119" t="str" cm="1">
        <f t="array" ref="C119">_xlfn.LET(
  _xlpm.idx, (ROW()-3)*16 + C$1,
  _xlpm.r, MOD(_xlpm.idx, SpriteCount),
  INDEX(
    sprite_data.asm!$B$3:$Q$156,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sprite_data.asm!$B$3:$Q$156,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sprite_data.asm!$B$3:$Q$156,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sprite_data.asm!$B$3:$Q$156,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sprite_data.asm!$B$3:$Q$156,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sprite_data.asm!$B$3:$Q$156,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sprite_data.asm!$B$3:$Q$156,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sprite_data.asm!$B$3:$Q$156,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sprite_data.asm!$B$3:$Q$156,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sprite_data.asm!$B$3:$Q$156,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sprite_data.asm!$B$3:$Q$156,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sprite_data.asm!$B$3:$Q$156,
    INT(_xlpm.idx / SpriteCount) * 7 + INT(_xlpm.r / 16) + 1,
    MOD(_xlpm.r, 16) + 1
  )
)</f>
        <v>00</v>
      </c>
      <c r="O119" t="str" cm="1">
        <f t="array" ref="O119">_xlfn.LET(
  _xlpm.idx, (ROW()-3)*16 + O$1,
  _xlpm.r, MOD(_xlpm.idx, SpriteCount),
  INDEX(
    sprite_data.asm!$B$3:$Q$156,
    INT(_xlpm.idx / SpriteCount) * 7 + INT(_xlpm.r / 16) + 1,
    MOD(_xlpm.r, 16) + 1
  )
)</f>
        <v>02</v>
      </c>
      <c r="P119" t="str" cm="1">
        <f t="array" ref="P119">_xlfn.LET(
  _xlpm.idx, (ROW()-3)*16 + P$1,
  _xlpm.r, MOD(_xlpm.idx, SpriteCount),
  INDEX(
    sprite_data.asm!$B$3:$Q$156,
    INT(_xlpm.idx / SpriteCount) * 7 + INT(_xlpm.r / 16) + 1,
    MOD(_xlpm.r, 16) + 1
  )
)</f>
        <v>00</v>
      </c>
      <c r="Q119" t="str" cm="1">
        <f t="array" ref="Q119">_xlfn.LET(
  _xlpm.idx, (ROW()-3)*16 + Q$1,
  _xlpm.r, MOD(_xlpm.idx, SpriteCount),
  INDEX(
    sprite_data.asm!$B$3:$Q$156,
    INT(_xlpm.idx / SpriteCount) * 7 + INT(_xlpm.r / 16) + 1,
    MOD(_xlpm.r, 16) + 1
  )
)</f>
        <v>41</v>
      </c>
      <c r="R119" t="str" cm="1">
        <f t="array" ref="R119">_xlfn.LET(
  _xlpm.idx, (ROW()-3)*16 + R$1,
  _xlpm.r, MOD(_xlpm.idx, SpriteCount),
  INDEX(
    sprite_data.asm!$B$3:$Q$156,
    INT(_xlpm.idx / SpriteCount) * 7 + INT(_xlpm.r / 16) + 1,
    MOD(_xlpm.r, 16) + 1
  )
)</f>
        <v>45</v>
      </c>
    </row>
    <row r="120" spans="1:18" x14ac:dyDescent="0.45">
      <c r="A120">
        <f t="shared" si="10"/>
        <v>46160</v>
      </c>
      <c r="B120" s="32" t="str">
        <f t="shared" si="11"/>
        <v>B450</v>
      </c>
      <c r="C120" t="str" cm="1">
        <f t="array" ref="C120">_xlfn.LET(
  _xlpm.idx, (ROW()-3)*16 + C$1,
  _xlpm.r, MOD(_xlpm.idx, SpriteCount),
  INDEX(
    sprite_data.asm!$B$3:$Q$156,
    INT(_xlpm.idx / SpriteCount) * 7 + INT(_xlpm.r / 16) + 1,
    MOD(_xlpm.r, 16) + 1
  )
)</f>
        <v>00</v>
      </c>
      <c r="D120" t="str" cm="1">
        <f t="array" ref="D120">_xlfn.LET(
  _xlpm.idx, (ROW()-3)*16 + D$1,
  _xlpm.r, MOD(_xlpm.idx, SpriteCount),
  INDEX(
    sprite_data.asm!$B$3:$Q$156,
    INT(_xlpm.idx / SpriteCount) * 7 + INT(_xlpm.r / 16) + 1,
    MOD(_xlpm.r, 16) + 1
  )
)</f>
        <v>51</v>
      </c>
      <c r="E120" t="str" cm="1">
        <f t="array" ref="E120">_xlfn.LET(
  _xlpm.idx, (ROW()-3)*16 + E$1,
  _xlpm.r, MOD(_xlpm.idx, SpriteCount),
  INDEX(
    sprite_data.asm!$B$3:$Q$156,
    INT(_xlpm.idx / SpriteCount) * 7 + INT(_xlpm.r / 16) + 1,
    MOD(_xlpm.r, 16) + 1
  )
)</f>
        <v>55</v>
      </c>
      <c r="F120" t="str" cm="1">
        <f t="array" ref="F120">_xlfn.LET(
  _xlpm.idx, (ROW()-3)*16 + F$1,
  _xlpm.r, MOD(_xlpm.idx, SpriteCount),
  INDEX(
    sprite_data.asm!$B$3:$Q$156,
    INT(_xlpm.idx / SpriteCount) * 7 + INT(_xlpm.r / 16) + 1,
    MOD(_xlpm.r, 16) + 1
  )
)</f>
        <v>06</v>
      </c>
      <c r="G120" t="str" cm="1">
        <f t="array" ref="G120">_xlfn.LET(
  _xlpm.idx, (ROW()-3)*16 + G$1,
  _xlpm.r, MOD(_xlpm.idx, SpriteCount),
  INDEX(
    sprite_data.asm!$B$3:$Q$156,
    INT(_xlpm.idx / SpriteCount) * 7 + INT(_xlpm.r / 16) + 1,
    MOD(_xlpm.r, 16) + 1
  )
)</f>
        <v>00</v>
      </c>
      <c r="H120" t="str" cm="1">
        <f t="array" ref="H120">_xlfn.LET(
  _xlpm.idx, (ROW()-3)*16 + H$1,
  _xlpm.r, MOD(_xlpm.idx, SpriteCount),
  INDEX(
    sprite_data.asm!$B$3:$Q$156,
    INT(_xlpm.idx / SpriteCount) * 7 + INT(_xlpm.r / 16) + 1,
    MOD(_xlpm.r, 16) + 1
  )
)</f>
        <v>55</v>
      </c>
      <c r="I120" t="str" cm="1">
        <f t="array" ref="I120">_xlfn.LET(
  _xlpm.idx, (ROW()-3)*16 + I$1,
  _xlpm.r, MOD(_xlpm.idx, SpriteCount),
  INDEX(
    sprite_data.asm!$B$3:$Q$156,
    INT(_xlpm.idx / SpriteCount) * 7 + INT(_xlpm.r / 16) + 1,
    MOD(_xlpm.r, 16) + 1
  )
)</f>
        <v>06</v>
      </c>
      <c r="J120" t="str" cm="1">
        <f t="array" ref="J120">_xlfn.LET(
  _xlpm.idx, (ROW()-3)*16 + J$1,
  _xlpm.r, MOD(_xlpm.idx, SpriteCount),
  INDEX(
    sprite_data.asm!$B$3:$Q$156,
    INT(_xlpm.idx / SpriteCount) * 7 + INT(_xlpm.r / 16) + 1,
    MOD(_xlpm.r, 16) + 1
  )
)</f>
        <v>78</v>
      </c>
      <c r="K120" t="str" cm="1">
        <f t="array" ref="K120">_xlfn.LET(
  _xlpm.idx, (ROW()-3)*16 + K$1,
  _xlpm.r, MOD(_xlpm.idx, SpriteCount),
  INDEX(
    sprite_data.asm!$B$3:$Q$156,
    INT(_xlpm.idx / SpriteCount) * 7 + INT(_xlpm.r / 16) + 1,
    MOD(_xlpm.r, 16) + 1
  )
)</f>
        <v>18</v>
      </c>
      <c r="L120" t="str" cm="1">
        <f t="array" ref="L120">_xlfn.LET(
  _xlpm.idx, (ROW()-3)*16 + L$1,
  _xlpm.r, MOD(_xlpm.idx, SpriteCount),
  INDEX(
    sprite_data.asm!$B$3:$Q$156,
    INT(_xlpm.idx / SpriteCount) * 7 + INT(_xlpm.r / 16) + 1,
    MOD(_xlpm.r, 16) + 1
  )
)</f>
        <v>40</v>
      </c>
      <c r="M120" t="str" cm="1">
        <f t="array" ref="M120">_xlfn.LET(
  _xlpm.idx, (ROW()-3)*16 + M$1,
  _xlpm.r, MOD(_xlpm.idx, SpriteCount),
  INDEX(
    sprite_data.asm!$B$3:$Q$156,
    INT(_xlpm.idx / SpriteCount) * 7 + INT(_xlpm.r / 16) + 1,
    MOD(_xlpm.r, 16) + 1
  )
)</f>
        <v>7F</v>
      </c>
      <c r="N120" t="str" cm="1">
        <f t="array" ref="N120">_xlfn.LET(
  _xlpm.idx, (ROW()-3)*16 + N$1,
  _xlpm.r, MOD(_xlpm.idx, SpriteCount),
  INDEX(
    sprite_data.asm!$B$3:$Q$156,
    INT(_xlpm.idx / SpriteCount) * 7 + INT(_xlpm.r / 16) + 1,
    MOD(_xlpm.r, 16) + 1
  )
)</f>
        <v>0C</v>
      </c>
      <c r="O120" t="str" cm="1">
        <f t="array" ref="O120">_xlfn.LET(
  _xlpm.idx, (ROW()-3)*16 + O$1,
  _xlpm.r, MOD(_xlpm.idx, SpriteCount),
  INDEX(
    sprite_data.asm!$B$3:$Q$156,
    INT(_xlpm.idx / SpriteCount) * 7 + INT(_xlpm.r / 16) + 1,
    MOD(_xlpm.r, 16) + 1
  )
)</f>
        <v>70</v>
      </c>
      <c r="P120" t="str" cm="1">
        <f t="array" ref="P120">_xlfn.LET(
  _xlpm.idx, (ROW()-3)*16 + P$1,
  _xlpm.r, MOD(_xlpm.idx, SpriteCount),
  INDEX(
    sprite_data.asm!$B$3:$Q$156,
    INT(_xlpm.idx / SpriteCount) * 7 + INT(_xlpm.r / 16) + 1,
    MOD(_xlpm.r, 16) + 1
  )
)</f>
        <v>46</v>
      </c>
      <c r="Q120" t="str" cm="1">
        <f t="array" ref="Q120">_xlfn.LET(
  _xlpm.idx, (ROW()-3)*16 + Q$1,
  _xlpm.r, MOD(_xlpm.idx, SpriteCount),
  INDEX(
    sprite_data.asm!$B$3:$Q$156,
    INT(_xlpm.idx / SpriteCount) * 7 + INT(_xlpm.r / 16) + 1,
    MOD(_xlpm.r, 16) + 1
  )
)</f>
        <v>18</v>
      </c>
      <c r="R120" t="str" cm="1">
        <f t="array" ref="R120">_xlfn.LET(
  _xlpm.idx, (ROW()-3)*16 + R$1,
  _xlpm.r, MOD(_xlpm.idx, SpriteCount),
  INDEX(
    sprite_data.asm!$B$3:$Q$156,
    INT(_xlpm.idx / SpriteCount) * 7 + INT(_xlpm.r / 16) + 1,
    MOD(_xlpm.r, 16) + 1
  )
)</f>
        <v>30</v>
      </c>
    </row>
    <row r="121" spans="1:18" x14ac:dyDescent="0.45">
      <c r="A121">
        <f t="shared" si="10"/>
        <v>46176</v>
      </c>
      <c r="B121" s="32" t="str">
        <f t="shared" si="11"/>
        <v>B460</v>
      </c>
      <c r="C121" t="str" cm="1">
        <f t="array" ref="C121">_xlfn.LET(
  _xlpm.idx, (ROW()-3)*16 + C$1,
  _xlpm.r, MOD(_xlpm.idx, SpriteCount),
  INDEX(
    sprite_data.asm!$B$3:$Q$156,
    INT(_xlpm.idx / SpriteCount) * 7 + INT(_xlpm.r / 16) + 1,
    MOD(_xlpm.r, 16) + 1
  )
)</f>
        <v>38</v>
      </c>
      <c r="D121" t="str" cm="1">
        <f t="array" ref="D121">_xlfn.LET(
  _xlpm.idx, (ROW()-3)*16 + D$1,
  _xlpm.r, MOD(_xlpm.idx, SpriteCount),
  INDEX(
    sprite_data.asm!$B$3:$Q$156,
    INT(_xlpm.idx / SpriteCount) * 7 + INT(_xlpm.r / 16) + 1,
    MOD(_xlpm.r, 16) + 1
  )
)</f>
        <v>0C</v>
      </c>
      <c r="E121" t="str" cm="1">
        <f t="array" ref="E121">_xlfn.LET(
  _xlpm.idx, (ROW()-3)*16 + E$1,
  _xlpm.r, MOD(_xlpm.idx, SpriteCount),
  INDEX(
    sprite_data.asm!$B$3:$Q$156,
    INT(_xlpm.idx / SpriteCount) * 7 + INT(_xlpm.r / 16) + 1,
    MOD(_xlpm.r, 16) + 1
  )
)</f>
        <v>60</v>
      </c>
      <c r="F121" t="str" cm="1">
        <f t="array" ref="F121">_xlfn.LET(
  _xlpm.idx, (ROW()-3)*16 + F$1,
  _xlpm.r, MOD(_xlpm.idx, SpriteCount),
  INDEX(
    sprite_data.asm!$B$3:$Q$156,
    INT(_xlpm.idx / SpriteCount) * 7 + INT(_xlpm.r / 16) + 1,
    MOD(_xlpm.r, 16) + 1
  )
)</f>
        <v>6C</v>
      </c>
      <c r="G121" t="str" cm="1">
        <f t="array" ref="G121">_xlfn.LET(
  _xlpm.idx, (ROW()-3)*16 + G$1,
  _xlpm.r, MOD(_xlpm.idx, SpriteCount),
  INDEX(
    sprite_data.asm!$B$3:$Q$156,
    INT(_xlpm.idx / SpriteCount) * 7 + INT(_xlpm.r / 16) + 1,
    MOD(_xlpm.r, 16) + 1
  )
)</f>
        <v>58</v>
      </c>
      <c r="H121" t="str" cm="1">
        <f t="array" ref="H121">_xlfn.LET(
  _xlpm.idx, (ROW()-3)*16 + H$1,
  _xlpm.r, MOD(_xlpm.idx, SpriteCount),
  INDEX(
    sprite_data.asm!$B$3:$Q$156,
    INT(_xlpm.idx / SpriteCount) * 7 + INT(_xlpm.r / 16) + 1,
    MOD(_xlpm.r, 16) + 1
  )
)</f>
        <v>1B</v>
      </c>
      <c r="I121" t="str" cm="1">
        <f t="array" ref="I121">_xlfn.LET(
  _xlpm.idx, (ROW()-3)*16 + I$1,
  _xlpm.r, MOD(_xlpm.idx, SpriteCount),
  INDEX(
    sprite_data.asm!$B$3:$Q$156,
    INT(_xlpm.idx / SpriteCount) * 7 + INT(_xlpm.r / 16) + 1,
    MOD(_xlpm.r, 16) + 1
  )
)</f>
        <v>36</v>
      </c>
      <c r="J121" t="str" cm="1">
        <f t="array" ref="J121">_xlfn.LET(
  _xlpm.idx, (ROW()-3)*16 + J$1,
  _xlpm.r, MOD(_xlpm.idx, SpriteCount),
  INDEX(
    sprite_data.asm!$B$3:$Q$156,
    INT(_xlpm.idx / SpriteCount) * 7 + INT(_xlpm.r / 16) + 1,
    MOD(_xlpm.r, 16) + 1
  )
)</f>
        <v>58</v>
      </c>
      <c r="K121" t="str" cm="1">
        <f t="array" ref="K121">_xlfn.LET(
  _xlpm.idx, (ROW()-3)*16 + K$1,
  _xlpm.r, MOD(_xlpm.idx, SpriteCount),
  INDEX(
    sprite_data.asm!$B$3:$Q$156,
    INT(_xlpm.idx / SpriteCount) * 7 + INT(_xlpm.r / 16) + 1,
    MOD(_xlpm.r, 16) + 1
  )
)</f>
        <v>60</v>
      </c>
      <c r="L121" t="str" cm="1">
        <f t="array" ref="L121">_xlfn.LET(
  _xlpm.idx, (ROW()-3)*16 + L$1,
  _xlpm.r, MOD(_xlpm.idx, SpriteCount),
  INDEX(
    sprite_data.asm!$B$3:$Q$156,
    INT(_xlpm.idx / SpriteCount) * 7 + INT(_xlpm.r / 16) + 1,
    MOD(_xlpm.r, 16) + 1
  )
)</f>
        <v>30</v>
      </c>
      <c r="M121" t="str" cm="1">
        <f t="array" ref="M121">_xlfn.LET(
  _xlpm.idx, (ROW()-3)*16 + M$1,
  _xlpm.r, MOD(_xlpm.idx, SpriteCount),
  INDEX(
    sprite_data.asm!$B$3:$Q$156,
    INT(_xlpm.idx / SpriteCount) * 7 + INT(_xlpm.r / 16) + 1,
    MOD(_xlpm.r, 16) + 1
  )
)</f>
        <v>6C</v>
      </c>
      <c r="N121" t="str" cm="1">
        <f t="array" ref="N121">_xlfn.LET(
  _xlpm.idx, (ROW()-3)*16 + N$1,
  _xlpm.r, MOD(_xlpm.idx, SpriteCount),
  INDEX(
    sprite_data.asm!$B$3:$Q$156,
    INT(_xlpm.idx / SpriteCount) * 7 + INT(_xlpm.r / 16) + 1,
    MOD(_xlpm.r, 16) + 1
  )
)</f>
        <v>10</v>
      </c>
      <c r="O121" t="str" cm="1">
        <f t="array" ref="O121">_xlfn.LET(
  _xlpm.idx, (ROW()-3)*16 + O$1,
  _xlpm.r, MOD(_xlpm.idx, SpriteCount),
  INDEX(
    sprite_data.asm!$B$3:$Q$156,
    INT(_xlpm.idx / SpriteCount) * 7 + INT(_xlpm.r / 16) + 1,
    MOD(_xlpm.r, 16) + 1
  )
)</f>
        <v>04</v>
      </c>
      <c r="P121" t="str" cm="1">
        <f t="array" ref="P121">_xlfn.LET(
  _xlpm.idx, (ROW()-3)*16 + P$1,
  _xlpm.r, MOD(_xlpm.idx, SpriteCount),
  INDEX(
    sprite_data.asm!$B$3:$Q$156,
    INT(_xlpm.idx / SpriteCount) * 7 + INT(_xlpm.r / 16) + 1,
    MOD(_xlpm.r, 16) + 1
  )
)</f>
        <v>40</v>
      </c>
      <c r="Q121" t="str" cm="1">
        <f t="array" ref="Q121">_xlfn.LET(
  _xlpm.idx, (ROW()-3)*16 + Q$1,
  _xlpm.r, MOD(_xlpm.idx, SpriteCount),
  INDEX(
    sprite_data.asm!$B$3:$Q$156,
    INT(_xlpm.idx / SpriteCount) * 7 + INT(_xlpm.r / 16) + 1,
    MOD(_xlpm.r, 16) + 1
  )
)</f>
        <v>00</v>
      </c>
      <c r="R121" t="str" cm="1">
        <f t="array" ref="R121">_xlfn.LET(
  _xlpm.idx, (ROW()-3)*16 + R$1,
  _xlpm.r, MOD(_xlpm.idx, SpriteCount),
  INDEX(
    sprite_data.asm!$B$3:$Q$156,
    INT(_xlpm.idx / SpriteCount) * 7 + INT(_xlpm.r / 16) + 1,
    MOD(_xlpm.r, 16) + 1
  )
)</f>
        <v>51</v>
      </c>
    </row>
    <row r="122" spans="1:18" x14ac:dyDescent="0.45">
      <c r="A122">
        <f t="shared" si="10"/>
        <v>46192</v>
      </c>
      <c r="B122" s="32" t="str">
        <f t="shared" si="11"/>
        <v>B470</v>
      </c>
      <c r="C122" t="str" cm="1">
        <f t="array" ref="C122">_xlfn.LET(
  _xlpm.idx, (ROW()-3)*16 + C$1,
  _xlpm.r, MOD(_xlpm.idx, SpriteCount),
  INDEX(
    sprite_data.asm!$B$3:$Q$156,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sprite_data.asm!$B$3:$Q$156,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sprite_data.asm!$B$3:$Q$156,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sprite_data.asm!$B$3:$Q$156,
    INT(_xlpm.idx / SpriteCount) * 7 + INT(_xlpm.r / 16) + 1,
    MOD(_xlpm.r, 16) + 1
  )
)</f>
        <v>51</v>
      </c>
      <c r="G122" t="str" cm="1">
        <f t="array" ref="G122">_xlfn.LET(
  _xlpm.idx, (ROW()-3)*16 + G$1,
  _xlpm.r, MOD(_xlpm.idx, SpriteCount),
  INDEX(
    sprite_data.asm!$B$3:$Q$156,
    INT(_xlpm.idx / SpriteCount) * 7 + INT(_xlpm.r / 16) + 1,
    MOD(_xlpm.r, 16) + 1
  )
)</f>
        <v>28</v>
      </c>
      <c r="H122" t="str" cm="1">
        <f t="array" ref="H122">_xlfn.LET(
  _xlpm.idx, (ROW()-3)*16 + H$1,
  _xlpm.r, MOD(_xlpm.idx, SpriteCount),
  INDEX(
    sprite_data.asm!$B$3:$Q$156,
    INT(_xlpm.idx / SpriteCount) * 7 + INT(_xlpm.r / 16) + 1,
    MOD(_xlpm.r, 16) + 1
  )
)</f>
        <v>6C</v>
      </c>
      <c r="I122" t="str" cm="1">
        <f t="array" ref="I122">_xlfn.LET(
  _xlpm.idx, (ROW()-3)*16 + I$1,
  _xlpm.r, MOD(_xlpm.idx, SpriteCount),
  INDEX(
    sprite_data.asm!$B$3:$Q$156,
    INT(_xlpm.idx / SpriteCount) * 7 + INT(_xlpm.r / 16) + 1,
    MOD(_xlpm.r, 16) + 1
  )
)</f>
        <v>0A</v>
      </c>
      <c r="J122" t="str" cm="1">
        <f t="array" ref="J122">_xlfn.LET(
  _xlpm.idx, (ROW()-3)*16 + J$1,
  _xlpm.r, MOD(_xlpm.idx, SpriteCount),
  INDEX(
    sprite_data.asm!$B$3:$Q$156,
    INT(_xlpm.idx / SpriteCount) * 7 + INT(_xlpm.r / 16) + 1,
    MOD(_xlpm.r, 16) + 1
  )
)</f>
        <v>08</v>
      </c>
      <c r="K122" t="str" cm="1">
        <f t="array" ref="K122">_xlfn.LET(
  _xlpm.idx, (ROW()-3)*16 + K$1,
  _xlpm.r, MOD(_xlpm.idx, SpriteCount),
  INDEX(
    sprite_data.asm!$B$3:$Q$156,
    INT(_xlpm.idx / SpriteCount) * 7 + INT(_xlpm.r / 16) + 1,
    MOD(_xlpm.r, 16) + 1
  )
)</f>
        <v>40</v>
      </c>
      <c r="L122" t="str" cm="1">
        <f t="array" ref="L122">_xlfn.LET(
  _xlpm.idx, (ROW()-3)*16 + L$1,
  _xlpm.r, MOD(_xlpm.idx, SpriteCount),
  INDEX(
    sprite_data.asm!$B$3:$Q$156,
    INT(_xlpm.idx / SpriteCount) * 7 + INT(_xlpm.r / 16) + 1,
    MOD(_xlpm.r, 16) + 1
  )
)</f>
        <v>38</v>
      </c>
      <c r="M122" t="str" cm="1">
        <f t="array" ref="M122">_xlfn.LET(
  _xlpm.idx, (ROW()-3)*16 + M$1,
  _xlpm.r, MOD(_xlpm.idx, SpriteCount),
  INDEX(
    sprite_data.asm!$B$3:$Q$156,
    INT(_xlpm.idx / SpriteCount) * 7 + INT(_xlpm.r / 16) + 1,
    MOD(_xlpm.r, 16) + 1
  )
)</f>
        <v>0C</v>
      </c>
      <c r="N122" t="str" cm="1">
        <f t="array" ref="N122">_xlfn.LET(
  _xlpm.idx, (ROW()-3)*16 + N$1,
  _xlpm.r, MOD(_xlpm.idx, SpriteCount),
  INDEX(
    sprite_data.asm!$B$3:$Q$156,
    INT(_xlpm.idx / SpriteCount) * 7 + INT(_xlpm.r / 16) + 1,
    MOD(_xlpm.r, 16) + 1
  )
)</f>
        <v>60</v>
      </c>
      <c r="O122" t="str" cm="1">
        <f t="array" ref="O122">_xlfn.LET(
  _xlpm.idx, (ROW()-3)*16 + O$1,
  _xlpm.r, MOD(_xlpm.idx, SpriteCount),
  INDEX(
    sprite_data.asm!$B$3:$Q$156,
    INT(_xlpm.idx / SpriteCount) * 7 + INT(_xlpm.r / 16) + 1,
    MOD(_xlpm.r, 16) + 1
  )
)</f>
        <v>0C</v>
      </c>
      <c r="P122" t="str" cm="1">
        <f t="array" ref="P122">_xlfn.LET(
  _xlpm.idx, (ROW()-3)*16 + P$1,
  _xlpm.r, MOD(_xlpm.idx, SpriteCount),
  INDEX(
    sprite_data.asm!$B$3:$Q$156,
    INT(_xlpm.idx / SpriteCount) * 7 + INT(_xlpm.r / 16) + 1,
    MOD(_xlpm.r, 16) + 1
  )
)</f>
        <v>1B</v>
      </c>
      <c r="Q122" t="str" cm="1">
        <f t="array" ref="Q122">_xlfn.LET(
  _xlpm.idx, (ROW()-3)*16 + Q$1,
  _xlpm.r, MOD(_xlpm.idx, SpriteCount),
  INDEX(
    sprite_data.asm!$B$3:$Q$156,
    INT(_xlpm.idx / SpriteCount) * 7 + INT(_xlpm.r / 16) + 1,
    MOD(_xlpm.r, 16) + 1
  )
)</f>
        <v>36</v>
      </c>
      <c r="R122" t="str" cm="1">
        <f t="array" ref="R122">_xlfn.LET(
  _xlpm.idx, (ROW()-3)*16 + R$1,
  _xlpm.r, MOD(_xlpm.idx, SpriteCount),
  INDEX(
    sprite_data.asm!$B$3:$Q$156,
    INT(_xlpm.idx / SpriteCount) * 7 + INT(_xlpm.r / 16) + 1,
    MOD(_xlpm.r, 16) + 1
  )
)</f>
        <v>58</v>
      </c>
    </row>
    <row r="123" spans="1:18" x14ac:dyDescent="0.45">
      <c r="A123">
        <f t="shared" si="10"/>
        <v>46208</v>
      </c>
      <c r="B123" s="32" t="str">
        <f t="shared" si="11"/>
        <v>B480</v>
      </c>
      <c r="C123" t="str" cm="1">
        <f t="array" ref="C123">_xlfn.LET(
  _xlpm.idx, (ROW()-3)*16 + C$1,
  _xlpm.r, MOD(_xlpm.idx, SpriteCount),
  INDEX(
    sprite_data.asm!$B$3:$Q$156,
    INT(_xlpm.idx / SpriteCount) * 7 + INT(_xlpm.r / 16) + 1,
    MOD(_xlpm.r, 16) + 1
  )
)</f>
        <v>30</v>
      </c>
      <c r="D123" t="str" cm="1">
        <f t="array" ref="D123">_xlfn.LET(
  _xlpm.idx, (ROW()-3)*16 + D$1,
  _xlpm.r, MOD(_xlpm.idx, SpriteCount),
  INDEX(
    sprite_data.asm!$B$3:$Q$156,
    INT(_xlpm.idx / SpriteCount) * 7 + INT(_xlpm.r / 16) + 1,
    MOD(_xlpm.r, 16) + 1
  )
)</f>
        <v>58</v>
      </c>
      <c r="E123" t="str" cm="1">
        <f t="array" ref="E123">_xlfn.LET(
  _xlpm.idx, (ROW()-3)*16 + E$1,
  _xlpm.r, MOD(_xlpm.idx, SpriteCount),
  INDEX(
    sprite_data.asm!$B$3:$Q$156,
    INT(_xlpm.idx / SpriteCount) * 7 + INT(_xlpm.r / 16) + 1,
    MOD(_xlpm.r, 16) + 1
  )
)</f>
        <v>36</v>
      </c>
      <c r="F123" t="str" cm="1">
        <f t="array" ref="F123">_xlfn.LET(
  _xlpm.idx, (ROW()-3)*16 + F$1,
  _xlpm.r, MOD(_xlpm.idx, SpriteCount),
  INDEX(
    sprite_data.asm!$B$3:$Q$156,
    INT(_xlpm.idx / SpriteCount) * 7 + INT(_xlpm.r / 16) + 1,
    MOD(_xlpm.r, 16) + 1
  )
)</f>
        <v>18</v>
      </c>
      <c r="G123" t="str" cm="1">
        <f t="array" ref="G123">_xlfn.LET(
  _xlpm.idx, (ROW()-3)*16 + G$1,
  _xlpm.r, MOD(_xlpm.idx, SpriteCount),
  INDEX(
    sprite_data.asm!$B$3:$Q$156,
    INT(_xlpm.idx / SpriteCount) * 7 + INT(_xlpm.r / 16) + 1,
    MOD(_xlpm.r, 16) + 1
  )
)</f>
        <v>60</v>
      </c>
      <c r="H123" t="str" cm="1">
        <f t="array" ref="H123">_xlfn.LET(
  _xlpm.idx, (ROW()-3)*16 + H$1,
  _xlpm.r, MOD(_xlpm.idx, SpriteCount),
  INDEX(
    sprite_data.asm!$B$3:$Q$156,
    INT(_xlpm.idx / SpriteCount) * 7 + INT(_xlpm.r / 16) + 1,
    MOD(_xlpm.r, 16) + 1
  )
)</f>
        <v>30</v>
      </c>
      <c r="I123" t="str" cm="1">
        <f t="array" ref="I123">_xlfn.LET(
  _xlpm.idx, (ROW()-3)*16 + I$1,
  _xlpm.r, MOD(_xlpm.idx, SpriteCount),
  INDEX(
    sprite_data.asm!$B$3:$Q$156,
    INT(_xlpm.idx / SpriteCount) * 7 + INT(_xlpm.r / 16) + 1,
    MOD(_xlpm.r, 16) + 1
  )
)</f>
        <v>6C</v>
      </c>
      <c r="J123" t="str" cm="1">
        <f t="array" ref="J123">_xlfn.LET(
  _xlpm.idx, (ROW()-3)*16 + J$1,
  _xlpm.r, MOD(_xlpm.idx, SpriteCount),
  INDEX(
    sprite_data.asm!$B$3:$Q$156,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sprite_data.asm!$B$3:$Q$156,
    INT(_xlpm.idx / SpriteCount) * 7 + INT(_xlpm.r / 16) + 1,
    MOD(_xlpm.r, 16) + 1
  )
)</f>
        <v>01</v>
      </c>
      <c r="L123" t="str" cm="1">
        <f t="array" ref="L123">_xlfn.LET(
  _xlpm.idx, (ROW()-3)*16 + L$1,
  _xlpm.r, MOD(_xlpm.idx, SpriteCount),
  INDEX(
    sprite_data.asm!$B$3:$Q$156,
    INT(_xlpm.idx / SpriteCount) * 7 + INT(_xlpm.r / 16) + 1,
    MOD(_xlpm.r, 16) + 1
  )
)</f>
        <v>28</v>
      </c>
      <c r="M123" t="str" cm="1">
        <f t="array" ref="M123">_xlfn.LET(
  _xlpm.idx, (ROW()-3)*16 + M$1,
  _xlpm.r, MOD(_xlpm.idx, SpriteCount),
  INDEX(
    sprite_data.asm!$B$3:$Q$156,
    INT(_xlpm.idx / SpriteCount) * 7 + INT(_xlpm.r / 16) + 1,
    MOD(_xlpm.r, 16) + 1
  )
)</f>
        <v>2A</v>
      </c>
      <c r="N123" t="str" cm="1">
        <f t="array" ref="N123">_xlfn.LET(
  _xlpm.idx, (ROW()-3)*16 + N$1,
  _xlpm.r, MOD(_xlpm.idx, SpriteCount),
  INDEX(
    sprite_data.asm!$B$3:$Q$156,
    INT(_xlpm.idx / SpriteCount) * 7 + INT(_xlpm.r / 16) + 1,
    MOD(_xlpm.r, 16) + 1
  )
)</f>
        <v>22</v>
      </c>
      <c r="O123" t="str" cm="1">
        <f t="array" ref="O123">_xlfn.LET(
  _xlpm.idx, (ROW()-3)*16 + O$1,
  _xlpm.r, MOD(_xlpm.idx, SpriteCount),
  INDEX(
    sprite_data.asm!$B$3:$Q$156,
    INT(_xlpm.idx / SpriteCount) * 7 + INT(_xlpm.r / 16) + 1,
    MOD(_xlpm.r, 16) + 1
  )
)</f>
        <v>28</v>
      </c>
      <c r="P123" t="str" cm="1">
        <f t="array" ref="P123">_xlfn.LET(
  _xlpm.idx, (ROW()-3)*16 + P$1,
  _xlpm.r, MOD(_xlpm.idx, SpriteCount),
  INDEX(
    sprite_data.asm!$B$3:$Q$156,
    INT(_xlpm.idx / SpriteCount) * 7 + INT(_xlpm.r / 16) + 1,
    MOD(_xlpm.r, 16) + 1
  )
)</f>
        <v>22</v>
      </c>
      <c r="Q123" t="str" cm="1">
        <f t="array" ref="Q123">_xlfn.LET(
  _xlpm.idx, (ROW()-3)*16 + Q$1,
  _xlpm.r, MOD(_xlpm.idx, SpriteCount),
  INDEX(
    sprite_data.asm!$B$3:$Q$156,
    INT(_xlpm.idx / SpriteCount) * 7 + INT(_xlpm.r / 16) + 1,
    MOD(_xlpm.r, 16) + 1
  )
)</f>
        <v>02</v>
      </c>
      <c r="R123" t="str" cm="1">
        <f t="array" ref="R123">_xlfn.LET(
  _xlpm.idx, (ROW()-3)*16 + R$1,
  _xlpm.r, MOD(_xlpm.idx, SpriteCount),
  INDEX(
    sprite_data.asm!$B$3:$Q$156,
    INT(_xlpm.idx / SpriteCount) * 7 + INT(_xlpm.r / 16) + 1,
    MOD(_xlpm.r, 16) + 1
  )
)</f>
        <v>00</v>
      </c>
    </row>
    <row r="124" spans="1:18" x14ac:dyDescent="0.45">
      <c r="A124">
        <f t="shared" si="10"/>
        <v>46224</v>
      </c>
      <c r="B124" s="32" t="str">
        <f t="shared" si="11"/>
        <v>B490</v>
      </c>
      <c r="C124" t="str" cm="1">
        <f t="array" ref="C124">_xlfn.LET(
  _xlpm.idx, (ROW()-3)*16 + C$1,
  _xlpm.r, MOD(_xlpm.idx, SpriteCount),
  INDEX(
    sprite_data.asm!$B$3:$Q$156,
    INT(_xlpm.idx / SpriteCount) * 7 + INT(_xlpm.r / 16) + 1,
    MOD(_xlpm.r, 16) + 1
  )
)</f>
        <v>20</v>
      </c>
      <c r="D124" t="str" cm="1">
        <f t="array" ref="D124">_xlfn.LET(
  _xlpm.idx, (ROW()-3)*16 + D$1,
  _xlpm.r, MOD(_xlpm.idx, SpriteCount),
  INDEX(
    sprite_data.asm!$B$3:$Q$156,
    INT(_xlpm.idx / SpriteCount) * 7 + INT(_xlpm.r / 16) + 1,
    MOD(_xlpm.r, 16) + 1
  )
)</f>
        <v>22</v>
      </c>
      <c r="E124" t="str" cm="1">
        <f t="array" ref="E124">_xlfn.LET(
  _xlpm.idx, (ROW()-3)*16 + E$1,
  _xlpm.r, MOD(_xlpm.idx, SpriteCount),
  INDEX(
    sprite_data.asm!$B$3:$Q$156,
    INT(_xlpm.idx / SpriteCount) * 7 + INT(_xlpm.r / 16) + 1,
    MOD(_xlpm.r, 16) + 1
  )
)</f>
        <v>08</v>
      </c>
      <c r="F124" t="str" cm="1">
        <f t="array" ref="F124">_xlfn.LET(
  _xlpm.idx, (ROW()-3)*16 + F$1,
  _xlpm.r, MOD(_xlpm.idx, SpriteCount),
  INDEX(
    sprite_data.asm!$B$3:$Q$156,
    INT(_xlpm.idx / SpriteCount) * 7 + INT(_xlpm.r / 16) + 1,
    MOD(_xlpm.r, 16) + 1
  )
)</f>
        <v>02</v>
      </c>
      <c r="G124" t="str" cm="1">
        <f t="array" ref="G124">_xlfn.LET(
  _xlpm.idx, (ROW()-3)*16 + G$1,
  _xlpm.r, MOD(_xlpm.idx, SpriteCount),
  INDEX(
    sprite_data.asm!$B$3:$Q$156,
    INT(_xlpm.idx / SpriteCount) * 7 + INT(_xlpm.r / 16) + 1,
    MOD(_xlpm.r, 16) + 1
  )
)</f>
        <v>20</v>
      </c>
      <c r="H124" t="str" cm="1">
        <f t="array" ref="H124">_xlfn.LET(
  _xlpm.idx, (ROW()-3)*16 + H$1,
  _xlpm.r, MOD(_xlpm.idx, SpriteCount),
  INDEX(
    sprite_data.asm!$B$3:$Q$156,
    INT(_xlpm.idx / SpriteCount) * 7 + INT(_xlpm.r / 16) + 1,
    MOD(_xlpm.r, 16) + 1
  )
)</f>
        <v>51</v>
      </c>
      <c r="I124" t="str" cm="1">
        <f t="array" ref="I124">_xlfn.LET(
  _xlpm.idx, (ROW()-3)*16 + I$1,
  _xlpm.r, MOD(_xlpm.idx, SpriteCount),
  INDEX(
    sprite_data.asm!$B$3:$Q$156,
    INT(_xlpm.idx / SpriteCount) * 7 + INT(_xlpm.r / 16) + 1,
    MOD(_xlpm.r, 16) + 1
  )
)</f>
        <v>41</v>
      </c>
      <c r="J124" t="str" cm="1">
        <f t="array" ref="J124">_xlfn.LET(
  _xlpm.idx, (ROW()-3)*16 + J$1,
  _xlpm.r, MOD(_xlpm.idx, SpriteCount),
  INDEX(
    sprite_data.asm!$B$3:$Q$156,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sprite_data.asm!$B$3:$Q$156,
    INT(_xlpm.idx / SpriteCount) * 7 + INT(_xlpm.r / 16) + 1,
    MOD(_xlpm.r, 16) + 1
  )
)</f>
        <v>45</v>
      </c>
      <c r="L124" t="str" cm="1">
        <f t="array" ref="L124">_xlfn.LET(
  _xlpm.idx, (ROW()-3)*16 + L$1,
  _xlpm.r, MOD(_xlpm.idx, SpriteCount),
  INDEX(
    sprite_data.asm!$B$3:$Q$156,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sprite_data.asm!$B$3:$Q$156,
    INT(_xlpm.idx / SpriteCount) * 7 + INT(_xlpm.r / 16) + 1,
    MOD(_xlpm.r, 16) + 1
  )
)</f>
        <v>01</v>
      </c>
      <c r="N124" t="str" cm="1">
        <f t="array" ref="N124">_xlfn.LET(
  _xlpm.idx, (ROW()-3)*16 + N$1,
  _xlpm.r, MOD(_xlpm.idx, SpriteCount),
  INDEX(
    sprite_data.asm!$B$3:$Q$156,
    INT(_xlpm.idx / SpriteCount) * 7 + INT(_xlpm.r / 16) + 1,
    MOD(_xlpm.r, 16) + 1
  )
)</f>
        <v>41</v>
      </c>
      <c r="O124" t="str" cm="1">
        <f t="array" ref="O124">_xlfn.LET(
  _xlpm.idx, (ROW()-3)*16 + O$1,
  _xlpm.r, MOD(_xlpm.idx, SpriteCount),
  INDEX(
    sprite_data.asm!$B$3:$Q$156,
    INT(_xlpm.idx / SpriteCount) * 7 + INT(_xlpm.r / 16) + 1,
    MOD(_xlpm.r, 16) + 1
  )
)</f>
        <v>45</v>
      </c>
      <c r="P124" t="str" cm="1">
        <f t="array" ref="P124">_xlfn.LET(
  _xlpm.idx, (ROW()-3)*16 + P$1,
  _xlpm.r, MOD(_xlpm.idx, SpriteCount),
  INDEX(
    sprite_data.asm!$B$3:$Q$156,
    INT(_xlpm.idx / SpriteCount) * 7 + INT(_xlpm.r / 16) + 1,
    MOD(_xlpm.r, 16) + 1
  )
)</f>
        <v>14</v>
      </c>
      <c r="Q124" t="str" cm="1">
        <f t="array" ref="Q124">_xlfn.LET(
  _xlpm.idx, (ROW()-3)*16 + Q$1,
  _xlpm.r, MOD(_xlpm.idx, SpriteCount),
  INDEX(
    sprite_data.asm!$B$3:$Q$156,
    INT(_xlpm.idx / SpriteCount) * 7 + INT(_xlpm.r / 16) + 1,
    MOD(_xlpm.r, 16) + 1
  )
)</f>
        <v>51</v>
      </c>
      <c r="R124" t="str" cm="1">
        <f t="array" ref="R124">_xlfn.LET(
  _xlpm.idx, (ROW()-3)*16 + R$1,
  _xlpm.r, MOD(_xlpm.idx, SpriteCount),
  INDEX(
    sprite_data.asm!$B$3:$Q$156,
    INT(_xlpm.idx / SpriteCount) * 7 + INT(_xlpm.r / 16) + 1,
    MOD(_xlpm.r, 16) + 1
  )
)</f>
        <v>45</v>
      </c>
    </row>
    <row r="125" spans="1:18" x14ac:dyDescent="0.45">
      <c r="A125">
        <f t="shared" si="10"/>
        <v>46240</v>
      </c>
      <c r="B125" s="32" t="str">
        <f t="shared" si="11"/>
        <v>B4A0</v>
      </c>
      <c r="C125" t="str" cm="1">
        <f t="array" ref="C125">_xlfn.LET(
  _xlpm.idx, (ROW()-3)*16 + C$1,
  _xlpm.r, MOD(_xlpm.idx, SpriteCount),
  INDEX(
    sprite_data.asm!$B$3:$Q$156,
    INT(_xlpm.idx / SpriteCount) * 7 + INT(_xlpm.r / 16) + 1,
    MOD(_xlpm.r, 16) + 1
  )
)</f>
        <v>05</v>
      </c>
      <c r="D125" t="str" cm="1">
        <f t="array" ref="D125">_xlfn.LET(
  _xlpm.idx, (ROW()-3)*16 + D$1,
  _xlpm.r, MOD(_xlpm.idx, SpriteCount),
  INDEX(
    sprite_data.asm!$B$3:$Q$156,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sprite_data.asm!$B$3:$Q$156,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sprite_data.asm!$B$3:$Q$156,
    INT(_xlpm.idx / SpriteCount) * 7 + INT(_xlpm.r / 16) + 1,
    MOD(_xlpm.r, 16) + 1
  )
)</f>
        <v>41</v>
      </c>
      <c r="G125" t="str" cm="1">
        <f t="array" ref="G125">_xlfn.LET(
  _xlpm.idx, (ROW()-3)*16 + G$1,
  _xlpm.r, MOD(_xlpm.idx, SpriteCount),
  INDEX(
    sprite_data.asm!$B$3:$Q$156,
    INT(_xlpm.idx / SpriteCount) * 7 + INT(_xlpm.r / 16) + 1,
    MOD(_xlpm.r, 16) + 1
  )
)</f>
        <v>05</v>
      </c>
      <c r="H125" t="str" cm="1">
        <f t="array" ref="H125">_xlfn.LET(
  _xlpm.idx, (ROW()-3)*16 + H$1,
  _xlpm.r, MOD(_xlpm.idx, SpriteCount),
  INDEX(
    sprite_data.asm!$B$3:$Q$156,
    INT(_xlpm.idx / SpriteCount) * 7 + INT(_xlpm.r / 16) + 1,
    MOD(_xlpm.r, 16) + 1
  )
)</f>
        <v>11</v>
      </c>
      <c r="I125" t="str" cm="1">
        <f t="array" ref="I125">_xlfn.LET(
  _xlpm.idx, (ROW()-3)*16 + I$1,
  _xlpm.r, MOD(_xlpm.idx, SpriteCount),
  INDEX(
    sprite_data.asm!$B$3:$Q$156,
    INT(_xlpm.idx / SpriteCount) * 7 + INT(_xlpm.r / 16) + 1,
    MOD(_xlpm.r, 16) + 1
  )
)</f>
        <v>45</v>
      </c>
      <c r="J125" t="str" cm="1">
        <f t="array" ref="J125">_xlfn.LET(
  _xlpm.idx, (ROW()-3)*16 + J$1,
  _xlpm.r, MOD(_xlpm.idx, SpriteCount),
  INDEX(
    sprite_data.asm!$B$3:$Q$156,
    INT(_xlpm.idx / SpriteCount) * 7 + INT(_xlpm.r / 16) + 1,
    MOD(_xlpm.r, 16) + 1
  )
)</f>
        <v>51</v>
      </c>
      <c r="K125" t="str" cm="1">
        <f t="array" ref="K125">_xlfn.LET(
  _xlpm.idx, (ROW()-3)*16 + K$1,
  _xlpm.r, MOD(_xlpm.idx, SpriteCount),
  INDEX(
    sprite_data.asm!$B$3:$Q$156,
    INT(_xlpm.idx / SpriteCount) * 7 + INT(_xlpm.r / 16) + 1,
    MOD(_xlpm.r, 16) + 1
  )
)</f>
        <v>14</v>
      </c>
      <c r="L125" t="str" cm="1">
        <f t="array" ref="L125">_xlfn.LET(
  _xlpm.idx, (ROW()-3)*16 + L$1,
  _xlpm.r, MOD(_xlpm.idx, SpriteCount),
  INDEX(
    sprite_data.asm!$B$3:$Q$156,
    INT(_xlpm.idx / SpriteCount) * 7 + INT(_xlpm.r / 16) + 1,
    MOD(_xlpm.r, 16) + 1
  )
)</f>
        <v>45</v>
      </c>
      <c r="M125" t="str" cm="1">
        <f t="array" ref="M125">_xlfn.LET(
  _xlpm.idx, (ROW()-3)*16 + M$1,
  _xlpm.r, MOD(_xlpm.idx, SpriteCount),
  INDEX(
    sprite_data.asm!$B$3:$Q$156,
    INT(_xlpm.idx / SpriteCount) * 7 + INT(_xlpm.r / 16) + 1,
    MOD(_xlpm.r, 16) + 1
  )
)</f>
        <v>14</v>
      </c>
      <c r="N125" t="str" cm="1">
        <f t="array" ref="N125">_xlfn.LET(
  _xlpm.idx, (ROW()-3)*16 + N$1,
  _xlpm.r, MOD(_xlpm.idx, SpriteCount),
  INDEX(
    sprite_data.asm!$B$3:$Q$156,
    INT(_xlpm.idx / SpriteCount) * 7 + INT(_xlpm.r / 16) + 1,
    MOD(_xlpm.r, 16) + 1
  )
)</f>
        <v>45</v>
      </c>
      <c r="O125" t="str" cm="1">
        <f t="array" ref="O125">_xlfn.LET(
  _xlpm.idx, (ROW()-3)*16 + O$1,
  _xlpm.r, MOD(_xlpm.idx, SpriteCount),
  INDEX(
    sprite_data.asm!$B$3:$Q$156,
    INT(_xlpm.idx / SpriteCount) * 7 + INT(_xlpm.r / 16) + 1,
    MOD(_xlpm.r, 16) + 1
  )
)</f>
        <v>41</v>
      </c>
      <c r="P125" t="str" cm="1">
        <f t="array" ref="P125">_xlfn.LET(
  _xlpm.idx, (ROW()-3)*16 + P$1,
  _xlpm.r, MOD(_xlpm.idx, SpriteCount),
  INDEX(
    sprite_data.asm!$B$3:$Q$156,
    INT(_xlpm.idx / SpriteCount) * 7 + INT(_xlpm.r / 16) + 1,
    MOD(_xlpm.r, 16) + 1
  )
)</f>
        <v>14</v>
      </c>
      <c r="Q125" t="str" cm="1">
        <f t="array" ref="Q125">_xlfn.LET(
  _xlpm.idx, (ROW()-3)*16 + Q$1,
  _xlpm.r, MOD(_xlpm.idx, SpriteCount),
  INDEX(
    sprite_data.asm!$B$3:$Q$156,
    INT(_xlpm.idx / SpriteCount) * 7 + INT(_xlpm.r / 16) + 1,
    MOD(_xlpm.r, 16) + 1
  )
)</f>
        <v>51</v>
      </c>
      <c r="R125" t="str" cm="1">
        <f t="array" ref="R125">_xlfn.LET(
  _xlpm.idx, (ROW()-3)*16 + R$1,
  _xlpm.r, MOD(_xlpm.idx, SpriteCount),
  INDEX(
    sprite_data.asm!$B$3:$Q$156,
    INT(_xlpm.idx / SpriteCount) * 7 + INT(_xlpm.r / 16) + 1,
    MOD(_xlpm.r, 16) + 1
  )
)</f>
        <v>05</v>
      </c>
    </row>
    <row r="126" spans="1:18" x14ac:dyDescent="0.45">
      <c r="A126">
        <f t="shared" si="10"/>
        <v>46256</v>
      </c>
      <c r="B126" s="32" t="str">
        <f t="shared" si="11"/>
        <v>B4B0</v>
      </c>
      <c r="C126" t="str" cm="1">
        <f t="array" ref="C126">_xlfn.LET(
  _xlpm.idx, (ROW()-3)*16 + C$1,
  _xlpm.r, MOD(_xlpm.idx, SpriteCount),
  INDEX(
    sprite_data.asm!$B$3:$Q$156,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sprite_data.asm!$B$3:$Q$156,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sprite_data.asm!$B$3:$Q$156,
    INT(_xlpm.idx / SpriteCount) * 7 + INT(_xlpm.r / 16) + 1,
    MOD(_xlpm.r, 16) + 1
  )
)</f>
        <v>14</v>
      </c>
      <c r="F126" t="str" cm="1">
        <f t="array" ref="F126">_xlfn.LET(
  _xlpm.idx, (ROW()-3)*16 + F$1,
  _xlpm.r, MOD(_xlpm.idx, SpriteCount),
  INDEX(
    sprite_data.asm!$B$3:$Q$156,
    INT(_xlpm.idx / SpriteCount) * 7 + INT(_xlpm.r / 16) + 1,
    MOD(_xlpm.r, 16) + 1
  )
)</f>
        <v>01</v>
      </c>
      <c r="G126" t="str" cm="1">
        <f t="array" ref="G126">_xlfn.LET(
  _xlpm.idx, (ROW()-3)*16 + G$1,
  _xlpm.r, MOD(_xlpm.idx, SpriteCount),
  INDEX(
    sprite_data.asm!$B$3:$Q$156,
    INT(_xlpm.idx / SpriteCount) * 7 + INT(_xlpm.r / 16) + 1,
    MOD(_xlpm.r, 16) + 1
  )
)</f>
        <v>00</v>
      </c>
      <c r="H126" t="str" cm="1">
        <f t="array" ref="H126">_xlfn.LET(
  _xlpm.idx, (ROW()-3)*16 + H$1,
  _xlpm.r, MOD(_xlpm.idx, SpriteCount),
  INDEX(
    sprite_data.asm!$B$3:$Q$156,
    INT(_xlpm.idx / SpriteCount) * 7 + INT(_xlpm.r / 16) + 1,
    MOD(_xlpm.r, 16) + 1
  )
)</f>
        <v>50</v>
      </c>
      <c r="I126" t="str" cm="1">
        <f t="array" ref="I126">_xlfn.LET(
  _xlpm.idx, (ROW()-3)*16 + I$1,
  _xlpm.r, MOD(_xlpm.idx, SpriteCount),
  INDEX(
    sprite_data.asm!$B$3:$Q$156,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sprite_data.asm!$B$3:$Q$156,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sprite_data.asm!$B$3:$Q$156,
    INT(_xlpm.idx / SpriteCount) * 7 + INT(_xlpm.r / 16) + 1,
    MOD(_xlpm.r, 16) + 1
  )
)</f>
        <v>00</v>
      </c>
      <c r="L126" t="str" cm="1">
        <f t="array" ref="L126">_xlfn.LET(
  _xlpm.idx, (ROW()-3)*16 + L$1,
  _xlpm.r, MOD(_xlpm.idx, SpriteCount),
  INDEX(
    sprite_data.asm!$B$3:$Q$156,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sprite_data.asm!$B$3:$Q$156,
    INT(_xlpm.idx / SpriteCount) * 7 + INT(_xlpm.r / 16) + 1,
    MOD(_xlpm.r, 16) + 1
  )
)</f>
        <v>02</v>
      </c>
      <c r="N126" t="str" cm="1">
        <f t="array" ref="N126">_xlfn.LET(
  _xlpm.idx, (ROW()-3)*16 + N$1,
  _xlpm.r, MOD(_xlpm.idx, SpriteCount),
  INDEX(
    sprite_data.asm!$B$3:$Q$156,
    INT(_xlpm.idx / SpriteCount) * 7 + INT(_xlpm.r / 16) + 1,
    MOD(_xlpm.r, 16) + 1
  )
)</f>
        <v>03</v>
      </c>
      <c r="O126" t="str" cm="1">
        <f t="array" ref="O126">_xlfn.LET(
  _xlpm.idx, (ROW()-3)*16 + O$1,
  _xlpm.r, MOD(_xlpm.idx, SpriteCount),
  INDEX(
    sprite_data.asm!$B$3:$Q$156,
    INT(_xlpm.idx / SpriteCount) * 7 + INT(_xlpm.r / 16) + 1,
    MOD(_xlpm.r, 16) + 1
  )
)</f>
        <v>00</v>
      </c>
      <c r="P126" t="str" cm="1">
        <f t="array" ref="P126">_xlfn.LET(
  _xlpm.idx, (ROW()-3)*16 + P$1,
  _xlpm.r, MOD(_xlpm.idx, SpriteCount),
  INDEX(
    sprite_data.asm!$B$3:$Q$156,
    INT(_xlpm.idx / SpriteCount) * 7 + INT(_xlpm.r / 16) + 1,
    MOD(_xlpm.r, 16) + 1
  )
)</f>
        <v>02</v>
      </c>
      <c r="Q126" t="str" cm="1">
        <f t="array" ref="Q126">_xlfn.LET(
  _xlpm.idx, (ROW()-3)*16 + Q$1,
  _xlpm.r, MOD(_xlpm.idx, SpriteCount),
  INDEX(
    sprite_data.asm!$B$3:$Q$156,
    INT(_xlpm.idx / SpriteCount) * 7 + INT(_xlpm.r / 16) + 1,
    MOD(_xlpm.r, 16) + 1
  )
)</f>
        <v>00</v>
      </c>
      <c r="R126" t="str" cm="1">
        <f t="array" ref="R126">_xlfn.LET(
  _xlpm.idx, (ROW()-3)*16 + R$1,
  _xlpm.r, MOD(_xlpm.idx, SpriteCount),
  INDEX(
    sprite_data.asm!$B$3:$Q$156,
    INT(_xlpm.idx / SpriteCount) * 7 + INT(_xlpm.r / 16) + 1,
    MOD(_xlpm.r, 16) + 1
  )
)</f>
        <v>01</v>
      </c>
    </row>
    <row r="127" spans="1:18" x14ac:dyDescent="0.45">
      <c r="A127">
        <f t="shared" si="10"/>
        <v>46272</v>
      </c>
      <c r="B127" s="32" t="str">
        <f t="shared" si="11"/>
        <v>B4C0</v>
      </c>
      <c r="C127" t="str" cm="1">
        <f t="array" ref="C127">_xlfn.LET(
  _xlpm.idx, (ROW()-3)*16 + C$1,
  _xlpm.r, MOD(_xlpm.idx, SpriteCount),
  INDEX(
    sprite_data.asm!$B$3:$Q$156,
    INT(_xlpm.idx / SpriteCount) * 7 + INT(_xlpm.r / 16) + 1,
    MOD(_xlpm.r, 16) + 1
  )
)</f>
        <v>00</v>
      </c>
      <c r="D127" t="str" cm="1">
        <f t="array" ref="D127">_xlfn.LET(
  _xlpm.idx, (ROW()-3)*16 + D$1,
  _xlpm.r, MOD(_xlpm.idx, SpriteCount),
  INDEX(
    sprite_data.asm!$B$3:$Q$156,
    INT(_xlpm.idx / SpriteCount) * 7 + INT(_xlpm.r / 16) + 1,
    MOD(_xlpm.r, 16) + 1
  )
)</f>
        <v>01</v>
      </c>
      <c r="E127" t="str" cm="1">
        <f t="array" ref="E127">_xlfn.LET(
  _xlpm.idx, (ROW()-3)*16 + E$1,
  _xlpm.r, MOD(_xlpm.idx, SpriteCount),
  INDEX(
    sprite_data.asm!$B$3:$Q$156,
    INT(_xlpm.idx / SpriteCount) * 7 + INT(_xlpm.r / 16) + 1,
    MOD(_xlpm.r, 16) + 1
  )
)</f>
        <v>07</v>
      </c>
      <c r="F127" t="str" cm="1">
        <f t="array" ref="F127">_xlfn.LET(
  _xlpm.idx, (ROW()-3)*16 + F$1,
  _xlpm.r, MOD(_xlpm.idx, SpriteCount),
  INDEX(
    sprite_data.asm!$B$3:$Q$156,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sprite_data.asm!$B$3:$Q$156,
    INT(_xlpm.idx / SpriteCount) * 7 + INT(_xlpm.r / 16) + 1,
    MOD(_xlpm.r, 16) + 1
  )
)</f>
        <v>00</v>
      </c>
      <c r="H127" t="str" cm="1">
        <f t="array" ref="H127">_xlfn.LET(
  _xlpm.idx, (ROW()-3)*16 + H$1,
  _xlpm.r, MOD(_xlpm.idx, SpriteCount),
  INDEX(
    sprite_data.asm!$B$3:$Q$156,
    INT(_xlpm.idx / SpriteCount) * 7 + INT(_xlpm.r / 16) + 1,
    MOD(_xlpm.r, 16) + 1
  )
)</f>
        <v>01</v>
      </c>
      <c r="I127" t="str" cm="1">
        <f t="array" ref="I127">_xlfn.LET(
  _xlpm.idx, (ROW()-3)*16 + I$1,
  _xlpm.r, MOD(_xlpm.idx, SpriteCount),
  INDEX(
    sprite_data.asm!$B$3:$Q$156,
    INT(_xlpm.idx / SpriteCount) * 7 + INT(_xlpm.r / 16) + 1,
    MOD(_xlpm.r, 16) + 1
  )
)</f>
        <v>00</v>
      </c>
      <c r="J127" t="str" cm="1">
        <f t="array" ref="J127">_xlfn.LET(
  _xlpm.idx, (ROW()-3)*16 + J$1,
  _xlpm.r, MOD(_xlpm.idx, SpriteCount),
  INDEX(
    sprite_data.asm!$B$3:$Q$156,
    INT(_xlpm.idx / SpriteCount) * 7 + INT(_xlpm.r / 16) + 1,
    MOD(_xlpm.r, 16) + 1
  )
)</f>
        <v>03</v>
      </c>
      <c r="K127" t="str" cm="1">
        <f t="array" ref="K127">_xlfn.LET(
  _xlpm.idx, (ROW()-3)*16 + K$1,
  _xlpm.r, MOD(_xlpm.idx, SpriteCount),
  INDEX(
    sprite_data.asm!$B$3:$Q$156,
    INT(_xlpm.idx / SpriteCount) * 7 + INT(_xlpm.r / 16) + 1,
    MOD(_xlpm.r, 16) + 1
  )
)</f>
        <v>00</v>
      </c>
      <c r="L127" t="str" cm="1">
        <f t="array" ref="L127">_xlfn.LET(
  _xlpm.idx, (ROW()-3)*16 + L$1,
  _xlpm.r, MOD(_xlpm.idx, SpriteCount),
  INDEX(
    sprite_data.asm!$B$3:$Q$156,
    INT(_xlpm.idx / SpriteCount) * 7 + INT(_xlpm.r / 16) + 1,
    MOD(_xlpm.r, 16) + 1
  )
)</f>
        <v>03</v>
      </c>
      <c r="M127" t="str" cm="1">
        <f t="array" ref="M127">_xlfn.LET(
  _xlpm.idx, (ROW()-3)*16 + M$1,
  _xlpm.r, MOD(_xlpm.idx, SpriteCount),
  INDEX(
    sprite_data.asm!$B$3:$Q$156,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sprite_data.asm!$B$3:$Q$156,
    INT(_xlpm.idx / SpriteCount) * 7 + INT(_xlpm.r / 16) + 1,
    MOD(_xlpm.r, 16) + 1
  )
)</f>
        <v>00</v>
      </c>
      <c r="O127" t="str" cm="1">
        <f t="array" ref="O127">_xlfn.LET(
  _xlpm.idx, (ROW()-3)*16 + O$1,
  _xlpm.r, MOD(_xlpm.idx, SpriteCount),
  INDEX(
    sprite_data.asm!$B$3:$Q$156,
    INT(_xlpm.idx / SpriteCount) * 7 + INT(_xlpm.r / 16) + 1,
    MOD(_xlpm.r, 16) + 1
  )
)</f>
        <v>01</v>
      </c>
      <c r="P127" t="str" cm="1">
        <f t="array" ref="P127">_xlfn.LET(
  _xlpm.idx, (ROW()-3)*16 + P$1,
  _xlpm.r, MOD(_xlpm.idx, SpriteCount),
  INDEX(
    sprite_data.asm!$B$3:$Q$156,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sprite_data.asm!$B$3:$Q$156,
    INT(_xlpm.idx / SpriteCount) * 7 + INT(_xlpm.r / 16) + 1,
    MOD(_xlpm.r, 16) + 1
  )
)</f>
        <v>00</v>
      </c>
      <c r="R127" t="str" cm="1">
        <f t="array" ref="R127">_xlfn.LET(
  _xlpm.idx, (ROW()-3)*16 + R$1,
  _xlpm.r, MOD(_xlpm.idx, SpriteCount),
  INDEX(
    sprite_data.asm!$B$3:$Q$156,
    INT(_xlpm.idx / SpriteCount) * 7 + INT(_xlpm.r / 16) + 1,
    MOD(_xlpm.r, 16) + 1
  )
)</f>
        <v>01</v>
      </c>
    </row>
    <row r="128" spans="1:18" x14ac:dyDescent="0.45">
      <c r="A128">
        <f t="shared" si="10"/>
        <v>46288</v>
      </c>
      <c r="B128" s="32" t="str">
        <f t="shared" si="11"/>
        <v>B4D0</v>
      </c>
      <c r="C128" t="str" cm="1">
        <f t="array" ref="C128">_xlfn.LET(
  _xlpm.idx, (ROW()-3)*16 + C$1,
  _xlpm.r, MOD(_xlpm.idx, SpriteCount),
  INDEX(
    sprite_data.asm!$B$3:$Q$156,
    INT(_xlpm.idx / SpriteCount) * 7 + INT(_xlpm.r / 16) + 1,
    MOD(_xlpm.r, 16) + 1
  )
)</f>
        <v>06</v>
      </c>
      <c r="D128" t="str" cm="1">
        <f t="array" ref="D128">_xlfn.LET(
  _xlpm.idx, (ROW()-3)*16 + D$1,
  _xlpm.r, MOD(_xlpm.idx, SpriteCount),
  INDEX(
    sprite_data.asm!$B$3:$Q$156,
    INT(_xlpm.idx / SpriteCount) * 7 + INT(_xlpm.r / 16) + 1,
    MOD(_xlpm.r, 16) + 1
  )
)</f>
        <v>03</v>
      </c>
      <c r="E128" t="str" cm="1">
        <f t="array" ref="E128">_xlfn.LET(
  _xlpm.idx, (ROW()-3)*16 + E$1,
  _xlpm.r, MOD(_xlpm.idx, SpriteCount),
  INDEX(
    sprite_data.asm!$B$3:$Q$156,
    INT(_xlpm.idx / SpriteCount) * 7 + INT(_xlpm.r / 16) + 1,
    MOD(_xlpm.r, 16) + 1
  )
)</f>
        <v>00</v>
      </c>
      <c r="F128" t="str" cm="1">
        <f t="array" ref="F128">_xlfn.LET(
  _xlpm.idx, (ROW()-3)*16 + F$1,
  _xlpm.r, MOD(_xlpm.idx, SpriteCount),
  INDEX(
    sprite_data.asm!$B$3:$Q$156,
    INT(_xlpm.idx / SpriteCount) * 7 + INT(_xlpm.r / 16) + 1,
    MOD(_xlpm.r, 16) + 1
  )
)</f>
        <v>01</v>
      </c>
      <c r="G128" t="str" cm="1">
        <f t="array" ref="G128">_xlfn.LET(
  _xlpm.idx, (ROW()-3)*16 + G$1,
  _xlpm.r, MOD(_xlpm.idx, SpriteCount),
  INDEX(
    sprite_data.asm!$B$3:$Q$156,
    INT(_xlpm.idx / SpriteCount) * 7 + INT(_xlpm.r / 16) + 1,
    MOD(_xlpm.r, 16) + 1
  )
)</f>
        <v>05</v>
      </c>
      <c r="H128" t="str" cm="1">
        <f t="array" ref="H128">_xlfn.LET(
  _xlpm.idx, (ROW()-3)*16 + H$1,
  _xlpm.r, MOD(_xlpm.idx, SpriteCount),
  INDEX(
    sprite_data.asm!$B$3:$Q$156,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sprite_data.asm!$B$3:$Q$156,
    INT(_xlpm.idx / SpriteCount) * 7 + INT(_xlpm.r / 16) + 1,
    MOD(_xlpm.r, 16) + 1
  )
)</f>
        <v>00</v>
      </c>
      <c r="J128" t="str" cm="1">
        <f t="array" ref="J128">_xlfn.LET(
  _xlpm.idx, (ROW()-3)*16 + J$1,
  _xlpm.r, MOD(_xlpm.idx, SpriteCount),
  INDEX(
    sprite_data.asm!$B$3:$Q$156,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sprite_data.asm!$B$3:$Q$156,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sprite_data.asm!$B$3:$Q$156,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sprite_data.asm!$B$3:$Q$156,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sprite_data.asm!$B$3:$Q$156,
    INT(_xlpm.idx / SpriteCount) * 7 + INT(_xlpm.r / 16) + 1,
    MOD(_xlpm.r, 16) + 1
  )
)</f>
        <v>02</v>
      </c>
      <c r="O128" t="str" cm="1">
        <f t="array" ref="O128">_xlfn.LET(
  _xlpm.idx, (ROW()-3)*16 + O$1,
  _xlpm.r, MOD(_xlpm.idx, SpriteCount),
  INDEX(
    sprite_data.asm!$B$3:$Q$156,
    INT(_xlpm.idx / SpriteCount) * 7 + INT(_xlpm.r / 16) + 1,
    MOD(_xlpm.r, 16) + 1
  )
)</f>
        <v>01</v>
      </c>
      <c r="P128" t="str" cm="1">
        <f t="array" ref="P128">_xlfn.LET(
  _xlpm.idx, (ROW()-3)*16 + P$1,
  _xlpm.r, MOD(_xlpm.idx, SpriteCount),
  INDEX(
    sprite_data.asm!$B$3:$Q$156,
    INT(_xlpm.idx / SpriteCount) * 7 + INT(_xlpm.r / 16) + 1,
    MOD(_xlpm.r, 16) + 1
  )
)</f>
        <v>00</v>
      </c>
      <c r="Q128" t="str" cm="1">
        <f t="array" ref="Q128">_xlfn.LET(
  _xlpm.idx, (ROW()-3)*16 + Q$1,
  _xlpm.r, MOD(_xlpm.idx, SpriteCount),
  INDEX(
    sprite_data.asm!$B$3:$Q$156,
    INT(_xlpm.idx / SpriteCount) * 7 + INT(_xlpm.r / 16) + 1,
    MOD(_xlpm.r, 16) + 1
  )
)</f>
        <v>02</v>
      </c>
      <c r="R128" t="str" cm="1">
        <f t="array" ref="R128">_xlfn.LET(
  _xlpm.idx, (ROW()-3)*16 + R$1,
  _xlpm.r, MOD(_xlpm.idx, SpriteCount),
  INDEX(
    sprite_data.asm!$B$3:$Q$156,
    INT(_xlpm.idx / SpriteCount) * 7 + INT(_xlpm.r / 16) + 1,
    MOD(_xlpm.r, 16) + 1
  )
)</f>
        <v>01</v>
      </c>
    </row>
    <row r="129" spans="1:18" x14ac:dyDescent="0.45">
      <c r="A129">
        <f t="shared" ref="A129:A133" si="12">A128+16</f>
        <v>46304</v>
      </c>
      <c r="B129" s="32" t="str">
        <f t="shared" ref="B129:B133" si="13">DEC2HEX(HEX2DEC(B128)+16)</f>
        <v>B4E0</v>
      </c>
      <c r="C129" t="str" cm="1">
        <f t="array" ref="C129">_xlfn.LET(
  _xlpm.idx, (ROW()-3)*16 + C$1,
  _xlpm.r, MOD(_xlpm.idx, SpriteCount),
  INDEX(
    sprite_data.asm!$B$3:$Q$156,
    INT(_xlpm.idx / SpriteCount) * 7 + INT(_xlpm.r / 16) + 1,
    MOD(_xlpm.r, 16) + 1
  )
)</f>
        <v>01</v>
      </c>
      <c r="D129" t="str" cm="1">
        <f t="array" ref="D129">_xlfn.LET(
  _xlpm.idx, (ROW()-3)*16 + D$1,
  _xlpm.r, MOD(_xlpm.idx, SpriteCount),
  INDEX(
    sprite_data.asm!$B$3:$Q$156,
    INT(_xlpm.idx / SpriteCount) * 7 + INT(_xlpm.r / 16) + 1,
    MOD(_xlpm.r, 16) + 1
  )
)</f>
        <v>00</v>
      </c>
      <c r="E129" t="str" cm="1">
        <f t="array" ref="E129">_xlfn.LET(
  _xlpm.idx, (ROW()-3)*16 + E$1,
  _xlpm.r, MOD(_xlpm.idx, SpriteCount),
  INDEX(
    sprite_data.asm!$B$3:$Q$156,
    INT(_xlpm.idx / SpriteCount) * 7 + INT(_xlpm.r / 16) + 1,
    MOD(_xlpm.r, 16) + 1
  )
)</f>
        <v>03</v>
      </c>
      <c r="F129" t="str" cm="1">
        <f t="array" ref="F129">_xlfn.LET(
  _xlpm.idx, (ROW()-3)*16 + F$1,
  _xlpm.r, MOD(_xlpm.idx, SpriteCount),
  INDEX(
    sprite_data.asm!$B$3:$Q$156,
    INT(_xlpm.idx / SpriteCount) * 7 + INT(_xlpm.r / 16) + 1,
    MOD(_xlpm.r, 16) + 1
  )
)</f>
        <v>01</v>
      </c>
      <c r="G129" t="str" cm="1">
        <f t="array" ref="G129">_xlfn.LET(
  _xlpm.idx, (ROW()-3)*16 + G$1,
  _xlpm.r, MOD(_xlpm.idx, SpriteCount),
  INDEX(
    sprite_data.asm!$B$3:$Q$156,
    INT(_xlpm.idx / SpriteCount) * 7 + INT(_xlpm.r / 16) + 1,
    MOD(_xlpm.r, 16) + 1
  )
)</f>
        <v>03</v>
      </c>
      <c r="H129" t="str" cm="1">
        <f t="array" ref="H129">_xlfn.LET(
  _xlpm.idx, (ROW()-3)*16 + H$1,
  _xlpm.r, MOD(_xlpm.idx, SpriteCount),
  INDEX(
    sprite_data.asm!$B$3:$Q$156,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sprite_data.asm!$B$3:$Q$156,
    INT(_xlpm.idx / SpriteCount) * 7 + INT(_xlpm.r / 16) + 1,
    MOD(_xlpm.r, 16) + 1
  )
)</f>
        <v>00</v>
      </c>
      <c r="J129" t="str" cm="1">
        <f t="array" ref="J129">_xlfn.LET(
  _xlpm.idx, (ROW()-3)*16 + J$1,
  _xlpm.r, MOD(_xlpm.idx, SpriteCount),
  INDEX(
    sprite_data.asm!$B$3:$Q$156,
    INT(_xlpm.idx / SpriteCount) * 7 + INT(_xlpm.r / 16) + 1,
    MOD(_xlpm.r, 16) + 1
  )
)</f>
        <v>01</v>
      </c>
      <c r="K129" t="str" cm="1">
        <f t="array" ref="K129">_xlfn.LET(
  _xlpm.idx, (ROW()-3)*16 + K$1,
  _xlpm.r, MOD(_xlpm.idx, SpriteCount),
  INDEX(
    sprite_data.asm!$B$3:$Q$156,
    INT(_xlpm.idx / SpriteCount) * 7 + INT(_xlpm.r / 16) + 1,
    MOD(_xlpm.r, 16) + 1
  )
)</f>
        <v>03</v>
      </c>
      <c r="L129" t="str" cm="1">
        <f t="array" ref="L129">_xlfn.LET(
  _xlpm.idx, (ROW()-3)*16 + L$1,
  _xlpm.r, MOD(_xlpm.idx, SpriteCount),
  INDEX(
    sprite_data.asm!$B$3:$Q$156,
    INT(_xlpm.idx / SpriteCount) * 7 + INT(_xlpm.r / 16) + 1,
    MOD(_xlpm.r, 16) + 1
  )
)</f>
        <v>01</v>
      </c>
      <c r="M129" t="str" cm="1">
        <f t="array" ref="M129">_xlfn.LET(
  _xlpm.idx, (ROW()-3)*16 + M$1,
  _xlpm.r, MOD(_xlpm.idx, SpriteCount),
  INDEX(
    sprite_data.asm!$B$3:$Q$156,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sprite_data.asm!$B$3:$Q$156,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sprite_data.asm!$B$3:$Q$156,
    INT(_xlpm.idx / SpriteCount) * 7 + INT(_xlpm.r / 16) + 1,
    MOD(_xlpm.r, 16) + 1
  )
)</f>
        <v>00</v>
      </c>
      <c r="P129" t="str" cm="1">
        <f t="array" ref="P129">_xlfn.LET(
  _xlpm.idx, (ROW()-3)*16 + P$1,
  _xlpm.r, MOD(_xlpm.idx, SpriteCount),
  INDEX(
    sprite_data.asm!$B$3:$Q$156,
    INT(_xlpm.idx / SpriteCount) * 7 + INT(_xlpm.r / 16) + 1,
    MOD(_xlpm.r, 16) + 1
  )
)</f>
        <v>03</v>
      </c>
      <c r="Q129" t="str" cm="1">
        <f t="array" ref="Q129">_xlfn.LET(
  _xlpm.idx, (ROW()-3)*16 + Q$1,
  _xlpm.r, MOD(_xlpm.idx, SpriteCount),
  INDEX(
    sprite_data.asm!$B$3:$Q$156,
    INT(_xlpm.idx / SpriteCount) * 7 + INT(_xlpm.r / 16) + 1,
    MOD(_xlpm.r, 16) + 1
  )
)</f>
        <v>00</v>
      </c>
      <c r="R129" t="str" cm="1">
        <f t="array" ref="R129">_xlfn.LET(
  _xlpm.idx, (ROW()-3)*16 + R$1,
  _xlpm.r, MOD(_xlpm.idx, SpriteCount),
  INDEX(
    sprite_data.asm!$B$3:$Q$156,
    INT(_xlpm.idx / SpriteCount) * 7 + INT(_xlpm.r / 16) + 1,
    MOD(_xlpm.r, 16) + 1
  )
)</f>
        <v>02</v>
      </c>
    </row>
    <row r="130" spans="1:18" x14ac:dyDescent="0.45">
      <c r="A130">
        <f t="shared" si="12"/>
        <v>46320</v>
      </c>
      <c r="B130" s="32" t="str">
        <f t="shared" si="13"/>
        <v>B4F0</v>
      </c>
      <c r="C130" t="str" cm="1">
        <f t="array" ref="C130">_xlfn.LET(
  _xlpm.idx, (ROW()-3)*16 + C$1,
  _xlpm.r, MOD(_xlpm.idx, SpriteCount),
  INDEX(
    sprite_data.asm!$B$3:$Q$156,
    INT(_xlpm.idx / SpriteCount) * 7 + INT(_xlpm.r / 16) + 1,
    MOD(_xlpm.r, 16) + 1
  )
)</f>
        <v>02</v>
      </c>
      <c r="D130" t="str" cm="1">
        <f t="array" ref="D130">_xlfn.LET(
  _xlpm.idx, (ROW()-3)*16 + D$1,
  _xlpm.r, MOD(_xlpm.idx, SpriteCount),
  INDEX(
    sprite_data.asm!$B$3:$Q$156,
    INT(_xlpm.idx / SpriteCount) * 7 + INT(_xlpm.r / 16) + 1,
    MOD(_xlpm.r, 16) + 1
  )
)</f>
        <v>00</v>
      </c>
      <c r="E130" t="str" cm="1">
        <f t="array" ref="E130">_xlfn.LET(
  _xlpm.idx, (ROW()-3)*16 + E$1,
  _xlpm.r, MOD(_xlpm.idx, SpriteCount),
  INDEX(
    sprite_data.asm!$B$3:$Q$156,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sprite_data.asm!$B$3:$Q$156,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sprite_data.asm!$B$3:$Q$156,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sprite_data.asm!$B$3:$Q$156,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sprite_data.asm!$B$3:$Q$156,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sprite_data.asm!$B$3:$Q$156,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sprite_data.asm!$B$3:$Q$156,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sprite_data.asm!$B$3:$Q$156,
    INT(_xlpm.idx / SpriteCount) * 7 + INT(_xlpm.r / 16) + 1,
    MOD(_xlpm.r, 16) + 1
  )
)</f>
        <v>01</v>
      </c>
      <c r="M130" t="str" cm="1">
        <f t="array" ref="M130">_xlfn.LET(
  _xlpm.idx, (ROW()-3)*16 + M$1,
  _xlpm.r, MOD(_xlpm.idx, SpriteCount),
  INDEX(
    sprite_data.asm!$B$3:$Q$156,
    INT(_xlpm.idx / SpriteCount) * 7 + INT(_xlpm.r / 16) + 1,
    MOD(_xlpm.r, 16) + 1
  )
)</f>
        <v>00</v>
      </c>
      <c r="N130" t="str" cm="1">
        <f t="array" ref="N130">_xlfn.LET(
  _xlpm.idx, (ROW()-3)*16 + N$1,
  _xlpm.r, MOD(_xlpm.idx, SpriteCount),
  INDEX(
    sprite_data.asm!$B$3:$Q$156,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sprite_data.asm!$B$3:$Q$156,
    INT(_xlpm.idx / SpriteCount) * 7 + INT(_xlpm.r / 16) + 1,
    MOD(_xlpm.r, 16) + 1
  )
)</f>
        <v>01</v>
      </c>
      <c r="P130" t="str" cm="1">
        <f t="array" ref="P130">_xlfn.LET(
  _xlpm.idx, (ROW()-3)*16 + P$1,
  _xlpm.r, MOD(_xlpm.idx, SpriteCount),
  INDEX(
    sprite_data.asm!$B$3:$Q$156,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sprite_data.asm!$B$3:$Q$156,
    INT(_xlpm.idx / SpriteCount) * 7 + INT(_xlpm.r / 16) + 1,
    MOD(_xlpm.r, 16) + 1
  )
)</f>
        <v>00</v>
      </c>
      <c r="R130" t="str" cm="1">
        <f t="array" ref="R130">_xlfn.LET(
  _xlpm.idx, (ROW()-3)*16 + R$1,
  _xlpm.r, MOD(_xlpm.idx, SpriteCount),
  INDEX(
    sprite_data.asm!$B$3:$Q$156,
    INT(_xlpm.idx / SpriteCount) * 7 + INT(_xlpm.r / 16) + 1,
    MOD(_xlpm.r, 16) + 1
  )
)</f>
        <v>00</v>
      </c>
    </row>
    <row r="131" spans="1:18" x14ac:dyDescent="0.45">
      <c r="A131">
        <f t="shared" si="12"/>
        <v>46336</v>
      </c>
      <c r="B131" s="32" t="str">
        <f t="shared" si="13"/>
        <v>B500</v>
      </c>
      <c r="C131" t="str" cm="1">
        <f t="array" ref="C131">_xlfn.LET(
  _xlpm.idx, (ROW()-3)*16 + C$1,
  _xlpm.r, MOD(_xlpm.idx, SpriteCount),
  INDEX(
    sprite_data.asm!$B$3:$Q$156,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sprite_data.asm!$B$3:$Q$156,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sprite_data.asm!$B$3:$Q$156,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sprite_data.asm!$B$3:$Q$156,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sprite_data.asm!$B$3:$Q$156,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sprite_data.asm!$B$3:$Q$156,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sprite_data.asm!$B$3:$Q$156,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sprite_data.asm!$B$3:$Q$156,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sprite_data.asm!$B$3:$Q$156,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sprite_data.asm!$B$3:$Q$156,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sprite_data.asm!$B$3:$Q$156,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sprite_data.asm!$B$3:$Q$156,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sprite_data.asm!$B$3:$Q$156,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sprite_data.asm!$B$3:$Q$156,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sprite_data.asm!$B$3:$Q$156,
    INT(_xlpm.idx / SpriteCount) * 7 + INT(_xlpm.r / 16) + 1,
    MOD(_xlpm.r, 16) + 1
  )
)</f>
        <v>00</v>
      </c>
      <c r="R131" t="str" cm="1">
        <f t="array" ref="R131">_xlfn.LET(
  _xlpm.idx, (ROW()-3)*16 + R$1,
  _xlpm.r, MOD(_xlpm.idx, SpriteCount),
  INDEX(
    sprite_data.asm!$B$3:$Q$156,
    INT(_xlpm.idx / SpriteCount) * 7 + INT(_xlpm.r / 16) + 1,
    MOD(_xlpm.r, 16) + 1
  )
)</f>
        <v>00</v>
      </c>
    </row>
    <row r="132" spans="1:18" x14ac:dyDescent="0.45">
      <c r="A132">
        <f t="shared" si="12"/>
        <v>46352</v>
      </c>
      <c r="B132" s="32" t="str">
        <f t="shared" si="13"/>
        <v>B510</v>
      </c>
      <c r="C132" t="str" cm="1">
        <f t="array" ref="C132">_xlfn.LET(
  _xlpm.idx, (ROW()-3)*16 + C$1,
  _xlpm.r, MOD(_xlpm.idx, SpriteCount),
  INDEX(
    sprite_data.asm!$B$3:$Q$156,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sprite_data.asm!$B$3:$Q$156,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sprite_data.asm!$B$3:$Q$156,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sprite_data.asm!$B$3:$Q$156,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sprite_data.asm!$B$3:$Q$156,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sprite_data.asm!$B$3:$Q$156,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sprite_data.asm!$B$3:$Q$156,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sprite_data.asm!$B$3:$Q$156,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sprite_data.asm!$B$3:$Q$156,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sprite_data.asm!$B$3:$Q$156,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sprite_data.asm!$B$3:$Q$156,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sprite_data.asm!$B$3:$Q$156,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sprite_data.asm!$B$3:$Q$156,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sprite_data.asm!$B$3:$Q$156,
    INT(_xlpm.idx / SpriteCount) * 7 + INT(_xlpm.r / 16) + 1,
    MOD(_xlpm.r, 16) + 1
  )
)</f>
        <v>00</v>
      </c>
      <c r="Q132" t="str" cm="1">
        <f t="array" ref="Q132">_xlfn.LET(
  _xlpm.idx, (ROW()-3)*16 + Q$1,
  _xlpm.r, MOD(_xlpm.idx, SpriteCount),
  INDEX(
    sprite_data.asm!$B$3:$Q$156,
    INT(_xlpm.idx / SpriteCount) * 7 + INT(_xlpm.r / 16) + 1,
    MOD(_xlpm.r, 16) + 1
  )
)</f>
        <v>55</v>
      </c>
      <c r="R132" t="str" cm="1">
        <f t="array" ref="R132">_xlfn.LET(
  _xlpm.idx, (ROW()-3)*16 + R$1,
  _xlpm.r, MOD(_xlpm.idx, SpriteCount),
  INDEX(
    sprite_data.asm!$B$3:$Q$156,
    INT(_xlpm.idx / SpriteCount) * 7 + INT(_xlpm.r / 16) + 1,
    MOD(_xlpm.r, 16) + 1
  )
)</f>
        <v>45</v>
      </c>
    </row>
    <row r="133" spans="1:18" x14ac:dyDescent="0.45">
      <c r="A133">
        <f t="shared" si="12"/>
        <v>46368</v>
      </c>
      <c r="B133" s="32" t="str">
        <f t="shared" si="13"/>
        <v>B520</v>
      </c>
      <c r="C133" t="str" cm="1">
        <f t="array" ref="C133">_xlfn.LET(
  _xlpm.idx, (ROW()-3)*16 + C$1,
  _xlpm.r, MOD(_xlpm.idx, SpriteCount),
  INDEX(
    sprite_data.asm!$B$3:$Q$156,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sprite_data.asm!$B$3:$Q$156,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sprite_data.asm!$B$3:$Q$156,
    INT(_xlpm.idx / SpriteCount) * 7 + INT(_xlpm.r / 16) + 1,
    MOD(_xlpm.r, 16) + 1
  )
)</f>
        <v>00</v>
      </c>
      <c r="F133" t="str" cm="1">
        <f t="array" ref="F133">_xlfn.LET(
  _xlpm.idx, (ROW()-3)*16 + F$1,
  _xlpm.r, MOD(_xlpm.idx, SpriteCount),
  INDEX(
    sprite_data.asm!$B$3:$Q$156,
    INT(_xlpm.idx / SpriteCount) * 7 + INT(_xlpm.r / 16) + 1,
    MOD(_xlpm.r, 16) + 1
  )
)</f>
        <v>06</v>
      </c>
      <c r="G133" t="str" cm="1">
        <f t="array" ref="G133">_xlfn.LET(
  _xlpm.idx, (ROW()-3)*16 + G$1,
  _xlpm.r, MOD(_xlpm.idx, SpriteCount),
  INDEX(
    sprite_data.asm!$B$3:$Q$156,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sprite_data.asm!$B$3:$Q$156,
    INT(_xlpm.idx / SpriteCount) * 7 + INT(_xlpm.r / 16) + 1,
    MOD(_xlpm.r, 16) + 1
  )
)</f>
        <v>00</v>
      </c>
      <c r="I133" t="str" cm="1">
        <f t="array" ref="I133">_xlfn.LET(
  _xlpm.idx, (ROW()-3)*16 + I$1,
  _xlpm.r, MOD(_xlpm.idx, SpriteCount),
  INDEX(
    sprite_data.asm!$B$3:$Q$156,
    INT(_xlpm.idx / SpriteCount) * 7 + INT(_xlpm.r / 16) + 1,
    MOD(_xlpm.r, 16) + 1
  )
)</f>
        <v>06</v>
      </c>
      <c r="J133" t="str" cm="1">
        <f t="array" ref="J133">_xlfn.LET(
  _xlpm.idx, (ROW()-3)*16 + J$1,
  _xlpm.r, MOD(_xlpm.idx, SpriteCount),
  INDEX(
    sprite_data.asm!$B$3:$Q$156,
    INT(_xlpm.idx / SpriteCount) * 7 + INT(_xlpm.r / 16) + 1,
    MOD(_xlpm.r, 16) + 1
  )
)</f>
        <v>00</v>
      </c>
      <c r="K133" t="str" cm="1">
        <f t="array" ref="K133">_xlfn.LET(
  _xlpm.idx, (ROW()-3)*16 + K$1,
  _xlpm.r, MOD(_xlpm.idx, SpriteCount),
  INDEX(
    sprite_data.asm!$B$3:$Q$156,
    INT(_xlpm.idx / SpriteCount) * 7 + INT(_xlpm.r / 16) + 1,
    MOD(_xlpm.r, 16) + 1
  )
)</f>
        <v>18</v>
      </c>
      <c r="L133" t="str" cm="1">
        <f t="array" ref="L133">_xlfn.LET(
  _xlpm.idx, (ROW()-3)*16 + L$1,
  _xlpm.r, MOD(_xlpm.idx, SpriteCount),
  INDEX(
    sprite_data.asm!$B$3:$Q$156,
    INT(_xlpm.idx / SpriteCount) * 7 + INT(_xlpm.r / 16) + 1,
    MOD(_xlpm.r, 16) + 1
  )
)</f>
        <v>40</v>
      </c>
      <c r="M133" t="str" cm="1">
        <f t="array" ref="M133">_xlfn.LET(
  _xlpm.idx, (ROW()-3)*16 + M$1,
  _xlpm.r, MOD(_xlpm.idx, SpriteCount),
  INDEX(
    sprite_data.asm!$B$3:$Q$156,
    INT(_xlpm.idx / SpriteCount) * 7 + INT(_xlpm.r / 16) + 1,
    MOD(_xlpm.r, 16) + 1
  )
)</f>
        <v>7F</v>
      </c>
      <c r="N133" t="str" cm="1">
        <f t="array" ref="N133">_xlfn.LET(
  _xlpm.idx, (ROW()-3)*16 + N$1,
  _xlpm.r, MOD(_xlpm.idx, SpriteCount),
  INDEX(
    sprite_data.asm!$B$3:$Q$156,
    INT(_xlpm.idx / SpriteCount) * 7 + INT(_xlpm.r / 16) + 1,
    MOD(_xlpm.r, 16) + 1
  )
)</f>
        <v>0C</v>
      </c>
      <c r="O133" t="str" cm="1">
        <f t="array" ref="O133">_xlfn.LET(
  _xlpm.idx, (ROW()-3)*16 + O$1,
  _xlpm.r, MOD(_xlpm.idx, SpriteCount),
  INDEX(
    sprite_data.asm!$B$3:$Q$156,
    INT(_xlpm.idx / SpriteCount) * 7 + INT(_xlpm.r / 16) + 1,
    MOD(_xlpm.r, 16) + 1
  )
)</f>
        <v>30</v>
      </c>
      <c r="P133" t="str" cm="1">
        <f t="array" ref="P133">_xlfn.LET(
  _xlpm.idx, (ROW()-3)*16 + P$1,
  _xlpm.r, MOD(_xlpm.idx, SpriteCount),
  INDEX(
    sprite_data.asm!$B$3:$Q$156,
    INT(_xlpm.idx / SpriteCount) * 7 + INT(_xlpm.r / 16) + 1,
    MOD(_xlpm.r, 16) + 1
  )
)</f>
        <v>40</v>
      </c>
      <c r="Q133" t="str" cm="1">
        <f t="array" ref="Q133">_xlfn.LET(
  _xlpm.idx, (ROW()-3)*16 + Q$1,
  _xlpm.r, MOD(_xlpm.idx, SpriteCount),
  INDEX(
    sprite_data.asm!$B$3:$Q$156,
    INT(_xlpm.idx / SpriteCount) * 7 + INT(_xlpm.r / 16) + 1,
    MOD(_xlpm.r, 16) + 1
  )
)</f>
        <v>1C</v>
      </c>
      <c r="R133" t="str" cm="1">
        <f t="array" ref="R133">_xlfn.LET(
  _xlpm.idx, (ROW()-3)*16 + R$1,
  _xlpm.r, MOD(_xlpm.idx, SpriteCount),
  INDEX(
    sprite_data.asm!$B$3:$Q$156,
    INT(_xlpm.idx / SpriteCount) * 7 + INT(_xlpm.r / 16) + 1,
    MOD(_xlpm.r, 16) + 1
  )
)</f>
        <v>30</v>
      </c>
    </row>
    <row r="134" spans="1:18" x14ac:dyDescent="0.45">
      <c r="A134">
        <f t="shared" ref="A134:A144" si="14">A133+16</f>
        <v>46384</v>
      </c>
      <c r="B134" s="32" t="str">
        <f t="shared" ref="B134:B144" si="15">DEC2HEX(HEX2DEC(B133)+16)</f>
        <v>B530</v>
      </c>
      <c r="C134" t="str" cm="1">
        <f t="array" ref="C134">_xlfn.LET(
  _xlpm.idx, (ROW()-3)*16 + C$1,
  _xlpm.r, MOD(_xlpm.idx, SpriteCount),
  INDEX(
    sprite_data.asm!$B$3:$Q$156,
    INT(_xlpm.idx / SpriteCount) * 7 + INT(_xlpm.r / 16) + 1,
    MOD(_xlpm.r, 16) + 1
  )
)</f>
        <v>30</v>
      </c>
      <c r="D134" t="str" cm="1">
        <f t="array" ref="D134">_xlfn.LET(
  _xlpm.idx, (ROW()-3)*16 + D$1,
  _xlpm.r, MOD(_xlpm.idx, SpriteCount),
  INDEX(
    sprite_data.asm!$B$3:$Q$156,
    INT(_xlpm.idx / SpriteCount) * 7 + INT(_xlpm.r / 16) + 1,
    MOD(_xlpm.r, 16) + 1
  )
)</f>
        <v>0C</v>
      </c>
      <c r="E134" t="str" cm="1">
        <f t="array" ref="E134">_xlfn.LET(
  _xlpm.idx, (ROW()-3)*16 + E$1,
  _xlpm.r, MOD(_xlpm.idx, SpriteCount),
  INDEX(
    sprite_data.asm!$B$3:$Q$156,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sprite_data.asm!$B$3:$Q$156,
    INT(_xlpm.idx / SpriteCount) * 7 + INT(_xlpm.r / 16) + 1,
    MOD(_xlpm.r, 16) + 1
  )
)</f>
        <v>60</v>
      </c>
      <c r="G134" t="str" cm="1">
        <f t="array" ref="G134">_xlfn.LET(
  _xlpm.idx, (ROW()-3)*16 + G$1,
  _xlpm.r, MOD(_xlpm.idx, SpriteCount),
  INDEX(
    sprite_data.asm!$B$3:$Q$156,
    INT(_xlpm.idx / SpriteCount) * 7 + INT(_xlpm.r / 16) + 1,
    MOD(_xlpm.r, 16) + 1
  )
)</f>
        <v>18</v>
      </c>
      <c r="H134" t="str" cm="1">
        <f t="array" ref="H134">_xlfn.LET(
  _xlpm.idx, (ROW()-3)*16 + H$1,
  _xlpm.r, MOD(_xlpm.idx, SpriteCount),
  INDEX(
    sprite_data.asm!$B$3:$Q$156,
    INT(_xlpm.idx / SpriteCount) * 7 + INT(_xlpm.r / 16) + 1,
    MOD(_xlpm.r, 16) + 1
  )
)</f>
        <v>0D</v>
      </c>
      <c r="I134" t="str" cm="1">
        <f t="array" ref="I134">_xlfn.LET(
  _xlpm.idx, (ROW()-3)*16 + I$1,
  _xlpm.r, MOD(_xlpm.idx, SpriteCount),
  INDEX(
    sprite_data.asm!$B$3:$Q$156,
    INT(_xlpm.idx / SpriteCount) * 7 + INT(_xlpm.r / 16) + 1,
    MOD(_xlpm.r, 16) + 1
  )
)</f>
        <v>36</v>
      </c>
      <c r="J134" t="str" cm="1">
        <f t="array" ref="J134">_xlfn.LET(
  _xlpm.idx, (ROW()-3)*16 + J$1,
  _xlpm.r, MOD(_xlpm.idx, SpriteCount),
  INDEX(
    sprite_data.asm!$B$3:$Q$156,
    INT(_xlpm.idx / SpriteCount) * 7 + INT(_xlpm.r / 16) + 1,
    MOD(_xlpm.r, 16) + 1
  )
)</f>
        <v>58</v>
      </c>
      <c r="K134" t="str" cm="1">
        <f t="array" ref="K134">_xlfn.LET(
  _xlpm.idx, (ROW()-3)*16 + K$1,
  _xlpm.r, MOD(_xlpm.idx, SpriteCount),
  INDEX(
    sprite_data.asm!$B$3:$Q$156,
    INT(_xlpm.idx / SpriteCount) * 7 + INT(_xlpm.r / 16) + 1,
    MOD(_xlpm.r, 16) + 1
  )
)</f>
        <v>40</v>
      </c>
      <c r="L134" t="str" cm="1">
        <f t="array" ref="L134">_xlfn.LET(
  _xlpm.idx, (ROW()-3)*16 + L$1,
  _xlpm.r, MOD(_xlpm.idx, SpriteCount),
  INDEX(
    sprite_data.asm!$B$3:$Q$156,
    INT(_xlpm.idx / SpriteCount) * 7 + INT(_xlpm.r / 16) + 1,
    MOD(_xlpm.r, 16) + 1
  )
)</f>
        <v>30</v>
      </c>
      <c r="M134" t="str" cm="1">
        <f t="array" ref="M134">_xlfn.LET(
  _xlpm.idx, (ROW()-3)*16 + M$1,
  _xlpm.r, MOD(_xlpm.idx, SpriteCount),
  INDEX(
    sprite_data.asm!$B$3:$Q$156,
    INT(_xlpm.idx / SpriteCount) * 7 + INT(_xlpm.r / 16) + 1,
    MOD(_xlpm.r, 16) + 1
  )
)</f>
        <v>6C</v>
      </c>
      <c r="N134" t="str" cm="1">
        <f t="array" ref="N134">_xlfn.LET(
  _xlpm.idx, (ROW()-3)*16 + N$1,
  _xlpm.r, MOD(_xlpm.idx, SpriteCount),
  INDEX(
    sprite_data.asm!$B$3:$Q$156,
    INT(_xlpm.idx / SpriteCount) * 7 + INT(_xlpm.r / 16) + 1,
    MOD(_xlpm.r, 16) + 1
  )
)</f>
        <v>00</v>
      </c>
      <c r="O134" t="str" cm="1">
        <f t="array" ref="O134">_xlfn.LET(
  _xlpm.idx, (ROW()-3)*16 + O$1,
  _xlpm.r, MOD(_xlpm.idx, SpriteCount),
  INDEX(
    sprite_data.asm!$B$3:$Q$156,
    INT(_xlpm.idx / SpriteCount) * 7 + INT(_xlpm.r / 16) + 1,
    MOD(_xlpm.r, 16) + 1
  )
)</f>
        <v>10</v>
      </c>
      <c r="P134" t="str" cm="1">
        <f t="array" ref="P134">_xlfn.LET(
  _xlpm.idx, (ROW()-3)*16 + P$1,
  _xlpm.r, MOD(_xlpm.idx, SpriteCount),
  INDEX(
    sprite_data.asm!$B$3:$Q$156,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sprite_data.asm!$B$3:$Q$156,
    INT(_xlpm.idx / SpriteCount) * 7 + INT(_xlpm.r / 16) + 1,
    MOD(_xlpm.r, 16) + 1
  )
)</f>
        <v>00</v>
      </c>
      <c r="R134" t="str" cm="1">
        <f t="array" ref="R134">_xlfn.LET(
  _xlpm.idx, (ROW()-3)*16 + R$1,
  _xlpm.r, MOD(_xlpm.idx, SpriteCount),
  INDEX(
    sprite_data.asm!$B$3:$Q$156,
    INT(_xlpm.idx / SpriteCount) * 7 + INT(_xlpm.r / 16) + 1,
    MOD(_xlpm.r, 16) + 1
  )
)</f>
        <v>00</v>
      </c>
    </row>
    <row r="135" spans="1:18" x14ac:dyDescent="0.45">
      <c r="A135">
        <f t="shared" si="14"/>
        <v>46400</v>
      </c>
      <c r="B135" s="32" t="str">
        <f t="shared" si="15"/>
        <v>B540</v>
      </c>
      <c r="C135" t="str" cm="1">
        <f t="array" ref="C135">_xlfn.LET(
  _xlpm.idx, (ROW()-3)*16 + C$1,
  _xlpm.r, MOD(_xlpm.idx, SpriteCount),
  INDEX(
    sprite_data.asm!$B$3:$Q$156,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sprite_data.asm!$B$3:$Q$156,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sprite_data.asm!$B$3:$Q$156,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sprite_data.asm!$B$3:$Q$156,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sprite_data.asm!$B$3:$Q$156,
    INT(_xlpm.idx / SpriteCount) * 7 + INT(_xlpm.r / 16) + 1,
    MOD(_xlpm.r, 16) + 1
  )
)</f>
        <v>00</v>
      </c>
      <c r="H135" t="str" cm="1">
        <f t="array" ref="H135">_xlfn.LET(
  _xlpm.idx, (ROW()-3)*16 + H$1,
  _xlpm.r, MOD(_xlpm.idx, SpriteCount),
  INDEX(
    sprite_data.asm!$B$3:$Q$156,
    INT(_xlpm.idx / SpriteCount) * 7 + INT(_xlpm.r / 16) + 1,
    MOD(_xlpm.r, 16) + 1
  )
)</f>
        <v>6C</v>
      </c>
      <c r="I135" t="str" cm="1">
        <f t="array" ref="I135">_xlfn.LET(
  _xlpm.idx, (ROW()-3)*16 + I$1,
  _xlpm.r, MOD(_xlpm.idx, SpriteCount),
  INDEX(
    sprite_data.asm!$B$3:$Q$156,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sprite_data.asm!$B$3:$Q$156,
    INT(_xlpm.idx / SpriteCount) * 7 + INT(_xlpm.r / 16) + 1,
    MOD(_xlpm.r, 16) + 1
  )
)</f>
        <v>08</v>
      </c>
      <c r="K135" t="str" cm="1">
        <f t="array" ref="K135">_xlfn.LET(
  _xlpm.idx, (ROW()-3)*16 + K$1,
  _xlpm.r, MOD(_xlpm.idx, SpriteCount),
  INDEX(
    sprite_data.asm!$B$3:$Q$156,
    INT(_xlpm.idx / SpriteCount) * 7 + INT(_xlpm.r / 16) + 1,
    MOD(_xlpm.r, 16) + 1
  )
)</f>
        <v>40</v>
      </c>
      <c r="L135" t="str" cm="1">
        <f t="array" ref="L135">_xlfn.LET(
  _xlpm.idx, (ROW()-3)*16 + L$1,
  _xlpm.r, MOD(_xlpm.idx, SpriteCount),
  INDEX(
    sprite_data.asm!$B$3:$Q$156,
    INT(_xlpm.idx / SpriteCount) * 7 + INT(_xlpm.r / 16) + 1,
    MOD(_xlpm.r, 16) + 1
  )
)</f>
        <v>30</v>
      </c>
      <c r="M135" t="str" cm="1">
        <f t="array" ref="M135">_xlfn.LET(
  _xlpm.idx, (ROW()-3)*16 + M$1,
  _xlpm.r, MOD(_xlpm.idx, SpriteCount),
  INDEX(
    sprite_data.asm!$B$3:$Q$156,
    INT(_xlpm.idx / SpriteCount) * 7 + INT(_xlpm.r / 16) + 1,
    MOD(_xlpm.r, 16) + 1
  )
)</f>
        <v>0C</v>
      </c>
      <c r="N135" t="str" cm="1">
        <f t="array" ref="N135">_xlfn.LET(
  _xlpm.idx, (ROW()-3)*16 + N$1,
  _xlpm.r, MOD(_xlpm.idx, SpriteCount),
  INDEX(
    sprite_data.asm!$B$3:$Q$156,
    INT(_xlpm.idx / SpriteCount) * 7 + INT(_xlpm.r / 16) + 1,
    MOD(_xlpm.r, 16) + 1
  )
)</f>
        <v>60</v>
      </c>
      <c r="O135" t="str" cm="1">
        <f t="array" ref="O135">_xlfn.LET(
  _xlpm.idx, (ROW()-3)*16 + O$1,
  _xlpm.r, MOD(_xlpm.idx, SpriteCount),
  INDEX(
    sprite_data.asm!$B$3:$Q$156,
    INT(_xlpm.idx / SpriteCount) * 7 + INT(_xlpm.r / 16) + 1,
    MOD(_xlpm.r, 16) + 1
  )
)</f>
        <v>00</v>
      </c>
      <c r="P135" t="str" cm="1">
        <f t="array" ref="P135">_xlfn.LET(
  _xlpm.idx, (ROW()-3)*16 + P$1,
  _xlpm.r, MOD(_xlpm.idx, SpriteCount),
  INDEX(
    sprite_data.asm!$B$3:$Q$156,
    INT(_xlpm.idx / SpriteCount) * 7 + INT(_xlpm.r / 16) + 1,
    MOD(_xlpm.r, 16) + 1
  )
)</f>
        <v>0D</v>
      </c>
      <c r="Q135" t="str" cm="1">
        <f t="array" ref="Q135">_xlfn.LET(
  _xlpm.idx, (ROW()-3)*16 + Q$1,
  _xlpm.r, MOD(_xlpm.idx, SpriteCount),
  INDEX(
    sprite_data.asm!$B$3:$Q$156,
    INT(_xlpm.idx / SpriteCount) * 7 + INT(_xlpm.r / 16) + 1,
    MOD(_xlpm.r, 16) + 1
  )
)</f>
        <v>30</v>
      </c>
      <c r="R135" t="str" cm="1">
        <f t="array" ref="R135">_xlfn.LET(
  _xlpm.idx, (ROW()-3)*16 + R$1,
  _xlpm.r, MOD(_xlpm.idx, SpriteCount),
  INDEX(
    sprite_data.asm!$B$3:$Q$156,
    INT(_xlpm.idx / SpriteCount) * 7 + INT(_xlpm.r / 16) + 1,
    MOD(_xlpm.r, 16) + 1
  )
)</f>
        <v>58</v>
      </c>
    </row>
    <row r="136" spans="1:18" x14ac:dyDescent="0.45">
      <c r="A136">
        <f t="shared" si="14"/>
        <v>46416</v>
      </c>
      <c r="B136" s="32" t="str">
        <f t="shared" si="15"/>
        <v>B550</v>
      </c>
      <c r="C136" t="str" cm="1">
        <f t="array" ref="C136">_xlfn.LET(
  _xlpm.idx, (ROW()-3)*16 + C$1,
  _xlpm.r, MOD(_xlpm.idx, SpriteCount),
  INDEX(
    sprite_data.asm!$B$3:$Q$156,
    INT(_xlpm.idx / SpriteCount) * 7 + INT(_xlpm.r / 16) + 1,
    MOD(_xlpm.r, 16) + 1
  )
)</f>
        <v>60</v>
      </c>
      <c r="D136" t="str" cm="1">
        <f t="array" ref="D136">_xlfn.LET(
  _xlpm.idx, (ROW()-3)*16 + D$1,
  _xlpm.r, MOD(_xlpm.idx, SpriteCount),
  INDEX(
    sprite_data.asm!$B$3:$Q$156,
    INT(_xlpm.idx / SpriteCount) * 7 + INT(_xlpm.r / 16) + 1,
    MOD(_xlpm.r, 16) + 1
  )
)</f>
        <v>58</v>
      </c>
      <c r="E136" t="str" cm="1">
        <f t="array" ref="E136">_xlfn.LET(
  _xlpm.idx, (ROW()-3)*16 + E$1,
  _xlpm.r, MOD(_xlpm.idx, SpriteCount),
  INDEX(
    sprite_data.asm!$B$3:$Q$156,
    INT(_xlpm.idx / SpriteCount) * 7 + INT(_xlpm.r / 16) + 1,
    MOD(_xlpm.r, 16) + 1
  )
)</f>
        <v>36</v>
      </c>
      <c r="F136" t="str" cm="1">
        <f t="array" ref="F136">_xlfn.LET(
  _xlpm.idx, (ROW()-3)*16 + F$1,
  _xlpm.r, MOD(_xlpm.idx, SpriteCount),
  INDEX(
    sprite_data.asm!$B$3:$Q$156,
    INT(_xlpm.idx / SpriteCount) * 7 + INT(_xlpm.r / 16) + 1,
    MOD(_xlpm.r, 16) + 1
  )
)</f>
        <v>1C</v>
      </c>
      <c r="G136" t="str" cm="1">
        <f t="array" ref="G136">_xlfn.LET(
  _xlpm.idx, (ROW()-3)*16 + G$1,
  _xlpm.r, MOD(_xlpm.idx, SpriteCount),
  INDEX(
    sprite_data.asm!$B$3:$Q$156,
    INT(_xlpm.idx / SpriteCount) * 7 + INT(_xlpm.r / 16) + 1,
    MOD(_xlpm.r, 16) + 1
  )
)</f>
        <v>60</v>
      </c>
      <c r="H136" t="str" cm="1">
        <f t="array" ref="H136">_xlfn.LET(
  _xlpm.idx, (ROW()-3)*16 + H$1,
  _xlpm.r, MOD(_xlpm.idx, SpriteCount),
  INDEX(
    sprite_data.asm!$B$3:$Q$156,
    INT(_xlpm.idx / SpriteCount) * 7 + INT(_xlpm.r / 16) + 1,
    MOD(_xlpm.r, 16) + 1
  )
)</f>
        <v>30</v>
      </c>
      <c r="I136" t="str" cm="1">
        <f t="array" ref="I136">_xlfn.LET(
  _xlpm.idx, (ROW()-3)*16 + I$1,
  _xlpm.r, MOD(_xlpm.idx, SpriteCount),
  INDEX(
    sprite_data.asm!$B$3:$Q$156,
    INT(_xlpm.idx / SpriteCount) * 7 + INT(_xlpm.r / 16) + 1,
    MOD(_xlpm.r, 16) + 1
  )
)</f>
        <v>60</v>
      </c>
      <c r="J136" t="str" cm="1">
        <f t="array" ref="J136">_xlfn.LET(
  _xlpm.idx, (ROW()-3)*16 + J$1,
  _xlpm.r, MOD(_xlpm.idx, SpriteCount),
  INDEX(
    sprite_data.asm!$B$3:$Q$156,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sprite_data.asm!$B$3:$Q$156,
    INT(_xlpm.idx / SpriteCount) * 7 + INT(_xlpm.r / 16) + 1,
    MOD(_xlpm.r, 16) + 1
  )
)</f>
        <v>00</v>
      </c>
      <c r="L136" t="str" cm="1">
        <f t="array" ref="L136">_xlfn.LET(
  _xlpm.idx, (ROW()-3)*16 + L$1,
  _xlpm.r, MOD(_xlpm.idx, SpriteCount),
  INDEX(
    sprite_data.asm!$B$3:$Q$156,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sprite_data.asm!$B$3:$Q$156,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sprite_data.asm!$B$3:$Q$156,
    INT(_xlpm.idx / SpriteCount) * 7 + INT(_xlpm.r / 16) + 1,
    MOD(_xlpm.r, 16) + 1
  )
)</f>
        <v>2A</v>
      </c>
      <c r="O136" t="str" cm="1">
        <f t="array" ref="O136">_xlfn.LET(
  _xlpm.idx, (ROW()-3)*16 + O$1,
  _xlpm.r, MOD(_xlpm.idx, SpriteCount),
  INDEX(
    sprite_data.asm!$B$3:$Q$156,
    INT(_xlpm.idx / SpriteCount) * 7 + INT(_xlpm.r / 16) + 1,
    MOD(_xlpm.r, 16) + 1
  )
)</f>
        <v>28</v>
      </c>
      <c r="P136" t="str" cm="1">
        <f t="array" ref="P136">_xlfn.LET(
  _xlpm.idx, (ROW()-3)*16 + P$1,
  _xlpm.r, MOD(_xlpm.idx, SpriteCount),
  INDEX(
    sprite_data.asm!$B$3:$Q$156,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sprite_data.asm!$B$3:$Q$156,
    INT(_xlpm.idx / SpriteCount) * 7 + INT(_xlpm.r / 16) + 1,
    MOD(_xlpm.r, 16) + 1
  )
)</f>
        <v>2A</v>
      </c>
      <c r="R136" t="str" cm="1">
        <f t="array" ref="R136">_xlfn.LET(
  _xlpm.idx, (ROW()-3)*16 + R$1,
  _xlpm.r, MOD(_xlpm.idx, SpriteCount),
  INDEX(
    sprite_data.asm!$B$3:$Q$156,
    INT(_xlpm.idx / SpriteCount) * 7 + INT(_xlpm.r / 16) + 1,
    MOD(_xlpm.r, 16) + 1
  )
)</f>
        <v>00</v>
      </c>
    </row>
    <row r="137" spans="1:18" x14ac:dyDescent="0.45">
      <c r="A137">
        <f t="shared" si="14"/>
        <v>46432</v>
      </c>
      <c r="B137" s="32" t="str">
        <f t="shared" si="15"/>
        <v>B560</v>
      </c>
      <c r="C137" t="str" cm="1">
        <f t="array" ref="C137">_xlfn.LET(
  _xlpm.idx, (ROW()-3)*16 + C$1,
  _xlpm.r, MOD(_xlpm.idx, SpriteCount),
  INDEX(
    sprite_data.asm!$B$3:$Q$156,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sprite_data.asm!$B$3:$Q$156,
    INT(_xlpm.idx / SpriteCount) * 7 + INT(_xlpm.r / 16) + 1,
    MOD(_xlpm.r, 16) + 1
  )
)</f>
        <v>2A</v>
      </c>
      <c r="E137" t="str" cm="1">
        <f t="array" ref="E137">_xlfn.LET(
  _xlpm.idx, (ROW()-3)*16 + E$1,
  _xlpm.r, MOD(_xlpm.idx, SpriteCount),
  INDEX(
    sprite_data.asm!$B$3:$Q$156,
    INT(_xlpm.idx / SpriteCount) * 7 + INT(_xlpm.r / 16) + 1,
    MOD(_xlpm.r, 16) + 1
  )
)</f>
        <v>08</v>
      </c>
      <c r="F137" t="str" cm="1">
        <f t="array" ref="F137">_xlfn.LET(
  _xlpm.idx, (ROW()-3)*16 + F$1,
  _xlpm.r, MOD(_xlpm.idx, SpriteCount),
  INDEX(
    sprite_data.asm!$B$3:$Q$156,
    INT(_xlpm.idx / SpriteCount) * 7 + INT(_xlpm.r / 16) + 1,
    MOD(_xlpm.r, 16) + 1
  )
)</f>
        <v>2A</v>
      </c>
      <c r="G137" t="str" cm="1">
        <f t="array" ref="G137">_xlfn.LET(
  _xlpm.idx, (ROW()-3)*16 + G$1,
  _xlpm.r, MOD(_xlpm.idx, SpriteCount),
  INDEX(
    sprite_data.asm!$B$3:$Q$156,
    INT(_xlpm.idx / SpriteCount) * 7 + INT(_xlpm.r / 16) + 1,
    MOD(_xlpm.r, 16) + 1
  )
)</f>
        <v>20</v>
      </c>
      <c r="H137" t="str" cm="1">
        <f t="array" ref="H137">_xlfn.LET(
  _xlpm.idx, (ROW()-3)*16 + H$1,
  _xlpm.r, MOD(_xlpm.idx, SpriteCount),
  INDEX(
    sprite_data.asm!$B$3:$Q$156,
    INT(_xlpm.idx / SpriteCount) * 7 + INT(_xlpm.r / 16) + 1,
    MOD(_xlpm.r, 16) + 1
  )
)</f>
        <v>51</v>
      </c>
      <c r="I137" t="str" cm="1">
        <f t="array" ref="I137">_xlfn.LET(
  _xlpm.idx, (ROW()-3)*16 + I$1,
  _xlpm.r, MOD(_xlpm.idx, SpriteCount),
  INDEX(
    sprite_data.asm!$B$3:$Q$156,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sprite_data.asm!$B$3:$Q$156,
    INT(_xlpm.idx / SpriteCount) * 7 + INT(_xlpm.r / 16) + 1,
    MOD(_xlpm.r, 16) + 1
  )
)</f>
        <v>55</v>
      </c>
      <c r="K137" t="str" cm="1">
        <f t="array" ref="K137">_xlfn.LET(
  _xlpm.idx, (ROW()-3)*16 + K$1,
  _xlpm.r, MOD(_xlpm.idx, SpriteCount),
  INDEX(
    sprite_data.asm!$B$3:$Q$156,
    INT(_xlpm.idx / SpriteCount) * 7 + INT(_xlpm.r / 16) + 1,
    MOD(_xlpm.r, 16) + 1
  )
)</f>
        <v>15</v>
      </c>
      <c r="L137" t="str" cm="1">
        <f t="array" ref="L137">_xlfn.LET(
  _xlpm.idx, (ROW()-3)*16 + L$1,
  _xlpm.r, MOD(_xlpm.idx, SpriteCount),
  INDEX(
    sprite_data.asm!$B$3:$Q$156,
    INT(_xlpm.idx / SpriteCount) * 7 + INT(_xlpm.r / 16) + 1,
    MOD(_xlpm.r, 16) + 1
  )
)</f>
        <v>55</v>
      </c>
      <c r="M137" t="str" cm="1">
        <f t="array" ref="M137">_xlfn.LET(
  _xlpm.idx, (ROW()-3)*16 + M$1,
  _xlpm.r, MOD(_xlpm.idx, SpriteCount),
  INDEX(
    sprite_data.asm!$B$3:$Q$156,
    INT(_xlpm.idx / SpriteCount) * 7 + INT(_xlpm.r / 16) + 1,
    MOD(_xlpm.r, 16) + 1
  )
)</f>
        <v>01</v>
      </c>
      <c r="N137" t="str" cm="1">
        <f t="array" ref="N137">_xlfn.LET(
  _xlpm.idx, (ROW()-3)*16 + N$1,
  _xlpm.r, MOD(_xlpm.idx, SpriteCount),
  INDEX(
    sprite_data.asm!$B$3:$Q$156,
    INT(_xlpm.idx / SpriteCount) * 7 + INT(_xlpm.r / 16) + 1,
    MOD(_xlpm.r, 16) + 1
  )
)</f>
        <v>55</v>
      </c>
      <c r="O137" t="str" cm="1">
        <f t="array" ref="O137">_xlfn.LET(
  _xlpm.idx, (ROW()-3)*16 + O$1,
  _xlpm.r, MOD(_xlpm.idx, SpriteCount),
  INDEX(
    sprite_data.asm!$B$3:$Q$156,
    INT(_xlpm.idx / SpriteCount) * 7 + INT(_xlpm.r / 16) + 1,
    MOD(_xlpm.r, 16) + 1
  )
)</f>
        <v>45</v>
      </c>
      <c r="P137" t="str" cm="1">
        <f t="array" ref="P137">_xlfn.LET(
  _xlpm.idx, (ROW()-3)*16 + P$1,
  _xlpm.r, MOD(_xlpm.idx, SpriteCount),
  INDEX(
    sprite_data.asm!$B$3:$Q$156,
    INT(_xlpm.idx / SpriteCount) * 7 + INT(_xlpm.r / 16) + 1,
    MOD(_xlpm.r, 16) + 1
  )
)</f>
        <v>14</v>
      </c>
      <c r="Q137" t="str" cm="1">
        <f t="array" ref="Q137">_xlfn.LET(
  _xlpm.idx, (ROW()-3)*16 + Q$1,
  _xlpm.r, MOD(_xlpm.idx, SpriteCount),
  INDEX(
    sprite_data.asm!$B$3:$Q$156,
    INT(_xlpm.idx / SpriteCount) * 7 + INT(_xlpm.r / 16) + 1,
    MOD(_xlpm.r, 16) + 1
  )
)</f>
        <v>55</v>
      </c>
      <c r="R137" t="str" cm="1">
        <f t="array" ref="R137">_xlfn.LET(
  _xlpm.idx, (ROW()-3)*16 + R$1,
  _xlpm.r, MOD(_xlpm.idx, SpriteCount),
  INDEX(
    sprite_data.asm!$B$3:$Q$156,
    INT(_xlpm.idx / SpriteCount) * 7 + INT(_xlpm.r / 16) + 1,
    MOD(_xlpm.r, 16) + 1
  )
)</f>
        <v>45</v>
      </c>
    </row>
    <row r="138" spans="1:18" x14ac:dyDescent="0.45">
      <c r="A138">
        <f t="shared" si="14"/>
        <v>46448</v>
      </c>
      <c r="B138" s="32" t="str">
        <f t="shared" si="15"/>
        <v>B570</v>
      </c>
      <c r="C138" t="str" cm="1">
        <f t="array" ref="C138">_xlfn.LET(
  _xlpm.idx, (ROW()-3)*16 + C$1,
  _xlpm.r, MOD(_xlpm.idx, SpriteCount),
  INDEX(
    sprite_data.asm!$B$3:$Q$156,
    INT(_xlpm.idx / SpriteCount) * 7 + INT(_xlpm.r / 16) + 1,
    MOD(_xlpm.r, 16) + 1
  )
)</f>
        <v>55</v>
      </c>
      <c r="D138" t="str" cm="1">
        <f t="array" ref="D138">_xlfn.LET(
  _xlpm.idx, (ROW()-3)*16 + D$1,
  _xlpm.r, MOD(_xlpm.idx, SpriteCount),
  INDEX(
    sprite_data.asm!$B$3:$Q$156,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sprite_data.asm!$B$3:$Q$156,
    INT(_xlpm.idx / SpriteCount) * 7 + INT(_xlpm.r / 16) + 1,
    MOD(_xlpm.r, 16) + 1
  )
)</f>
        <v>41</v>
      </c>
      <c r="F138" t="str" cm="1">
        <f t="array" ref="F138">_xlfn.LET(
  _xlpm.idx, (ROW()-3)*16 + F$1,
  _xlpm.r, MOD(_xlpm.idx, SpriteCount),
  INDEX(
    sprite_data.asm!$B$3:$Q$156,
    INT(_xlpm.idx / SpriteCount) * 7 + INT(_xlpm.r / 16) + 1,
    MOD(_xlpm.r, 16) + 1
  )
)</f>
        <v>55</v>
      </c>
      <c r="G138" t="str" cm="1">
        <f t="array" ref="G138">_xlfn.LET(
  _xlpm.idx, (ROW()-3)*16 + G$1,
  _xlpm.r, MOD(_xlpm.idx, SpriteCount),
  INDEX(
    sprite_data.asm!$B$3:$Q$156,
    INT(_xlpm.idx / SpriteCount) * 7 + INT(_xlpm.r / 16) + 1,
    MOD(_xlpm.r, 16) + 1
  )
)</f>
        <v>05</v>
      </c>
      <c r="H138" t="str" cm="1">
        <f t="array" ref="H138">_xlfn.LET(
  _xlpm.idx, (ROW()-3)*16 + H$1,
  _xlpm.r, MOD(_xlpm.idx, SpriteCount),
  INDEX(
    sprite_data.asm!$B$3:$Q$156,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sprite_data.asm!$B$3:$Q$156,
    INT(_xlpm.idx / SpriteCount) * 7 + INT(_xlpm.r / 16) + 1,
    MOD(_xlpm.r, 16) + 1
  )
)</f>
        <v>45</v>
      </c>
      <c r="J138" t="str" cm="1">
        <f t="array" ref="J138">_xlfn.LET(
  _xlpm.idx, (ROW()-3)*16 + J$1,
  _xlpm.r, MOD(_xlpm.idx, SpriteCount),
  INDEX(
    sprite_data.asm!$B$3:$Q$156,
    INT(_xlpm.idx / SpriteCount) * 7 + INT(_xlpm.r / 16) + 1,
    MOD(_xlpm.r, 16) + 1
  )
)</f>
        <v>55</v>
      </c>
      <c r="K138" t="str" cm="1">
        <f t="array" ref="K138">_xlfn.LET(
  _xlpm.idx, (ROW()-3)*16 + K$1,
  _xlpm.r, MOD(_xlpm.idx, SpriteCount),
  INDEX(
    sprite_data.asm!$B$3:$Q$156,
    INT(_xlpm.idx / SpriteCount) * 7 + INT(_xlpm.r / 16) + 1,
    MOD(_xlpm.r, 16) + 1
  )
)</f>
        <v>14</v>
      </c>
      <c r="L138" t="str" cm="1">
        <f t="array" ref="L138">_xlfn.LET(
  _xlpm.idx, (ROW()-3)*16 + L$1,
  _xlpm.r, MOD(_xlpm.idx, SpriteCount),
  INDEX(
    sprite_data.asm!$B$3:$Q$156,
    INT(_xlpm.idx / SpriteCount) * 7 + INT(_xlpm.r / 16) + 1,
    MOD(_xlpm.r, 16) + 1
  )
)</f>
        <v>55</v>
      </c>
      <c r="M138" t="str" cm="1">
        <f t="array" ref="M138">_xlfn.LET(
  _xlpm.idx, (ROW()-3)*16 + M$1,
  _xlpm.r, MOD(_xlpm.idx, SpriteCount),
  INDEX(
    sprite_data.asm!$B$3:$Q$156,
    INT(_xlpm.idx / SpriteCount) * 7 + INT(_xlpm.r / 16) + 1,
    MOD(_xlpm.r, 16) + 1
  )
)</f>
        <v>04</v>
      </c>
      <c r="N138" t="str" cm="1">
        <f t="array" ref="N138">_xlfn.LET(
  _xlpm.idx, (ROW()-3)*16 + N$1,
  _xlpm.r, MOD(_xlpm.idx, SpriteCount),
  INDEX(
    sprite_data.asm!$B$3:$Q$156,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sprite_data.asm!$B$3:$Q$156,
    INT(_xlpm.idx / SpriteCount) * 7 + INT(_xlpm.r / 16) + 1,
    MOD(_xlpm.r, 16) + 1
  )
)</f>
        <v>41</v>
      </c>
      <c r="P138" t="str" cm="1">
        <f t="array" ref="P138">_xlfn.LET(
  _xlpm.idx, (ROW()-3)*16 + P$1,
  _xlpm.r, MOD(_xlpm.idx, SpriteCount),
  INDEX(
    sprite_data.asm!$B$3:$Q$156,
    INT(_xlpm.idx / SpriteCount) * 7 + INT(_xlpm.r / 16) + 1,
    MOD(_xlpm.r, 16) + 1
  )
)</f>
        <v>14</v>
      </c>
      <c r="Q138" t="str" cm="1">
        <f t="array" ref="Q138">_xlfn.LET(
  _xlpm.idx, (ROW()-3)*16 + Q$1,
  _xlpm.r, MOD(_xlpm.idx, SpriteCount),
  INDEX(
    sprite_data.asm!$B$3:$Q$156,
    INT(_xlpm.idx / SpriteCount) * 7 + INT(_xlpm.r / 16) + 1,
    MOD(_xlpm.r, 16) + 1
  )
)</f>
        <v>55</v>
      </c>
      <c r="R138" t="str" cm="1">
        <f t="array" ref="R138">_xlfn.LET(
  _xlpm.idx, (ROW()-3)*16 + R$1,
  _xlpm.r, MOD(_xlpm.idx, SpriteCount),
  INDEX(
    sprite_data.asm!$B$3:$Q$156,
    INT(_xlpm.idx / SpriteCount) * 7 + INT(_xlpm.r / 16) + 1,
    MOD(_xlpm.r, 16) + 1
  )
)</f>
        <v>01</v>
      </c>
    </row>
    <row r="139" spans="1:18" x14ac:dyDescent="0.45">
      <c r="A139">
        <f t="shared" si="14"/>
        <v>46464</v>
      </c>
      <c r="B139" s="32" t="str">
        <f t="shared" si="15"/>
        <v>B580</v>
      </c>
      <c r="C139" t="str" cm="1">
        <f t="array" ref="C139">_xlfn.LET(
  _xlpm.idx, (ROW()-3)*16 + C$1,
  _xlpm.r, MOD(_xlpm.idx, SpriteCount),
  INDEX(
    sprite_data.asm!$B$3:$Q$156,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sprite_data.asm!$B$3:$Q$156,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sprite_data.asm!$B$3:$Q$156,
    INT(_xlpm.idx / SpriteCount) * 7 + INT(_xlpm.r / 16) + 1,
    MOD(_xlpm.r, 16) + 1
  )
)</f>
        <v>14</v>
      </c>
      <c r="F139" t="str" cm="1">
        <f t="array" ref="F139">_xlfn.LET(
  _xlpm.idx, (ROW()-3)*16 + F$1,
  _xlpm.r, MOD(_xlpm.idx, SpriteCount),
  INDEX(
    sprite_data.asm!$B$3:$Q$156,
    INT(_xlpm.idx / SpriteCount) * 7 + INT(_xlpm.r / 16) + 1,
    MOD(_xlpm.r, 16) + 1
  )
)</f>
        <v>01</v>
      </c>
      <c r="G139" t="str" cm="1">
        <f t="array" ref="G139">_xlfn.LET(
  _xlpm.idx, (ROW()-3)*16 + G$1,
  _xlpm.r, MOD(_xlpm.idx, SpriteCount),
  INDEX(
    sprite_data.asm!$B$3:$Q$156,
    INT(_xlpm.idx / SpriteCount) * 7 + INT(_xlpm.r / 16) + 1,
    MOD(_xlpm.r, 16) + 1
  )
)</f>
        <v>00</v>
      </c>
      <c r="H139" t="str" cm="1">
        <f t="array" ref="H139">_xlfn.LET(
  _xlpm.idx, (ROW()-3)*16 + H$1,
  _xlpm.r, MOD(_xlpm.idx, SpriteCount),
  INDEX(
    sprite_data.asm!$B$3:$Q$156,
    INT(_xlpm.idx / SpriteCount) * 7 + INT(_xlpm.r / 16) + 1,
    MOD(_xlpm.r, 16) + 1
  )
)</f>
        <v>40</v>
      </c>
      <c r="I139" t="str" cm="1">
        <f t="array" ref="I139">_xlfn.LET(
  _xlpm.idx, (ROW()-3)*16 + I$1,
  _xlpm.r, MOD(_xlpm.idx, SpriteCount),
  INDEX(
    sprite_data.asm!$B$3:$Q$156,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sprite_data.asm!$B$3:$Q$156,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sprite_data.asm!$B$3:$Q$156,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sprite_data.asm!$B$3:$Q$156,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sprite_data.asm!$B$3:$Q$156,
    INT(_xlpm.idx / SpriteCount) * 7 + INT(_xlpm.r / 16) + 1,
    MOD(_xlpm.r, 16) + 1
  )
)</f>
        <v>00</v>
      </c>
      <c r="N139" t="str" cm="1">
        <f t="array" ref="N139">_xlfn.LET(
  _xlpm.idx, (ROW()-3)*16 + N$1,
  _xlpm.r, MOD(_xlpm.idx, SpriteCount),
  INDEX(
    sprite_data.asm!$B$3:$Q$156,
    INT(_xlpm.idx / SpriteCount) * 7 + INT(_xlpm.r / 16) + 1,
    MOD(_xlpm.r, 16) + 1
  )
)</f>
        <v>03</v>
      </c>
      <c r="O139" t="str" cm="1">
        <f t="array" ref="O139">_xlfn.LET(
  _xlpm.idx, (ROW()-3)*16 + O$1,
  _xlpm.r, MOD(_xlpm.idx, SpriteCount),
  INDEX(
    sprite_data.asm!$B$3:$Q$156,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sprite_data.asm!$B$3:$Q$156,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sprite_data.asm!$B$3:$Q$156,
    INT(_xlpm.idx / SpriteCount) * 7 + INT(_xlpm.r / 16) + 1,
    MOD(_xlpm.r, 16) + 1
  )
)</f>
        <v>00</v>
      </c>
      <c r="R139" t="str" cm="1">
        <f t="array" ref="R139">_xlfn.LET(
  _xlpm.idx, (ROW()-3)*16 + R$1,
  _xlpm.r, MOD(_xlpm.idx, SpriteCount),
  INDEX(
    sprite_data.asm!$B$3:$Q$156,
    INT(_xlpm.idx / SpriteCount) * 7 + INT(_xlpm.r / 16) + 1,
    MOD(_xlpm.r, 16) + 1
  )
)</f>
        <v>00</v>
      </c>
    </row>
    <row r="140" spans="1:18" x14ac:dyDescent="0.45">
      <c r="A140">
        <f t="shared" si="14"/>
        <v>46480</v>
      </c>
      <c r="B140" s="32" t="str">
        <f t="shared" si="15"/>
        <v>B590</v>
      </c>
      <c r="C140" t="str" cm="1">
        <f t="array" ref="C140">_xlfn.LET(
  _xlpm.idx, (ROW()-3)*16 + C$1,
  _xlpm.r, MOD(_xlpm.idx, SpriteCount),
  INDEX(
    sprite_data.asm!$B$3:$Q$156,
    INT(_xlpm.idx / SpriteCount) * 7 + INT(_xlpm.r / 16) + 1,
    MOD(_xlpm.r, 16) + 1
  )
)</f>
        <v>00</v>
      </c>
      <c r="D140" t="str" cm="1">
        <f t="array" ref="D140">_xlfn.LET(
  _xlpm.idx, (ROW()-3)*16 + D$1,
  _xlpm.r, MOD(_xlpm.idx, SpriteCount),
  INDEX(
    sprite_data.asm!$B$3:$Q$156,
    INT(_xlpm.idx / SpriteCount) * 7 + INT(_xlpm.r / 16) + 1,
    MOD(_xlpm.r, 16) + 1
  )
)</f>
        <v>01</v>
      </c>
      <c r="E140" t="str" cm="1">
        <f t="array" ref="E140">_xlfn.LET(
  _xlpm.idx, (ROW()-3)*16 + E$1,
  _xlpm.r, MOD(_xlpm.idx, SpriteCount),
  INDEX(
    sprite_data.asm!$B$3:$Q$156,
    INT(_xlpm.idx / SpriteCount) * 7 + INT(_xlpm.r / 16) + 1,
    MOD(_xlpm.r, 16) + 1
  )
)</f>
        <v>07</v>
      </c>
      <c r="F140" t="str" cm="1">
        <f t="array" ref="F140">_xlfn.LET(
  _xlpm.idx, (ROW()-3)*16 + F$1,
  _xlpm.r, MOD(_xlpm.idx, SpriteCount),
  INDEX(
    sprite_data.asm!$B$3:$Q$156,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sprite_data.asm!$B$3:$Q$156,
    INT(_xlpm.idx / SpriteCount) * 7 + INT(_xlpm.r / 16) + 1,
    MOD(_xlpm.r, 16) + 1
  )
)</f>
        <v>00</v>
      </c>
      <c r="H140" t="str" cm="1">
        <f t="array" ref="H140">_xlfn.LET(
  _xlpm.idx, (ROW()-3)*16 + H$1,
  _xlpm.r, MOD(_xlpm.idx, SpriteCount),
  INDEX(
    sprite_data.asm!$B$3:$Q$156,
    INT(_xlpm.idx / SpriteCount) * 7 + INT(_xlpm.r / 16) + 1,
    MOD(_xlpm.r, 16) + 1
  )
)</f>
        <v>01</v>
      </c>
      <c r="I140" t="str" cm="1">
        <f t="array" ref="I140">_xlfn.LET(
  _xlpm.idx, (ROW()-3)*16 + I$1,
  _xlpm.r, MOD(_xlpm.idx, SpriteCount),
  INDEX(
    sprite_data.asm!$B$3:$Q$156,
    INT(_xlpm.idx / SpriteCount) * 7 + INT(_xlpm.r / 16) + 1,
    MOD(_xlpm.r, 16) + 1
  )
)</f>
        <v>00</v>
      </c>
      <c r="J140" t="str" cm="1">
        <f t="array" ref="J140">_xlfn.LET(
  _xlpm.idx, (ROW()-3)*16 + J$1,
  _xlpm.r, MOD(_xlpm.idx, SpriteCount),
  INDEX(
    sprite_data.asm!$B$3:$Q$156,
    INT(_xlpm.idx / SpriteCount) * 7 + INT(_xlpm.r / 16) + 1,
    MOD(_xlpm.r, 16) + 1
  )
)</f>
        <v>03</v>
      </c>
      <c r="K140" t="str" cm="1">
        <f t="array" ref="K140">_xlfn.LET(
  _xlpm.idx, (ROW()-3)*16 + K$1,
  _xlpm.r, MOD(_xlpm.idx, SpriteCount),
  INDEX(
    sprite_data.asm!$B$3:$Q$156,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sprite_data.asm!$B$3:$Q$156,
    INT(_xlpm.idx / SpriteCount) * 7 + INT(_xlpm.r / 16) + 1,
    MOD(_xlpm.r, 16) + 1
  )
)</f>
        <v>00</v>
      </c>
      <c r="M140" t="str" cm="1">
        <f t="array" ref="M140">_xlfn.LET(
  _xlpm.idx, (ROW()-3)*16 + M$1,
  _xlpm.r, MOD(_xlpm.idx, SpriteCount),
  INDEX(
    sprite_data.asm!$B$3:$Q$156,
    INT(_xlpm.idx / SpriteCount) * 7 + INT(_xlpm.r / 16) + 1,
    MOD(_xlpm.r, 16) + 1
  )
)</f>
        <v>01</v>
      </c>
      <c r="N140" t="str" cm="1">
        <f t="array" ref="N140">_xlfn.LET(
  _xlpm.idx, (ROW()-3)*16 + N$1,
  _xlpm.r, MOD(_xlpm.idx, SpriteCount),
  INDEX(
    sprite_data.asm!$B$3:$Q$156,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sprite_data.asm!$B$3:$Q$156,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sprite_data.asm!$B$3:$Q$156,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sprite_data.asm!$B$3:$Q$156,
    INT(_xlpm.idx / SpriteCount) * 7 + INT(_xlpm.r / 16) + 1,
    MOD(_xlpm.r, 16) + 1
  )
)</f>
        <v>00</v>
      </c>
      <c r="R140" t="str" cm="1">
        <f t="array" ref="R140">_xlfn.LET(
  _xlpm.idx, (ROW()-3)*16 + R$1,
  _xlpm.r, MOD(_xlpm.idx, SpriteCount),
  INDEX(
    sprite_data.asm!$B$3:$Q$156,
    INT(_xlpm.idx / SpriteCount) * 7 + INT(_xlpm.r / 16) + 1,
    MOD(_xlpm.r, 16) + 1
  )
)</f>
        <v>01</v>
      </c>
    </row>
    <row r="141" spans="1:18" x14ac:dyDescent="0.45">
      <c r="A141">
        <f t="shared" si="14"/>
        <v>46496</v>
      </c>
      <c r="B141" s="32" t="str">
        <f t="shared" si="15"/>
        <v>B5A0</v>
      </c>
      <c r="C141" t="str" cm="1">
        <f t="array" ref="C141">_xlfn.LET(
  _xlpm.idx, (ROW()-3)*16 + C$1,
  _xlpm.r, MOD(_xlpm.idx, SpriteCount),
  INDEX(
    sprite_data.asm!$B$3:$Q$156,
    INT(_xlpm.idx / SpriteCount) * 7 + INT(_xlpm.r / 16) + 1,
    MOD(_xlpm.r, 16) + 1
  )
)</f>
        <v>05</v>
      </c>
      <c r="D141" t="str" cm="1">
        <f t="array" ref="D141">_xlfn.LET(
  _xlpm.idx, (ROW()-3)*16 + D$1,
  _xlpm.r, MOD(_xlpm.idx, SpriteCount),
  INDEX(
    sprite_data.asm!$B$3:$Q$156,
    INT(_xlpm.idx / SpriteCount) * 7 + INT(_xlpm.r / 16) + 1,
    MOD(_xlpm.r, 16) + 1
  )
)</f>
        <v>03</v>
      </c>
      <c r="E141" t="str" cm="1">
        <f t="array" ref="E141">_xlfn.LET(
  _xlpm.idx, (ROW()-3)*16 + E$1,
  _xlpm.r, MOD(_xlpm.idx, SpriteCount),
  INDEX(
    sprite_data.asm!$B$3:$Q$156,
    INT(_xlpm.idx / SpriteCount) * 7 + INT(_xlpm.r / 16) + 1,
    MOD(_xlpm.r, 16) + 1
  )
)</f>
        <v>00</v>
      </c>
      <c r="F141" t="str" cm="1">
        <f t="array" ref="F141">_xlfn.LET(
  _xlpm.idx, (ROW()-3)*16 + F$1,
  _xlpm.r, MOD(_xlpm.idx, SpriteCount),
  INDEX(
    sprite_data.asm!$B$3:$Q$156,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sprite_data.asm!$B$3:$Q$156,
    INT(_xlpm.idx / SpriteCount) * 7 + INT(_xlpm.r / 16) + 1,
    MOD(_xlpm.r, 16) + 1
  )
)</f>
        <v>01</v>
      </c>
      <c r="H141" t="str" cm="1">
        <f t="array" ref="H141">_xlfn.LET(
  _xlpm.idx, (ROW()-3)*16 + H$1,
  _xlpm.r, MOD(_xlpm.idx, SpriteCount),
  INDEX(
    sprite_data.asm!$B$3:$Q$156,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sprite_data.asm!$B$3:$Q$156,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sprite_data.asm!$B$3:$Q$156,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sprite_data.asm!$B$3:$Q$156,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sprite_data.asm!$B$3:$Q$156,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sprite_data.asm!$B$3:$Q$156,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sprite_data.asm!$B$3:$Q$156,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sprite_data.asm!$B$3:$Q$156,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sprite_data.asm!$B$3:$Q$156,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sprite_data.asm!$B$3:$Q$156,
    INT(_xlpm.idx / SpriteCount) * 7 + INT(_xlpm.r / 16) + 1,
    MOD(_xlpm.r, 16) + 1
  )
)</f>
        <v>00</v>
      </c>
      <c r="R141" t="str" cm="1">
        <f t="array" ref="R141">_xlfn.LET(
  _xlpm.idx, (ROW()-3)*16 + R$1,
  _xlpm.r, MOD(_xlpm.idx, SpriteCount),
  INDEX(
    sprite_data.asm!$B$3:$Q$156,
    INT(_xlpm.idx / SpriteCount) * 7 + INT(_xlpm.r / 16) + 1,
    MOD(_xlpm.r, 16) + 1
  )
)</f>
        <v>01</v>
      </c>
    </row>
    <row r="142" spans="1:18" x14ac:dyDescent="0.45">
      <c r="A142">
        <f t="shared" si="14"/>
        <v>46512</v>
      </c>
      <c r="B142" s="32" t="str">
        <f t="shared" si="15"/>
        <v>B5B0</v>
      </c>
      <c r="C142" t="str" cm="1">
        <f t="array" ref="C142">_xlfn.LET(
  _xlpm.idx, (ROW()-3)*16 + C$1,
  _xlpm.r, MOD(_xlpm.idx, SpriteCount),
  INDEX(
    sprite_data.asm!$B$3:$Q$156,
    INT(_xlpm.idx / SpriteCount) * 7 + INT(_xlpm.r / 16) + 1,
    MOD(_xlpm.r, 16) + 1
  )
)</f>
        <v>01</v>
      </c>
      <c r="D142" t="str" cm="1">
        <f t="array" ref="D142">_xlfn.LET(
  _xlpm.idx, (ROW()-3)*16 + D$1,
  _xlpm.r, MOD(_xlpm.idx, SpriteCount),
  INDEX(
    sprite_data.asm!$B$3:$Q$156,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sprite_data.asm!$B$3:$Q$156,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sprite_data.asm!$B$3:$Q$156,
    INT(_xlpm.idx / SpriteCount) * 7 + INT(_xlpm.r / 16) + 1,
    MOD(_xlpm.r, 16) + 1
  )
)</f>
        <v>00</v>
      </c>
      <c r="G142" t="str" cm="1">
        <f t="array" ref="G142">_xlfn.LET(
  _xlpm.idx, (ROW()-3)*16 + G$1,
  _xlpm.r, MOD(_xlpm.idx, SpriteCount),
  INDEX(
    sprite_data.asm!$B$3:$Q$156,
    INT(_xlpm.idx / SpriteCount) * 7 + INT(_xlpm.r / 16) + 1,
    MOD(_xlpm.r, 16) + 1
  )
)</f>
        <v>03</v>
      </c>
      <c r="H142" t="str" cm="1">
        <f t="array" ref="H142">_xlfn.LET(
  _xlpm.idx, (ROW()-3)*16 + H$1,
  _xlpm.r, MOD(_xlpm.idx, SpriteCount),
  INDEX(
    sprite_data.asm!$B$3:$Q$156,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sprite_data.asm!$B$3:$Q$156,
    INT(_xlpm.idx / SpriteCount) * 7 + INT(_xlpm.r / 16) + 1,
    MOD(_xlpm.r, 16) + 1
  )
)</f>
        <v>00</v>
      </c>
      <c r="J142" t="str" cm="1">
        <f t="array" ref="J142">_xlfn.LET(
  _xlpm.idx, (ROW()-3)*16 + J$1,
  _xlpm.r, MOD(_xlpm.idx, SpriteCount),
  INDEX(
    sprite_data.asm!$B$3:$Q$156,
    INT(_xlpm.idx / SpriteCount) * 7 + INT(_xlpm.r / 16) + 1,
    MOD(_xlpm.r, 16) + 1
  )
)</f>
        <v>01</v>
      </c>
      <c r="K142" t="str" cm="1">
        <f t="array" ref="K142">_xlfn.LET(
  _xlpm.idx, (ROW()-3)*16 + K$1,
  _xlpm.r, MOD(_xlpm.idx, SpriteCount),
  INDEX(
    sprite_data.asm!$B$3:$Q$156,
    INT(_xlpm.idx / SpriteCount) * 7 + INT(_xlpm.r / 16) + 1,
    MOD(_xlpm.r, 16) + 1
  )
)</f>
        <v>02</v>
      </c>
      <c r="L142" t="str" cm="1">
        <f t="array" ref="L142">_xlfn.LET(
  _xlpm.idx, (ROW()-3)*16 + L$1,
  _xlpm.r, MOD(_xlpm.idx, SpriteCount),
  INDEX(
    sprite_data.asm!$B$3:$Q$156,
    INT(_xlpm.idx / SpriteCount) * 7 + INT(_xlpm.r / 16) + 1,
    MOD(_xlpm.r, 16) + 1
  )
)</f>
        <v>01</v>
      </c>
      <c r="M142" t="str" cm="1">
        <f t="array" ref="M142">_xlfn.LET(
  _xlpm.idx, (ROW()-3)*16 + M$1,
  _xlpm.r, MOD(_xlpm.idx, SpriteCount),
  INDEX(
    sprite_data.asm!$B$3:$Q$156,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sprite_data.asm!$B$3:$Q$156,
    INT(_xlpm.idx / SpriteCount) * 7 + INT(_xlpm.r / 16) + 1,
    MOD(_xlpm.r, 16) + 1
  )
)</f>
        <v>00</v>
      </c>
      <c r="O142" t="str" cm="1">
        <f t="array" ref="O142">_xlfn.LET(
  _xlpm.idx, (ROW()-3)*16 + O$1,
  _xlpm.r, MOD(_xlpm.idx, SpriteCount),
  INDEX(
    sprite_data.asm!$B$3:$Q$156,
    INT(_xlpm.idx / SpriteCount) * 7 + INT(_xlpm.r / 16) + 1,
    MOD(_xlpm.r, 16) + 1
  )
)</f>
        <v>01</v>
      </c>
      <c r="P142" t="str" cm="1">
        <f t="array" ref="P142">_xlfn.LET(
  _xlpm.idx, (ROW()-3)*16 + P$1,
  _xlpm.r, MOD(_xlpm.idx, SpriteCount),
  INDEX(
    sprite_data.asm!$B$3:$Q$156,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sprite_data.asm!$B$3:$Q$156,
    INT(_xlpm.idx / SpriteCount) * 7 + INT(_xlpm.r / 16) + 1,
    MOD(_xlpm.r, 16) + 1
  )
)</f>
        <v>00</v>
      </c>
      <c r="R142" t="str" cm="1">
        <f t="array" ref="R142">_xlfn.LET(
  _xlpm.idx, (ROW()-3)*16 + R$1,
  _xlpm.r, MOD(_xlpm.idx, SpriteCount),
  INDEX(
    sprite_data.asm!$B$3:$Q$156,
    INT(_xlpm.idx / SpriteCount) * 7 + INT(_xlpm.r / 16) + 1,
    MOD(_xlpm.r, 16) + 1
  )
)</f>
        <v>00</v>
      </c>
    </row>
    <row r="143" spans="1:18" x14ac:dyDescent="0.45">
      <c r="A143">
        <f t="shared" si="14"/>
        <v>46528</v>
      </c>
      <c r="B143" s="32" t="str">
        <f t="shared" si="15"/>
        <v>B5C0</v>
      </c>
      <c r="C143" t="str" cm="1">
        <f t="array" ref="C143">_xlfn.LET(
  _xlpm.idx, (ROW()-3)*16 + C$1,
  _xlpm.r, MOD(_xlpm.idx, SpriteCount),
  INDEX(
    sprite_data.asm!$B$3:$Q$156,
    INT(_xlpm.idx / SpriteCount) * 7 + INT(_xlpm.r / 16) + 1,
    MOD(_xlpm.r, 16) + 1
  )
)</f>
        <v>00</v>
      </c>
      <c r="D143" t="str" cm="1">
        <f t="array" ref="D143">_xlfn.LET(
  _xlpm.idx, (ROW()-3)*16 + D$1,
  _xlpm.r, MOD(_xlpm.idx, SpriteCount),
  INDEX(
    sprite_data.asm!$B$3:$Q$156,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sprite_data.asm!$B$3:$Q$156,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sprite_data.asm!$B$3:$Q$156,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sprite_data.asm!$B$3:$Q$156,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sprite_data.asm!$B$3:$Q$156,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sprite_data.asm!$B$3:$Q$156,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sprite_data.asm!$B$3:$Q$156,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sprite_data.asm!$B$3:$Q$156,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sprite_data.asm!$B$3:$Q$156,
    INT(_xlpm.idx / SpriteCount) * 7 + INT(_xlpm.r / 16) + 1,
    MOD(_xlpm.r, 16) + 1
  )
)</f>
        <v>01</v>
      </c>
      <c r="M143" t="str" cm="1">
        <f t="array" ref="M143">_xlfn.LET(
  _xlpm.idx, (ROW()-3)*16 + M$1,
  _xlpm.r, MOD(_xlpm.idx, SpriteCount),
  INDEX(
    sprite_data.asm!$B$3:$Q$156,
    INT(_xlpm.idx / SpriteCount) * 7 + INT(_xlpm.r / 16) + 1,
    MOD(_xlpm.r, 16) + 1
  )
)</f>
        <v>00</v>
      </c>
      <c r="N143" t="str" cm="1">
        <f t="array" ref="N143">_xlfn.LET(
  _xlpm.idx, (ROW()-3)*16 + N$1,
  _xlpm.r, MOD(_xlpm.idx, SpriteCount),
  INDEX(
    sprite_data.asm!$B$3:$Q$156,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sprite_data.asm!$B$3:$Q$156,
    INT(_xlpm.idx / SpriteCount) * 7 + INT(_xlpm.r / 16) + 1,
    MOD(_xlpm.r, 16) + 1
  )
)</f>
        <v>01</v>
      </c>
      <c r="P143" t="str" cm="1">
        <f t="array" ref="P143">_xlfn.LET(
  _xlpm.idx, (ROW()-3)*16 + P$1,
  _xlpm.r, MOD(_xlpm.idx, SpriteCount),
  INDEX(
    sprite_data.asm!$B$3:$Q$156,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sprite_data.asm!$B$3:$Q$156,
    INT(_xlpm.idx / SpriteCount) * 7 + INT(_xlpm.r / 16) + 1,
    MOD(_xlpm.r, 16) + 1
  )
)</f>
        <v>00</v>
      </c>
      <c r="R143" t="str" cm="1">
        <f t="array" ref="R143">_xlfn.LET(
  _xlpm.idx, (ROW()-3)*16 + R$1,
  _xlpm.r, MOD(_xlpm.idx, SpriteCount),
  INDEX(
    sprite_data.asm!$B$3:$Q$156,
    INT(_xlpm.idx / SpriteCount) * 7 + INT(_xlpm.r / 16) + 1,
    MOD(_xlpm.r, 16) + 1
  )
)</f>
        <v>00</v>
      </c>
    </row>
    <row r="144" spans="1:18" x14ac:dyDescent="0.45">
      <c r="A144">
        <f t="shared" si="14"/>
        <v>46544</v>
      </c>
      <c r="B144" s="32" t="str">
        <f t="shared" si="15"/>
        <v>B5D0</v>
      </c>
      <c r="C144" t="str" cm="1">
        <f t="array" ref="C144">_xlfn.LET(
  _xlpm.idx, (ROW()-3)*16 + C$1,
  _xlpm.r, MOD(_xlpm.idx, SpriteCount),
  INDEX(
    sprite_data.asm!$B$3:$Q$156,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sprite_data.asm!$B$3:$Q$156,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sprite_data.asm!$B$3:$Q$156,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sprite_data.asm!$B$3:$Q$156,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sprite_data.asm!$B$3:$Q$156,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sprite_data.asm!$B$3:$Q$156,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sprite_data.asm!$B$3:$Q$156,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sprite_data.asm!$B$3:$Q$156,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sprite_data.asm!$B$3:$Q$156,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sprite_data.asm!$B$3:$Q$156,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sprite_data.asm!$B$3:$Q$156,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sprite_data.asm!$B$3:$Q$156,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sprite_data.asm!$B$3:$Q$156,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sprite_data.asm!$B$3:$Q$156,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sprite_data.asm!$B$3:$Q$156,
    INT(_xlpm.idx / SpriteCount) * 7 + INT(_xlpm.r / 16) + 1,
    MOD(_xlpm.r, 16) + 1
  )
)</f>
        <v>00</v>
      </c>
      <c r="R144" t="str" cm="1">
        <f t="array" ref="R144">_xlfn.LET(
  _xlpm.idx, (ROW()-3)*16 + R$1,
  _xlpm.r, MOD(_xlpm.idx, SpriteCount),
  INDEX(
    sprite_data.asm!$B$3:$Q$156,
    INT(_xlpm.idx / SpriteCount) * 7 + INT(_xlpm.r / 16) + 1,
    MOD(_xlpm.r, 16) + 1
  )
)</f>
        <v>00</v>
      </c>
    </row>
    <row r="145" spans="1:18" x14ac:dyDescent="0.45">
      <c r="A145">
        <f t="shared" ref="A145" si="16">A144+16</f>
        <v>46560</v>
      </c>
      <c r="B145" s="32" t="str">
        <f t="shared" ref="B145" si="17">DEC2HEX(HEX2DEC(B144)+16)</f>
        <v>B5E0</v>
      </c>
      <c r="C145" t="str" cm="1">
        <f t="array" ref="C145">_xlfn.LET(
  _xlpm.idx, (ROW()-3)*16 + C$1,
  _xlpm.r, MOD(_xlpm.idx, SpriteCount),
  INDEX(
    sprite_data.asm!$B$3:$Q$156,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sprite_data.asm!$B$3:$Q$156,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sprite_data.asm!$B$3:$Q$156,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sprite_data.asm!$B$3:$Q$156,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sprite_data.asm!$B$3:$Q$156,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sprite_data.asm!$B$3:$Q$156,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sprite_data.asm!$B$3:$Q$156,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sprite_data.asm!$B$3:$Q$156,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sprite_data.asm!$B$3:$Q$156,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sprite_data.asm!$B$3:$Q$156,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sprite_data.asm!$B$3:$Q$156,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sprite_data.asm!$B$3:$Q$156,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sprite_data.asm!$B$3:$Q$156,
    INT(_xlpm.idx / SpriteCount) * 7 + INT(_xlpm.r / 16) + 1,
    MOD(_xlpm.r, 16) + 1
  )
)</f>
        <v>00</v>
      </c>
      <c r="P145" t="str" cm="1">
        <f t="array" ref="P145">_xlfn.LET(
  _xlpm.idx, (ROW()-3)*16 + P$1,
  _xlpm.r, MOD(_xlpm.idx, SpriteCount),
  INDEX(
    sprite_data.asm!$B$3:$Q$156,
    INT(_xlpm.idx / SpriteCount) * 7 + INT(_xlpm.r / 16) + 1,
    MOD(_xlpm.r, 16) + 1
  )
)</f>
        <v>00</v>
      </c>
      <c r="Q145" s="41" t="str" cm="1">
        <f t="array" ref="Q145">_xlfn.LET(
  _xlpm.idx, (ROW()-3)*16 + Q$1,
  _xlpm.r, MOD(_xlpm.idx, SpriteCount),
  INDEX(
    sprite_data.asm!$B$3:$Q$156,
    INT(_xlpm.idx / SpriteCount) * 7 + INT(_xlpm.r / 16) + 1,
    MOD(_xlpm.r, 16) + 1
  )
)</f>
        <v>81</v>
      </c>
      <c r="R145" s="41" t="str" cm="1">
        <f t="array" ref="R145">_xlfn.LET(
  _xlpm.idx, (ROW()-3)*16 + R$1,
  _xlpm.r, MOD(_xlpm.idx, SpriteCount),
  INDEX(
    sprite_data.asm!$B$3:$Q$156,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>
      <selection activeCell="C5" sqref="C5"/>
    </sheetView>
  </sheetViews>
  <sheetFormatPr baseColWidth="10" defaultRowHeight="14.25" x14ac:dyDescent="0.45"/>
  <cols>
    <col min="2" max="2" width="13.265625" customWidth="1"/>
    <col min="3" max="3" width="6.53125" customWidth="1"/>
    <col min="4" max="5" width="7.59765625" customWidth="1"/>
    <col min="6" max="6" width="5.59765625" customWidth="1"/>
    <col min="7" max="8" width="4.19921875" customWidth="1"/>
  </cols>
  <sheetData>
    <row r="2" spans="2:8" x14ac:dyDescent="0.45">
      <c r="B2" t="s">
        <v>172</v>
      </c>
      <c r="C2" s="38" t="s">
        <v>173</v>
      </c>
    </row>
    <row r="3" spans="2:8" x14ac:dyDescent="0.45">
      <c r="B3" t="s">
        <v>174</v>
      </c>
      <c r="C3" s="32">
        <v>104</v>
      </c>
    </row>
    <row r="4" spans="2:8" x14ac:dyDescent="0.45">
      <c r="B4" t="s">
        <v>171</v>
      </c>
      <c r="C4" s="40">
        <v>1</v>
      </c>
    </row>
    <row r="6" spans="2:8" x14ac:dyDescent="0.45">
      <c r="D6" s="31">
        <v>0</v>
      </c>
      <c r="E6" s="31">
        <v>1</v>
      </c>
      <c r="G6" s="37" t="s">
        <v>175</v>
      </c>
      <c r="H6" s="36"/>
    </row>
    <row r="7" spans="2:8" x14ac:dyDescent="0.45">
      <c r="C7" s="29">
        <v>0</v>
      </c>
      <c r="D7" s="32" t="str">
        <f>DEC2HEX(HEX2DEC(SpriteBaseAddress) + ($C7*2+D$6)*SpriteCount + $C$4)</f>
        <v>AD01</v>
      </c>
      <c r="E7" s="32" t="str">
        <f>DEC2HEX(HEX2DEC(SpriteBaseAddress) + ($C7*2+E$6)*SpriteCount + $C$4)</f>
        <v>AD69</v>
      </c>
      <c r="G7">
        <v>0</v>
      </c>
      <c r="H7">
        <f>HEX2DEC(E7)-HEX2DEC(D7)</f>
        <v>104</v>
      </c>
    </row>
    <row r="8" spans="2:8" x14ac:dyDescent="0.45">
      <c r="C8" s="29">
        <f>C7+1</f>
        <v>1</v>
      </c>
      <c r="D8" s="32" t="str">
        <f>DEC2HEX(HEX2DEC(SpriteBaseAddress) + ($C8*2+D$6)*SpriteCount + $C$4)</f>
        <v>ADD1</v>
      </c>
      <c r="E8" s="32" t="str">
        <f>DEC2HEX(HEX2DEC(SpriteBaseAddress) + ($C8*2+E$6)*SpriteCount + $C$4)</f>
        <v>AE39</v>
      </c>
      <c r="G8">
        <f>HEX2DEC(D8)-HEX2DEC(E7)</f>
        <v>104</v>
      </c>
      <c r="H8">
        <f>HEX2DEC(E8)-HEX2DEC(D8)</f>
        <v>104</v>
      </c>
    </row>
    <row r="9" spans="2:8" x14ac:dyDescent="0.45">
      <c r="C9" s="29">
        <f t="shared" ref="C9:C17" si="0">C8+1</f>
        <v>2</v>
      </c>
      <c r="D9" s="32" t="str">
        <f>DEC2HEX(HEX2DEC(SpriteBaseAddress) + ($C9*2+D$6)*SpriteCount + $C$4)</f>
        <v>AEA1</v>
      </c>
      <c r="E9" s="32" t="str">
        <f>DEC2HEX(HEX2DEC(SpriteBaseAddress) + ($C9*2+E$6)*SpriteCount + $C$4)</f>
        <v>AF09</v>
      </c>
      <c r="G9">
        <f>HEX2DEC(D9)-HEX2DEC(E8)</f>
        <v>104</v>
      </c>
      <c r="H9">
        <f>HEX2DEC(E9)-HEX2DEC(D9)</f>
        <v>104</v>
      </c>
    </row>
    <row r="10" spans="2:8" x14ac:dyDescent="0.45">
      <c r="C10" s="29">
        <f t="shared" si="0"/>
        <v>3</v>
      </c>
      <c r="D10" s="32" t="str">
        <f>DEC2HEX(HEX2DEC(SpriteBaseAddress) + ($C10*2+D$6)*SpriteCount + $C$4)</f>
        <v>AF71</v>
      </c>
      <c r="E10" s="32" t="str">
        <f>DEC2HEX(HEX2DEC(SpriteBaseAddress) + ($C10*2+E$6)*SpriteCount + $C$4)</f>
        <v>AFD9</v>
      </c>
      <c r="G10">
        <f>HEX2DEC(D10)-HEX2DEC(E9)</f>
        <v>104</v>
      </c>
      <c r="H10">
        <f>HEX2DEC(E10)-HEX2DEC(D10)</f>
        <v>104</v>
      </c>
    </row>
    <row r="11" spans="2:8" x14ac:dyDescent="0.45">
      <c r="C11" s="29">
        <f t="shared" si="0"/>
        <v>4</v>
      </c>
      <c r="D11" s="32" t="str">
        <f>DEC2HEX(HEX2DEC(SpriteBaseAddress) + ($C11*2+D$6)*SpriteCount + $C$4)</f>
        <v>B041</v>
      </c>
      <c r="E11" s="32" t="str">
        <f>DEC2HEX(HEX2DEC(SpriteBaseAddress) + ($C11*2+E$6)*SpriteCount + $C$4)</f>
        <v>B0A9</v>
      </c>
      <c r="G11">
        <f>HEX2DEC(D11)-HEX2DEC(E10)</f>
        <v>104</v>
      </c>
      <c r="H11">
        <f>HEX2DEC(E11)-HEX2DEC(D11)</f>
        <v>104</v>
      </c>
    </row>
    <row r="12" spans="2:8" x14ac:dyDescent="0.45">
      <c r="C12" s="29">
        <f t="shared" si="0"/>
        <v>5</v>
      </c>
      <c r="D12" s="32" t="str">
        <f>DEC2HEX(HEX2DEC(SpriteBaseAddress) + ($C12*2+D$6)*SpriteCount + $C$4)</f>
        <v>B111</v>
      </c>
      <c r="E12" s="32" t="str">
        <f>DEC2HEX(HEX2DEC(SpriteBaseAddress) + ($C12*2+E$6)*SpriteCount + $C$4)</f>
        <v>B179</v>
      </c>
      <c r="G12">
        <f>HEX2DEC(D12)-HEX2DEC(E11)</f>
        <v>104</v>
      </c>
      <c r="H12">
        <f>HEX2DEC(E12)-HEX2DEC(D12)</f>
        <v>104</v>
      </c>
    </row>
    <row r="13" spans="2:8" x14ac:dyDescent="0.45">
      <c r="C13" s="29">
        <f t="shared" si="0"/>
        <v>6</v>
      </c>
      <c r="D13" s="32" t="str">
        <f>DEC2HEX(HEX2DEC(SpriteBaseAddress) + ($C13*2+D$6)*SpriteCount + $C$4)</f>
        <v>B1E1</v>
      </c>
      <c r="E13" s="32" t="str">
        <f>DEC2HEX(HEX2DEC(SpriteBaseAddress) + ($C13*2+E$6)*SpriteCount + $C$4)</f>
        <v>B249</v>
      </c>
      <c r="G13">
        <f>HEX2DEC(D13)-HEX2DEC(E12)</f>
        <v>104</v>
      </c>
      <c r="H13">
        <f>HEX2DEC(E13)-HEX2DEC(D13)</f>
        <v>104</v>
      </c>
    </row>
    <row r="14" spans="2:8" x14ac:dyDescent="0.45">
      <c r="C14" s="29">
        <f t="shared" si="0"/>
        <v>7</v>
      </c>
      <c r="D14" s="32" t="str">
        <f>DEC2HEX(HEX2DEC(SpriteBaseAddress) + ($C14*2+D$6)*SpriteCount + $C$4)</f>
        <v>B2B1</v>
      </c>
      <c r="E14" s="32" t="str">
        <f>DEC2HEX(HEX2DEC(SpriteBaseAddress) + ($C14*2+E$6)*SpriteCount + $C$4)</f>
        <v>B319</v>
      </c>
      <c r="G14">
        <f>HEX2DEC(D14)-HEX2DEC(E13)</f>
        <v>104</v>
      </c>
      <c r="H14">
        <f>HEX2DEC(E14)-HEX2DEC(D14)</f>
        <v>104</v>
      </c>
    </row>
    <row r="15" spans="2:8" x14ac:dyDescent="0.45">
      <c r="C15" s="29">
        <f t="shared" si="0"/>
        <v>8</v>
      </c>
      <c r="D15" s="32" t="str">
        <f>DEC2HEX(HEX2DEC(SpriteBaseAddress) + ($C15*2+D$6)*SpriteCount + $C$4)</f>
        <v>B381</v>
      </c>
      <c r="E15" s="32" t="str">
        <f>DEC2HEX(HEX2DEC(SpriteBaseAddress) + ($C15*2+E$6)*SpriteCount + $C$4)</f>
        <v>B3E9</v>
      </c>
      <c r="G15">
        <f>HEX2DEC(D15)-HEX2DEC(E14)</f>
        <v>104</v>
      </c>
      <c r="H15">
        <f>HEX2DEC(E15)-HEX2DEC(D15)</f>
        <v>104</v>
      </c>
    </row>
    <row r="16" spans="2:8" x14ac:dyDescent="0.45">
      <c r="C16" s="29">
        <f t="shared" si="0"/>
        <v>9</v>
      </c>
      <c r="D16" s="32" t="str">
        <f>DEC2HEX(HEX2DEC(SpriteBaseAddress) + ($C16*2+D$6)*SpriteCount + $C$4)</f>
        <v>B451</v>
      </c>
      <c r="E16" s="32" t="str">
        <f>DEC2HEX(HEX2DEC(SpriteBaseAddress) + ($C16*2+E$6)*SpriteCount + $C$4)</f>
        <v>B4B9</v>
      </c>
      <c r="G16">
        <f>HEX2DEC(D16)-HEX2DEC(E15)</f>
        <v>104</v>
      </c>
      <c r="H16">
        <f>HEX2DEC(E16)-HEX2DEC(D16)</f>
        <v>104</v>
      </c>
    </row>
    <row r="17" spans="3:8" x14ac:dyDescent="0.45">
      <c r="C17" s="29">
        <f t="shared" si="0"/>
        <v>10</v>
      </c>
      <c r="D17" s="32" t="str">
        <f>DEC2HEX(HEX2DEC(SpriteBaseAddress) + ($C17*2+D$6)*SpriteCount + $C$4)</f>
        <v>B521</v>
      </c>
      <c r="E17" s="32" t="str">
        <f>DEC2HEX(HEX2DEC(SpriteBaseAddress) + ($C17*2+E$6)*SpriteCount + $C$4)</f>
        <v>B589</v>
      </c>
      <c r="G17">
        <f>HEX2DEC(D17)-HEX2DEC(E16)</f>
        <v>104</v>
      </c>
      <c r="H17">
        <f>HEX2DEC(E17)-HEX2DEC(D17)</f>
        <v>104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tabSelected="1" zoomScaleNormal="100" workbookViewId="0">
      <pane xSplit="1" ySplit="3" topLeftCell="B4" activePane="bottomRight" state="frozen"/>
      <selection activeCell="A3" sqref="A3:XFD3"/>
      <selection pane="topRight" activeCell="A3" sqref="A3:XFD3"/>
      <selection pane="bottomLeft" activeCell="A3" sqref="A3:XFD3"/>
      <selection pane="bottomRight" activeCell="V18" sqref="V18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19" t="s">
        <v>24</v>
      </c>
      <c r="C3" s="20"/>
      <c r="D3" s="20"/>
      <c r="E3" s="20"/>
      <c r="F3" s="20"/>
      <c r="G3" s="20"/>
      <c r="H3" s="20"/>
      <c r="I3" s="21" t="s">
        <v>1</v>
      </c>
      <c r="J3" s="19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1</v>
      </c>
      <c r="C4" s="2">
        <v>0</v>
      </c>
      <c r="D4" s="2">
        <v>1</v>
      </c>
      <c r="E4" s="2">
        <v>0</v>
      </c>
      <c r="F4" s="2">
        <v>1</v>
      </c>
      <c r="G4" s="2">
        <v>0</v>
      </c>
      <c r="H4" s="2">
        <v>0</v>
      </c>
      <c r="I4" s="17">
        <v>1</v>
      </c>
      <c r="J4" s="13">
        <v>0</v>
      </c>
      <c r="K4" s="2">
        <v>1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1</v>
      </c>
      <c r="R4" s="15" t="s">
        <v>176</v>
      </c>
      <c r="S4" s="5" t="s">
        <v>38</v>
      </c>
      <c r="T4" s="3" t="str">
        <f>hextobits(R4)</f>
        <v>0010101</v>
      </c>
      <c r="U4" s="3" t="str">
        <f t="shared" ref="U4:U14" si="0">hextobits(S4)</f>
        <v>0000010</v>
      </c>
      <c r="W4" s="5" t="str" cm="1">
        <f t="array" ref="W4">ByteToHex(_xlfn.BITAND(HexToByte(R4),127))</f>
        <v>15</v>
      </c>
      <c r="X4" s="5" t="str" cm="1">
        <f t="array" ref="X4">ByteToHex(_xlfn.BITAND(HexToByte(S4),127))</f>
        <v>02</v>
      </c>
    </row>
    <row r="5" spans="1:24" x14ac:dyDescent="0.45">
      <c r="A5" s="9">
        <v>1</v>
      </c>
      <c r="B5" s="13">
        <v>1</v>
      </c>
      <c r="C5" s="2">
        <v>0</v>
      </c>
      <c r="D5" s="2">
        <v>1</v>
      </c>
      <c r="E5" s="2">
        <v>0</v>
      </c>
      <c r="F5" s="2">
        <v>1</v>
      </c>
      <c r="G5" s="2">
        <v>0</v>
      </c>
      <c r="H5" s="2">
        <v>0</v>
      </c>
      <c r="I5" s="17">
        <v>1</v>
      </c>
      <c r="J5" s="13">
        <v>0</v>
      </c>
      <c r="K5" s="2">
        <v>1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1</v>
      </c>
      <c r="R5" s="16" t="s">
        <v>176</v>
      </c>
      <c r="S5" s="5" t="s">
        <v>38</v>
      </c>
      <c r="T5" s="3" t="str">
        <f t="shared" ref="T5:T14" si="1">hextobits(R5)</f>
        <v>0010101</v>
      </c>
      <c r="U5" s="3" t="str">
        <f t="shared" si="0"/>
        <v>0000010</v>
      </c>
      <c r="W5" s="5" t="str" cm="1">
        <f t="array" ref="W5">ByteToHex(_xlfn.BITAND(HexToByte(R5),127))</f>
        <v>15</v>
      </c>
      <c r="X5" s="5" t="str" cm="1">
        <f t="array" ref="X5">ByteToHex(_xlfn.BITAND(HexToByte(S5),127))</f>
        <v>02</v>
      </c>
    </row>
    <row r="6" spans="1:24" x14ac:dyDescent="0.45">
      <c r="A6" s="9">
        <v>2</v>
      </c>
      <c r="B6" s="13">
        <v>1</v>
      </c>
      <c r="C6" s="2">
        <v>0</v>
      </c>
      <c r="D6" s="2">
        <v>1</v>
      </c>
      <c r="E6" s="2">
        <v>0</v>
      </c>
      <c r="F6" s="2">
        <v>1</v>
      </c>
      <c r="G6" s="2">
        <v>0</v>
      </c>
      <c r="H6" s="2">
        <v>0</v>
      </c>
      <c r="I6" s="17">
        <v>1</v>
      </c>
      <c r="J6" s="13">
        <v>0</v>
      </c>
      <c r="K6" s="2">
        <v>1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1</v>
      </c>
      <c r="R6" s="16" t="s">
        <v>176</v>
      </c>
      <c r="S6" s="5" t="s">
        <v>38</v>
      </c>
      <c r="T6" s="3" t="str">
        <f t="shared" si="1"/>
        <v>0010101</v>
      </c>
      <c r="U6" s="3" t="str">
        <f t="shared" si="0"/>
        <v>0000010</v>
      </c>
      <c r="W6" s="5" t="str" cm="1">
        <f t="array" ref="W6">ByteToHex(_xlfn.BITAND(HexToByte(R6),127))</f>
        <v>15</v>
      </c>
      <c r="X6" s="5" t="str" cm="1">
        <f t="array" ref="X6">ByteToHex(_xlfn.BITAND(HexToByte(S6),127))</f>
        <v>02</v>
      </c>
    </row>
    <row r="7" spans="1:24" x14ac:dyDescent="0.45">
      <c r="A7" s="9">
        <v>3</v>
      </c>
      <c r="B7" s="13">
        <v>1</v>
      </c>
      <c r="C7" s="2">
        <v>0</v>
      </c>
      <c r="D7" s="2">
        <v>1</v>
      </c>
      <c r="E7" s="2">
        <v>0</v>
      </c>
      <c r="F7" s="2">
        <v>1</v>
      </c>
      <c r="G7" s="2">
        <v>0</v>
      </c>
      <c r="H7" s="2">
        <v>0</v>
      </c>
      <c r="I7" s="17">
        <v>1</v>
      </c>
      <c r="J7" s="13">
        <v>0</v>
      </c>
      <c r="K7" s="2">
        <v>1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1</v>
      </c>
      <c r="R7" s="15" t="s">
        <v>176</v>
      </c>
      <c r="S7" s="5" t="s">
        <v>38</v>
      </c>
      <c r="T7" s="3" t="str">
        <f t="shared" si="1"/>
        <v>0010101</v>
      </c>
      <c r="U7" s="3" t="str">
        <f t="shared" si="0"/>
        <v>0000010</v>
      </c>
      <c r="W7" s="6" t="str" cm="1">
        <f t="array" ref="W7">ByteToHex(_xlfn.BITAND(HexToByte(R7),127))</f>
        <v>15</v>
      </c>
      <c r="X7" s="5" t="str" cm="1">
        <f t="array" ref="X7">ByteToHex(_xlfn.BITAND(HexToByte(S7),127))</f>
        <v>02</v>
      </c>
    </row>
    <row r="8" spans="1:24" x14ac:dyDescent="0.45">
      <c r="A8" s="9">
        <v>4</v>
      </c>
      <c r="B8" s="13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17">
        <v>1</v>
      </c>
      <c r="J8" s="13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1</v>
      </c>
      <c r="R8" s="15" t="s">
        <v>8</v>
      </c>
      <c r="S8" s="5" t="s">
        <v>8</v>
      </c>
      <c r="T8" s="3" t="str">
        <f t="shared" si="1"/>
        <v>0000000</v>
      </c>
      <c r="U8" s="3" t="str">
        <f t="shared" si="0"/>
        <v>0000000</v>
      </c>
      <c r="W8" s="6" t="str" cm="1">
        <f t="array" ref="W8">ByteToHex(_xlfn.BITAND(HexToByte(R8),127))</f>
        <v>00</v>
      </c>
      <c r="X8" s="5" t="str" cm="1">
        <f t="array" ref="X8">ByteToHex(_xlfn.BITAND(HexToByte(S8),127))</f>
        <v>00</v>
      </c>
    </row>
    <row r="9" spans="1:24" x14ac:dyDescent="0.45">
      <c r="A9" s="9">
        <v>5</v>
      </c>
      <c r="B9" s="13">
        <v>1</v>
      </c>
      <c r="C9" s="2">
        <v>0</v>
      </c>
      <c r="D9" s="2">
        <v>0</v>
      </c>
      <c r="E9" s="2">
        <v>0</v>
      </c>
      <c r="F9" s="2">
        <v>1</v>
      </c>
      <c r="G9" s="2">
        <v>0</v>
      </c>
      <c r="H9" s="2">
        <v>1</v>
      </c>
      <c r="I9" s="17">
        <v>1</v>
      </c>
      <c r="J9" s="13">
        <v>0</v>
      </c>
      <c r="K9" s="2">
        <v>1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17">
        <v>1</v>
      </c>
      <c r="R9" s="15" t="s">
        <v>13</v>
      </c>
      <c r="S9" s="5" t="s">
        <v>38</v>
      </c>
      <c r="T9" s="3" t="str">
        <f t="shared" si="1"/>
        <v>1010001</v>
      </c>
      <c r="U9" s="3" t="str">
        <f t="shared" si="0"/>
        <v>0000010</v>
      </c>
      <c r="W9" s="6" t="str" cm="1">
        <f t="array" ref="W9">ByteToHex(_xlfn.BITAND(HexToByte(R9),127))</f>
        <v>51</v>
      </c>
      <c r="X9" s="5" t="str" cm="1">
        <f t="array" ref="X9">ByteToHex(_xlfn.BITAND(HexToByte(S9),127))</f>
        <v>02</v>
      </c>
    </row>
    <row r="10" spans="1:24" x14ac:dyDescent="0.45">
      <c r="A10" s="9">
        <v>6</v>
      </c>
      <c r="B10" s="13">
        <v>1</v>
      </c>
      <c r="C10" s="2">
        <v>0</v>
      </c>
      <c r="D10" s="2">
        <v>0</v>
      </c>
      <c r="E10" s="2">
        <v>0</v>
      </c>
      <c r="F10" s="2">
        <v>1</v>
      </c>
      <c r="G10" s="2">
        <v>0</v>
      </c>
      <c r="H10" s="2">
        <v>1</v>
      </c>
      <c r="I10" s="17">
        <v>1</v>
      </c>
      <c r="J10" s="13">
        <v>0</v>
      </c>
      <c r="K10" s="2">
        <v>1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1</v>
      </c>
      <c r="R10" s="15" t="s">
        <v>13</v>
      </c>
      <c r="S10" s="5" t="s">
        <v>38</v>
      </c>
      <c r="T10" s="3" t="str">
        <f t="shared" si="1"/>
        <v>1010001</v>
      </c>
      <c r="U10" s="3" t="str">
        <f t="shared" si="0"/>
        <v>0000010</v>
      </c>
      <c r="W10" s="6" t="str" cm="1">
        <f t="array" ref="W10">ByteToHex(_xlfn.BITAND(HexToByte(R10),127))</f>
        <v>51</v>
      </c>
      <c r="X10" s="5" t="str" cm="1">
        <f t="array" ref="X10">ByteToHex(_xlfn.BITAND(HexToByte(S10),127))</f>
        <v>02</v>
      </c>
    </row>
    <row r="11" spans="1:24" x14ac:dyDescent="0.45">
      <c r="A11" s="9">
        <v>7</v>
      </c>
      <c r="B11" s="13">
        <v>1</v>
      </c>
      <c r="C11" s="2">
        <v>0</v>
      </c>
      <c r="D11" s="2">
        <v>0</v>
      </c>
      <c r="E11" s="2">
        <v>0</v>
      </c>
      <c r="F11" s="2">
        <v>1</v>
      </c>
      <c r="G11" s="2">
        <v>0</v>
      </c>
      <c r="H11" s="2">
        <v>1</v>
      </c>
      <c r="I11" s="17">
        <v>1</v>
      </c>
      <c r="J11" s="13">
        <v>0</v>
      </c>
      <c r="K11" s="2">
        <v>1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1</v>
      </c>
      <c r="R11" s="15" t="s">
        <v>13</v>
      </c>
      <c r="S11" s="5" t="s">
        <v>38</v>
      </c>
      <c r="T11" s="3" t="str">
        <f t="shared" si="1"/>
        <v>1010001</v>
      </c>
      <c r="U11" s="3" t="str">
        <f t="shared" si="0"/>
        <v>0000010</v>
      </c>
      <c r="W11" s="6" t="str" cm="1">
        <f t="array" ref="W11">ByteToHex(_xlfn.BITAND(HexToByte(R11),127))</f>
        <v>51</v>
      </c>
      <c r="X11" s="5" t="str" cm="1">
        <f t="array" ref="X11">ByteToHex(_xlfn.BITAND(HexToByte(S11),127))</f>
        <v>02</v>
      </c>
    </row>
    <row r="12" spans="1:24" x14ac:dyDescent="0.45">
      <c r="A12" s="9">
        <v>8</v>
      </c>
      <c r="B12" s="13">
        <v>1</v>
      </c>
      <c r="C12" s="2">
        <v>0</v>
      </c>
      <c r="D12" s="2">
        <v>0</v>
      </c>
      <c r="E12" s="2">
        <v>0</v>
      </c>
      <c r="F12" s="2">
        <v>1</v>
      </c>
      <c r="G12" s="2">
        <v>0</v>
      </c>
      <c r="H12" s="2">
        <v>1</v>
      </c>
      <c r="I12" s="17">
        <v>1</v>
      </c>
      <c r="J12" s="13">
        <v>0</v>
      </c>
      <c r="K12" s="2">
        <v>1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1</v>
      </c>
      <c r="R12" s="15" t="s">
        <v>13</v>
      </c>
      <c r="S12" s="5" t="s">
        <v>38</v>
      </c>
      <c r="T12" s="3" t="str">
        <f t="shared" si="1"/>
        <v>1010001</v>
      </c>
      <c r="U12" s="3" t="str">
        <f t="shared" si="0"/>
        <v>0000010</v>
      </c>
      <c r="W12" s="6" t="str" cm="1">
        <f t="array" ref="W12">ByteToHex(_xlfn.BITAND(HexToByte(R12),127))</f>
        <v>51</v>
      </c>
      <c r="X12" s="5" t="str" cm="1">
        <f t="array" ref="X12">ByteToHex(_xlfn.BITAND(HexToByte(S12),127))</f>
        <v>02</v>
      </c>
    </row>
    <row r="13" spans="1:24" x14ac:dyDescent="0.45">
      <c r="A13" s="9">
        <v>9</v>
      </c>
      <c r="B13" s="13">
        <v>1</v>
      </c>
      <c r="C13" s="2">
        <v>0</v>
      </c>
      <c r="D13" s="2">
        <v>0</v>
      </c>
      <c r="E13" s="2">
        <v>0</v>
      </c>
      <c r="F13" s="2">
        <v>1</v>
      </c>
      <c r="G13" s="2">
        <v>0</v>
      </c>
      <c r="H13" s="2">
        <v>1</v>
      </c>
      <c r="I13" s="17">
        <v>1</v>
      </c>
      <c r="J13" s="13">
        <v>0</v>
      </c>
      <c r="K13" s="2">
        <v>1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1</v>
      </c>
      <c r="R13" s="15" t="s">
        <v>13</v>
      </c>
      <c r="S13" s="5" t="s">
        <v>38</v>
      </c>
      <c r="T13" s="3" t="str">
        <f t="shared" si="1"/>
        <v>1010001</v>
      </c>
      <c r="U13" s="3" t="str">
        <f t="shared" si="0"/>
        <v>0000010</v>
      </c>
      <c r="W13" s="6" t="str" cm="1">
        <f t="array" ref="W13">ByteToHex(_xlfn.BITAND(HexToByte(R13),127))</f>
        <v>51</v>
      </c>
      <c r="X13" s="5" t="str" cm="1">
        <f t="array" ref="X13">ByteToHex(_xlfn.BITAND(HexToByte(S13),127))</f>
        <v>02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17">
        <v>1</v>
      </c>
      <c r="J14" s="13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1</v>
      </c>
      <c r="R14" s="15" t="s">
        <v>8</v>
      </c>
      <c r="S14" s="5" t="s">
        <v>8</v>
      </c>
      <c r="T14" s="3" t="str">
        <f t="shared" si="1"/>
        <v>0000000</v>
      </c>
      <c r="U14" s="3" t="str">
        <f t="shared" si="0"/>
        <v>0000000</v>
      </c>
      <c r="W14" s="6" t="str" cm="1">
        <f t="array" ref="W14">ByteToHex(_xlfn.BITAND(HexToByte(R14),127))</f>
        <v>00</v>
      </c>
      <c r="X14" s="5" t="str" cm="1">
        <f t="array" ref="X14">ByteToHex(_xlfn.BITAND(HexToByte(S14),127))</f>
        <v>00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25"/>
      <c r="C17" s="25"/>
      <c r="D17" s="25"/>
      <c r="E17" s="25"/>
      <c r="F17" s="25"/>
      <c r="G17" s="4"/>
      <c r="H17" s="4"/>
      <c r="J17" s="4"/>
      <c r="K17" s="25"/>
      <c r="L17" s="4"/>
      <c r="M17" s="4"/>
      <c r="N17" s="4"/>
      <c r="O17" s="4"/>
      <c r="P17" s="4"/>
    </row>
    <row r="18" spans="1:16" x14ac:dyDescent="0.45">
      <c r="A18" s="9">
        <v>1</v>
      </c>
      <c r="B18" s="25"/>
      <c r="C18" s="25"/>
      <c r="D18" s="25"/>
      <c r="E18" s="25"/>
      <c r="F18" s="25"/>
      <c r="G18" s="4"/>
      <c r="H18" s="4"/>
      <c r="J18" s="4"/>
      <c r="K18" s="25"/>
      <c r="L18" s="4"/>
      <c r="M18" s="4"/>
      <c r="N18" s="4"/>
      <c r="O18" s="4"/>
      <c r="P18" s="4"/>
    </row>
    <row r="19" spans="1:16" x14ac:dyDescent="0.45">
      <c r="A19" s="9">
        <v>2</v>
      </c>
      <c r="B19" s="25"/>
      <c r="C19" s="25"/>
      <c r="D19" s="25"/>
      <c r="E19" s="25"/>
      <c r="F19" s="25"/>
      <c r="G19" s="4"/>
      <c r="H19" s="4"/>
      <c r="J19" s="4"/>
      <c r="K19" s="25"/>
      <c r="L19" s="4"/>
      <c r="M19" s="4"/>
      <c r="N19" s="4"/>
      <c r="O19" s="4"/>
      <c r="P19" s="4"/>
    </row>
    <row r="20" spans="1:16" x14ac:dyDescent="0.45">
      <c r="A20" s="9">
        <v>3</v>
      </c>
      <c r="B20" s="25"/>
      <c r="C20" s="25"/>
      <c r="D20" s="25"/>
      <c r="E20" s="25"/>
      <c r="F20" s="25"/>
      <c r="G20" s="4"/>
      <c r="H20" s="4"/>
      <c r="J20" s="4"/>
      <c r="K20" s="25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4"/>
      <c r="E21" s="4"/>
      <c r="F21" s="4"/>
      <c r="G21" s="4"/>
      <c r="H21" s="4"/>
      <c r="J21" s="4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25"/>
      <c r="C22" s="4"/>
      <c r="D22" s="4"/>
      <c r="E22" s="4"/>
      <c r="F22" s="25"/>
      <c r="G22" s="25"/>
      <c r="H22" s="25"/>
      <c r="J22" s="25"/>
      <c r="K22" s="25"/>
      <c r="L22" s="4"/>
      <c r="M22" s="4"/>
      <c r="N22" s="4"/>
      <c r="O22" s="4"/>
      <c r="P22" s="4"/>
    </row>
    <row r="23" spans="1:16" x14ac:dyDescent="0.45">
      <c r="A23" s="9">
        <v>6</v>
      </c>
      <c r="B23" s="25"/>
      <c r="C23" s="4"/>
      <c r="D23" s="4"/>
      <c r="E23" s="4"/>
      <c r="F23" s="25"/>
      <c r="G23" s="25"/>
      <c r="H23" s="25"/>
      <c r="J23" s="25"/>
      <c r="K23" s="25"/>
      <c r="L23" s="4"/>
      <c r="M23" s="4"/>
      <c r="N23" s="4"/>
      <c r="O23" s="4"/>
      <c r="P23" s="4"/>
    </row>
    <row r="24" spans="1:16" x14ac:dyDescent="0.45">
      <c r="A24" s="9">
        <v>7</v>
      </c>
      <c r="B24" s="25"/>
      <c r="C24" s="4"/>
      <c r="D24" s="4"/>
      <c r="E24" s="4"/>
      <c r="F24" s="25"/>
      <c r="G24" s="25"/>
      <c r="H24" s="25"/>
      <c r="J24" s="25"/>
      <c r="K24" s="25"/>
      <c r="L24" s="4"/>
      <c r="M24" s="4"/>
      <c r="N24" s="4"/>
      <c r="O24" s="4"/>
      <c r="P24" s="4"/>
    </row>
    <row r="25" spans="1:16" x14ac:dyDescent="0.45">
      <c r="A25" s="9">
        <v>8</v>
      </c>
      <c r="B25" s="25"/>
      <c r="C25" s="4"/>
      <c r="D25" s="4"/>
      <c r="E25" s="4"/>
      <c r="F25" s="25"/>
      <c r="G25" s="25"/>
      <c r="H25" s="25"/>
      <c r="J25" s="25"/>
      <c r="K25" s="25"/>
      <c r="L25" s="4"/>
      <c r="M25" s="4"/>
      <c r="N25" s="4"/>
      <c r="O25" s="4"/>
      <c r="P25" s="4"/>
    </row>
    <row r="26" spans="1:16" x14ac:dyDescent="0.45">
      <c r="A26" s="9">
        <v>9</v>
      </c>
      <c r="B26" s="25"/>
      <c r="C26" s="4"/>
      <c r="D26" s="4"/>
      <c r="E26" s="4"/>
      <c r="F26" s="25"/>
      <c r="G26" s="25"/>
      <c r="H26" s="25"/>
      <c r="J26" s="25"/>
      <c r="K26" s="25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4"/>
      <c r="F27" s="4"/>
      <c r="G27" s="4"/>
      <c r="H27" s="4"/>
      <c r="J27" s="4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J3" sqref="A3:XFD3"/>
      <selection pane="topRight" activeCell="J3" sqref="A3:XFD3"/>
      <selection pane="bottomLeft" activeCell="J3" sqref="A3:XFD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19" t="s">
        <v>24</v>
      </c>
      <c r="C3" s="20"/>
      <c r="D3" s="20"/>
      <c r="E3" s="20"/>
      <c r="F3" s="20"/>
      <c r="G3" s="20"/>
      <c r="H3" s="20"/>
      <c r="I3" s="21" t="s">
        <v>1</v>
      </c>
      <c r="J3" s="19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17">
        <v>1</v>
      </c>
      <c r="J4" s="13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1</v>
      </c>
      <c r="R4" s="15" t="s">
        <v>8</v>
      </c>
      <c r="S4" s="5" t="s">
        <v>8</v>
      </c>
      <c r="T4" s="3" t="str">
        <f>hextobits(R4)</f>
        <v>0000000</v>
      </c>
      <c r="U4" s="3" t="str">
        <f t="shared" ref="U4:U14" si="0">hextobits(S4)</f>
        <v>0000000</v>
      </c>
      <c r="W4" s="6" t="str" cm="1">
        <f t="array" ref="W4">ByteToHex(_xlfn.BITAND(HexToByte(R4),127))</f>
        <v>00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17">
        <v>1</v>
      </c>
      <c r="J5" s="13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1</v>
      </c>
      <c r="R5" s="16" t="s">
        <v>8</v>
      </c>
      <c r="S5" s="5" t="s">
        <v>8</v>
      </c>
      <c r="T5" s="3" t="str">
        <f t="shared" ref="T5:T14" si="1">hextobits(R5)</f>
        <v>0000000</v>
      </c>
      <c r="U5" s="3" t="str">
        <f t="shared" si="0"/>
        <v>0000000</v>
      </c>
      <c r="W5" s="5" t="str" cm="1">
        <f t="array" ref="W5">ByteToHex(_xlfn.BITAND(HexToByte(R5),127))</f>
        <v>00</v>
      </c>
      <c r="X5" s="5" t="str" cm="1">
        <f t="array" ref="X5">ByteToHex(_xlfn.BITAND(HexToByte(S5),127))</f>
        <v>00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17">
        <v>1</v>
      </c>
      <c r="J6" s="13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1</v>
      </c>
      <c r="R6" s="16" t="s">
        <v>8</v>
      </c>
      <c r="S6" s="5" t="s">
        <v>8</v>
      </c>
      <c r="T6" s="3" t="str">
        <f t="shared" si="1"/>
        <v>0000000</v>
      </c>
      <c r="U6" s="3" t="str">
        <f t="shared" si="0"/>
        <v>0000000</v>
      </c>
      <c r="W6" s="5" t="str" cm="1">
        <f t="array" ref="W6">ByteToHex(_xlfn.BITAND(HexToByte(R6),127))</f>
        <v>00</v>
      </c>
      <c r="X6" s="5" t="str" cm="1">
        <f t="array" ref="X6">ByteToHex(_xlfn.BITAND(HexToByte(S6),127))</f>
        <v>00</v>
      </c>
    </row>
    <row r="7" spans="1:24" x14ac:dyDescent="0.45">
      <c r="A7" s="9">
        <v>3</v>
      </c>
      <c r="B7" s="13">
        <v>1</v>
      </c>
      <c r="C7" s="2">
        <v>0</v>
      </c>
      <c r="D7" s="2">
        <v>1</v>
      </c>
      <c r="E7" s="2">
        <v>0</v>
      </c>
      <c r="F7" s="2">
        <v>1</v>
      </c>
      <c r="G7" s="2">
        <v>0</v>
      </c>
      <c r="H7" s="2">
        <v>1</v>
      </c>
      <c r="I7" s="17">
        <v>1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1</v>
      </c>
      <c r="R7" s="15" t="s">
        <v>9</v>
      </c>
      <c r="S7" s="5" t="s">
        <v>8</v>
      </c>
      <c r="T7" s="3" t="str">
        <f t="shared" si="1"/>
        <v>1010101</v>
      </c>
      <c r="U7" s="3" t="str">
        <f t="shared" si="0"/>
        <v>0000000</v>
      </c>
      <c r="W7" s="6" t="str" cm="1">
        <f t="array" ref="W7">ByteToHex(_xlfn.BITAND(HexToByte(R7),127))</f>
        <v>55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3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1</v>
      </c>
      <c r="I8" s="17">
        <v>1</v>
      </c>
      <c r="J8" s="13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1</v>
      </c>
      <c r="R8" s="15" t="s">
        <v>10</v>
      </c>
      <c r="S8" s="5" t="s">
        <v>8</v>
      </c>
      <c r="T8" s="3" t="str">
        <f t="shared" si="1"/>
        <v>1000001</v>
      </c>
      <c r="U8" s="3" t="str">
        <f t="shared" si="0"/>
        <v>0000000</v>
      </c>
      <c r="W8" s="6" t="str" cm="1">
        <f t="array" ref="W8">ByteToHex(_xlfn.BITAND(HexToByte(R8),127))</f>
        <v>41</v>
      </c>
      <c r="X8" s="5" t="str" cm="1">
        <f t="array" ref="X8">ByteToHex(_xlfn.BITAND(HexToByte(S8),127))</f>
        <v>00</v>
      </c>
    </row>
    <row r="9" spans="1:24" x14ac:dyDescent="0.45">
      <c r="A9" s="9">
        <v>5</v>
      </c>
      <c r="B9" s="13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7">
        <v>1</v>
      </c>
      <c r="J9" s="13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17">
        <v>1</v>
      </c>
      <c r="R9" s="15" t="s">
        <v>11</v>
      </c>
      <c r="S9" s="5" t="s">
        <v>8</v>
      </c>
      <c r="T9" s="3" t="str">
        <f t="shared" si="1"/>
        <v>0000001</v>
      </c>
      <c r="U9" s="3" t="str">
        <f t="shared" si="0"/>
        <v>0000000</v>
      </c>
      <c r="W9" s="6" t="str" cm="1">
        <f t="array" ref="W9">ByteToHex(_xlfn.BITAND(HexToByte(R9),127))</f>
        <v>01</v>
      </c>
      <c r="X9" s="5" t="str" cm="1">
        <f t="array" ref="X9">ByteToHex(_xlfn.BITAND(HexToByte(S9),127))</f>
        <v>00</v>
      </c>
    </row>
    <row r="10" spans="1:24" x14ac:dyDescent="0.45">
      <c r="A10" s="9">
        <v>6</v>
      </c>
      <c r="B10" s="13">
        <v>1</v>
      </c>
      <c r="C10" s="2">
        <v>0</v>
      </c>
      <c r="D10" s="2">
        <v>1</v>
      </c>
      <c r="E10" s="2">
        <v>0</v>
      </c>
      <c r="F10" s="2">
        <v>1</v>
      </c>
      <c r="G10" s="2">
        <v>0</v>
      </c>
      <c r="H10" s="2">
        <v>1</v>
      </c>
      <c r="I10" s="17">
        <v>1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1</v>
      </c>
      <c r="R10" s="15" t="s">
        <v>9</v>
      </c>
      <c r="S10" s="5" t="s">
        <v>8</v>
      </c>
      <c r="T10" s="3" t="str">
        <f t="shared" si="1"/>
        <v>1010101</v>
      </c>
      <c r="U10" s="3" t="str">
        <f t="shared" si="0"/>
        <v>0000000</v>
      </c>
      <c r="W10" s="6" t="str" cm="1">
        <f t="array" ref="W10">ByteToHex(_xlfn.BITAND(HexToByte(R10),127))</f>
        <v>55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1</v>
      </c>
      <c r="G11" s="2">
        <v>0</v>
      </c>
      <c r="H11" s="2">
        <v>1</v>
      </c>
      <c r="I11" s="17">
        <v>1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1</v>
      </c>
      <c r="R11" s="15" t="s">
        <v>12</v>
      </c>
      <c r="S11" s="5" t="s">
        <v>8</v>
      </c>
      <c r="T11" s="3" t="str">
        <f t="shared" si="1"/>
        <v>1010000</v>
      </c>
      <c r="U11" s="3" t="str">
        <f t="shared" si="0"/>
        <v>0000000</v>
      </c>
      <c r="W11" s="6" t="str" cm="1">
        <f t="array" ref="W11">ByteToHex(_xlfn.BITAND(HexToByte(R11),127))</f>
        <v>50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0</v>
      </c>
      <c r="D12" s="2">
        <v>0</v>
      </c>
      <c r="E12" s="2">
        <v>0</v>
      </c>
      <c r="F12" s="2">
        <v>1</v>
      </c>
      <c r="G12" s="2">
        <v>0</v>
      </c>
      <c r="H12" s="2">
        <v>1</v>
      </c>
      <c r="I12" s="17">
        <v>1</v>
      </c>
      <c r="J12" s="13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1</v>
      </c>
      <c r="R12" s="15" t="s">
        <v>12</v>
      </c>
      <c r="S12" s="5" t="s">
        <v>8</v>
      </c>
      <c r="T12" s="3" t="str">
        <f t="shared" si="1"/>
        <v>1010000</v>
      </c>
      <c r="U12" s="3" t="str">
        <f t="shared" si="0"/>
        <v>0000000</v>
      </c>
      <c r="W12" s="6" t="str" cm="1">
        <f t="array" ref="W12">ByteToHex(_xlfn.BITAND(HexToByte(R12),127))</f>
        <v>50</v>
      </c>
      <c r="X12" s="5" t="str" cm="1">
        <f t="array" ref="X12">ByteToHex(_xlfn.BITAND(HexToByte(S12),127))</f>
        <v>00</v>
      </c>
    </row>
    <row r="13" spans="1:24" x14ac:dyDescent="0.45">
      <c r="A13" s="9">
        <v>9</v>
      </c>
      <c r="B13" s="13">
        <v>1</v>
      </c>
      <c r="C13" s="2">
        <v>0</v>
      </c>
      <c r="D13" s="2">
        <v>0</v>
      </c>
      <c r="E13" s="2">
        <v>0</v>
      </c>
      <c r="F13" s="2">
        <v>1</v>
      </c>
      <c r="G13" s="2">
        <v>0</v>
      </c>
      <c r="H13" s="2">
        <v>1</v>
      </c>
      <c r="I13" s="17">
        <v>1</v>
      </c>
      <c r="J13" s="13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1</v>
      </c>
      <c r="R13" s="15" t="s">
        <v>13</v>
      </c>
      <c r="S13" s="5" t="s">
        <v>8</v>
      </c>
      <c r="T13" s="3" t="str">
        <f t="shared" si="1"/>
        <v>1010001</v>
      </c>
      <c r="U13" s="3" t="str">
        <f t="shared" si="0"/>
        <v>0000000</v>
      </c>
      <c r="W13" s="6" t="str" cm="1">
        <f t="array" ref="W13">ByteToHex(_xlfn.BITAND(HexToByte(R13),127))</f>
        <v>51</v>
      </c>
      <c r="X13" s="5" t="str" cm="1">
        <f t="array" ref="X13">ByteToHex(_xlfn.BITAND(HexToByte(S13),127))</f>
        <v>00</v>
      </c>
    </row>
    <row r="14" spans="1:24" x14ac:dyDescent="0.45">
      <c r="A14" s="9">
        <v>10</v>
      </c>
      <c r="B14" s="13">
        <v>1</v>
      </c>
      <c r="C14" s="2">
        <v>0</v>
      </c>
      <c r="D14" s="2">
        <v>1</v>
      </c>
      <c r="E14" s="2">
        <v>0</v>
      </c>
      <c r="F14" s="2">
        <v>1</v>
      </c>
      <c r="G14" s="2">
        <v>0</v>
      </c>
      <c r="H14" s="2">
        <v>1</v>
      </c>
      <c r="I14" s="17">
        <v>1</v>
      </c>
      <c r="J14" s="13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1</v>
      </c>
      <c r="R14" s="15" t="s">
        <v>9</v>
      </c>
      <c r="S14" s="5" t="s">
        <v>8</v>
      </c>
      <c r="T14" s="3" t="str">
        <f t="shared" si="1"/>
        <v>1010101</v>
      </c>
      <c r="U14" s="3" t="str">
        <f t="shared" si="0"/>
        <v>0000000</v>
      </c>
      <c r="W14" s="6" t="str" cm="1">
        <f t="array" ref="W14">ByteToHex(_xlfn.BITAND(HexToByte(R14),127))</f>
        <v>55</v>
      </c>
      <c r="X14" s="5" t="str" cm="1">
        <f t="array" ref="X14">ByteToHex(_xlfn.BITAND(HexToByte(S14),127))</f>
        <v>00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4"/>
      <c r="J17" s="4"/>
      <c r="K17" s="4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4"/>
      <c r="H18" s="4"/>
      <c r="J18" s="4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4"/>
      <c r="H19" s="4"/>
      <c r="J19" s="4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10"/>
      <c r="C20" s="10"/>
      <c r="D20" s="10"/>
      <c r="E20" s="10"/>
      <c r="F20" s="10"/>
      <c r="G20" s="10"/>
      <c r="H20" s="10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10"/>
      <c r="C21" s="4"/>
      <c r="D21" s="4"/>
      <c r="E21" s="4"/>
      <c r="F21" s="4"/>
      <c r="G21" s="4"/>
      <c r="H21" s="10"/>
      <c r="J21" s="4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10"/>
      <c r="C22" s="4"/>
      <c r="D22" s="4"/>
      <c r="E22" s="4"/>
      <c r="F22" s="4"/>
      <c r="G22" s="4"/>
      <c r="H22" s="4"/>
      <c r="J22" s="4"/>
      <c r="K22" s="4"/>
      <c r="L22" s="4"/>
      <c r="M22" s="4"/>
      <c r="N22" s="4"/>
      <c r="O22" s="4"/>
      <c r="P22" s="4"/>
    </row>
    <row r="23" spans="1:16" x14ac:dyDescent="0.45">
      <c r="A23" s="9">
        <v>6</v>
      </c>
      <c r="B23" s="10"/>
      <c r="C23" s="10"/>
      <c r="D23" s="10"/>
      <c r="E23" s="10"/>
      <c r="F23" s="10"/>
      <c r="G23" s="10"/>
      <c r="H23" s="10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10"/>
      <c r="G24" s="10"/>
      <c r="H24" s="10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4"/>
      <c r="D25" s="4"/>
      <c r="E25" s="4"/>
      <c r="F25" s="10"/>
      <c r="G25" s="10"/>
      <c r="H25" s="10"/>
      <c r="J25" s="4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10"/>
      <c r="C26" s="4"/>
      <c r="D26" s="4"/>
      <c r="E26" s="4"/>
      <c r="F26" s="10"/>
      <c r="G26" s="10"/>
      <c r="H26" s="10"/>
      <c r="J26" s="4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10"/>
      <c r="C27" s="10"/>
      <c r="D27" s="10"/>
      <c r="E27" s="10"/>
      <c r="F27" s="10"/>
      <c r="G27" s="10"/>
      <c r="H27" s="10"/>
      <c r="J27" s="4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O3" sqref="O3"/>
      <selection pane="topRight" activeCell="O3" sqref="O3"/>
      <selection pane="bottomLeft" activeCell="O3" sqref="O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22" t="s">
        <v>24</v>
      </c>
      <c r="C3" s="20"/>
      <c r="D3" s="20"/>
      <c r="E3" s="20"/>
      <c r="F3" s="20"/>
      <c r="G3" s="20"/>
      <c r="H3" s="20"/>
      <c r="I3" s="21" t="s">
        <v>1</v>
      </c>
      <c r="J3" s="22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17">
        <v>1</v>
      </c>
      <c r="J4" s="13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1</v>
      </c>
      <c r="R4" s="15" t="s">
        <v>16</v>
      </c>
      <c r="S4" s="5" t="s">
        <v>8</v>
      </c>
      <c r="T4" s="3" t="str">
        <f>hextobits(R4)</f>
        <v>1000000</v>
      </c>
      <c r="U4" s="3" t="str">
        <f t="shared" ref="U4:U14" si="0">hextobits(S4)</f>
        <v>0000000</v>
      </c>
      <c r="W4" s="6" t="str" cm="1">
        <f t="array" ref="W4">ByteToHex(_xlfn.BITAND(HexToByte(R4),127))</f>
        <v>40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1</v>
      </c>
      <c r="H5" s="2">
        <v>1</v>
      </c>
      <c r="I5" s="17">
        <v>1</v>
      </c>
      <c r="J5" s="13">
        <v>1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1</v>
      </c>
      <c r="R5" s="16" t="s">
        <v>21</v>
      </c>
      <c r="S5" s="5" t="s">
        <v>11</v>
      </c>
      <c r="T5" s="3" t="str">
        <f t="shared" ref="T5:T14" si="1">hextobits(R5)</f>
        <v>1100000</v>
      </c>
      <c r="U5" s="3" t="str">
        <f t="shared" si="0"/>
        <v>0000001</v>
      </c>
      <c r="W5" s="5" t="str" cm="1">
        <f t="array" ref="W5">ByteToHex(_xlfn.BITAND(HexToByte(R5),127))</f>
        <v>60</v>
      </c>
      <c r="X5" s="5" t="str" cm="1">
        <f t="array" ref="X5">ByteToHex(_xlfn.BITAND(HexToByte(S5),127))</f>
        <v>01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1</v>
      </c>
      <c r="H6" s="2">
        <v>1</v>
      </c>
      <c r="I6" s="17">
        <v>1</v>
      </c>
      <c r="J6" s="13">
        <v>1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1</v>
      </c>
      <c r="R6" s="16" t="s">
        <v>21</v>
      </c>
      <c r="S6" s="5" t="s">
        <v>11</v>
      </c>
      <c r="T6" s="3" t="str">
        <f t="shared" si="1"/>
        <v>1100000</v>
      </c>
      <c r="U6" s="3" t="str">
        <f t="shared" si="0"/>
        <v>0000001</v>
      </c>
      <c r="W6" s="5" t="str" cm="1">
        <f t="array" ref="W6">ByteToHex(_xlfn.BITAND(HexToByte(R6),127))</f>
        <v>60</v>
      </c>
      <c r="X6" s="5" t="str" cm="1">
        <f t="array" ref="X6">ByteToHex(_xlfn.BITAND(HexToByte(S6),127))</f>
        <v>01</v>
      </c>
    </row>
    <row r="7" spans="1:24" x14ac:dyDescent="0.45">
      <c r="A7" s="9">
        <v>3</v>
      </c>
      <c r="B7" s="13">
        <v>0</v>
      </c>
      <c r="C7" s="2">
        <v>0</v>
      </c>
      <c r="D7" s="2">
        <v>0</v>
      </c>
      <c r="E7" s="2">
        <v>0</v>
      </c>
      <c r="F7" s="2">
        <v>1</v>
      </c>
      <c r="G7" s="2">
        <v>1</v>
      </c>
      <c r="H7" s="2">
        <v>1</v>
      </c>
      <c r="I7" s="17">
        <v>1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1</v>
      </c>
      <c r="R7" s="15" t="s">
        <v>20</v>
      </c>
      <c r="S7" s="5" t="s">
        <v>8</v>
      </c>
      <c r="T7" s="3" t="str">
        <f t="shared" si="1"/>
        <v>1110000</v>
      </c>
      <c r="U7" s="3" t="str">
        <f t="shared" si="0"/>
        <v>0000000</v>
      </c>
      <c r="W7" s="6" t="str" cm="1">
        <f t="array" ref="W7">ByteToHex(_xlfn.BITAND(HexToByte(R7),127))</f>
        <v>70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3">
        <v>0</v>
      </c>
      <c r="C8" s="2">
        <v>0</v>
      </c>
      <c r="D8" s="2">
        <v>1</v>
      </c>
      <c r="E8" s="2">
        <v>1</v>
      </c>
      <c r="F8" s="2">
        <v>0</v>
      </c>
      <c r="G8" s="2">
        <v>1</v>
      </c>
      <c r="H8" s="2">
        <v>1</v>
      </c>
      <c r="I8" s="17">
        <v>1</v>
      </c>
      <c r="J8" s="13">
        <v>1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1</v>
      </c>
      <c r="R8" s="15" t="s">
        <v>22</v>
      </c>
      <c r="S8" s="5" t="s">
        <v>11</v>
      </c>
      <c r="T8" s="3" t="str">
        <f t="shared" si="1"/>
        <v>1101100</v>
      </c>
      <c r="U8" s="3" t="str">
        <f t="shared" si="0"/>
        <v>0000001</v>
      </c>
      <c r="W8" s="6" t="str" cm="1">
        <f t="array" ref="W8">ByteToHex(_xlfn.BITAND(HexToByte(R8),127))</f>
        <v>6C</v>
      </c>
      <c r="X8" s="5" t="str" cm="1">
        <f t="array" ref="X8">ByteToHex(_xlfn.BITAND(HexToByte(S8),127))</f>
        <v>01</v>
      </c>
    </row>
    <row r="9" spans="1:24" x14ac:dyDescent="0.45">
      <c r="A9" s="9">
        <v>5</v>
      </c>
      <c r="B9" s="13">
        <v>0</v>
      </c>
      <c r="C9" s="2">
        <v>1</v>
      </c>
      <c r="D9" s="2">
        <v>1</v>
      </c>
      <c r="E9" s="2">
        <v>0</v>
      </c>
      <c r="F9" s="2">
        <v>1</v>
      </c>
      <c r="G9" s="2">
        <v>1</v>
      </c>
      <c r="H9" s="2">
        <v>0</v>
      </c>
      <c r="I9" s="17">
        <v>1</v>
      </c>
      <c r="J9" s="13">
        <v>0</v>
      </c>
      <c r="K9" s="2">
        <v>1</v>
      </c>
      <c r="L9" s="2">
        <v>1</v>
      </c>
      <c r="M9" s="2">
        <v>0</v>
      </c>
      <c r="N9" s="2">
        <v>0</v>
      </c>
      <c r="O9" s="2">
        <v>0</v>
      </c>
      <c r="P9" s="2">
        <v>0</v>
      </c>
      <c r="Q9" s="17">
        <v>1</v>
      </c>
      <c r="R9" s="15" t="s">
        <v>17</v>
      </c>
      <c r="S9" s="5" t="s">
        <v>19</v>
      </c>
      <c r="T9" s="3" t="str">
        <f t="shared" si="1"/>
        <v>0110110</v>
      </c>
      <c r="U9" s="3" t="str">
        <f t="shared" si="0"/>
        <v>0000110</v>
      </c>
      <c r="W9" s="6" t="str" cm="1">
        <f t="array" ref="W9">ByteToHex(_xlfn.BITAND(HexToByte(R9),127))</f>
        <v>36</v>
      </c>
      <c r="X9" s="5" t="str" cm="1">
        <f t="array" ref="X9">ByteToHex(_xlfn.BITAND(HexToByte(S9),127))</f>
        <v>06</v>
      </c>
    </row>
    <row r="10" spans="1:24" x14ac:dyDescent="0.45">
      <c r="A10" s="9">
        <v>6</v>
      </c>
      <c r="B10" s="13">
        <v>0</v>
      </c>
      <c r="C10" s="2">
        <v>0</v>
      </c>
      <c r="D10" s="2">
        <v>0</v>
      </c>
      <c r="E10" s="2">
        <v>0</v>
      </c>
      <c r="F10" s="2">
        <v>1</v>
      </c>
      <c r="G10" s="2">
        <v>1</v>
      </c>
      <c r="H10" s="2">
        <v>0</v>
      </c>
      <c r="I10" s="17">
        <v>1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1</v>
      </c>
      <c r="R10" s="15" t="s">
        <v>18</v>
      </c>
      <c r="S10" s="5" t="s">
        <v>8</v>
      </c>
      <c r="T10" s="3" t="str">
        <f t="shared" si="1"/>
        <v>0110000</v>
      </c>
      <c r="U10" s="3" t="str">
        <f t="shared" si="0"/>
        <v>0000000</v>
      </c>
      <c r="W10" s="6" t="str" cm="1">
        <f t="array" ref="W10">ByteToHex(_xlfn.BITAND(HexToByte(R10),127))</f>
        <v>30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1</v>
      </c>
      <c r="G11" s="2">
        <v>1</v>
      </c>
      <c r="H11" s="2">
        <v>1</v>
      </c>
      <c r="I11" s="17">
        <v>1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1</v>
      </c>
      <c r="R11" s="15" t="s">
        <v>20</v>
      </c>
      <c r="S11" s="5" t="s">
        <v>8</v>
      </c>
      <c r="T11" s="3" t="str">
        <f t="shared" si="1"/>
        <v>1110000</v>
      </c>
      <c r="U11" s="3" t="str">
        <f t="shared" si="0"/>
        <v>0000000</v>
      </c>
      <c r="W11" s="6" t="str" cm="1">
        <f t="array" ref="W11">ByteToHex(_xlfn.BITAND(HexToByte(R11),127))</f>
        <v>70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1</v>
      </c>
      <c r="D12" s="2">
        <v>1</v>
      </c>
      <c r="E12" s="2">
        <v>1</v>
      </c>
      <c r="F12" s="2">
        <v>1</v>
      </c>
      <c r="G12" s="2">
        <v>0</v>
      </c>
      <c r="H12" s="2">
        <v>1</v>
      </c>
      <c r="I12" s="17">
        <v>1</v>
      </c>
      <c r="J12" s="13">
        <v>1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1</v>
      </c>
      <c r="R12" s="15" t="s">
        <v>23</v>
      </c>
      <c r="S12" s="5" t="s">
        <v>11</v>
      </c>
      <c r="T12" s="3" t="str">
        <f t="shared" si="1"/>
        <v>1011110</v>
      </c>
      <c r="U12" s="3" t="str">
        <f t="shared" si="0"/>
        <v>0000001</v>
      </c>
      <c r="W12" s="6" t="str" cm="1">
        <f t="array" ref="W12">ByteToHex(_xlfn.BITAND(HexToByte(R12),127))</f>
        <v>5E</v>
      </c>
      <c r="X12" s="5" t="str" cm="1">
        <f t="array" ref="X12">ByteToHex(_xlfn.BITAND(HexToByte(S12),127))</f>
        <v>01</v>
      </c>
    </row>
    <row r="13" spans="1:24" x14ac:dyDescent="0.45">
      <c r="A13" s="9">
        <v>9</v>
      </c>
      <c r="B13" s="13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1</v>
      </c>
      <c r="I13" s="17">
        <v>1</v>
      </c>
      <c r="J13" s="13">
        <v>1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1</v>
      </c>
      <c r="R13" s="15" t="s">
        <v>16</v>
      </c>
      <c r="S13" s="5" t="s">
        <v>11</v>
      </c>
      <c r="T13" s="3" t="str">
        <f t="shared" si="1"/>
        <v>1000000</v>
      </c>
      <c r="U13" s="3" t="str">
        <f t="shared" si="0"/>
        <v>0000001</v>
      </c>
      <c r="W13" s="6" t="str" cm="1">
        <f t="array" ref="W13">ByteToHex(_xlfn.BITAND(HexToByte(R13),127))</f>
        <v>40</v>
      </c>
      <c r="X13" s="5" t="str" cm="1">
        <f t="array" ref="X13">ByteToHex(_xlfn.BITAND(HexToByte(S13),127))</f>
        <v>01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1</v>
      </c>
      <c r="I14" s="17">
        <v>1</v>
      </c>
      <c r="J14" s="13">
        <v>1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1</v>
      </c>
      <c r="R14" s="15" t="s">
        <v>16</v>
      </c>
      <c r="S14" s="5" t="s">
        <v>11</v>
      </c>
      <c r="T14" s="3" t="str">
        <f t="shared" si="1"/>
        <v>1000000</v>
      </c>
      <c r="U14" s="3" t="str">
        <f t="shared" si="0"/>
        <v>0000001</v>
      </c>
      <c r="W14" s="6" t="str" cm="1">
        <f t="array" ref="W14">ByteToHex(_xlfn.BITAND(HexToByte(R14),127))</f>
        <v>40</v>
      </c>
      <c r="X14" s="5" t="str" cm="1">
        <f t="array" ref="X14">ByteToHex(_xlfn.BITAND(HexToByte(S14),127))</f>
        <v>01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25"/>
      <c r="J17" s="4"/>
      <c r="K17" s="4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12"/>
      <c r="H18" s="12"/>
      <c r="J18" s="12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12"/>
      <c r="H19" s="12"/>
      <c r="J19" s="12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4"/>
      <c r="C20" s="4"/>
      <c r="D20" s="4"/>
      <c r="E20" s="4"/>
      <c r="F20" s="12"/>
      <c r="G20" s="12"/>
      <c r="H20" s="12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12"/>
      <c r="E21" s="12"/>
      <c r="F21" s="26"/>
      <c r="G21" s="12"/>
      <c r="H21" s="12"/>
      <c r="J21" s="12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4"/>
      <c r="C22" s="12"/>
      <c r="D22" s="12"/>
      <c r="E22" s="25"/>
      <c r="F22" s="12"/>
      <c r="G22" s="12"/>
      <c r="H22" s="4"/>
      <c r="J22" s="4"/>
      <c r="K22" s="12"/>
      <c r="L22" s="12"/>
      <c r="M22" s="4"/>
      <c r="N22" s="4"/>
      <c r="O22" s="4"/>
      <c r="P22" s="4"/>
    </row>
    <row r="23" spans="1:16" x14ac:dyDescent="0.45">
      <c r="A23" s="9">
        <v>6</v>
      </c>
      <c r="B23" s="4"/>
      <c r="C23" s="4"/>
      <c r="D23" s="4"/>
      <c r="E23" s="4"/>
      <c r="F23" s="12"/>
      <c r="G23" s="12"/>
      <c r="H23" s="4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12"/>
      <c r="G24" s="12"/>
      <c r="H24" s="12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12"/>
      <c r="D25" s="12"/>
      <c r="E25" s="12"/>
      <c r="F25" s="12"/>
      <c r="G25" s="25"/>
      <c r="H25" s="12"/>
      <c r="J25" s="12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4"/>
      <c r="C26" s="4"/>
      <c r="D26" s="4"/>
      <c r="E26" s="4"/>
      <c r="F26" s="4"/>
      <c r="G26" s="4"/>
      <c r="H26" s="12"/>
      <c r="J26" s="12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4"/>
      <c r="F27" s="4"/>
      <c r="G27" s="4"/>
      <c r="H27" s="12"/>
      <c r="J27" s="12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O3" sqref="O3"/>
      <selection pane="topRight" activeCell="O3" sqref="O3"/>
      <selection pane="bottomLeft" activeCell="O3" sqref="O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22" t="s">
        <v>24</v>
      </c>
      <c r="C3" s="20"/>
      <c r="D3" s="20"/>
      <c r="E3" s="20"/>
      <c r="F3" s="20"/>
      <c r="G3" s="20"/>
      <c r="H3" s="20"/>
      <c r="I3" s="21" t="s">
        <v>1</v>
      </c>
      <c r="J3" s="22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17">
        <v>0</v>
      </c>
      <c r="J4" s="13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0</v>
      </c>
      <c r="R4" s="15" t="s">
        <v>28</v>
      </c>
      <c r="S4" s="5" t="s">
        <v>36</v>
      </c>
      <c r="T4" s="3" t="str">
        <f>hextobits(R4)</f>
        <v>1000000</v>
      </c>
      <c r="U4" s="3" t="str">
        <f t="shared" ref="U4:U14" si="0">hextobits(S4)</f>
        <v>0000000</v>
      </c>
      <c r="W4" s="6" t="str" cm="1">
        <f t="array" ref="W4">ByteToHex(_xlfn.BITAND(HexToByte(R4),127))</f>
        <v>40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1</v>
      </c>
      <c r="H5" s="2">
        <v>1</v>
      </c>
      <c r="I5" s="17">
        <v>0</v>
      </c>
      <c r="J5" s="13">
        <v>1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0</v>
      </c>
      <c r="R5" s="16" t="s">
        <v>31</v>
      </c>
      <c r="S5" s="5" t="s">
        <v>29</v>
      </c>
      <c r="T5" s="3" t="str">
        <f t="shared" ref="T5:T14" si="1">hextobits(R5)</f>
        <v>1100000</v>
      </c>
      <c r="U5" s="3" t="str">
        <f t="shared" si="0"/>
        <v>0000001</v>
      </c>
      <c r="W5" s="5" t="str" cm="1">
        <f t="array" ref="W5">ByteToHex(_xlfn.BITAND(HexToByte(R5),127))</f>
        <v>60</v>
      </c>
      <c r="X5" s="5" t="str" cm="1">
        <f t="array" ref="X5">ByteToHex(_xlfn.BITAND(HexToByte(S5),127))</f>
        <v>01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1</v>
      </c>
      <c r="H6" s="2">
        <v>1</v>
      </c>
      <c r="I6" s="17">
        <v>0</v>
      </c>
      <c r="J6" s="13">
        <v>1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0</v>
      </c>
      <c r="R6" s="16" t="s">
        <v>31</v>
      </c>
      <c r="S6" s="5" t="s">
        <v>29</v>
      </c>
      <c r="T6" s="3" t="str">
        <f t="shared" si="1"/>
        <v>1100000</v>
      </c>
      <c r="U6" s="3" t="str">
        <f t="shared" si="0"/>
        <v>0000001</v>
      </c>
      <c r="W6" s="5" t="str" cm="1">
        <f t="array" ref="W6">ByteToHex(_xlfn.BITAND(HexToByte(R6),127))</f>
        <v>60</v>
      </c>
      <c r="X6" s="5" t="str" cm="1">
        <f t="array" ref="X6">ByteToHex(_xlfn.BITAND(HexToByte(S6),127))</f>
        <v>01</v>
      </c>
    </row>
    <row r="7" spans="1:24" x14ac:dyDescent="0.45">
      <c r="A7" s="9">
        <v>3</v>
      </c>
      <c r="B7" s="13">
        <v>0</v>
      </c>
      <c r="C7" s="2">
        <v>0</v>
      </c>
      <c r="D7" s="2">
        <v>0</v>
      </c>
      <c r="E7" s="2">
        <v>0</v>
      </c>
      <c r="F7" s="2">
        <v>1</v>
      </c>
      <c r="G7" s="2">
        <v>1</v>
      </c>
      <c r="H7" s="2">
        <v>1</v>
      </c>
      <c r="I7" s="17">
        <v>0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0</v>
      </c>
      <c r="R7" s="15" t="s">
        <v>30</v>
      </c>
      <c r="S7" s="5" t="s">
        <v>36</v>
      </c>
      <c r="T7" s="3" t="str">
        <f t="shared" si="1"/>
        <v>1110000</v>
      </c>
      <c r="U7" s="3" t="str">
        <f t="shared" si="0"/>
        <v>0000000</v>
      </c>
      <c r="W7" s="6" t="str" cm="1">
        <f t="array" ref="W7">ByteToHex(_xlfn.BITAND(HexToByte(R7),127))</f>
        <v>70</v>
      </c>
      <c r="X7" s="5" t="str" cm="1">
        <f t="array" ref="X7">ByteToHex(_xlfn.BITAND(HexToByte(S7),127))</f>
        <v>00</v>
      </c>
    </row>
    <row r="8" spans="1:24" x14ac:dyDescent="0.45">
      <c r="A8" s="9"/>
      <c r="B8" s="13">
        <v>0</v>
      </c>
      <c r="C8" s="2">
        <v>0</v>
      </c>
      <c r="D8" s="2">
        <v>1</v>
      </c>
      <c r="E8" s="2">
        <v>1</v>
      </c>
      <c r="F8" s="2">
        <v>0</v>
      </c>
      <c r="G8" s="2">
        <v>1</v>
      </c>
      <c r="H8" s="2">
        <v>1</v>
      </c>
      <c r="I8" s="17">
        <v>0</v>
      </c>
      <c r="J8" s="13">
        <v>1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0</v>
      </c>
      <c r="R8" s="15" t="s">
        <v>32</v>
      </c>
      <c r="S8" s="5" t="s">
        <v>29</v>
      </c>
      <c r="T8" s="3" t="str">
        <f t="shared" si="1"/>
        <v>1101100</v>
      </c>
      <c r="U8" s="3" t="str">
        <f t="shared" si="0"/>
        <v>0000001</v>
      </c>
      <c r="W8" s="6" t="str" cm="1">
        <f t="array" ref="W8">ByteToHex(_xlfn.BITAND(HexToByte(R8),127))</f>
        <v>6C</v>
      </c>
      <c r="X8" s="5" t="str" cm="1">
        <f t="array" ref="X8">ByteToHex(_xlfn.BITAND(HexToByte(S8),127))</f>
        <v>01</v>
      </c>
    </row>
    <row r="9" spans="1:24" x14ac:dyDescent="0.45">
      <c r="A9" s="9">
        <v>5</v>
      </c>
      <c r="B9" s="13">
        <v>0</v>
      </c>
      <c r="C9" s="2">
        <v>1</v>
      </c>
      <c r="D9" s="2">
        <v>1</v>
      </c>
      <c r="E9" s="2">
        <v>0</v>
      </c>
      <c r="F9" s="2">
        <v>1</v>
      </c>
      <c r="G9" s="2">
        <v>1</v>
      </c>
      <c r="H9" s="2">
        <v>0</v>
      </c>
      <c r="I9" s="17">
        <v>0</v>
      </c>
      <c r="J9" s="13">
        <v>0</v>
      </c>
      <c r="K9" s="2">
        <v>1</v>
      </c>
      <c r="L9" s="2">
        <v>1</v>
      </c>
      <c r="M9" s="2">
        <v>0</v>
      </c>
      <c r="N9" s="2">
        <v>0</v>
      </c>
      <c r="O9" s="2">
        <v>0</v>
      </c>
      <c r="P9" s="2">
        <v>0</v>
      </c>
      <c r="Q9" s="17">
        <v>0</v>
      </c>
      <c r="R9" s="15" t="s">
        <v>33</v>
      </c>
      <c r="S9" s="5" t="s">
        <v>37</v>
      </c>
      <c r="T9" s="3" t="str">
        <f t="shared" si="1"/>
        <v>0110110</v>
      </c>
      <c r="U9" s="3" t="str">
        <f t="shared" si="0"/>
        <v>0000110</v>
      </c>
      <c r="W9" s="6" t="str" cm="1">
        <f t="array" ref="W9">ByteToHex(_xlfn.BITAND(HexToByte(R9),127))</f>
        <v>36</v>
      </c>
      <c r="X9" s="5" t="str" cm="1">
        <f t="array" ref="X9">ByteToHex(_xlfn.BITAND(HexToByte(S9),127))</f>
        <v>06</v>
      </c>
    </row>
    <row r="10" spans="1:24" x14ac:dyDescent="0.45">
      <c r="A10" s="9">
        <v>6</v>
      </c>
      <c r="B10" s="13">
        <v>0</v>
      </c>
      <c r="C10" s="2">
        <v>0</v>
      </c>
      <c r="D10" s="2">
        <v>0</v>
      </c>
      <c r="E10" s="2">
        <v>0</v>
      </c>
      <c r="F10" s="2">
        <v>1</v>
      </c>
      <c r="G10" s="2">
        <v>1</v>
      </c>
      <c r="H10" s="2">
        <v>0</v>
      </c>
      <c r="I10" s="17">
        <v>0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0</v>
      </c>
      <c r="R10" s="15" t="s">
        <v>34</v>
      </c>
      <c r="S10" s="5" t="s">
        <v>36</v>
      </c>
      <c r="T10" s="3" t="str">
        <f t="shared" si="1"/>
        <v>0110000</v>
      </c>
      <c r="U10" s="3" t="str">
        <f t="shared" si="0"/>
        <v>0000000</v>
      </c>
      <c r="W10" s="6" t="str" cm="1">
        <f t="array" ref="W10">ByteToHex(_xlfn.BITAND(HexToByte(R10),127))</f>
        <v>30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1</v>
      </c>
      <c r="G11" s="2">
        <v>1</v>
      </c>
      <c r="H11" s="2">
        <v>1</v>
      </c>
      <c r="I11" s="17">
        <v>0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0</v>
      </c>
      <c r="R11" s="15" t="s">
        <v>30</v>
      </c>
      <c r="S11" s="5" t="s">
        <v>36</v>
      </c>
      <c r="T11" s="3" t="str">
        <f t="shared" si="1"/>
        <v>1110000</v>
      </c>
      <c r="U11" s="3" t="str">
        <f t="shared" si="0"/>
        <v>0000000</v>
      </c>
      <c r="W11" s="6" t="str" cm="1">
        <f t="array" ref="W11">ByteToHex(_xlfn.BITAND(HexToByte(R11),127))</f>
        <v>70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1</v>
      </c>
      <c r="D12" s="2">
        <v>1</v>
      </c>
      <c r="E12" s="2">
        <v>1</v>
      </c>
      <c r="F12" s="2">
        <v>1</v>
      </c>
      <c r="G12" s="2">
        <v>0</v>
      </c>
      <c r="H12" s="2">
        <v>1</v>
      </c>
      <c r="I12" s="17">
        <v>0</v>
      </c>
      <c r="J12" s="13">
        <v>1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0</v>
      </c>
      <c r="R12" s="15" t="s">
        <v>35</v>
      </c>
      <c r="S12" s="5" t="s">
        <v>29</v>
      </c>
      <c r="T12" s="3" t="str">
        <f t="shared" si="1"/>
        <v>1011110</v>
      </c>
      <c r="U12" s="3" t="str">
        <f t="shared" si="0"/>
        <v>0000001</v>
      </c>
      <c r="W12" s="6" t="str" cm="1">
        <f t="array" ref="W12">ByteToHex(_xlfn.BITAND(HexToByte(R12),127))</f>
        <v>5E</v>
      </c>
      <c r="X12" s="5" t="str" cm="1">
        <f t="array" ref="X12">ByteToHex(_xlfn.BITAND(HexToByte(S12),127))</f>
        <v>01</v>
      </c>
    </row>
    <row r="13" spans="1:24" x14ac:dyDescent="0.45">
      <c r="A13" s="9">
        <v>9</v>
      </c>
      <c r="B13" s="13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1</v>
      </c>
      <c r="I13" s="17">
        <v>0</v>
      </c>
      <c r="J13" s="13">
        <v>1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0</v>
      </c>
      <c r="R13" s="15" t="s">
        <v>28</v>
      </c>
      <c r="S13" s="5" t="s">
        <v>29</v>
      </c>
      <c r="T13" s="3" t="str">
        <f t="shared" si="1"/>
        <v>1000000</v>
      </c>
      <c r="U13" s="3" t="str">
        <f t="shared" si="0"/>
        <v>0000001</v>
      </c>
      <c r="W13" s="6" t="str" cm="1">
        <f t="array" ref="W13">ByteToHex(_xlfn.BITAND(HexToByte(R13),127))</f>
        <v>40</v>
      </c>
      <c r="X13" s="5" t="str" cm="1">
        <f t="array" ref="X13">ByteToHex(_xlfn.BITAND(HexToByte(S13),127))</f>
        <v>01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1</v>
      </c>
      <c r="I14" s="17">
        <v>0</v>
      </c>
      <c r="J14" s="13">
        <v>1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0</v>
      </c>
      <c r="R14" s="15" t="s">
        <v>28</v>
      </c>
      <c r="S14" s="5" t="s">
        <v>29</v>
      </c>
      <c r="T14" s="3" t="str">
        <f t="shared" si="1"/>
        <v>1000000</v>
      </c>
      <c r="U14" s="3" t="str">
        <f t="shared" si="0"/>
        <v>0000001</v>
      </c>
      <c r="W14" s="6" t="str" cm="1">
        <f t="array" ref="W14">ByteToHex(_xlfn.BITAND(HexToByte(R14),127))</f>
        <v>40</v>
      </c>
      <c r="X14" s="5" t="str" cm="1">
        <f t="array" ref="X14">ByteToHex(_xlfn.BITAND(HexToByte(S14),127))</f>
        <v>01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27"/>
      <c r="J17" s="4"/>
      <c r="K17" s="4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12"/>
      <c r="H18" s="12"/>
      <c r="J18" s="12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12"/>
      <c r="H19" s="12"/>
      <c r="J19" s="12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4"/>
      <c r="C20" s="4"/>
      <c r="D20" s="4"/>
      <c r="E20" s="4"/>
      <c r="F20" s="12"/>
      <c r="G20" s="12"/>
      <c r="H20" s="12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12"/>
      <c r="E21" s="12"/>
      <c r="F21" s="28"/>
      <c r="G21" s="12"/>
      <c r="H21" s="12"/>
      <c r="J21" s="12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4"/>
      <c r="C22" s="12"/>
      <c r="D22" s="12"/>
      <c r="E22" s="27"/>
      <c r="F22" s="12"/>
      <c r="G22" s="12"/>
      <c r="H22" s="4"/>
      <c r="J22" s="4"/>
      <c r="K22" s="12"/>
      <c r="L22" s="12"/>
      <c r="M22" s="4"/>
      <c r="N22" s="4"/>
      <c r="O22" s="4"/>
      <c r="P22" s="4"/>
    </row>
    <row r="23" spans="1:16" x14ac:dyDescent="0.45">
      <c r="A23" s="9">
        <v>6</v>
      </c>
      <c r="B23" s="4"/>
      <c r="C23" s="4"/>
      <c r="D23" s="4"/>
      <c r="E23" s="4"/>
      <c r="F23" s="12"/>
      <c r="G23" s="12"/>
      <c r="H23" s="4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12"/>
      <c r="G24" s="12"/>
      <c r="H24" s="12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12"/>
      <c r="D25" s="12"/>
      <c r="E25" s="12"/>
      <c r="F25" s="12"/>
      <c r="G25" s="27"/>
      <c r="H25" s="12"/>
      <c r="J25" s="12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4"/>
      <c r="C26" s="4"/>
      <c r="D26" s="4"/>
      <c r="E26" s="4"/>
      <c r="F26" s="4"/>
      <c r="G26" s="4"/>
      <c r="H26" s="12"/>
      <c r="J26" s="12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4"/>
      <c r="F27" s="4"/>
      <c r="G27" s="4"/>
      <c r="H27" s="12"/>
      <c r="J27" s="12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O3" sqref="O3"/>
      <selection pane="topRight" activeCell="O3" sqref="O3"/>
      <selection pane="bottomLeft" activeCell="O3" sqref="O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17" width="3.1328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22" t="s">
        <v>24</v>
      </c>
      <c r="C3" s="20"/>
      <c r="D3" s="20"/>
      <c r="E3" s="20"/>
      <c r="F3" s="20"/>
      <c r="G3" s="20"/>
      <c r="H3" s="20"/>
      <c r="I3" s="21" t="s">
        <v>1</v>
      </c>
      <c r="J3" s="22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17">
        <v>1</v>
      </c>
      <c r="J4" s="13">
        <v>0</v>
      </c>
      <c r="K4" s="2">
        <v>1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0</v>
      </c>
      <c r="R4" s="15" t="s">
        <v>16</v>
      </c>
      <c r="S4" s="5" t="s">
        <v>39</v>
      </c>
      <c r="T4" s="3" t="str">
        <f>hextobits(R4)</f>
        <v>1000000</v>
      </c>
      <c r="U4" s="3" t="str">
        <f t="shared" ref="U4:U14" si="0">hextobits(S4)</f>
        <v>0000010</v>
      </c>
      <c r="W4" s="6" t="str" cm="1">
        <f t="array" ref="W4">ByteToHex(_xlfn.BITAND(HexToByte(R4),127))</f>
        <v>40</v>
      </c>
      <c r="X4" s="5" t="str" cm="1">
        <f t="array" ref="X4">ByteToHex(_xlfn.BITAND(HexToByte(S4),127))</f>
        <v>02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17">
        <v>0</v>
      </c>
      <c r="J5" s="13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0</v>
      </c>
      <c r="R5" s="16" t="s">
        <v>36</v>
      </c>
      <c r="S5" s="5" t="s">
        <v>36</v>
      </c>
      <c r="T5" s="3" t="str">
        <f t="shared" ref="T5:T14" si="1">hextobits(R5)</f>
        <v>0000000</v>
      </c>
      <c r="U5" s="3" t="str">
        <f t="shared" si="0"/>
        <v>0000000</v>
      </c>
      <c r="W5" s="5" t="str" cm="1">
        <f t="array" ref="W5">ByteToHex(_xlfn.BITAND(HexToByte(R5),127))</f>
        <v>00</v>
      </c>
      <c r="X5" s="5" t="str" cm="1">
        <f t="array" ref="X5">ByteToHex(_xlfn.BITAND(HexToByte(S5),127))</f>
        <v>00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17">
        <v>0</v>
      </c>
      <c r="J6" s="13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0</v>
      </c>
      <c r="R6" s="16" t="s">
        <v>36</v>
      </c>
      <c r="S6" s="5" t="s">
        <v>36</v>
      </c>
      <c r="T6" s="3" t="str">
        <f t="shared" si="1"/>
        <v>0000000</v>
      </c>
      <c r="U6" s="3" t="str">
        <f t="shared" si="0"/>
        <v>0000000</v>
      </c>
      <c r="W6" s="5" t="str" cm="1">
        <f t="array" ref="W6">ByteToHex(_xlfn.BITAND(HexToByte(R6),127))</f>
        <v>00</v>
      </c>
      <c r="X6" s="5" t="str" cm="1">
        <f t="array" ref="X6">ByteToHex(_xlfn.BITAND(HexToByte(S6),127))</f>
        <v>00</v>
      </c>
    </row>
    <row r="7" spans="1:24" x14ac:dyDescent="0.45">
      <c r="A7" s="9">
        <v>3</v>
      </c>
      <c r="B7" s="13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17">
        <v>0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0</v>
      </c>
      <c r="R7" s="15" t="s">
        <v>36</v>
      </c>
      <c r="S7" s="5" t="s">
        <v>36</v>
      </c>
      <c r="T7" s="3" t="str">
        <f t="shared" si="1"/>
        <v>0000000</v>
      </c>
      <c r="U7" s="3" t="str">
        <f t="shared" si="0"/>
        <v>0000000</v>
      </c>
      <c r="W7" s="6" t="str" cm="1">
        <f t="array" ref="W7">ByteToHex(_xlfn.BITAND(HexToByte(R7),127))</f>
        <v>00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3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17">
        <v>0</v>
      </c>
      <c r="J8" s="13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0</v>
      </c>
      <c r="R8" s="15" t="s">
        <v>36</v>
      </c>
      <c r="S8" s="5" t="s">
        <v>36</v>
      </c>
      <c r="T8" s="3" t="str">
        <f t="shared" si="1"/>
        <v>0000000</v>
      </c>
      <c r="U8" s="3" t="str">
        <f t="shared" si="0"/>
        <v>0000000</v>
      </c>
      <c r="W8" s="6" t="str" cm="1">
        <f t="array" ref="W8">ByteToHex(_xlfn.BITAND(HexToByte(R8),127))</f>
        <v>00</v>
      </c>
      <c r="X8" s="5" t="str" cm="1">
        <f t="array" ref="X8">ByteToHex(_xlfn.BITAND(HexToByte(S8),127))</f>
        <v>00</v>
      </c>
    </row>
    <row r="9" spans="1:24" x14ac:dyDescent="0.45">
      <c r="A9" s="9">
        <v>5</v>
      </c>
      <c r="B9" s="13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7">
        <v>0</v>
      </c>
      <c r="J9" s="13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17">
        <v>0</v>
      </c>
      <c r="R9" s="15" t="s">
        <v>36</v>
      </c>
      <c r="S9" s="5" t="s">
        <v>36</v>
      </c>
      <c r="T9" s="3" t="str">
        <f t="shared" si="1"/>
        <v>0000000</v>
      </c>
      <c r="U9" s="3" t="str">
        <f t="shared" si="0"/>
        <v>0000000</v>
      </c>
      <c r="W9" s="6" t="str" cm="1">
        <f t="array" ref="W9">ByteToHex(_xlfn.BITAND(HexToByte(R9),127))</f>
        <v>00</v>
      </c>
      <c r="X9" s="5" t="str" cm="1">
        <f t="array" ref="X9">ByteToHex(_xlfn.BITAND(HexToByte(S9),127))</f>
        <v>00</v>
      </c>
    </row>
    <row r="10" spans="1:24" x14ac:dyDescent="0.45">
      <c r="A10" s="9">
        <v>6</v>
      </c>
      <c r="B10" s="13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17">
        <v>0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0</v>
      </c>
      <c r="R10" s="15" t="s">
        <v>36</v>
      </c>
      <c r="S10" s="5" t="s">
        <v>36</v>
      </c>
      <c r="T10" s="3" t="str">
        <f t="shared" si="1"/>
        <v>0000000</v>
      </c>
      <c r="U10" s="3" t="str">
        <f t="shared" si="0"/>
        <v>0000000</v>
      </c>
      <c r="W10" s="6" t="str" cm="1">
        <f t="array" ref="W10">ByteToHex(_xlfn.BITAND(HexToByte(R10),127))</f>
        <v>00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17">
        <v>0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0</v>
      </c>
      <c r="R11" s="15" t="s">
        <v>36</v>
      </c>
      <c r="S11" s="5" t="s">
        <v>36</v>
      </c>
      <c r="T11" s="3" t="str">
        <f t="shared" si="1"/>
        <v>0000000</v>
      </c>
      <c r="U11" s="3" t="str">
        <f t="shared" si="0"/>
        <v>0000000</v>
      </c>
      <c r="W11" s="6" t="str" cm="1">
        <f t="array" ref="W11">ByteToHex(_xlfn.BITAND(HexToByte(R11),127))</f>
        <v>00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17">
        <v>0</v>
      </c>
      <c r="J12" s="13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0</v>
      </c>
      <c r="R12" s="15" t="s">
        <v>36</v>
      </c>
      <c r="S12" s="5" t="s">
        <v>36</v>
      </c>
      <c r="T12" s="3" t="str">
        <f t="shared" si="1"/>
        <v>0000000</v>
      </c>
      <c r="U12" s="3" t="str">
        <f t="shared" si="0"/>
        <v>0000000</v>
      </c>
      <c r="W12" s="6" t="str" cm="1">
        <f t="array" ref="W12">ByteToHex(_xlfn.BITAND(HexToByte(R12),127))</f>
        <v>00</v>
      </c>
      <c r="X12" s="5" t="str" cm="1">
        <f t="array" ref="X12">ByteToHex(_xlfn.BITAND(HexToByte(S12),127))</f>
        <v>00</v>
      </c>
    </row>
    <row r="13" spans="1:24" x14ac:dyDescent="0.45">
      <c r="A13" s="9">
        <v>9</v>
      </c>
      <c r="B13" s="13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17">
        <v>0</v>
      </c>
      <c r="J13" s="13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0</v>
      </c>
      <c r="R13" s="15" t="s">
        <v>36</v>
      </c>
      <c r="S13" s="5" t="s">
        <v>36</v>
      </c>
      <c r="T13" s="3" t="str">
        <f t="shared" si="1"/>
        <v>0000000</v>
      </c>
      <c r="U13" s="3" t="str">
        <f t="shared" si="0"/>
        <v>0000000</v>
      </c>
      <c r="W13" s="6" t="str" cm="1">
        <f t="array" ref="W13">ByteToHex(_xlfn.BITAND(HexToByte(R13),127))</f>
        <v>00</v>
      </c>
      <c r="X13" s="5" t="str" cm="1">
        <f t="array" ref="X13">ByteToHex(_xlfn.BITAND(HexToByte(S13),127))</f>
        <v>00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17">
        <v>0</v>
      </c>
      <c r="J14" s="13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0</v>
      </c>
      <c r="R14" s="15" t="s">
        <v>36</v>
      </c>
      <c r="S14" s="5" t="s">
        <v>36</v>
      </c>
      <c r="T14" s="3" t="str">
        <f t="shared" si="1"/>
        <v>0000000</v>
      </c>
      <c r="U14" s="3" t="str">
        <f t="shared" si="0"/>
        <v>0000000</v>
      </c>
      <c r="W14" s="6" t="str" cm="1">
        <f t="array" ref="W14">ByteToHex(_xlfn.BITAND(HexToByte(R14),127))</f>
        <v>00</v>
      </c>
      <c r="X14" s="5" t="str" cm="1">
        <f t="array" ref="X14">ByteToHex(_xlfn.BITAND(HexToByte(S14),127))</f>
        <v>00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25"/>
      <c r="J17" s="27"/>
      <c r="K17" s="27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4"/>
      <c r="H18" s="4"/>
      <c r="J18" s="4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4"/>
      <c r="H19" s="4"/>
      <c r="J19" s="4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4"/>
      <c r="C20" s="4"/>
      <c r="D20" s="4"/>
      <c r="E20" s="4"/>
      <c r="F20" s="4"/>
      <c r="G20" s="4"/>
      <c r="H20" s="4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4"/>
      <c r="E21" s="4"/>
      <c r="F21" s="4"/>
      <c r="G21" s="4"/>
      <c r="H21" s="4"/>
      <c r="J21" s="4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4"/>
      <c r="C22" s="4"/>
      <c r="D22" s="4"/>
      <c r="E22" s="4"/>
      <c r="F22" s="4"/>
      <c r="G22" s="4"/>
      <c r="H22" s="4"/>
      <c r="J22" s="4"/>
      <c r="K22" s="4"/>
      <c r="L22" s="4"/>
      <c r="M22" s="4"/>
      <c r="N22" s="4"/>
      <c r="O22" s="4"/>
      <c r="P22" s="4"/>
    </row>
    <row r="23" spans="1:16" x14ac:dyDescent="0.45">
      <c r="A23" s="9">
        <v>6</v>
      </c>
      <c r="B23" s="4"/>
      <c r="C23" s="4"/>
      <c r="D23" s="4"/>
      <c r="E23" s="4"/>
      <c r="F23" s="4"/>
      <c r="G23" s="4"/>
      <c r="H23" s="4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4"/>
      <c r="G24" s="4"/>
      <c r="H24" s="4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4"/>
      <c r="D25" s="4"/>
      <c r="E25" s="4"/>
      <c r="F25" s="4"/>
      <c r="G25" s="4"/>
      <c r="H25" s="4"/>
      <c r="J25" s="4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4"/>
      <c r="C26" s="4"/>
      <c r="D26" s="4"/>
      <c r="E26" s="4"/>
      <c r="F26" s="4"/>
      <c r="G26" s="4"/>
      <c r="H26" s="4"/>
      <c r="J26" s="4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4"/>
      <c r="F27" s="4"/>
      <c r="G27" s="4"/>
      <c r="H27" s="4"/>
      <c r="J27" s="4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49</vt:i4>
      </vt:variant>
    </vt:vector>
  </HeadingPairs>
  <TitlesOfParts>
    <vt:vector size="57" baseType="lpstr">
      <vt:lpstr>sprite_data.asm</vt:lpstr>
      <vt:lpstr>SPRITE_DATA</vt:lpstr>
      <vt:lpstr>Sprite Loader</vt:lpstr>
      <vt:lpstr>Sprite (load)</vt:lpstr>
      <vt:lpstr>Sprite (S)</vt:lpstr>
      <vt:lpstr>Sprite (Player)</vt:lpstr>
      <vt:lpstr>Sprite (Player HB0)</vt:lpstr>
      <vt:lpstr>Sprite (HB0&lt;&gt;HB1)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SpriteBaseAddress</vt:lpstr>
      <vt:lpstr>SpriteCount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dcterms:created xsi:type="dcterms:W3CDTF">2026-09-09T10:01:24Z</dcterms:created>
  <dcterms:modified xsi:type="dcterms:W3CDTF">2026-09-17T13:15:54Z</dcterms:modified>
  <dc:language>en-US</dc:language>
</cp:coreProperties>
</file>