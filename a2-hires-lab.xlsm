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D2FFEFF-ABF7-44AE-A803-ADADE852E6A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X19" i="25"/>
  <c r="W19" i="25"/>
  <c r="Q4" i="25"/>
  <c r="L17" i="25"/>
  <c r="K13" i="25"/>
  <c r="K17" i="25"/>
  <c r="J4" i="25"/>
  <c r="H17" i="25"/>
  <c r="H10" i="25"/>
  <c r="F9" i="25"/>
  <c r="F11" i="25"/>
  <c r="F6" i="25"/>
  <c r="F4" i="25"/>
  <c r="C5" i="25"/>
  <c r="C7" i="25"/>
  <c r="R25" i="25"/>
  <c r="R24" i="25"/>
  <c r="C18" i="25"/>
  <c r="P13" i="25"/>
  <c r="L12" i="25"/>
  <c r="P12" i="25"/>
  <c r="C11" i="25"/>
  <c r="P9" i="25"/>
  <c r="I9" i="25"/>
  <c r="H7" i="25"/>
  <c r="J7" i="25"/>
  <c r="E7" i="25"/>
  <c r="D4" i="25"/>
  <c r="W25" i="25"/>
  <c r="R10" i="25"/>
  <c r="M17" i="25"/>
  <c r="L16" i="25"/>
  <c r="K16" i="25"/>
  <c r="K15" i="25"/>
  <c r="H16" i="25"/>
  <c r="H15" i="25"/>
  <c r="G4" i="25"/>
  <c r="F18" i="25"/>
  <c r="F8" i="25"/>
  <c r="F5" i="25"/>
  <c r="D9" i="25"/>
  <c r="C6" i="25"/>
  <c r="E4" i="25"/>
  <c r="X24" i="25"/>
  <c r="I19" i="25"/>
  <c r="P14" i="25"/>
  <c r="O13" i="25"/>
  <c r="O12" i="25"/>
  <c r="N12" i="25"/>
  <c r="O9" i="25"/>
  <c r="N9" i="25"/>
  <c r="C8" i="25"/>
  <c r="Q7" i="25"/>
  <c r="G7" i="25"/>
  <c r="D7" i="25"/>
  <c r="H5" i="25"/>
  <c r="M41" i="22" a="1"/>
  <c r="I63" i="22" a="1"/>
  <c r="M43" i="22" a="1"/>
  <c r="I64" i="22" a="1"/>
  <c r="I60" i="22" a="1"/>
  <c r="M42" i="22" a="1"/>
  <c r="I61" i="22" a="1"/>
  <c r="I65" i="22" a="1"/>
  <c r="I66" i="22" a="1"/>
  <c r="I62" i="22" a="1"/>
  <c r="B156" i="23"/>
  <c r="B92" i="23"/>
  <c r="B28" i="23"/>
  <c r="B143" i="23"/>
  <c r="B15" i="23"/>
  <c r="B90" i="23"/>
  <c r="B157" i="23"/>
  <c r="B21" i="23"/>
  <c r="B75" i="23"/>
  <c r="B146" i="23"/>
  <c r="B14" i="23"/>
  <c r="B93" i="23"/>
  <c r="B6" i="23"/>
  <c r="B173" i="23"/>
  <c r="B87" i="23"/>
  <c r="B193" i="23"/>
  <c r="B168" i="23"/>
  <c r="B104" i="23"/>
  <c r="B40" i="23"/>
  <c r="B167" i="23"/>
  <c r="B39" i="23"/>
  <c r="B110" i="23"/>
  <c r="B181" i="23"/>
  <c r="B45" i="23"/>
  <c r="B95" i="23"/>
  <c r="B170" i="23"/>
  <c r="B169" i="23"/>
  <c r="B141" i="23"/>
  <c r="B59" i="23"/>
  <c r="B30" i="23"/>
  <c r="B196" i="23"/>
  <c r="B132" i="23"/>
  <c r="B68" i="23"/>
  <c r="B4" i="23"/>
  <c r="B99" i="23"/>
  <c r="B166" i="23"/>
  <c r="B42" i="23"/>
  <c r="B176" i="23"/>
  <c r="B112" i="23"/>
  <c r="B48" i="23"/>
  <c r="B179" i="23"/>
  <c r="B55" i="23"/>
  <c r="B126" i="23"/>
  <c r="B197" i="23"/>
  <c r="B61" i="23"/>
  <c r="B186" i="23"/>
  <c r="B125" i="23"/>
  <c r="B22" i="23"/>
  <c r="B107" i="23"/>
  <c r="B109" i="23"/>
  <c r="B106" i="23"/>
  <c r="B5" i="23"/>
  <c r="B100" i="23"/>
  <c r="B31" i="23"/>
  <c r="B41" i="23"/>
  <c r="B123" i="23"/>
  <c r="B66" i="23"/>
  <c r="B122" i="23"/>
  <c r="A2" i="23"/>
  <c r="B2" i="23" s="1"/>
  <c r="B140" i="23"/>
  <c r="B76" i="23"/>
  <c r="B12" i="23"/>
  <c r="B115" i="23"/>
  <c r="B182" i="23"/>
  <c r="B58" i="23"/>
  <c r="B117" i="23"/>
  <c r="B171" i="23"/>
  <c r="B43" i="23"/>
  <c r="B114" i="23"/>
  <c r="B177" i="23"/>
  <c r="B57" i="23"/>
  <c r="B137" i="23"/>
  <c r="B101" i="23"/>
  <c r="B27" i="23"/>
  <c r="B105" i="23"/>
  <c r="B152" i="23"/>
  <c r="B88" i="23"/>
  <c r="B24" i="23"/>
  <c r="B135" i="23"/>
  <c r="B7" i="23"/>
  <c r="B82" i="23"/>
  <c r="B149" i="23"/>
  <c r="B13" i="23"/>
  <c r="B67" i="23"/>
  <c r="B138" i="23"/>
  <c r="B113" i="23"/>
  <c r="B69" i="23"/>
  <c r="B194" i="23"/>
  <c r="B161" i="23"/>
  <c r="B180" i="23"/>
  <c r="B116" i="23"/>
  <c r="B52" i="23"/>
  <c r="B183" i="23"/>
  <c r="B63" i="23"/>
  <c r="B134" i="23"/>
  <c r="B129" i="23"/>
  <c r="B160" i="23"/>
  <c r="B96" i="23"/>
  <c r="B32" i="23"/>
  <c r="B151" i="23"/>
  <c r="B23" i="23"/>
  <c r="B98" i="23"/>
  <c r="B165" i="23"/>
  <c r="B29" i="23"/>
  <c r="B79" i="23"/>
  <c r="B97" i="23"/>
  <c r="B8" i="23"/>
  <c r="B50" i="23"/>
  <c r="B163" i="23"/>
  <c r="B49" i="23"/>
  <c r="B164" i="23"/>
  <c r="B159" i="23"/>
  <c r="B102" i="23"/>
  <c r="B80" i="23"/>
  <c r="B190" i="23"/>
  <c r="B187" i="23"/>
  <c r="B65" i="23"/>
  <c r="B188" i="23"/>
  <c r="B124" i="23"/>
  <c r="B60" i="23"/>
  <c r="B195" i="23"/>
  <c r="B83" i="23"/>
  <c r="B150" i="23"/>
  <c r="B26" i="23"/>
  <c r="B85" i="23"/>
  <c r="B139" i="23"/>
  <c r="B11" i="23"/>
  <c r="B78" i="23"/>
  <c r="B145" i="23"/>
  <c r="B25" i="23"/>
  <c r="B81" i="23"/>
  <c r="B37" i="23"/>
  <c r="B162" i="23"/>
  <c r="B9" i="23"/>
  <c r="B136" i="23"/>
  <c r="B174" i="23"/>
  <c r="B130" i="23"/>
  <c r="B172" i="23"/>
  <c r="B108" i="23"/>
  <c r="B44" i="23"/>
  <c r="B175" i="23"/>
  <c r="B47" i="23"/>
  <c r="B118" i="23"/>
  <c r="B189" i="23"/>
  <c r="B53" i="23"/>
  <c r="B103" i="23"/>
  <c r="B178" i="23"/>
  <c r="B46" i="23"/>
  <c r="B121" i="23"/>
  <c r="B70" i="23"/>
  <c r="B17" i="23"/>
  <c r="B155" i="23"/>
  <c r="B62" i="23"/>
  <c r="B184" i="23"/>
  <c r="B120" i="23"/>
  <c r="B56" i="23"/>
  <c r="B191" i="23"/>
  <c r="B71" i="23"/>
  <c r="B142" i="23"/>
  <c r="B18" i="23"/>
  <c r="B77" i="23"/>
  <c r="B127" i="23"/>
  <c r="B3" i="23"/>
  <c r="B38" i="23"/>
  <c r="B10" i="23"/>
  <c r="B119" i="23"/>
  <c r="B94" i="23"/>
  <c r="B33" i="23"/>
  <c r="B148" i="23"/>
  <c r="B84" i="23"/>
  <c r="B20" i="23"/>
  <c r="B131" i="23"/>
  <c r="B198" i="23"/>
  <c r="B74" i="23"/>
  <c r="B192" i="23"/>
  <c r="B128" i="23"/>
  <c r="B64" i="23"/>
  <c r="B199" i="23"/>
  <c r="B91" i="23"/>
  <c r="B158" i="23"/>
  <c r="B34" i="23"/>
  <c r="B89" i="23"/>
  <c r="B147" i="23"/>
  <c r="B19" i="23"/>
  <c r="B86" i="23"/>
  <c r="B153" i="23"/>
  <c r="B111" i="23"/>
  <c r="B54" i="23"/>
  <c r="B154" i="23"/>
  <c r="B72" i="23"/>
  <c r="B35" i="23"/>
  <c r="B73" i="23"/>
  <c r="B36" i="23"/>
  <c r="B144" i="23"/>
  <c r="B16" i="23"/>
  <c r="B133" i="23"/>
  <c r="B51" i="23"/>
  <c r="B185" i="23"/>
  <c r="K3" i="22" a="1"/>
  <c r="M41" i="22" l="1"/>
  <c r="M43" i="22"/>
  <c r="M42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J47" i="11" a="1"/>
  <c r="S6" i="13" a="1"/>
  <c r="K47" i="11" a="1"/>
  <c r="U14" i="10"/>
  <c r="X14" i="10" a="1"/>
  <c r="W14" i="10" a="1"/>
  <c r="T14" i="10"/>
  <c r="U13" i="10"/>
  <c r="X13" i="10" a="1"/>
  <c r="T13" i="10"/>
  <c r="W13" i="10" a="1"/>
  <c r="X12" i="10" a="1"/>
  <c r="U12" i="10"/>
  <c r="T12" i="10"/>
  <c r="W12" i="10" a="1"/>
  <c r="X11" i="10" a="1"/>
  <c r="U11" i="10"/>
  <c r="T11" i="10"/>
  <c r="W11" i="10" a="1"/>
  <c r="X10" i="10" a="1"/>
  <c r="U10" i="10"/>
  <c r="T10" i="10"/>
  <c r="W10" i="10" a="1"/>
  <c r="U9" i="10"/>
  <c r="X9" i="10" a="1"/>
  <c r="T9" i="10"/>
  <c r="W9" i="10" a="1"/>
  <c r="U8" i="10"/>
  <c r="X8" i="10" a="1"/>
  <c r="T8" i="10"/>
  <c r="W8" i="10" a="1"/>
  <c r="U7" i="10"/>
  <c r="X7" i="10" a="1"/>
  <c r="T7" i="10"/>
  <c r="W7" i="10" a="1"/>
  <c r="X6" i="10" a="1"/>
  <c r="U6" i="10"/>
  <c r="T6" i="10"/>
  <c r="W6" i="10" a="1"/>
  <c r="X5" i="10" a="1"/>
  <c r="U5" i="10"/>
  <c r="T5" i="10"/>
  <c r="W5" i="10" a="1"/>
  <c r="U4" i="10"/>
  <c r="X4" i="10" a="1"/>
  <c r="W4" i="10" a="1"/>
  <c r="T4" i="10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7" i="5" a="1"/>
  <c r="U7" i="4"/>
  <c r="X13" i="6" a="1"/>
  <c r="T6" i="4"/>
  <c r="U13" i="4"/>
  <c r="T8" i="1"/>
  <c r="W8" i="6" a="1"/>
  <c r="W10" i="1" a="1"/>
  <c r="X7" i="1" a="1"/>
  <c r="W7" i="4" a="1"/>
  <c r="U14" i="1"/>
  <c r="W5" i="5" a="1"/>
  <c r="U5" i="6"/>
  <c r="T12" i="4"/>
  <c r="U10" i="5"/>
  <c r="U12" i="5"/>
  <c r="X4" i="5" a="1"/>
  <c r="W10" i="5" a="1"/>
  <c r="W7" i="5" a="1"/>
  <c r="T14" i="5"/>
  <c r="W12" i="6" a="1"/>
  <c r="U8" i="5"/>
  <c r="T7" i="5"/>
  <c r="T6" i="1"/>
  <c r="X5" i="1" a="1"/>
  <c r="T14" i="6"/>
  <c r="X9" i="5" a="1"/>
  <c r="W6" i="5" a="1"/>
  <c r="W4" i="4" a="1"/>
  <c r="T10" i="6"/>
  <c r="X14" i="6" a="1"/>
  <c r="W7" i="6" a="1"/>
  <c r="W14" i="5" a="1"/>
  <c r="U7" i="1"/>
  <c r="W8" i="4" a="1"/>
  <c r="W9" i="5" a="1"/>
  <c r="X6" i="4" a="1"/>
  <c r="U9" i="5"/>
  <c r="X10" i="4" a="1"/>
  <c r="W5" i="1" a="1"/>
  <c r="U11" i="4"/>
  <c r="T12" i="1"/>
  <c r="U14" i="4"/>
  <c r="X8" i="4" a="1"/>
  <c r="T11" i="6"/>
  <c r="U8" i="1"/>
  <c r="X12" i="4" a="1"/>
  <c r="U8" i="6"/>
  <c r="W11" i="6" a="1"/>
  <c r="X11" i="1" a="1"/>
  <c r="X5" i="6" a="1"/>
  <c r="W4" i="5" a="1"/>
  <c r="U9" i="1"/>
  <c r="W14" i="4" a="1"/>
  <c r="T11" i="4"/>
  <c r="W12" i="1" a="1"/>
  <c r="U14" i="5"/>
  <c r="X12" i="1" a="1"/>
  <c r="T9" i="6"/>
  <c r="X11" i="4" a="1"/>
  <c r="X13" i="1" a="1"/>
  <c r="T5" i="6"/>
  <c r="W14" i="1" a="1"/>
  <c r="X13" i="5" a="1"/>
  <c r="T4" i="1"/>
  <c r="T5" i="4"/>
  <c r="X14" i="4" a="1"/>
  <c r="U11" i="1"/>
  <c r="W6" i="4" a="1"/>
  <c r="T11" i="1"/>
  <c r="T11" i="5"/>
  <c r="W13" i="1" a="1"/>
  <c r="X5" i="4" a="1"/>
  <c r="T4" i="4"/>
  <c r="U4" i="5"/>
  <c r="U13" i="1"/>
  <c r="T10" i="1"/>
  <c r="X6" i="1" a="1"/>
  <c r="U13" i="6"/>
  <c r="X5" i="5" a="1"/>
  <c r="T13" i="5"/>
  <c r="X4" i="4" a="1"/>
  <c r="X14" i="5" a="1"/>
  <c r="W6" i="6" a="1"/>
  <c r="T5" i="1"/>
  <c r="T14" i="4"/>
  <c r="X9" i="1" a="1"/>
  <c r="T5" i="5"/>
  <c r="T12" i="5"/>
  <c r="W10" i="4" a="1"/>
  <c r="X12" i="5" a="1"/>
  <c r="T4" i="6"/>
  <c r="X11" i="6" a="1"/>
  <c r="W11" i="1" a="1"/>
  <c r="T7" i="4"/>
  <c r="X8" i="1" a="1"/>
  <c r="X11" i="5" a="1"/>
  <c r="W4" i="1" a="1"/>
  <c r="W11" i="4" a="1"/>
  <c r="W5" i="4" a="1"/>
  <c r="X9" i="6" a="1"/>
  <c r="U9" i="4"/>
  <c r="U5" i="5"/>
  <c r="X7" i="4" a="1"/>
  <c r="U4" i="6"/>
  <c r="U13" i="5"/>
  <c r="W13" i="4" a="1"/>
  <c r="X4" i="6" a="1"/>
  <c r="T12" i="6"/>
  <c r="X6" i="5" a="1"/>
  <c r="U5" i="1"/>
  <c r="U9" i="6"/>
  <c r="T13" i="4"/>
  <c r="U5" i="4"/>
  <c r="T10" i="4"/>
  <c r="U10" i="1"/>
  <c r="U12" i="6"/>
  <c r="T9" i="1"/>
  <c r="U12" i="1"/>
  <c r="W12" i="5" a="1"/>
  <c r="W7" i="1" a="1"/>
  <c r="U7" i="5"/>
  <c r="U11" i="5"/>
  <c r="W12" i="4" a="1"/>
  <c r="T9" i="5"/>
  <c r="U10" i="4"/>
  <c r="U10" i="6"/>
  <c r="T8" i="4"/>
  <c r="T6" i="6"/>
  <c r="U6" i="1"/>
  <c r="U6" i="6"/>
  <c r="U6" i="5"/>
  <c r="T8" i="5"/>
  <c r="W14" i="6" a="1"/>
  <c r="W8" i="5" a="1"/>
  <c r="T7" i="1"/>
  <c r="X12" i="6" a="1"/>
  <c r="W13" i="5" a="1"/>
  <c r="W8" i="1" a="1"/>
  <c r="T4" i="5"/>
  <c r="U4" i="4"/>
  <c r="W6" i="1" a="1"/>
  <c r="W13" i="6" a="1"/>
  <c r="W10" i="6" a="1"/>
  <c r="U4" i="1"/>
  <c r="X4" i="1" a="1"/>
  <c r="W9" i="1" a="1"/>
  <c r="T8" i="6"/>
  <c r="U8" i="4"/>
  <c r="U7" i="6"/>
  <c r="U12" i="4"/>
  <c r="T10" i="5"/>
  <c r="X14" i="1" a="1"/>
  <c r="U14" i="6"/>
  <c r="X6" i="6" a="1"/>
  <c r="X10" i="5" a="1"/>
  <c r="W4" i="6" a="1"/>
  <c r="T7" i="6"/>
  <c r="U11" i="6"/>
  <c r="T13" i="1"/>
  <c r="T13" i="6"/>
  <c r="X8" i="5" a="1"/>
  <c r="X13" i="4" a="1"/>
  <c r="W9" i="4" a="1"/>
  <c r="X9" i="4" a="1"/>
  <c r="T14" i="1"/>
  <c r="X8" i="6" a="1"/>
  <c r="X10" i="6" a="1"/>
  <c r="W11" i="5" a="1"/>
  <c r="T6" i="5"/>
  <c r="U6" i="4"/>
  <c r="T9" i="4"/>
  <c r="W5" i="6" a="1"/>
  <c r="X10" i="1" a="1"/>
  <c r="W9" i="6" a="1"/>
  <c r="X7" i="6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1" i="13" a="1"/>
  <c r="AI42" i="13" a="1"/>
  <c r="AI45" i="13" a="1"/>
  <c r="AN44" i="13" a="1"/>
  <c r="AN42" i="13" a="1"/>
  <c r="AI41" i="13" a="1"/>
  <c r="AI44" i="13" a="1"/>
  <c r="AN40" i="13" a="1"/>
  <c r="AI39" i="13" a="1"/>
  <c r="AI40" i="13" a="1"/>
  <c r="AN43" i="13" a="1"/>
  <c r="AI43" i="13" a="1"/>
  <c r="AN39" i="13" a="1"/>
  <c r="AN45" i="13" a="1"/>
  <c r="BA38" i="21" a="1"/>
  <c r="AU38" i="21" a="1"/>
  <c r="BN54" i="21" a="1"/>
  <c r="AU22" i="21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L55" i="21" a="1"/>
  <c r="BA25" i="21" a="1"/>
  <c r="AU25" i="21" a="1"/>
  <c r="BA37" i="21" a="1"/>
  <c r="BN52" i="21" a="1"/>
  <c r="BA35" i="21" a="1"/>
  <c r="BM52" i="21" a="1"/>
  <c r="BA22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AU39" i="21" a="1"/>
  <c r="BA39" i="21" a="1"/>
  <c r="BA26" i="21" a="1"/>
  <c r="BM55" i="21" a="1"/>
  <c r="BM54" i="21" a="1"/>
  <c r="AU24" i="21" a="1"/>
  <c r="BL54" i="21" a="1"/>
  <c r="BA24" i="21" a="1"/>
  <c r="BA36" i="21" a="1"/>
  <c r="AU36" i="21" a="1"/>
  <c r="BN53" i="21" a="1"/>
  <c r="BA23" i="21" a="1"/>
  <c r="AU23" i="21" a="1"/>
  <c r="BL53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M57" i="21" a="1"/>
  <c r="BA27" i="21" a="1"/>
  <c r="AU27" i="21" a="1"/>
  <c r="BL56" i="21" a="1"/>
  <c r="BM56" i="21" a="1"/>
  <c r="AU26" i="21" a="1"/>
  <c r="BM53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AI18" i="13" a="1"/>
  <c r="AI13" i="13" a="1"/>
  <c r="AI14" i="13" a="1"/>
  <c r="AN15" i="13" a="1"/>
  <c r="BA41" i="21" a="1"/>
  <c r="AU41" i="21" a="1"/>
  <c r="BN58" i="21" a="1"/>
  <c r="BL57" i="21" a="1"/>
  <c r="Q53" i="21" l="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N13" i="13" a="1"/>
  <c r="AI15" i="13" a="1"/>
  <c r="AI16" i="13" a="1"/>
  <c r="AN19" i="13" a="1"/>
  <c r="AU42" i="21" a="1"/>
  <c r="BN59" i="21" a="1"/>
  <c r="BA42" i="21" a="1"/>
  <c r="AU29" i="21" a="1"/>
  <c r="BA29" i="21" a="1"/>
  <c r="BL59" i="21" a="1"/>
  <c r="BM58" i="21" a="1"/>
  <c r="AU28" i="21" a="1"/>
  <c r="BA28" i="21" a="1"/>
  <c r="BL58" i="21" a="1"/>
  <c r="D57" i="21" l="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8" i="13" a="1"/>
  <c r="AN17" i="13" a="1"/>
  <c r="AN16" i="13" a="1"/>
  <c r="AN14" i="13" a="1"/>
  <c r="AU43" i="21" a="1"/>
  <c r="BA43" i="21" a="1"/>
  <c r="BN60" i="21" a="1"/>
  <c r="BA30" i="21" a="1"/>
  <c r="BL60" i="21" a="1"/>
  <c r="AU30" i="21" a="1"/>
  <c r="BM59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N61" i="21" a="1"/>
  <c r="BA44" i="21" a="1"/>
  <c r="AU44" i="21" a="1"/>
  <c r="AU31" i="21" a="1"/>
  <c r="BL61" i="21" a="1"/>
  <c r="BA31" i="21" a="1"/>
  <c r="BM60" i="21" a="1"/>
  <c r="F28" i="13" l="1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L62" i="21" a="1"/>
  <c r="BA32" i="21" a="1"/>
  <c r="AU32" i="21" a="1"/>
  <c r="BM61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<sst xmlns="http://schemas.openxmlformats.org/spreadsheetml/2006/main" count="1359" uniqueCount="985">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</sst>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v1310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B_ baseline (from A_)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 t="s">
        <v>983</v>
      </c>
      <c r="C3" t="s">
        <v>984</v>
      </c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C3" s="148" t="s">
        <v>962</v>
      </c>
      <c r="D3" s="149" t="s">
        <v>966</v>
      </c>
      <c r="E3" s="149" t="s">
        <v>967</v>
      </c>
      <c r="F3" s="149" t="s">
        <v>968</v>
      </c>
      <c r="G3" s="148" t="s">
        <v>941</v>
      </c>
      <c r="H3" s="149" t="s">
        <v>969</v>
      </c>
      <c r="I3" s="149" t="s">
        <v>970</v>
      </c>
      <c r="J3" s="148" t="s">
        <v>955</v>
      </c>
      <c r="K3" s="149" t="s">
        <v>971</v>
      </c>
      <c r="L3" s="149" t="s">
        <v>972</v>
      </c>
      <c r="M3" s="149" t="s">
        <v>973</v>
      </c>
      <c r="N3" s="149" t="s">
        <v>974</v>
      </c>
      <c r="O3" s="158" t="s">
        <v>173</v>
      </c>
      <c r="P3" s="158" t="s">
        <v>741</v>
      </c>
      <c r="Q3" s="148" t="s">
        <v>912</v>
      </c>
      <c r="R3" s="149" t="s">
        <v>975</v>
      </c>
      <c r="S3" s="149" t="s">
        <v>976</v>
      </c>
      <c r="T3" s="149" t="s">
        <v>977</v>
      </c>
      <c r="U3" s="149" t="s">
        <v>978</v>
      </c>
      <c r="V3" s="149" t="s">
        <v>979</v>
      </c>
      <c r="W3" s="149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'Sprite Shifting'!A1, Intro!A1)</f>
        <v>&lt;=&gt;</v>
      </c>
      <c r="J4" t="str">
        <f>LinkSheets("&lt;=&gt;", 'Pixel Shifting'!A1, Intro!A1)</f>
        <v>&lt;=&gt;</v>
      </c>
      <c r="Q4" t="str">
        <f>LinkSheets("&lt;=&gt;", Sprites!A1, Intro!A1)</f>
        <v>&lt;=&gt;</v>
      </c>
    </row>
    <row r="5" spans="2:107" outlineLevel="1" x14ac:dyDescent="0.3">
      <c r="B5" s="153" t="s">
        <v>966</v>
      </c>
      <c r="C5" t="str">
        <f>LinkSheets("=&gt;", Intro!A1, '&gt; comments &lt;'!A1)</f>
        <v>=&gt;</v>
      </c>
      <c r="D5" s="154"/>
      <c r="E5" s="155"/>
      <c r="F5" t="str">
        <f>LinkSheets("=&gt;", 'Worksheets matrix'!A1, '&gt; comments &lt;'!A1)</f>
        <v>=&gt;</v>
      </c>
      <c r="H5" t="str">
        <f>LinkSheets("&lt;=", '&gt; comments &lt;'!A1, 'Sprite Shifter'!A1)</f>
        <v>&lt;=</v>
      </c>
    </row>
    <row r="6" spans="2:107" outlineLevel="1" x14ac:dyDescent="0.3">
      <c r="B6" s="153" t="s">
        <v>967</v>
      </c>
      <c r="C6" t="str">
        <f>LinkSheets("=&gt;", Intro!A1, Versions!A1)</f>
        <v>=&gt;</v>
      </c>
      <c r="E6" s="154"/>
      <c r="F6" t="str">
        <f>LinkSheets("=&gt;", 'Worksheets matrix'!A1, Versions!A1)</f>
        <v>=&gt;</v>
      </c>
    </row>
    <row r="7" spans="2:107" outlineLevel="1" x14ac:dyDescent="0.3">
      <c r="B7" s="153" t="s">
        <v>968</v>
      </c>
      <c r="C7" t="str">
        <f>LinkSheets("&lt;=&gt;", 'Worksheets matrix'!A1, Intro!A1)</f>
        <v>&lt;=&gt;</v>
      </c>
      <c r="D7" s="155" t="str">
        <f>LinkSheets("&lt;=", 'Worksheets matrix'!A1, '&gt; comments &lt;'!A1)</f>
        <v>&lt;=</v>
      </c>
      <c r="E7" s="155" t="str">
        <f>LinkSheets("&lt;=", 'Worksheets matrix'!A1, Versions!A1)</f>
        <v>&lt;=</v>
      </c>
      <c r="F7" s="154"/>
      <c r="G7" t="str">
        <f>LinkSheets("&lt;=", 'Worksheets matrix'!A1, 'Sprite Shifting'!A1)</f>
        <v>&lt;=</v>
      </c>
      <c r="H7" t="str">
        <f>LinkSheets("&lt;=", 'Worksheets matrix'!A1, 'Sprite Shifter'!A1)</f>
        <v>&lt;=</v>
      </c>
      <c r="J7" t="str">
        <f>LinkSheets("&lt;=", 'Worksheets matrix'!A1, 'Pixel Shifting'!A1)</f>
        <v>&lt;=</v>
      </c>
      <c r="Q7" t="str">
        <f>LinkSheets("&lt;=", 'Worksheets matrix'!A1, Sprites!A1)</f>
        <v>&lt;=</v>
      </c>
      <c r="AV7" s="155"/>
      <c r="AW7" s="155"/>
      <c r="BM7" s="155"/>
    </row>
    <row r="8" spans="2:107" x14ac:dyDescent="0.3">
      <c r="B8" s="151" t="s">
        <v>941</v>
      </c>
      <c r="C8" t="str">
        <f>LinkSheets("&lt;=&gt;", 'Sprite Shifting'!A1, Intro!A1)</f>
        <v>&lt;=&gt;</v>
      </c>
      <c r="F8" t="str">
        <f>LinkSheets("=&gt;", 'Worksheets matrix'!A1, 'Sprite Shifting'!A1)</f>
        <v>=&gt;</v>
      </c>
      <c r="G8" s="152"/>
    </row>
    <row r="9" spans="2:107" outlineLevel="1" x14ac:dyDescent="0.3">
      <c r="B9" s="153" t="s">
        <v>969</v>
      </c>
      <c r="D9" t="str">
        <f>LinkSheets("=&gt;", '&gt; comments &lt;'!A1, 'Sprite Shifter'!A1)</f>
        <v>=&gt;</v>
      </c>
      <c r="F9" t="str">
        <f>LinkSheets("=&gt;", 'Worksheets matrix'!A1, 'Sprite Shifter'!A1)</f>
        <v>=&gt;</v>
      </c>
      <c r="H9" s="154"/>
      <c r="I9" t="str">
        <f>LinkSheets("&lt;=", 'Sprite Shifter'!A1, 'Sprite (load)'!A1)</f>
        <v>&lt;=</v>
      </c>
      <c r="N9" t="str">
        <f>LinkSheets("&lt;=", 'Sprite Shifter'!A1, 'Pixel Shift Pages'!A1)</f>
        <v>&lt;=</v>
      </c>
      <c r="O9" t="str">
        <f>LinkSheets("&lt;=", 'Sprite Shifter'!A1, pixel_pattern_table.asm!A1)</f>
        <v>&lt;=</v>
      </c>
      <c r="P9" t="str">
        <f>LinkSheets("&lt;=", 'Sprite Shifter'!A1, pixel_shift_table.asm!A1)</f>
        <v>&lt;=</v>
      </c>
    </row>
    <row r="10" spans="2:107" outlineLevel="1" x14ac:dyDescent="0.3">
      <c r="B10" s="153" t="s">
        <v>970</v>
      </c>
      <c r="H10" s="155" t="str">
        <f>LinkSheets("=&gt;", 'Sprite Shifter'!A1, 'Sprite (load)'!A1)</f>
        <v>=&gt;</v>
      </c>
      <c r="I10" s="154"/>
      <c r="R10" t="str">
        <f>LinkSheets("=&gt;", 'Sprite Loader'!A1, 'Sprite (load)'!A1)</f>
        <v>=&gt;</v>
      </c>
    </row>
    <row r="11" spans="2:107" x14ac:dyDescent="0.3">
      <c r="B11" s="151" t="s">
        <v>955</v>
      </c>
      <c r="C11" t="str">
        <f>LinkSheets("&lt;=&gt;", 'Pixel Shifting'!A1, Intro!A1)</f>
        <v>&lt;=&gt;</v>
      </c>
      <c r="F11" t="str">
        <f>LinkSheets("=&gt;", 'Worksheets matrix'!A1, 'Pixel Shifting'!A1)</f>
        <v>=&gt;</v>
      </c>
      <c r="H11" s="155"/>
      <c r="I11" s="155"/>
      <c r="J11" s="152"/>
    </row>
    <row r="12" spans="2:107" outlineLevel="1" x14ac:dyDescent="0.3">
      <c r="B12" s="153" t="s">
        <v>971</v>
      </c>
      <c r="D12" s="155"/>
      <c r="E12" s="155"/>
      <c r="H12" s="155"/>
      <c r="I12" s="155"/>
      <c r="J12" s="155"/>
      <c r="K12" s="154"/>
      <c r="L12" t="str">
        <f>LinkSheets("&lt;=", 'Pixel Shifter'!A1, 'Pixel Shift Pattern Table'!A1)</f>
        <v>&lt;=</v>
      </c>
      <c r="N12" t="str">
        <f>LinkSheets("&lt;=", 'Pixel Shifter'!A1, 'Pixel Shift Pages'!A1)</f>
        <v>&lt;=</v>
      </c>
      <c r="O12" t="str">
        <f>LinkSheets("&lt;=", 'Pixel Shifter'!A1, pixel_pattern_table.asm!A1)</f>
        <v>&lt;=</v>
      </c>
      <c r="P12" t="str">
        <f>LinkSheets("&lt;=", 'Pixel Shifter'!A1, pixel_shift_table.asm!A1)</f>
        <v>&lt;=</v>
      </c>
    </row>
    <row r="13" spans="2:107" outlineLevel="1" x14ac:dyDescent="0.3">
      <c r="B13" s="153" t="s">
        <v>972</v>
      </c>
      <c r="H13" s="155"/>
      <c r="I13" s="155"/>
      <c r="J13" s="155"/>
      <c r="K13" t="str">
        <f>LinkSheets("=&gt;", 'Pixel Shifter'!A1, 'Pixel Shift Pattern Table'!A1)</f>
        <v>=&gt;</v>
      </c>
      <c r="L13" s="154"/>
      <c r="O13" t="str">
        <f>LinkSheets("&lt;=", 'Pixel Shift Pattern Table'!A1, pixel_pattern_table.asm!A1)</f>
        <v>&lt;=</v>
      </c>
      <c r="P13" t="str">
        <f>LinkSheets("&lt;=", 'Pixel Shift Pattern Table'!A1, pixel_shift_table.asm!A1)</f>
        <v>&lt;=</v>
      </c>
    </row>
    <row r="14" spans="2:107" outlineLevel="1" x14ac:dyDescent="0.3">
      <c r="B14" s="153" t="s">
        <v>973</v>
      </c>
      <c r="H14" s="155"/>
      <c r="I14" s="155"/>
      <c r="J14" s="155"/>
      <c r="K14" s="155"/>
      <c r="M14" s="154"/>
      <c r="P14" t="str">
        <f>LinkSheets("&lt;=", 'Pixel Shift Table'!A1, pixel_shift_table.asm!A1)</f>
        <v>&lt;=</v>
      </c>
    </row>
    <row r="15" spans="2:107" outlineLevel="1" x14ac:dyDescent="0.3">
      <c r="B15" s="153" t="s">
        <v>974</v>
      </c>
      <c r="D15" s="155"/>
      <c r="E15" s="155"/>
      <c r="H15" t="str">
        <f>LinkSheets("=&gt;", 'Sprite Shifter'!A1, 'Pixel Shift Pages'!A1)</f>
        <v>=&gt;</v>
      </c>
      <c r="K15" t="str">
        <f>LinkSheets("=&gt;", 'Pixel Shifter'!A1, 'Pixel Shift Pages'!A1)</f>
        <v>=&gt;</v>
      </c>
      <c r="M15" s="155"/>
      <c r="N15" s="154"/>
    </row>
    <row r="16" spans="2:107" outlineLevel="1" x14ac:dyDescent="0.3">
      <c r="B16" s="157" t="s">
        <v>173</v>
      </c>
      <c r="H16" t="str">
        <f>LinkSheets("=&gt;", 'Sprite Shifter'!A1, pixel_pattern_table.asm!A1)</f>
        <v>=&gt;</v>
      </c>
      <c r="K16" s="155" t="str">
        <f>LinkSheets("=&gt;", 'Pixel Shifter'!A1, pixel_pattern_table.asm!A1)</f>
        <v>=&gt;</v>
      </c>
      <c r="L16" t="str">
        <f>LinkSheets("=&gt;", 'Pixel Shift Pattern Table'!A1, pixel_pattern_table.asm!A1)</f>
        <v>=&gt;</v>
      </c>
      <c r="O16" s="159"/>
    </row>
    <row r="17" spans="2:42" outlineLevel="1" x14ac:dyDescent="0.3">
      <c r="B17" s="157" t="s">
        <v>741</v>
      </c>
      <c r="H17" t="str">
        <f>LinkSheets("=&gt;", 'Sprite Shifter'!A1, pixel_shift_table.asm!A1)</f>
        <v>=&gt;</v>
      </c>
      <c r="K17" t="str">
        <f>LinkSheets("=&gt;", 'Pixel Shifter'!A1, pixel_shift_table.asm!A1)</f>
        <v>=&gt;</v>
      </c>
      <c r="L17" t="str">
        <f>LinkSheets("=&gt;", 'Pixel Shift Pattern Table'!A1, pixel_shift_table.asm!A1)</f>
        <v>=&gt;</v>
      </c>
      <c r="M17" t="str">
        <f>LinkSheets("=&gt;", 'Pixel Shift Table'!A1, pixel_shift_table.asm!A1)</f>
        <v>=&gt;</v>
      </c>
      <c r="P17" s="159"/>
    </row>
    <row r="18" spans="2:42" x14ac:dyDescent="0.3">
      <c r="B18" s="151" t="s">
        <v>912</v>
      </c>
      <c r="C18" t="str">
        <f>LinkSheets("&lt;=&gt;", Sprites!A1, Intro!A1)</f>
        <v>&lt;=&gt;</v>
      </c>
      <c r="F18" t="str">
        <f>LinkSheets("=&gt;", 'Worksheets matrix'!A1, Sprites!A1)</f>
        <v>=&gt;</v>
      </c>
      <c r="L18" s="155"/>
      <c r="Q18" s="152"/>
    </row>
    <row r="19" spans="2:42" outlineLevel="1" x14ac:dyDescent="0.3">
      <c r="B19" s="153" t="s">
        <v>975</v>
      </c>
      <c r="I19" s="155" t="str">
        <f>LinkSheets("&lt;=", 'Sprite Loader'!A1, 'Sprite (load)'!A1)</f>
        <v>&lt;=</v>
      </c>
      <c r="R19" s="154"/>
      <c r="W19" t="str">
        <f>LinkSheets("=&gt;", 'Sprite Data'!A1, 'Sprite Loader'!A1)</f>
        <v>=&gt;</v>
      </c>
      <c r="X19" t="str">
        <f>LinkSheets("=&gt;", sprite_data.asm!A1, 'Sprite Loader'!A1)</f>
        <v>=&gt;</v>
      </c>
      <c r="AP19" s="155"/>
    </row>
    <row r="20" spans="2:42" outlineLevel="1" x14ac:dyDescent="0.3">
      <c r="B20" s="153" t="s">
        <v>976</v>
      </c>
      <c r="S20" s="154"/>
    </row>
    <row r="21" spans="2:42" outlineLevel="1" x14ac:dyDescent="0.3">
      <c r="B21" s="153" t="s">
        <v>977</v>
      </c>
      <c r="I21" s="155"/>
      <c r="J21" s="155"/>
      <c r="K21" s="155"/>
      <c r="L21" s="155"/>
      <c r="T21" s="154"/>
    </row>
    <row r="22" spans="2:42" outlineLevel="1" x14ac:dyDescent="0.3">
      <c r="B22" s="153" t="s">
        <v>978</v>
      </c>
      <c r="D22" s="155"/>
      <c r="E22" s="155"/>
      <c r="T22" s="155"/>
      <c r="U22" s="154"/>
    </row>
    <row r="23" spans="2:42" outlineLevel="1" x14ac:dyDescent="0.3">
      <c r="B23" s="153" t="s">
        <v>979</v>
      </c>
      <c r="D23" s="155"/>
      <c r="E23" s="155"/>
      <c r="U23" s="155"/>
      <c r="V23" s="154"/>
      <c r="Y23" s="155"/>
    </row>
    <row r="24" spans="2:42" outlineLevel="1" x14ac:dyDescent="0.3">
      <c r="B24" s="153" t="s">
        <v>980</v>
      </c>
      <c r="R24" t="str">
        <f>LinkSheets("&lt;=", 'Sprite Data'!A1, 'Sprite Loader'!A1)</f>
        <v>&lt;=</v>
      </c>
      <c r="V24" s="155"/>
      <c r="W24" s="154"/>
      <c r="X24" t="str">
        <f>LinkSheets("&lt;=", 'Sprite Data'!A1, sprite_data.asm!A1)</f>
        <v>&lt;=</v>
      </c>
    </row>
    <row r="25" spans="2:42" outlineLevel="1" x14ac:dyDescent="0.3">
      <c r="B25" s="157" t="s">
        <v>167</v>
      </c>
      <c r="D25" s="155"/>
      <c r="E25" s="155"/>
      <c r="R25" t="str">
        <f>LinkSheets("&lt;=", sprite_data.asm!A1, 'Sprite Loader'!A1)</f>
        <v>&lt;=</v>
      </c>
      <c r="T25" s="155"/>
      <c r="W25" t="str">
        <f>LinkSheets("=&gt;", 'Sprite Data'!A1, sprite_data.asm!A1)</f>
        <v>=&gt;</v>
      </c>
      <c r="X25" s="159"/>
    </row>
    <row r="26" spans="2:42" x14ac:dyDescent="0.3">
      <c r="B26" s="151" t="s">
        <v>911</v>
      </c>
      <c r="D26" s="155"/>
      <c r="E26" s="155"/>
      <c r="X26" s="155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2026-09-20T11:10:50Z</dcterms:modified>
  <dc:language>en-US</dc:language>
</cp:coreProperties>
</file>