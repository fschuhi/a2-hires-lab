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9C2B3F96-4CDD-41D4-A1D2-69BCFB81EA9C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Pixel shifting" sheetId="16" r:id="rId1"/>
    <sheet name="Pixel Shifter" sheetId="13" r:id="rId2"/>
    <sheet name="Pixel Shift Table" sheetId="14" r:id="rId3"/>
    <sheet name="Pixel Shift Pages" sheetId="15" r:id="rId4"/>
    <sheet name="pixel_pattern_table.asm" sheetId="11" r:id="rId5"/>
    <sheet name="pixel_shift_table.asm" sheetId="12" r:id="rId6"/>
    <sheet name="Sprites" sheetId="17" r:id="rId7"/>
    <sheet name="Sprite Loader" sheetId="8" r:id="rId8"/>
    <sheet name="Sprite (load)" sheetId="10" r:id="rId9"/>
    <sheet name="Sprite (S)" sheetId="1" r:id="rId10"/>
    <sheet name="Sprite (Player)" sheetId="4" r:id="rId11"/>
    <sheet name="Sprite (Player HB0)" sheetId="5" r:id="rId12"/>
    <sheet name="Sprite (HB0&lt;&gt;HB1)" sheetId="6" r:id="rId13"/>
    <sheet name="SPRITE_DATA" sheetId="9" r:id="rId14"/>
    <sheet name="sprite_data.asm" sheetId="7" r:id="rId15"/>
    <sheet name="End" sheetId="18" r:id="rId16"/>
  </sheets>
  <functionGroups builtInGroupCount="19"/>
  <definedNames>
    <definedName name="_xlnm._FilterDatabase" localSheetId="4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AllTags">OFFSET(#REF!,0,0,COUNTA(#REF!)-1,1)</definedName>
    <definedName name="BitsByte0" localSheetId="12">'Sprite (HB0&lt;&gt;HB1)'!$T$4:$T$14</definedName>
    <definedName name="BitsByte0" localSheetId="8">'Sprite (load)'!$T$4:$T$14</definedName>
    <definedName name="BitsByte0" localSheetId="11">'Sprite (Player HB0)'!$T$4:$T$14</definedName>
    <definedName name="BitsByte0" localSheetId="10">'Sprite (Player)'!$T$4:$T$14</definedName>
    <definedName name="BitsByte0" localSheetId="9">'Sprite (S)'!$T$4:$T$14</definedName>
    <definedName name="BitsByte1" localSheetId="12">'Sprite (HB0&lt;&gt;HB1)'!$U$4:$U$14</definedName>
    <definedName name="BitsByte1" localSheetId="8">'Sprite (load)'!$U$4:$U$14</definedName>
    <definedName name="BitsByte1" localSheetId="11">'Sprite (Player HB0)'!$U$4:$U$14</definedName>
    <definedName name="BitsByte1" localSheetId="10">'Sprite (Player)'!$U$4:$U$14</definedName>
    <definedName name="BitsByte1" localSheetId="9">'Sprite (S)'!$U$4:$U$14</definedName>
    <definedName name="CellHasFormula">GET.CELL(48,INDIRECT("zs",FALSE))</definedName>
    <definedName name="CellHasLookupFormula">NOT(ISERROR(SEARCH("SVERWEIS",GET.CELL(6,INDIRECT("zs",FALSE)))))</definedName>
    <definedName name="CellHasNoFormula">NOT(GET.CELL(48,INDIRECT("zs",FALSE)))</definedName>
    <definedName name="CellHasSumFormula">LEFT(GET.CELL(6,INDIRECT("zs",FALSE)),7) = "=SUMME("</definedName>
    <definedName name="EditorByte0" localSheetId="12">'Sprite (HB0&lt;&gt;HB1)'!$B$4:$H$14</definedName>
    <definedName name="EditorByte0" localSheetId="8">'Sprite (load)'!$B$4:$H$14</definedName>
    <definedName name="EditorByte0" localSheetId="11">'Sprite (Player HB0)'!$B$4:$H$14</definedName>
    <definedName name="EditorByte0" localSheetId="10">'Sprite (Player)'!$B$4:$H$14</definedName>
    <definedName name="EditorByte0" localSheetId="9">'Sprite (S)'!$B$4:$H$14</definedName>
    <definedName name="EditorByte1" localSheetId="12">'Sprite (HB0&lt;&gt;HB1)'!$J$4:$P$14</definedName>
    <definedName name="EditorByte1" localSheetId="8">'Sprite (load)'!$J$4:$P$14</definedName>
    <definedName name="EditorByte1" localSheetId="11">'Sprite (Player HB0)'!$J$4:$P$14</definedName>
    <definedName name="EditorByte1" localSheetId="10">'Sprite (Player)'!$J$4:$P$14</definedName>
    <definedName name="EditorByte1" localSheetId="9">'Sprite (S)'!$J$4:$P$14</definedName>
    <definedName name="HexByte0" localSheetId="12">'Sprite (HB0&lt;&gt;HB1)'!$R$4:$R$14</definedName>
    <definedName name="HexByte0" localSheetId="8">'Sprite (load)'!$R$4:$R$14</definedName>
    <definedName name="HexByte0" localSheetId="11">'Sprite (Player HB0)'!$R$4:$R$14</definedName>
    <definedName name="HexByte0" localSheetId="10">'Sprite (Player)'!$R$4:$R$14</definedName>
    <definedName name="HexByte0" localSheetId="9">'Sprite (S)'!$R$4:$R$14</definedName>
    <definedName name="HexByte1" localSheetId="12">'Sprite (HB0&lt;&gt;HB1)'!$S$4:$S$14</definedName>
    <definedName name="HexByte1" localSheetId="8">'Sprite (load)'!$S$4:$S$14</definedName>
    <definedName name="HexByte1" localSheetId="11">'Sprite (Player HB0)'!$S$4:$S$14</definedName>
    <definedName name="HexByte1" localSheetId="10">'Sprite (Player)'!$S$4:$S$14</definedName>
    <definedName name="HexByte1" localSheetId="9">'Sprite (S)'!$S$4:$S$14</definedName>
    <definedName name="HighBit0" localSheetId="12">'Sprite (HB0&lt;&gt;HB1)'!$I$4:$I$14</definedName>
    <definedName name="HighBit0" localSheetId="8">'Sprite (load)'!$I$4:$I$14</definedName>
    <definedName name="HighBit0" localSheetId="11">'Sprite (Player HB0)'!$I$4:$I$14</definedName>
    <definedName name="HighBit0" localSheetId="10">'Sprite (Player)'!$I$4:$I$14</definedName>
    <definedName name="HighBit0" localSheetId="9">'Sprite (S)'!$I$4:$I$14</definedName>
    <definedName name="HighBit1" localSheetId="12">'Sprite (HB0&lt;&gt;HB1)'!$Q$4:$Q$14</definedName>
    <definedName name="HighBit1" localSheetId="8">'Sprite (load)'!$Q$4:$Q$14</definedName>
    <definedName name="HighBit1" localSheetId="11">'Sprite (Player HB0)'!$Q$4:$Q$14</definedName>
    <definedName name="HighBit1" localSheetId="10">'Sprite (Player)'!$Q$4:$Q$14</definedName>
    <definedName name="HighBit1" localSheetId="9">'Sprite (S)'!$Q$4:$Q$14</definedName>
    <definedName name="InputPixels" localSheetId="1">'Pixel Shifter'!$C$4:$I$4</definedName>
    <definedName name="PixelPatternTable">pixel_pattern_table.asm!$E$2:$F$513</definedName>
    <definedName name="PixelShiftPages">'Pixel Shift Pages'!$A$2:$G$2</definedName>
    <definedName name="PixelShiftTable">pixel_shift_table.asm!$C$3:$R$114</definedName>
    <definedName name="SpriteBaseAddress">'Sprite Loader'!$C$2</definedName>
    <definedName name="SpriteCount">'Sprite Loader'!$C$3</definedName>
    <definedName name="SpriteData">SPRITE_DATA!$B$3:$Q$145</definedName>
    <definedName name="STRINGDATUM">_xlfn.LAMBDA(_xlpm.vDatum,IF(ISTEXT(_xlpm.vDatum),_xlpm.vDatum,IF(_xlpm.vDatum=0,"",IF(AND(ISNUMBER(_xlpm.vDatum),_xlpm.vDatum&gt;=1800,_xlpm.vDatum&lt;=2100,INT(_xlpm.vDatum)=_xlpm.vDatum),TEXT(_xlpm.vDatum,"0"),IF(AND(ISNUMBER(_xlpm.vDatum),_xlpm.vDatum&gt;2193),TEXT(_xlpm.vDatum,"JJJJ-MM-TT"),"")))))</definedName>
    <definedName name="ViewerGrid" localSheetId="12">'Sprite (HB0&lt;&gt;HB1)'!$B$17:$H$27,'Sprite (HB0&lt;&gt;HB1)'!$J$17:$P$27</definedName>
    <definedName name="ViewerGrid" localSheetId="8">'Sprite (load)'!$B$17:$H$27,'Sprite (load)'!$J$17:$P$27</definedName>
    <definedName name="ViewerGrid" localSheetId="11">'Sprite (Player HB0)'!$B$17:$H$27,'Sprite (Player HB0)'!$J$17:$P$27</definedName>
    <definedName name="ViewerGrid" localSheetId="10">'Sprite (Player)'!$B$17:$H$27,'Sprite (Player)'!$J$17:$P$27</definedName>
    <definedName name="ViewerGrid" localSheetId="9">'Sprite (S)'!$B$17:$H$27,'Sprite (S)'!$J$17:$P$27</definedName>
    <definedName name="WENN0">_xlfn.LAMBDA(_xlpm.v,_xlpm.vIfZero,_xlop.vIfNotZero, IF(_xlpm.v=0, _xlpm.vIfZero, IF(ISERROR(ISTWEGGELASSEN(_xlpm.vIfNotZero)), _xlpm.v, _xlpm.vIfNotZero)))</definedName>
    <definedName name="WENN0F">_xlfn.LAMBDA(_xlpm.v,_xlpm.vIfZero,_xlop.vIfNotZero,IFERROR(IF(_xlpm.v=0,_xlpm.vIfZero,IF(ISBLANK(_xlpm.vIfNotZero),_xlpm.v,_xlpm.vIfNotZero)),_xlpm.vIfZero))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C15" i="13" l="1"/>
  <c r="AC26" i="13" s="1"/>
  <c r="W15" i="13"/>
  <c r="W26" i="13" s="1"/>
  <c r="U15" i="13" a="1"/>
  <c r="U15" i="13" s="1"/>
  <c r="U26" i="13" s="1"/>
  <c r="AC14" i="13"/>
  <c r="AC25" i="13" s="1"/>
  <c r="W14" i="13"/>
  <c r="W25" i="13" s="1"/>
  <c r="U14" i="13" a="1"/>
  <c r="U14" i="13" s="1"/>
  <c r="U25" i="13" s="1"/>
  <c r="AC13" i="13"/>
  <c r="AC24" i="13" s="1"/>
  <c r="W13" i="13"/>
  <c r="W24" i="13" s="1"/>
  <c r="U13" i="13" a="1"/>
  <c r="U13" i="13" s="1"/>
  <c r="U24" i="13" s="1"/>
  <c r="AC12" i="13"/>
  <c r="AC23" i="13" s="1"/>
  <c r="W12" i="13"/>
  <c r="W23" i="13" s="1"/>
  <c r="U12" i="13" a="1"/>
  <c r="U12" i="13" s="1"/>
  <c r="U23" i="13" s="1"/>
  <c r="AC11" i="13"/>
  <c r="AC22" i="13" s="1"/>
  <c r="W11" i="13"/>
  <c r="W22" i="13" s="1"/>
  <c r="U11" i="13" a="1"/>
  <c r="U11" i="13" s="1"/>
  <c r="U22" i="13" s="1"/>
  <c r="AC10" i="13"/>
  <c r="AC21" i="13" s="1"/>
  <c r="W10" i="13"/>
  <c r="W21" i="13" s="1"/>
  <c r="U10" i="13" a="1"/>
  <c r="U10" i="13" s="1"/>
  <c r="U21" i="13" s="1"/>
  <c r="AC9" i="13"/>
  <c r="AC20" i="13" s="1"/>
  <c r="W9" i="13"/>
  <c r="W20" i="13" s="1"/>
  <c r="U9" i="13" l="1" a="1"/>
  <c r="U9" i="13" s="1"/>
  <c r="U20" i="13" s="1"/>
  <c r="I47" i="11"/>
  <c r="H47" i="11"/>
  <c r="R4" i="13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3" i="7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E7" i="8"/>
  <c r="D7" i="8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B3" i="9" s="1" a="1"/>
  <c r="B3" i="9" s="1"/>
  <c r="D2" i="7"/>
  <c r="D28" i="7" s="1"/>
  <c r="T11" i="10"/>
  <c r="K47" i="11" a="1"/>
  <c r="T12" i="10"/>
  <c r="W8" i="10" a="1"/>
  <c r="W14" i="10" a="1"/>
  <c r="T10" i="10"/>
  <c r="W6" i="10" a="1"/>
  <c r="U13" i="10"/>
  <c r="X9" i="10" a="1"/>
  <c r="T5" i="10"/>
  <c r="U11" i="10"/>
  <c r="X7" i="10" a="1"/>
  <c r="X8" i="10" a="1"/>
  <c r="J47" i="11" a="1"/>
  <c r="W11" i="10" a="1"/>
  <c r="T7" i="10"/>
  <c r="W13" i="10" a="1"/>
  <c r="W9" i="10" a="1"/>
  <c r="W5" i="10" a="1"/>
  <c r="X12" i="10" a="1"/>
  <c r="U7" i="10"/>
  <c r="X14" i="10" a="1"/>
  <c r="X10" i="10" a="1"/>
  <c r="X6" i="10" a="1"/>
  <c r="T6" i="10"/>
  <c r="W4" i="10" a="1"/>
  <c r="U6" i="10"/>
  <c r="U5" i="10"/>
  <c r="U4" i="10"/>
  <c r="T14" i="10"/>
  <c r="W12" i="10" a="1"/>
  <c r="T8" i="10"/>
  <c r="X11" i="10" a="1"/>
  <c r="U9" i="10"/>
  <c r="T13" i="10"/>
  <c r="T4" i="10"/>
  <c r="W7" i="10" a="1"/>
  <c r="U10" i="10"/>
  <c r="U12" i="10"/>
  <c r="X4" i="10" a="1"/>
  <c r="W10" i="10" a="1"/>
  <c r="X13" i="10" a="1"/>
  <c r="S4" i="13" a="1"/>
  <c r="T9" i="10"/>
  <c r="U14" i="10"/>
  <c r="X5" i="10" a="1"/>
  <c r="U8" i="10"/>
  <c r="S4" i="13" l="1"/>
  <c r="T4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X4" i="10"/>
  <c r="W11" i="10"/>
  <c r="X11" i="10"/>
  <c r="W5" i="10"/>
  <c r="W7" i="10"/>
  <c r="W9" i="10"/>
  <c r="W13" i="10"/>
  <c r="X5" i="10"/>
  <c r="X7" i="10"/>
  <c r="X9" i="10"/>
  <c r="X13" i="10"/>
  <c r="W6" i="10"/>
  <c r="W8" i="10"/>
  <c r="W10" i="10"/>
  <c r="W12" i="10"/>
  <c r="W14" i="10"/>
  <c r="X6" i="10"/>
  <c r="X8" i="10"/>
  <c r="X10" i="10"/>
  <c r="X12" i="10"/>
  <c r="X14" i="10"/>
  <c r="E8" i="8"/>
  <c r="D8" i="8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T7" i="1"/>
  <c r="T12" i="4"/>
  <c r="T5" i="1"/>
  <c r="X13" i="5" a="1"/>
  <c r="W4" i="6" a="1"/>
  <c r="T4" i="1"/>
  <c r="X5" i="6" a="1"/>
  <c r="T6" i="5"/>
  <c r="X8" i="6" a="1"/>
  <c r="T13" i="1"/>
  <c r="U7" i="1"/>
  <c r="T6" i="1"/>
  <c r="X8" i="1" a="1"/>
  <c r="U12" i="1"/>
  <c r="W8" i="1" a="1"/>
  <c r="T6" i="6"/>
  <c r="X14" i="5" a="1"/>
  <c r="X13" i="6" a="1"/>
  <c r="X12" i="4" a="1"/>
  <c r="T14" i="4"/>
  <c r="X5" i="4" a="1"/>
  <c r="W14" i="4" a="1"/>
  <c r="U10" i="5"/>
  <c r="X11" i="5" a="1"/>
  <c r="T4" i="6"/>
  <c r="U8" i="4"/>
  <c r="T5" i="4"/>
  <c r="W8" i="4" a="1"/>
  <c r="W7" i="6" a="1"/>
  <c r="X4" i="6" a="1"/>
  <c r="T13" i="6"/>
  <c r="T4" i="5"/>
  <c r="U8" i="5"/>
  <c r="X5" i="1" a="1"/>
  <c r="W12" i="5" a="1"/>
  <c r="W11" i="1" a="1"/>
  <c r="T12" i="1"/>
  <c r="U13" i="1"/>
  <c r="T6" i="4"/>
  <c r="U12" i="5"/>
  <c r="U4" i="6"/>
  <c r="U6" i="4"/>
  <c r="T11" i="4"/>
  <c r="X14" i="4" a="1"/>
  <c r="X12" i="6" a="1"/>
  <c r="U6" i="1"/>
  <c r="U7" i="6"/>
  <c r="X8" i="5" a="1"/>
  <c r="T7" i="6"/>
  <c r="W9" i="5" a="1"/>
  <c r="T12" i="6"/>
  <c r="W7" i="1" a="1"/>
  <c r="X4" i="1" a="1"/>
  <c r="X9" i="1" a="1"/>
  <c r="T14" i="6"/>
  <c r="U13" i="4"/>
  <c r="X11" i="1" a="1"/>
  <c r="W9" i="6" a="1"/>
  <c r="T10" i="1"/>
  <c r="W12" i="1" a="1"/>
  <c r="W5" i="5" a="1"/>
  <c r="U4" i="4"/>
  <c r="U8" i="6"/>
  <c r="U12" i="4"/>
  <c r="T5" i="6"/>
  <c r="U11" i="1"/>
  <c r="U6" i="6"/>
  <c r="X6" i="5" a="1"/>
  <c r="U8" i="1"/>
  <c r="U5" i="1"/>
  <c r="X6" i="4" a="1"/>
  <c r="X9" i="5" a="1"/>
  <c r="U12" i="6"/>
  <c r="X4" i="5" a="1"/>
  <c r="T5" i="5"/>
  <c r="X6" i="1" a="1"/>
  <c r="U14" i="1"/>
  <c r="X13" i="4" a="1"/>
  <c r="W4" i="5" a="1"/>
  <c r="T9" i="4"/>
  <c r="U14" i="4"/>
  <c r="U14" i="5"/>
  <c r="W6" i="1" a="1"/>
  <c r="U6" i="5"/>
  <c r="T4" i="4"/>
  <c r="W5" i="4" a="1"/>
  <c r="W6" i="4" a="1"/>
  <c r="U9" i="5"/>
  <c r="U10" i="6"/>
  <c r="T8" i="1"/>
  <c r="U9" i="6"/>
  <c r="T12" i="5"/>
  <c r="U11" i="6"/>
  <c r="T10" i="5"/>
  <c r="W10" i="5" a="1"/>
  <c r="W4" i="1" a="1"/>
  <c r="W9" i="1" a="1"/>
  <c r="U13" i="6"/>
  <c r="W9" i="4" a="1"/>
  <c r="W13" i="6" a="1"/>
  <c r="X10" i="6" a="1"/>
  <c r="U7" i="5"/>
  <c r="X12" i="1" a="1"/>
  <c r="T11" i="1"/>
  <c r="U5" i="6"/>
  <c r="W6" i="5" a="1"/>
  <c r="X9" i="6" a="1"/>
  <c r="T13" i="4"/>
  <c r="W6" i="6" a="1"/>
  <c r="T7" i="4"/>
  <c r="W8" i="6" a="1"/>
  <c r="W7" i="5" a="1"/>
  <c r="X7" i="5" a="1"/>
  <c r="W10" i="4" a="1"/>
  <c r="X14" i="1" a="1"/>
  <c r="X9" i="4" a="1"/>
  <c r="T9" i="1"/>
  <c r="T8" i="5"/>
  <c r="X5" i="5" a="1"/>
  <c r="T9" i="6"/>
  <c r="W14" i="5" a="1"/>
  <c r="X10" i="4" a="1"/>
  <c r="U11" i="5"/>
  <c r="U9" i="4"/>
  <c r="U13" i="5"/>
  <c r="X7" i="6" a="1"/>
  <c r="W4" i="4" a="1"/>
  <c r="W10" i="1" a="1"/>
  <c r="U4" i="5"/>
  <c r="U5" i="4"/>
  <c r="W11" i="6" a="1"/>
  <c r="U14" i="6"/>
  <c r="W14" i="1" a="1"/>
  <c r="X6" i="6" a="1"/>
  <c r="X12" i="5" a="1"/>
  <c r="T13" i="5"/>
  <c r="W13" i="5" a="1"/>
  <c r="T11" i="5"/>
  <c r="W14" i="6" a="1"/>
  <c r="W12" i="4" a="1"/>
  <c r="T8" i="6"/>
  <c r="T14" i="5"/>
  <c r="W5" i="1" a="1"/>
  <c r="T10" i="6"/>
  <c r="X10" i="1" a="1"/>
  <c r="U5" i="5"/>
  <c r="U9" i="1"/>
  <c r="W5" i="6" a="1"/>
  <c r="W11" i="5" a="1"/>
  <c r="W10" i="6" a="1"/>
  <c r="T10" i="4"/>
  <c r="T11" i="6"/>
  <c r="U7" i="4"/>
  <c r="X11" i="4" a="1"/>
  <c r="X10" i="5" a="1"/>
  <c r="W8" i="5" a="1"/>
  <c r="X11" i="6" a="1"/>
  <c r="X7" i="1" a="1"/>
  <c r="W13" i="1" a="1"/>
  <c r="U11" i="4"/>
  <c r="T7" i="5"/>
  <c r="T9" i="5"/>
  <c r="W12" i="6" a="1"/>
  <c r="W7" i="4" a="1"/>
  <c r="W13" i="4" a="1"/>
  <c r="T14" i="1"/>
  <c r="X7" i="4" a="1"/>
  <c r="W11" i="4" a="1"/>
  <c r="X8" i="4" a="1"/>
  <c r="X4" i="4" a="1"/>
  <c r="U4" i="1"/>
  <c r="U10" i="4"/>
  <c r="T8" i="4"/>
  <c r="X14" i="6" a="1"/>
  <c r="X13" i="1" a="1"/>
  <c r="U10" i="1"/>
  <c r="V12" i="13" l="1"/>
  <c r="V11" i="13"/>
  <c r="V15" i="13"/>
  <c r="V13" i="13"/>
  <c r="V14" i="13"/>
  <c r="V10" i="13"/>
  <c r="V9" i="13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E9" i="8"/>
  <c r="D9" i="8"/>
  <c r="G9" i="8" s="1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X10" i="13" l="1"/>
  <c r="Z10" i="13" s="1"/>
  <c r="V21" i="13"/>
  <c r="X11" i="13"/>
  <c r="Z11" i="13" s="1"/>
  <c r="V22" i="13"/>
  <c r="X14" i="13"/>
  <c r="Z14" i="13" s="1"/>
  <c r="V25" i="13"/>
  <c r="X12" i="13"/>
  <c r="V23" i="13"/>
  <c r="X13" i="13"/>
  <c r="Z13" i="13" s="1"/>
  <c r="V24" i="13"/>
  <c r="X9" i="13"/>
  <c r="X20" i="13" s="1"/>
  <c r="Y20" i="13" s="1" a="1"/>
  <c r="Y20" i="13" s="1"/>
  <c r="V20" i="13"/>
  <c r="X15" i="13"/>
  <c r="Z15" i="13" s="1"/>
  <c r="V26" i="13"/>
  <c r="Y9" i="13" a="1"/>
  <c r="Y9" i="13" s="1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E10" i="8"/>
  <c r="D10" i="8"/>
  <c r="G10" i="8" s="1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Z9" i="13" l="1"/>
  <c r="AA10" i="13" a="1"/>
  <c r="AA10" i="13" s="1"/>
  <c r="Z21" i="13"/>
  <c r="AA21" i="13" s="1" a="1"/>
  <c r="AA21" i="13" s="1"/>
  <c r="AA9" i="13" a="1"/>
  <c r="AA9" i="13" s="1"/>
  <c r="AB9" i="13" s="1"/>
  <c r="Z20" i="13"/>
  <c r="AA20" i="13" s="1" a="1"/>
  <c r="AA20" i="13" s="1"/>
  <c r="Y12" i="13" a="1"/>
  <c r="Y12" i="13" s="1"/>
  <c r="X23" i="13"/>
  <c r="Y23" i="13" s="1" a="1"/>
  <c r="Y23" i="13" s="1"/>
  <c r="Y11" i="13" a="1"/>
  <c r="Y11" i="13" s="1"/>
  <c r="X22" i="13"/>
  <c r="Y22" i="13" s="1" a="1"/>
  <c r="Y22" i="13" s="1"/>
  <c r="AA11" i="13" a="1"/>
  <c r="AA11" i="13" s="1"/>
  <c r="Z22" i="13"/>
  <c r="AA22" i="13" s="1" a="1"/>
  <c r="AA22" i="13" s="1"/>
  <c r="Z12" i="13"/>
  <c r="AA15" i="13" a="1"/>
  <c r="AA15" i="13" s="1"/>
  <c r="Z26" i="13"/>
  <c r="AA26" i="13" s="1" a="1"/>
  <c r="AA26" i="13" s="1"/>
  <c r="AA14" i="13" a="1"/>
  <c r="AA14" i="13" s="1"/>
  <c r="Z25" i="13"/>
  <c r="AA25" i="13" s="1" a="1"/>
  <c r="AA25" i="13" s="1"/>
  <c r="AA13" i="13" a="1"/>
  <c r="AA13" i="13" s="1"/>
  <c r="Z24" i="13"/>
  <c r="AA24" i="13" s="1" a="1"/>
  <c r="AA24" i="13" s="1"/>
  <c r="Y15" i="13" a="1"/>
  <c r="Y15" i="13" s="1"/>
  <c r="X26" i="13"/>
  <c r="Y26" i="13" s="1" a="1"/>
  <c r="Y26" i="13" s="1"/>
  <c r="Y13" i="13" a="1"/>
  <c r="Y13" i="13" s="1"/>
  <c r="X24" i="13"/>
  <c r="Y24" i="13" s="1" a="1"/>
  <c r="Y24" i="13" s="1"/>
  <c r="Y14" i="13" a="1"/>
  <c r="Y14" i="13" s="1"/>
  <c r="X25" i="13"/>
  <c r="Y25" i="13" s="1" a="1"/>
  <c r="Y25" i="13" s="1"/>
  <c r="Y10" i="13" a="1"/>
  <c r="Y10" i="13" s="1"/>
  <c r="X21" i="13"/>
  <c r="Y21" i="13" s="1" a="1"/>
  <c r="Y21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E11" i="8"/>
  <c r="D11" i="8"/>
  <c r="G11" i="8" s="1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AB10" i="13" l="1"/>
  <c r="AD10" i="13" s="1"/>
  <c r="AI10" i="13" s="1"/>
  <c r="AB15" i="13"/>
  <c r="AB26" i="13" s="1"/>
  <c r="AB13" i="13"/>
  <c r="AB24" i="13" s="1"/>
  <c r="AB11" i="13"/>
  <c r="AB22" i="13" s="1"/>
  <c r="AB14" i="13"/>
  <c r="AD14" i="13" s="1"/>
  <c r="AI14" i="13" s="1"/>
  <c r="AD9" i="13"/>
  <c r="AB20" i="13"/>
  <c r="AA12" i="13" a="1"/>
  <c r="AA12" i="13" s="1"/>
  <c r="AB12" i="13" s="1"/>
  <c r="Z23" i="13"/>
  <c r="AA23" i="13" s="1" a="1"/>
  <c r="AA23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E12" i="8"/>
  <c r="D12" i="8"/>
  <c r="G12" i="8" s="1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AD13" i="13" l="1"/>
  <c r="AI13" i="13" s="1"/>
  <c r="AD15" i="13"/>
  <c r="AD26" i="13" s="1"/>
  <c r="AE26" i="13" s="1" a="1"/>
  <c r="AE26" i="13" s="1"/>
  <c r="AB21" i="13"/>
  <c r="AD11" i="13"/>
  <c r="AI11" i="13" s="1"/>
  <c r="AI22" i="13" s="1"/>
  <c r="AJ22" i="13" s="1" a="1"/>
  <c r="AJ22" i="13" s="1"/>
  <c r="AB25" i="13"/>
  <c r="AJ11" i="13" a="1"/>
  <c r="AJ11" i="13" s="1"/>
  <c r="AK11" i="13" s="1"/>
  <c r="AE13" i="13" a="1"/>
  <c r="AE13" i="13" s="1"/>
  <c r="AF13" i="13" s="1"/>
  <c r="AE9" i="13" a="1"/>
  <c r="AE9" i="13" s="1"/>
  <c r="AF9" i="13" s="1"/>
  <c r="AD20" i="13"/>
  <c r="AE20" i="13" s="1" a="1"/>
  <c r="AE20" i="13" s="1"/>
  <c r="AI9" i="13"/>
  <c r="AJ10" i="13" a="1"/>
  <c r="AJ10" i="13" s="1"/>
  <c r="AK10" i="13" s="1"/>
  <c r="AI21" i="13"/>
  <c r="AJ21" i="13" s="1" a="1"/>
  <c r="AJ21" i="13" s="1"/>
  <c r="AD12" i="13"/>
  <c r="AB23" i="13"/>
  <c r="AE10" i="13" a="1"/>
  <c r="AE10" i="13" s="1"/>
  <c r="AF10" i="13" s="1"/>
  <c r="AD21" i="13"/>
  <c r="AE21" i="13" s="1" a="1"/>
  <c r="AE21" i="13" s="1"/>
  <c r="AE14" i="13" a="1"/>
  <c r="AE14" i="13" s="1"/>
  <c r="AF14" i="13" s="1"/>
  <c r="AD25" i="13"/>
  <c r="AE25" i="13" s="1" a="1"/>
  <c r="AE25" i="13" s="1"/>
  <c r="AJ14" i="13" a="1"/>
  <c r="AJ14" i="13" s="1"/>
  <c r="AK14" i="13" s="1"/>
  <c r="AI25" i="13"/>
  <c r="AJ25" i="13" s="1" a="1"/>
  <c r="AJ25" i="13" s="1"/>
  <c r="AJ13" i="13" a="1"/>
  <c r="AJ13" i="13" s="1"/>
  <c r="AK13" i="13" s="1"/>
  <c r="AI24" i="13"/>
  <c r="AJ24" i="13" s="1" a="1"/>
  <c r="AJ24" i="13" s="1"/>
  <c r="AE11" i="13" a="1"/>
  <c r="AE11" i="13" s="1"/>
  <c r="AF11" i="13" s="1"/>
  <c r="AD22" i="13"/>
  <c r="AE22" i="13" s="1" a="1"/>
  <c r="AE22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E13" i="8"/>
  <c r="D13" i="8"/>
  <c r="G13" i="8" s="1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E15" i="13" l="1" a="1"/>
  <c r="AE15" i="13" s="1"/>
  <c r="AF15" i="13" s="1"/>
  <c r="AF26" i="13" s="1"/>
  <c r="AI15" i="13"/>
  <c r="AD24" i="13"/>
  <c r="AE24" i="13" s="1" a="1"/>
  <c r="AE24" i="13" s="1"/>
  <c r="AL13" i="13"/>
  <c r="AK24" i="13"/>
  <c r="AG11" i="13"/>
  <c r="AF22" i="13"/>
  <c r="AG10" i="13"/>
  <c r="AF21" i="13"/>
  <c r="AG9" i="13"/>
  <c r="AF20" i="13"/>
  <c r="AG13" i="13"/>
  <c r="AF24" i="13"/>
  <c r="AL11" i="13"/>
  <c r="AK22" i="13"/>
  <c r="AJ15" i="13" a="1"/>
  <c r="AJ15" i="13" s="1"/>
  <c r="AK15" i="13" s="1"/>
  <c r="AI26" i="13"/>
  <c r="AJ26" i="13" s="1" a="1"/>
  <c r="AJ26" i="13" s="1"/>
  <c r="AL10" i="13"/>
  <c r="AK21" i="13"/>
  <c r="AL14" i="13"/>
  <c r="AK25" i="13"/>
  <c r="AG14" i="13"/>
  <c r="AF25" i="13"/>
  <c r="AE12" i="13" a="1"/>
  <c r="AE12" i="13" s="1"/>
  <c r="AF12" i="13" s="1"/>
  <c r="AD23" i="13"/>
  <c r="AE23" i="13" s="1" a="1"/>
  <c r="AE23" i="13" s="1"/>
  <c r="AI12" i="13"/>
  <c r="AJ9" i="13" a="1"/>
  <c r="AJ9" i="13" s="1"/>
  <c r="AK9" i="13" s="1"/>
  <c r="AI20" i="13"/>
  <c r="AJ20" i="13" s="1" a="1"/>
  <c r="AJ20" i="13" s="1"/>
  <c r="AG15" i="13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E14" i="8"/>
  <c r="D14" i="8"/>
  <c r="G14" i="8" s="1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H10" i="13" a="1"/>
  <c r="AH11" i="13" a="1"/>
  <c r="AH13" i="13" a="1"/>
  <c r="AH9" i="13" a="1"/>
  <c r="AH14" i="13" a="1"/>
  <c r="AM14" i="13" a="1"/>
  <c r="AM11" i="13" a="1"/>
  <c r="AM13" i="13" a="1"/>
  <c r="AH15" i="13" a="1"/>
  <c r="AM10" i="13" a="1"/>
  <c r="AH14" i="13" l="1"/>
  <c r="AM10" i="13"/>
  <c r="AM21" i="13" s="1"/>
  <c r="AM11" i="13"/>
  <c r="AM22" i="13" s="1"/>
  <c r="AH9" i="13"/>
  <c r="AH11" i="13"/>
  <c r="AH15" i="13"/>
  <c r="AM14" i="13"/>
  <c r="AM25" i="13" s="1"/>
  <c r="AH13" i="13"/>
  <c r="AH10" i="13"/>
  <c r="AM13" i="13"/>
  <c r="AM24" i="13" s="1"/>
  <c r="AL9" i="13"/>
  <c r="AK20" i="13"/>
  <c r="AJ12" i="13" a="1"/>
  <c r="AJ12" i="13" s="1"/>
  <c r="AK12" i="13" s="1"/>
  <c r="AI23" i="13"/>
  <c r="AJ23" i="13" s="1" a="1"/>
  <c r="AJ23" i="13" s="1"/>
  <c r="AG25" i="13"/>
  <c r="AL21" i="13"/>
  <c r="AL22" i="13"/>
  <c r="AG20" i="13"/>
  <c r="AG22" i="13"/>
  <c r="AG26" i="13"/>
  <c r="AG12" i="13"/>
  <c r="AF23" i="13"/>
  <c r="AL25" i="13"/>
  <c r="AL15" i="13"/>
  <c r="AK26" i="13"/>
  <c r="AG24" i="13"/>
  <c r="AG21" i="13"/>
  <c r="AL24" i="13"/>
  <c r="M13" i="13"/>
  <c r="K11" i="13"/>
  <c r="N11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E15" i="8"/>
  <c r="D15" i="8"/>
  <c r="G15" i="8" s="1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H12" i="13" a="1"/>
  <c r="AM9" i="13" a="1"/>
  <c r="AM15" i="13" a="1"/>
  <c r="K10" i="13" l="1"/>
  <c r="L13" i="13"/>
  <c r="L10" i="13"/>
  <c r="N13" i="13"/>
  <c r="O10" i="13"/>
  <c r="O13" i="13"/>
  <c r="J13" i="13"/>
  <c r="P10" i="13"/>
  <c r="K13" i="13"/>
  <c r="P13" i="13"/>
  <c r="J10" i="13"/>
  <c r="L11" i="13"/>
  <c r="M11" i="13"/>
  <c r="P14" i="13"/>
  <c r="M10" i="13"/>
  <c r="N10" i="13"/>
  <c r="L14" i="13"/>
  <c r="P11" i="13"/>
  <c r="J14" i="13"/>
  <c r="J11" i="13"/>
  <c r="O11" i="13"/>
  <c r="K14" i="13"/>
  <c r="AM15" i="13"/>
  <c r="AM9" i="13"/>
  <c r="AH12" i="13"/>
  <c r="AL26" i="13"/>
  <c r="AH24" i="13"/>
  <c r="E13" i="13"/>
  <c r="H13" i="13"/>
  <c r="F13" i="13"/>
  <c r="G13" i="13"/>
  <c r="C13" i="13"/>
  <c r="D13" i="13"/>
  <c r="I13" i="13"/>
  <c r="AH20" i="13"/>
  <c r="E9" i="13"/>
  <c r="G9" i="13"/>
  <c r="H9" i="13"/>
  <c r="C9" i="13"/>
  <c r="I9" i="13"/>
  <c r="D9" i="13"/>
  <c r="F9" i="13"/>
  <c r="AL20" i="13"/>
  <c r="P25" i="13"/>
  <c r="M25" i="13"/>
  <c r="N25" i="13"/>
  <c r="O25" i="13"/>
  <c r="L25" i="13"/>
  <c r="J25" i="13"/>
  <c r="K25" i="13"/>
  <c r="P22" i="13"/>
  <c r="O22" i="13"/>
  <c r="M22" i="13"/>
  <c r="J22" i="13"/>
  <c r="L22" i="13"/>
  <c r="K22" i="13"/>
  <c r="N22" i="13"/>
  <c r="O14" i="13"/>
  <c r="N14" i="13"/>
  <c r="J24" i="13"/>
  <c r="N24" i="13"/>
  <c r="O24" i="13"/>
  <c r="K24" i="13"/>
  <c r="P24" i="13"/>
  <c r="L24" i="13"/>
  <c r="M24" i="13"/>
  <c r="AH26" i="13"/>
  <c r="I15" i="13"/>
  <c r="C15" i="13"/>
  <c r="D15" i="13"/>
  <c r="F15" i="13"/>
  <c r="H15" i="13"/>
  <c r="E15" i="13"/>
  <c r="G15" i="13"/>
  <c r="M21" i="13"/>
  <c r="O21" i="13"/>
  <c r="K21" i="13"/>
  <c r="P21" i="13"/>
  <c r="L21" i="13"/>
  <c r="J21" i="13"/>
  <c r="N21" i="13"/>
  <c r="M14" i="13"/>
  <c r="AG23" i="13"/>
  <c r="AL12" i="13"/>
  <c r="AK23" i="13"/>
  <c r="AH21" i="13"/>
  <c r="D10" i="13"/>
  <c r="I10" i="13"/>
  <c r="G10" i="13"/>
  <c r="E10" i="13"/>
  <c r="C10" i="13"/>
  <c r="H10" i="13"/>
  <c r="F10" i="13"/>
  <c r="AH22" i="13"/>
  <c r="F11" i="13"/>
  <c r="H11" i="13"/>
  <c r="E11" i="13"/>
  <c r="I11" i="13"/>
  <c r="G11" i="13"/>
  <c r="C11" i="13"/>
  <c r="D11" i="13"/>
  <c r="AH25" i="13"/>
  <c r="I14" i="13"/>
  <c r="D14" i="13"/>
  <c r="F14" i="13"/>
  <c r="G14" i="13"/>
  <c r="C14" i="13"/>
  <c r="H14" i="13"/>
  <c r="E14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E16" i="8"/>
  <c r="D16" i="8"/>
  <c r="G16" i="8" s="1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M12" i="13" a="1"/>
  <c r="AM12" i="13" l="1"/>
  <c r="I25" i="13"/>
  <c r="D25" i="13"/>
  <c r="G25" i="13"/>
  <c r="F25" i="13"/>
  <c r="H25" i="13"/>
  <c r="C25" i="13"/>
  <c r="E25" i="13"/>
  <c r="G22" i="13"/>
  <c r="E22" i="13"/>
  <c r="D22" i="13"/>
  <c r="I22" i="13"/>
  <c r="H22" i="13"/>
  <c r="F22" i="13"/>
  <c r="C22" i="13"/>
  <c r="E21" i="13"/>
  <c r="G21" i="13"/>
  <c r="F21" i="13"/>
  <c r="I21" i="13"/>
  <c r="C21" i="13"/>
  <c r="H21" i="13"/>
  <c r="D21" i="13"/>
  <c r="AH23" i="13"/>
  <c r="F12" i="13"/>
  <c r="E12" i="13"/>
  <c r="D12" i="13"/>
  <c r="C12" i="13"/>
  <c r="I12" i="13"/>
  <c r="H12" i="13"/>
  <c r="G12" i="13"/>
  <c r="AL23" i="13"/>
  <c r="AM20" i="13"/>
  <c r="J9" i="13"/>
  <c r="N9" i="13"/>
  <c r="M9" i="13"/>
  <c r="P9" i="13"/>
  <c r="O9" i="13"/>
  <c r="L9" i="13"/>
  <c r="K9" i="13"/>
  <c r="C26" i="13"/>
  <c r="D26" i="13"/>
  <c r="G26" i="13"/>
  <c r="F26" i="13"/>
  <c r="E26" i="13"/>
  <c r="H26" i="13"/>
  <c r="I26" i="13"/>
  <c r="H20" i="13"/>
  <c r="I20" i="13"/>
  <c r="F20" i="13"/>
  <c r="E20" i="13"/>
  <c r="C20" i="13"/>
  <c r="D20" i="13"/>
  <c r="G20" i="13"/>
  <c r="C24" i="13"/>
  <c r="G24" i="13"/>
  <c r="I24" i="13"/>
  <c r="E24" i="13"/>
  <c r="H24" i="13"/>
  <c r="F24" i="13"/>
  <c r="D24" i="13"/>
  <c r="AM26" i="13"/>
  <c r="N15" i="13"/>
  <c r="P15" i="13"/>
  <c r="K15" i="13"/>
  <c r="L15" i="13"/>
  <c r="J15" i="13"/>
  <c r="O15" i="13"/>
  <c r="M15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E17" i="8"/>
  <c r="D17" i="8"/>
  <c r="G17" i="8" s="1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N20" i="13" l="1"/>
  <c r="L20" i="13"/>
  <c r="M20" i="13"/>
  <c r="O20" i="13"/>
  <c r="J20" i="13"/>
  <c r="P20" i="13"/>
  <c r="K20" i="13"/>
  <c r="G23" i="13"/>
  <c r="I23" i="13"/>
  <c r="D23" i="13"/>
  <c r="F23" i="13"/>
  <c r="C23" i="13"/>
  <c r="H23" i="13"/>
  <c r="E23" i="13"/>
  <c r="K26" i="13"/>
  <c r="L26" i="13"/>
  <c r="O26" i="13"/>
  <c r="N26" i="13"/>
  <c r="P26" i="13"/>
  <c r="J26" i="13"/>
  <c r="M26" i="13"/>
  <c r="AM23" i="13"/>
  <c r="M12" i="13"/>
  <c r="N12" i="13"/>
  <c r="K12" i="13"/>
  <c r="J12" i="13"/>
  <c r="L12" i="13"/>
  <c r="O12" i="13"/>
  <c r="P12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N23" i="13" l="1"/>
  <c r="K23" i="13"/>
  <c r="P23" i="13"/>
  <c r="J23" i="13"/>
  <c r="O23" i="13"/>
  <c r="M23" i="13"/>
  <c r="L23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P143" i="9" l="1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2" i="9" l="1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I131" i="14" l="1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<sst xmlns="http://schemas.openxmlformats.org/spreadsheetml/2006/main" count="1193" uniqueCount="923">
  <si>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</si>
  <si>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</si>
  <si>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</si>
  <si>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</si>
  <si>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</si>
  <si>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</si>
  <si>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</si>
  <si>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</si>
  <si>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</si>
  <si>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</si>
  <si>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</si>
  <si>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</si>
  <si>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</si>
  <si>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</si>
  <si>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</si>
  <si>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</si>
  <si>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</si>
  <si>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</si>
  <si>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</si>
  <si>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</si>
  <si>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</si>
  <si>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</si>
  <si>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</si>
  <si>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</si>
  <si>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</si>
  <si>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</si>
  <si>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</si>
  <si>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</si>
  <si>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</si>
  <si>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</si>
  <si>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</si>
  <si>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</si>
  <si>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</si>
  <si>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</si>
  <si>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</si>
  <si>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</si>
  <si>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</si>
  <si>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</si>
  <si>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</si>
  <si>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</si>
  <si>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</si>
  <si>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</si>
  <si>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</si>
  <si>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</si>
  <si>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</si>
  <si>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</si>
  <si>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</si>
  <si>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</si>
  <si>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</si>
  <si>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</si>
  <si>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</si>
  <si>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</si>
  <si>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</si>
  <si>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</si>
  <si>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</si>
  <si>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</si>
  <si>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</si>
  <si>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</si>
  <si>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</si>
  <si>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</si>
  <si>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</si>
  <si>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</si>
  <si>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</si>
  <si>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</si>
  <si>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</si>
  <si>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</si>
  <si>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</si>
  <si>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</si>
  <si>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</si>
  <si>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</si>
  <si>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</si>
  <si>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</si>
  <si>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</si>
  <si>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</si>
  <si>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</si>
  <si>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</si>
  <si>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</si>
  <si>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</si>
  <si>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</si>
  <si>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</si>
  <si>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</si>
  <si>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</si>
  <si>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</si>
  <si>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</si>
  <si>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</si>
  <si>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</si>
  <si>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</si>
  <si>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</si>
  <si>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</si>
  <si>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</si>
  <si>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</si>
  <si>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</si>
  <si>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</si>
  <si>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</si>
  <si>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</si>
  <si>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</si>
  <si>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</si>
  <si>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</si>
  <si>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</si>
  <si>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</si>
  <si>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</si>
  <si>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</si>
  <si>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</si>
  <si>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</si>
  <si>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</si>
  <si>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</si>
  <si>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</si>
  <si>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</si>
  <si>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</si>
  <si>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</si>
  <si>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</si>
  <si>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</si>
  <si>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</si>
  <si>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</si>
  <si>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</si>
  <si>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</si>
  <si>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</si>
  <si>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</si>
  <si>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</si>
  <si>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</si>
  <si>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</si>
  <si>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</si>
  <si>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</si>
  <si>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</si>
  <si>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</si>
  <si>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</si>
  <si>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</si>
  <si>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</si>
  <si>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</si>
  <si>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</si>
  <si>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</si>
  <si>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</si>
  <si>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</si>
  <si>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</si>
  <si>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</si>
  <si>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</si>
  <si>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</si>
  <si>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</si>
  <si>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</si>
  <si>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</si>
  <si>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</si>
  <si>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</si>
  <si>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</si>
  <si>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</si>
  <si>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</si>
  <si>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</si>
  <si>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</si>
  <si>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</si>
  <si>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</si>
  <si>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</si>
  <si>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</si>
  <si>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</si>
  <si>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</si>
  <si>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</si>
  <si>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</si>
  <si>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</si>
  <si>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</si>
  <si>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</si>
  <si>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</si>
  <si>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</si>
  <si>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</si>
  <si>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</si>
  <si>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</si>
  <si>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</si>
  <si>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</si>
  <si>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</si>
  <si>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</si>
  <si>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</si>
  <si>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</si>
  <si>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</si>
  <si>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</si>
  <si>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</si>
  <si>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</si>
  <si>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</si>
  <si>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</si>
  <si>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</si>
  <si>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</si>
  <si>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</si>
  <si>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</si>
  <si>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</si>
  <si>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</si>
  <si>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</si>
  <si>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</si>
  <si>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</si>
  <si>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</si>
  <si>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</si>
  <si>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</si>
  <si>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</si>
  <si>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</si>
  <si>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</si>
  <si>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</si>
  <si>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</si>
  <si>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</si>
  <si>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</si>
  <si>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</si>
  <si>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</si>
  <si>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</si>
  <si>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</si>
  <si>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</si>
  <si>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</si>
  <si>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</si>
  <si>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</si>
  <si>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</si>
  <si>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</si>
  <si>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</si>
  <si>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</si>
  <si>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</si>
  <si>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</si>
  <si>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</si>
  <si>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</si>
  <si>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</si>
  <si>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</si>
  <si>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</si>
  <si>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</si>
  <si>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</si>
  <si>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</si>
  <si>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</si>
  <si>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</si>
  <si>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</si>
  <si>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</si>
  <si>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</si>
  <si>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</si>
  <si>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</si>
  <si>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</si>
  <si>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</si>
  <si>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</si>
  <si>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</si>
  <si>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</si>
  <si>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</si>
  <si>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</si>
  <si>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</si>
  <si>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</si>
  <si>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</si>
  <si>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</si>
  <si>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</si>
  <si>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</si>
  <si>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</si>
  <si>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</si>
  <si>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</si>
  <si>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</si>
  <si>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</si>
  <si>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</si>
  <si>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</si>
  <si>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</si>
  <si>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</si>
  <si>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</si>
  <si>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</si>
  <si>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</si>
  <si>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</si>
  <si>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</si>
  <si>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</si>
  <si>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</si>
  <si>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</si>
  <si>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</si>
  <si>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</si>
  <si>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</si>
  <si>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</si>
  <si>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</si>
  <si>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</si>
  <si>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</si>
  <si>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</si>
  <si>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</si>
  <si>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</si>
  <si>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</si>
  <si>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</si>
  <si>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</si>
  <si>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</si>
  <si>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</si>
  <si>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</si>
  <si>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</si>
  <si>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</si>
  <si>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</si>
  <si>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</si>
  <si>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</si>
  <si>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</si>
  <si>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</si>
  <si>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</si>
  <si>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</si>
  <si>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</si>
  <si>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</si>
  <si>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</si>
  <si>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</si>
  <si>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</si>
  <si>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</si>
  <si>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</si>
  <si>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</si>
  <si>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</si>
  <si>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</si>
  <si>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</si>
  <si>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</si>
  <si>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</si>
  <si>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</si>
  <si>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</si>
  <si>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</si>
  <si>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</si>
  <si>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</si>
  <si>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</si>
  <si>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</si>
  <si>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</si>
  <si>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</si>
  <si>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</si>
  <si>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</si>
  <si>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</si>
  <si>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</si>
  <si>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</si>
  <si>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</si>
  <si>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</si>
  <si>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</si>
  <si>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</si>
  <si>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</si>
  <si>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</si>
  <si>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</si>
  <si>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</si>
  <si>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</si>
  <si>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</si>
  <si>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</si>
  <si>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</si>
  <si>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</si>
  <si>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</si>
  <si>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</si>
  <si>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</si>
  <si>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</si>
  <si>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</si>
  <si>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</si>
  <si>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</si>
  <si>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</si>
  <si>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</si>
  <si>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</si>
  <si>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</si>
  <si>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</si>
  <si>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</si>
  <si>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</si>
  <si>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</si>
  <si>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</si>
  <si>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</si>
  <si>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</si>
  <si>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</si>
  <si>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</si>
  <si>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</si>
  <si>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</si>
  <si>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</si>
  <si>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</si>
  <si>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</si>
  <si>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</si>
  <si>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</si>
  <si>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</si>
  <si>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</si>
  <si>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</si>
  <si>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</si>
  <si>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</si>
  <si>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</si>
  <si>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</si>
  <si>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</si>
  <si>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</si>
  <si>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</si>
  <si>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</si>
  <si>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</si>
  <si>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</si>
  <si>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</si>
  <si>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</si>
  <si>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</si>
  <si>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</si>
  <si>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</si>
  <si>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</si>
  <si>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</si>
  <si>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</si>
  <si>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</si>
  <si>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</si>
  <si>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</si>
  <si>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</si>
  <si>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</si>
  <si>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</si>
  <si>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</si>
  <si>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</si>
  <si>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</si>
  <si>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</si>
  <si>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</si>
  <si>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</si>
  <si>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</si>
  <si>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</si>
  <si>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</si>
  <si>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</si>
  <si>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</si>
  <si>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</si>
  <si>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</si>
  <si>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</si>
  <si>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</si>
  <si>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</si>
  <si>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</si>
  <si>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</si>
  <si>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</si>
  <si>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</si>
  <si>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</si>
  <si>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</si>
  <si>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</si>
  <si>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</si>
  <si>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</si>
  <si>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</si>
  <si>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</si>
  <si>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</si>
  <si>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</si>
  <si>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</si>
  <si>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</si>
  <si>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</si>
  <si>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</si>
  <si>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</si>
  <si>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</si>
  <si>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</si>
  <si>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</si>
  <si>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</si>
  <si>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</si>
  <si>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</si>
  <si>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</si>
  <si>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</si>
  <si>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</si>
  <si>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</si>
  <si>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</si>
  <si>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</si>
  <si>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</si>
  <si>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</si>
  <si>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</si>
  <si>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</si>
  <si>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</si>
  <si>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</si>
  <si>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</si>
  <si>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</si>
  <si>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</si>
  <si>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</si>
  <si>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</si>
  <si>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</si>
  <si>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</si>
  <si>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</si>
  <si>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</si>
  <si>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</si>
  <si>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</si>
  <si>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</si>
  <si>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</si>
  <si>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</si>
  <si>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</si>
  <si>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</si>
  <si>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</si>
  <si>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</si>
  <si>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</si>
  <si>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</si>
  <si>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</si>
  <si>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</si>
  <si>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</si>
  <si>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</si>
  <si>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</si>
  <si>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</si>
  <si>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</si>
  <si>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</si>
  <si>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</si>
  <si>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</si>
  <si>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</si>
  <si>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</si>
  <si>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</si>
  <si>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</si>
  <si>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</si>
  <si>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</si>
  <si>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</si>
  <si>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</si>
  <si>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</si>
  <si>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</si>
  <si>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</si>
  <si>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</si>
  <si>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</si>
  <si>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</si>
  <si>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</si>
  <si>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</si>
  <si>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</si>
  <si>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</si>
  <si>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</si>
  <si>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</si>
  <si>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</si>
  <si>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</si>
  <si>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</si>
  <si>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</si>
  <si>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</si>
  <si>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</si>
  <si>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</si>
  <si>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</si>
  <si>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</si>
  <si>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</si>
  <si>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</si>
  <si>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</si>
  <si>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</si>
  <si>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</si>
  <si>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</si>
  <si>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</si>
  <si>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</si>
  <si>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</si>
  <si>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</si>
  <si>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</si>
  <si>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</si>
  <si>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</si>
  <si>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</si>
  <si>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</si>
  <si>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</si>
  <si>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</si>
  <si>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</si>
  <si>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</si>
  <si>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</si>
  <si>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</si>
  <si>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</si>
  <si>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</si>
  <si>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</si>
  <si>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</si>
  <si>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</si>
  <si>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</si>
  <si>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</si>
  <si>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</si>
  <si>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</si>
  <si>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</si>
  <si>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</si>
  <si>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</si>
  <si>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</si>
  <si>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</si>
  <si>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</si>
  <si>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</si>
  <si>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</si>
  <si>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</si>
  <si>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</si>
  <si>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</si>
  <si>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</si>
  <si>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</si>
  <si>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</si>
  <si>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</si>
  <si>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</si>
  <si>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</si>
  <si>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</si>
  <si>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</si>
  <si>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</si>
  <si>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</si>
  <si>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</si>
  <si>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</si>
  <si>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</si>
  <si>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</si>
  <si>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</si>
  <si>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</si>
  <si>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</si>
  <si>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</si>
  <si>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</si>
  <si>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</si>
  <si>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</si>
  <si>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</si>
  <si>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</si>
  <si>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</si>
  <si>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</si>
  <si>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</si>
  <si>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</si>
  <si>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</si>
  <si>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</si>
  <si>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</si>
  <si>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</si>
  <si>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</si>
  <si>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</si>
  <si>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</si>
  <si>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</si>
  <si>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</si>
  <si>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</si>
  <si>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</si>
  <si>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</si>
  <si>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</si>
  <si>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</si>
  <si>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</si>
  <si>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</si>
  <si>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</si>
  <si>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</si>
  <si>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</si>
  <si>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</si>
  <si>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</si>
  <si>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</si>
  <si>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</si>
  <si>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</si>
  <si>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</si>
  <si>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</si>
  <si>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</si>
  <si>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</si>
  <si>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</si>
  <si>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</si>
  <si>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</si>
  <si>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</si>
  <si>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</si>
  <si>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</si>
  <si>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</si>
  <si>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</si>
  <si>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</si>
  <si>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</si>
  <si>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</si>
  <si>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</si>
  <si>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</si>
  <si>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</si>
  <si>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</si>
  <si>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</si>
  <si>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</si>
  <si>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</si>
  <si>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</si>
  <si>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</si>
  <si>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</si>
  <si>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</si>
  <si>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</si>
  <si>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</si>
  <si>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</si>
  <si>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</si>
  <si>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</si>
  <si>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</si>
  <si>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</si>
  <si>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</si>
  <si>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</si>
  <si>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</si>
  <si>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</si>
  <si>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</si>
  <si>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</si>
  <si>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</si>
  <si>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</si>
  <si>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</si>
  <si>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</si>
  <si>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</si>
  <si>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</si>
  <si>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</si>
  <si>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</si>
  <si>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</si>
  <si>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</si>
  <si>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</si>
  <si>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</si>
  <si>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</si>
  <si>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</si>
  <si>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</si>
  <si>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</si>
  <si>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</si>
  <si>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</si>
  <si>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</si>
  <si>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</si>
  <si>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</si>
  <si>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</si>
  <si>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</si>
  <si>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</si>
  <si>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</si>
  <si>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</si>
  <si>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</si>
  <si>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</si>
  <si>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</si>
  <si>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</si>
  <si>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</si>
  <si>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</si>
  <si>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</si>
  <si>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</si>
  <si>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</si>
  <si>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</si>
  <si>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</si>
  <si>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</si>
  <si>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</si>
  <si>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</si>
  <si>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</si>
  <si>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</si>
  <si>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</si>
  <si>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</si>
  <si>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</si>
  <si>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</si>
  <si>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</si>
  <si>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</si>
  <si>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</si>
  <si>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</si>
  <si>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</si>
  <si>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</si>
  <si>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</si>
  <si>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</si>
  <si>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</si>
  <si>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</si>
  <si>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</si>
  <si>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</si>
  <si>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</si>
  <si>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</si>
  <si>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</si>
  <si>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</si>
  <si>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</si>
  <si>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</si>
  <si>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</si>
  <si>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</si>
  <si>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</si>
  <si>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</si>
  <si>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</si>
  <si>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</si>
  <si>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</si>
  <si>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</si>
  <si>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</si>
  <si>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</si>
  <si>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</si>
  <si>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</si>
  <si>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</si>
  <si>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</si>
  <si>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</si>
  <si>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</si>
  <si>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</si>
  <si>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</si>
  <si>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</si>
  <si>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</si>
  <si>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</si>
  <si>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</si>
  <si>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</si>
  <si>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</si>
  <si>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</si>
  <si>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</si>
  <si>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</si>
  <si>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</si>
  <si>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</si>
  <si>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</si>
  <si>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</si>
  <si>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</si>
  <si>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</si>
  <si>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</si>
  <si>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</si>
  <si>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</si>
  <si>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</si>
  <si>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</si>
  <si>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</si>
  <si>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</si>
  <si>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</si>
  <si>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</si>
  <si>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</si>
  <si>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</si>
  <si>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</si>
  <si>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</si>
  <si>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</si>
  <si>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</si>
  <si>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</si>
  <si>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</si>
  <si>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</si>
  <si>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</si>
  <si>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</si>
  <si>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</si>
  <si>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</si>
  <si>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</si>
  <si>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</si>
  <si>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</si>
  <si>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</si>
  <si>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</si>
  <si>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</si>
  <si>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</si>
  <si>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</si>
  <si>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</si>
  <si>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</si>
  <si>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</si>
  <si>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</si>
  <si>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</si>
  <si>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</si>
  <si>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</si>
  <si>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</si>
  <si>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</si>
  <si>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</si>
  <si>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</si>
  <si>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</si>
  <si>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</si>
  <si>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</si>
  <si>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</si>
  <si>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</si>
  <si>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</si>
  <si>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</si>
  <si>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</si>
  <si>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</si>
  <si>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</si>
  <si>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</si>
  <si>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</si>
  <si>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</si>
  <si>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</si>
  <si>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</si>
  <si>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</si>
  <si>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</si>
  <si>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</si>
  <si>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</si>
  <si>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</si>
  <si>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</si>
  <si>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</si>
  <si>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</si>
  <si>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</si>
  <si>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</si>
  <si>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</si>
  <si>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</si>
  <si>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</si>
  <si>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</si>
  <si>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</si>
  <si>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</si>
  <si>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</si>
  <si>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</si>
  <si>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</si>
  <si>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</si>
  <si>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</si>
  <si>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</si>
  <si>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</si>
  <si>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</si>
  <si>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</si>
  <si>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</si>
  <si>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</si>
  <si>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</si>
  <si>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</si>
  <si>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</si>
  <si>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</si>
  <si>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</si>
  <si>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</si>
  <si>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</si>
  <si>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</si>
  <si>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</si>
  <si>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</si>
  <si>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</si>
  <si>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</si>
  <si>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</si>
  <si>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</si>
  <si>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</si>
  <si>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</si>
  <si>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</si>
  <si>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</si>
  <si>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</si>
  <si>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</si>
  <si>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</si>
  <si>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</si>
  <si>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</si>
  <si>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</si>
  <si>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</si>
  <si>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</si>
  <si>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</si>
  <si>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</si>
  <si>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</si>
  <si>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</si>
  <si>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</si>
  <si>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</si>
  <si>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</si>
  <si>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</si>
  <si>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</si>
  <si>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</si>
  <si>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</si>
  <si>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</si>
  <si>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</si>
  <si>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</si>
  <si>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</si>
  <si>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</si>
  <si>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</si>
  <si>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</si>
  <si>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</si>
  <si>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</si>
  <si>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</si>
  <si>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</si>
  <si>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</si>
  <si>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</si>
  <si>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</si>
  <si>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</si>
  <si>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</si>
  <si>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</si>
  <si>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</si>
  <si>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</si>
  <si>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</si>
  <si>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</si>
  <si>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</si>
  <si>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</si>
  <si>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</si>
  <si>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</si>
  <si>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</si>
  <si>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</si>
  <si>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</si>
  <si>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</si>
  <si>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</si>
  <si>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</si>
  <si>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</si>
  <si>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</si>
  <si>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</si>
  <si>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</si>
  <si>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</si>
  <si>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</si>
  <si>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</si>
  <si>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</si>
  <si>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</si>
  <si>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</si>
  <si>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</si>
  <si>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</si>
  <si>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</si>
  <si>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</si>
  <si>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</si>
  <si>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</si>
  <si>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</si>
  <si>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</si>
  <si>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</si>
  <si>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</si>
  <si>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</si>
  <si>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</si>
  <si>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</si>
  <si>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</si>
  <si>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</si>
  <si>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</si>
  <si>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</si>
  <si>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</si>
  <si>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</si>
  <si>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</si>
  <si>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</si>
  <si>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</si>
  <si>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</si>
  <si>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offs low (0d)</t>
  </si>
  <si>
    <t>offs high (0d)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</si>
  <si>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</si>
  <si>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</si>
  <si>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</si>
  <si>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</si>
  <si>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</si>
  <si>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</si>
  <si>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</si>
  <si>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</si>
  <si>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</si>
  <si>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</si>
  <si>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</si>
  <si>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</si>
  <si>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</si>
  <si>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</si>
  <si>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PPT bits 0 (7bit)</t>
  </si>
  <si>
    <t>PPT bits 1 (7bit)</t>
  </si>
  <si>
    <t>Pixels 0 (cols 0-6)</t>
  </si>
  <si>
    <t>Pixels 1 (col 7-13)</t>
  </si>
  <si>
    <t>83</t>
  </si>
  <si>
    <t>84</t>
  </si>
  <si>
    <t>Input pixels (0-6)</t>
  </si>
  <si>
    <t>uses INDEX into memory block</t>
  </si>
  <si>
    <t>navigatable with Arixcel / Detective</t>
  </si>
  <si>
    <t>End</t>
  </si>
  <si>
    <t>Pixel shifting</t>
  </si>
  <si>
    <t>Sprites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</si>
</sst>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1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theme="0" tint="-0.34998626667073579"/>
      <name val="Arial"/>
      <family val="2"/>
    </font>
    <font>
      <b/>
      <sz val="8"/>
      <color rgb="FF963634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F2F2F2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</fills>
  <borders count="1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ck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4" applyNumberFormat="0" applyFill="0" applyAlignment="0" applyProtection="0"/>
    <xf numFmtId="0" fontId="4" fillId="0" borderId="0" applyNumberFormat="0" applyFill="0" applyBorder="0" applyAlignment="0" applyProtection="0"/>
    <xf numFmtId="0" fontId="1" fillId="16" borderId="15" applyNumberFormat="0" applyFont="0" applyAlignment="0" applyProtection="0"/>
    <xf numFmtId="0" fontId="1" fillId="0" borderId="0"/>
  </cellStyleXfs>
  <cellXfs count="78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0" xfId="0" applyNumberFormat="1"/>
    <xf numFmtId="0" fontId="0" fillId="0" borderId="9" xfId="1" applyNumberFormat="1" applyFont="1" applyFill="1" applyBorder="1"/>
    <xf numFmtId="0" fontId="0" fillId="0" borderId="9" xfId="1" applyNumberFormat="1" applyFont="1" applyBorder="1"/>
    <xf numFmtId="0" fontId="0" fillId="0" borderId="0" xfId="1" applyNumberFormat="1" applyFont="1" applyBorder="1"/>
    <xf numFmtId="0" fontId="0" fillId="0" borderId="10" xfId="1" applyNumberFormat="1" applyFont="1" applyBorder="1"/>
    <xf numFmtId="0" fontId="0" fillId="0" borderId="0" xfId="0" applyAlignment="1">
      <alignment textRotation="90"/>
    </xf>
    <xf numFmtId="0" fontId="0" fillId="0" borderId="7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8" xfId="0" applyBorder="1" applyAlignment="1">
      <alignment horizontal="center" textRotation="90"/>
    </xf>
    <xf numFmtId="0" fontId="0" fillId="0" borderId="13" xfId="1" applyNumberFormat="1" applyFont="1" applyFill="1" applyBorder="1"/>
    <xf numFmtId="0" fontId="0" fillId="0" borderId="12" xfId="1" applyNumberFormat="1" applyFont="1" applyBorder="1"/>
    <xf numFmtId="0" fontId="0" fillId="0" borderId="11" xfId="1" applyNumberFormat="1" applyFont="1" applyBorder="1"/>
    <xf numFmtId="0" fontId="0" fillId="0" borderId="12" xfId="1" applyNumberFormat="1" applyFont="1" applyFill="1" applyBorder="1"/>
    <xf numFmtId="0" fontId="0" fillId="15" borderId="0" xfId="1" applyNumberFormat="1" applyFont="1" applyFill="1" applyAlignment="1">
      <alignment horizontal="center"/>
    </xf>
    <xf numFmtId="0" fontId="0" fillId="17" borderId="0" xfId="0" applyFill="1"/>
    <xf numFmtId="9" fontId="0" fillId="17" borderId="0" xfId="0" applyNumberFormat="1" applyFill="1"/>
    <xf numFmtId="0" fontId="0" fillId="17" borderId="0" xfId="0" applyFill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2" borderId="0" xfId="0" applyFill="1" applyAlignment="1">
      <alignment horizontal="center"/>
    </xf>
    <xf numFmtId="0" fontId="2" fillId="2" borderId="4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8" borderId="0" xfId="0" applyFont="1" applyFill="1"/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13" borderId="0" xfId="0" applyFill="1"/>
    <xf numFmtId="0" fontId="0" fillId="0" borderId="12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textRotation="90"/>
    </xf>
    <xf numFmtId="0" fontId="3" fillId="1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3" fillId="17" borderId="0" xfId="0" applyFont="1" applyFill="1" applyAlignment="1">
      <alignment horizontal="center"/>
    </xf>
    <xf numFmtId="0" fontId="14" fillId="13" borderId="0" xfId="9" applyFont="1" applyFill="1"/>
    <xf numFmtId="0" fontId="1" fillId="13" borderId="0" xfId="9" applyFill="1"/>
    <xf numFmtId="0" fontId="0" fillId="13" borderId="0" xfId="9" applyFont="1" applyFill="1"/>
    <xf numFmtId="0" fontId="1" fillId="19" borderId="0" xfId="9" applyFill="1"/>
    <xf numFmtId="0" fontId="15" fillId="19" borderId="16" xfId="9" applyFont="1" applyFill="1" applyBorder="1" applyAlignment="1">
      <alignment vertical="center"/>
    </xf>
    <xf numFmtId="0" fontId="16" fillId="13" borderId="0" xfId="9" applyFont="1" applyFill="1"/>
    <xf numFmtId="0" fontId="15" fillId="19" borderId="0" xfId="9" applyFont="1" applyFill="1" applyAlignment="1">
      <alignment vertical="center"/>
    </xf>
    <xf numFmtId="15" fontId="1" fillId="13" borderId="0" xfId="9" applyNumberFormat="1" applyFill="1"/>
    <xf numFmtId="0" fontId="13" fillId="13" borderId="0" xfId="9" applyFont="1" applyFill="1"/>
  </cellXfs>
  <cellStyles count="10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17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8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8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8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8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9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9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9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9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A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A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A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A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B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C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C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C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C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tabSelected="1" zoomScaleNormal="100" workbookViewId="0"/>
  </sheetViews>
  <sheetFormatPr baseColWidth="10" defaultColWidth="12" defaultRowHeight="10.15" x14ac:dyDescent="0.3"/>
  <cols>
    <col min="1" max="6" width="8.58203125" style="70" customWidth="1"/>
    <col min="7" max="7" width="33.1640625" style="70" customWidth="1"/>
    <col min="8" max="16384" width="12" style="70"/>
  </cols>
  <sheetData>
    <row r="1" spans="1:1" x14ac:dyDescent="0.3">
      <c r="A1" s="69"/>
    </row>
    <row r="25" spans="7:12" x14ac:dyDescent="0.3">
      <c r="K25" s="71"/>
      <c r="L25" s="71"/>
    </row>
    <row r="26" spans="7:12" x14ac:dyDescent="0.3">
      <c r="K26" s="71"/>
      <c r="L26" s="71"/>
    </row>
    <row r="27" spans="7:12" x14ac:dyDescent="0.3">
      <c r="K27" s="71"/>
      <c r="L27" s="71"/>
    </row>
    <row r="28" spans="7:12" x14ac:dyDescent="0.3">
      <c r="I28" s="72"/>
      <c r="K28" s="71"/>
      <c r="L28" s="71"/>
    </row>
    <row r="29" spans="7:12" x14ac:dyDescent="0.3">
      <c r="I29" s="73" t="b">
        <v>1</v>
      </c>
    </row>
    <row r="30" spans="7:12" ht="15" x14ac:dyDescent="0.4">
      <c r="G30" s="74" t="s">
        <v>921</v>
      </c>
      <c r="I30" s="73" t="b">
        <v>1</v>
      </c>
    </row>
    <row r="31" spans="7:12" x14ac:dyDescent="0.3">
      <c r="G31" s="70" t="s">
        <v>922</v>
      </c>
    </row>
    <row r="32" spans="7:12" x14ac:dyDescent="0.3">
      <c r="G32" s="70" t="s">
        <v>920</v>
      </c>
      <c r="I32" s="75"/>
    </row>
    <row r="33" spans="9:12" x14ac:dyDescent="0.3">
      <c r="I33" s="75"/>
    </row>
    <row r="34" spans="9:12" x14ac:dyDescent="0.3">
      <c r="I34" s="75"/>
    </row>
    <row r="35" spans="9:12" x14ac:dyDescent="0.3">
      <c r="I35" s="75"/>
    </row>
    <row r="36" spans="9:12" x14ac:dyDescent="0.3">
      <c r="I36" s="75"/>
      <c r="J36" s="76"/>
    </row>
    <row r="37" spans="9:12" x14ac:dyDescent="0.3">
      <c r="I37" s="75"/>
    </row>
    <row r="38" spans="9:12" x14ac:dyDescent="0.3">
      <c r="I38" s="75"/>
      <c r="J38" s="72"/>
    </row>
    <row r="39" spans="9:12" x14ac:dyDescent="0.3">
      <c r="I39" s="75"/>
      <c r="J39" s="72"/>
      <c r="L39" s="77"/>
    </row>
  </sheetData>
  <conditionalFormatting sqref="I30">
    <cfRule type="expression" dxfId="16" priority="2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/>
  <dimension ref="B2:AM26"/>
  <sheetViews>
    <sheetView workbookViewId="0">
      <selection activeCell="AP6" sqref="AP6"/>
    </sheetView>
  </sheetViews>
  <sheetFormatPr baseColWidth="10" defaultRowHeight="10.15" x14ac:dyDescent="0.3"/>
  <cols>
    <col min="1" max="1" width="4.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1" width="3.25" customWidth="1"/>
    <col min="22" max="23" width="4.83203125" customWidth="1"/>
    <col min="24" max="24" width="4.75" customWidth="1"/>
    <col min="25" max="25" width="3.25" customWidth="1"/>
    <col min="26" max="26" width="4.75" customWidth="1"/>
    <col min="27" max="27" width="3.25" customWidth="1"/>
    <col min="28" max="28" width="5" customWidth="1"/>
    <col min="29" max="29" width="4.83203125" customWidth="1"/>
    <col min="30" max="30" width="3.75" customWidth="1"/>
    <col min="31" max="31" width="3.25" customWidth="1"/>
    <col min="32" max="32" width="8.75" customWidth="1"/>
    <col min="33" max="34" width="7.75" customWidth="1"/>
    <col min="35" max="35" width="3.75" customWidth="1"/>
    <col min="36" max="36" width="3.25" customWidth="1"/>
    <col min="37" max="37" width="8.75" customWidth="1"/>
    <col min="38" max="39" width="7.75" customWidth="1"/>
    <col min="41" max="48" width="13.33203125"/>
  </cols>
  <sheetData>
    <row r="2" spans="2:39" ht="23.25" x14ac:dyDescent="0.3">
      <c r="R2" s="30" t="s">
        <v>893</v>
      </c>
      <c r="S2" s="30" t="s">
        <v>891</v>
      </c>
      <c r="T2" s="30" t="s">
        <v>892</v>
      </c>
    </row>
    <row r="3" spans="2:39" x14ac:dyDescent="0.3">
      <c r="C3" s="32" t="s">
        <v>917</v>
      </c>
      <c r="D3" s="33"/>
      <c r="E3" s="33"/>
      <c r="F3" s="33"/>
      <c r="G3" s="33"/>
      <c r="H3" s="33"/>
      <c r="I3" s="33"/>
    </row>
    <row r="4" spans="2:39" x14ac:dyDescent="0.3">
      <c r="C4" s="34">
        <v>0</v>
      </c>
      <c r="D4" s="35">
        <v>1</v>
      </c>
      <c r="E4" s="35">
        <v>1</v>
      </c>
      <c r="F4" s="35">
        <v>0</v>
      </c>
      <c r="G4" s="35">
        <v>1</v>
      </c>
      <c r="H4" s="35">
        <v>0</v>
      </c>
      <c r="I4" s="35">
        <v>0</v>
      </c>
      <c r="R4" t="str">
        <f>_xlfn.CONCAT(InputPixels)</f>
        <v>0110100</v>
      </c>
      <c r="S4" t="str" cm="1">
        <f t="array" ref="S4">ReverseString(R4)</f>
        <v>0010110</v>
      </c>
      <c r="T4" t="str">
        <f>BIN2HEX(S4,2)</f>
        <v>16</v>
      </c>
    </row>
    <row r="6" spans="2:39" ht="60" x14ac:dyDescent="0.3">
      <c r="B6" t="s">
        <v>918</v>
      </c>
      <c r="U6" s="30" t="s">
        <v>894</v>
      </c>
      <c r="V6" s="30" t="s">
        <v>897</v>
      </c>
      <c r="W6" s="30" t="s">
        <v>898</v>
      </c>
      <c r="X6" s="30" t="s">
        <v>895</v>
      </c>
      <c r="Y6" s="30" t="s">
        <v>899</v>
      </c>
      <c r="Z6" s="30" t="s">
        <v>896</v>
      </c>
      <c r="AA6" s="30" t="s">
        <v>901</v>
      </c>
      <c r="AB6" s="30" t="s">
        <v>900</v>
      </c>
      <c r="AC6" s="30" t="s">
        <v>903</v>
      </c>
      <c r="AD6" s="30" t="s">
        <v>902</v>
      </c>
      <c r="AE6" s="30" t="s">
        <v>907</v>
      </c>
      <c r="AF6" s="30" t="s">
        <v>909</v>
      </c>
      <c r="AG6" s="30" t="s">
        <v>911</v>
      </c>
      <c r="AH6" s="30" t="s">
        <v>906</v>
      </c>
      <c r="AI6" s="30" t="s">
        <v>905</v>
      </c>
      <c r="AJ6" s="30" t="s">
        <v>908</v>
      </c>
      <c r="AK6" s="30" t="s">
        <v>910</v>
      </c>
      <c r="AL6" s="30" t="s">
        <v>912</v>
      </c>
      <c r="AM6" s="30" t="s">
        <v>904</v>
      </c>
    </row>
    <row r="7" spans="2:39" x14ac:dyDescent="0.3">
      <c r="C7">
        <v>0</v>
      </c>
      <c r="D7">
        <v>1</v>
      </c>
      <c r="E7">
        <v>2</v>
      </c>
      <c r="F7">
        <v>3</v>
      </c>
      <c r="G7">
        <v>4</v>
      </c>
      <c r="H7">
        <v>5</v>
      </c>
      <c r="I7">
        <v>6</v>
      </c>
      <c r="J7">
        <v>0</v>
      </c>
      <c r="K7">
        <v>1</v>
      </c>
      <c r="L7">
        <v>2</v>
      </c>
      <c r="M7">
        <v>3</v>
      </c>
      <c r="N7">
        <v>4</v>
      </c>
      <c r="O7">
        <v>5</v>
      </c>
      <c r="P7">
        <v>6</v>
      </c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</row>
    <row r="8" spans="2:39" x14ac:dyDescent="0.3">
      <c r="B8" s="5" t="s">
        <v>890</v>
      </c>
      <c r="C8" s="32" t="s">
        <v>889</v>
      </c>
      <c r="D8" s="33"/>
      <c r="E8" s="33"/>
      <c r="F8" s="33"/>
      <c r="G8" s="33"/>
      <c r="H8" s="33"/>
      <c r="I8" s="33"/>
      <c r="J8" s="32" t="s">
        <v>888</v>
      </c>
      <c r="K8" s="33"/>
      <c r="L8" s="33"/>
      <c r="M8" s="33"/>
      <c r="N8" s="33"/>
      <c r="O8" s="33"/>
      <c r="P8" s="33"/>
    </row>
    <row r="9" spans="2:39" x14ac:dyDescent="0.3">
      <c r="B9" s="31">
        <v>0</v>
      </c>
      <c r="C9" s="34" t="str">
        <f t="shared" ref="C9:I15" si="0">MID($AH9,C$7+1,1)</f>
        <v>0</v>
      </c>
      <c r="D9" s="35" t="str">
        <f t="shared" si="0"/>
        <v>1</v>
      </c>
      <c r="E9" s="35" t="str">
        <f t="shared" si="0"/>
        <v>1</v>
      </c>
      <c r="F9" s="35" t="str">
        <f t="shared" si="0"/>
        <v>0</v>
      </c>
      <c r="G9" s="35" t="str">
        <f t="shared" si="0"/>
        <v>1</v>
      </c>
      <c r="H9" s="35" t="str">
        <f t="shared" si="0"/>
        <v>0</v>
      </c>
      <c r="I9" s="35" t="str">
        <f t="shared" si="0"/>
        <v>0</v>
      </c>
      <c r="J9" s="34" t="str">
        <f t="shared" ref="J9:P15" si="1">MID($AM9,J$7+1,1)</f>
        <v>0</v>
      </c>
      <c r="K9" s="35" t="str">
        <f t="shared" si="1"/>
        <v>0</v>
      </c>
      <c r="L9" s="35" t="str">
        <f t="shared" si="1"/>
        <v>0</v>
      </c>
      <c r="M9" s="35" t="str">
        <f t="shared" si="1"/>
        <v>0</v>
      </c>
      <c r="N9" s="35" t="str">
        <f t="shared" si="1"/>
        <v>0</v>
      </c>
      <c r="O9" s="35" t="str">
        <f t="shared" si="1"/>
        <v>0</v>
      </c>
      <c r="P9" s="35" t="str">
        <f t="shared" si="1"/>
        <v>0</v>
      </c>
      <c r="U9" s="36" t="str" cm="1">
        <f t="array" ref="U9">INDEX(PixelShiftPages,$B9+1)</f>
        <v>A2</v>
      </c>
      <c r="V9" t="str">
        <f t="shared" ref="V9:V15" si="2">U9&amp;$T$4</f>
        <v>A216</v>
      </c>
      <c r="W9" s="37" t="str">
        <f>pixel_shift_table.asm!$B$3</f>
        <v>A200</v>
      </c>
      <c r="X9">
        <f t="shared" ref="X9:X15" si="3">HEX2DEC(V9)-HEX2DEC(W9)</f>
        <v>22</v>
      </c>
      <c r="Y9" s="36" t="str" cm="1">
        <f t="array" ref="Y9">INDEX(_xlfn.TOROW(PixelShiftTable),X9+1)</f>
        <v>54</v>
      </c>
      <c r="Z9">
        <f t="shared" ref="Z9:Z15" si="4">X9+128</f>
        <v>150</v>
      </c>
      <c r="AA9" s="36" t="str" cm="1">
        <f t="array" ref="AA9">INDEX(_xlfn.TOROW(PixelShiftTable),Z9+1)</f>
        <v>A9</v>
      </c>
      <c r="AB9" t="str">
        <f t="shared" ref="AB9:AB15" si="5">AA9&amp;Y9</f>
        <v>A954</v>
      </c>
      <c r="AC9" t="str">
        <f>pixel_pattern_table.asm!$B$2</f>
        <v>A900</v>
      </c>
      <c r="AD9">
        <f t="shared" ref="AD9:AD15" si="6">HEX2DEC(AB9)-HEX2DEC(AC9)</f>
        <v>84</v>
      </c>
      <c r="AE9" s="41" t="str" cm="1">
        <f t="array" ref="AE9">INDEX(_xlfn.TOROW(PixelPatternTable),AD9+1)</f>
        <v>96</v>
      </c>
      <c r="AF9" t="str">
        <f t="shared" ref="AF9:AF15" si="7">HEX2BIN(AE9,8)</f>
        <v>10010110</v>
      </c>
      <c r="AG9" t="str">
        <f t="shared" ref="AG9:AG15" si="8">RIGHT(AF9,7)</f>
        <v>0010110</v>
      </c>
      <c r="AH9" t="str" cm="1">
        <f t="array" ref="AH9">ReverseString(AG9)</f>
        <v>0110100</v>
      </c>
      <c r="AI9">
        <f t="shared" ref="AI9:AI15" si="9">AD9+1</f>
        <v>85</v>
      </c>
      <c r="AJ9" s="41" t="str" cm="1">
        <f t="array" ref="AJ9">INDEX(_xlfn.TOROW(PixelPatternTable),AI9+1)</f>
        <v>80</v>
      </c>
      <c r="AK9" t="str">
        <f t="shared" ref="AK9:AK15" si="10">HEX2BIN(AJ9,8)</f>
        <v>10000000</v>
      </c>
      <c r="AL9" t="str">
        <f t="shared" ref="AL9:AL15" si="11">RIGHT(AK9,7)</f>
        <v>0000000</v>
      </c>
      <c r="AM9" t="str" cm="1">
        <f t="array" ref="AM9">ReverseString(AL9)</f>
        <v>0000000</v>
      </c>
    </row>
    <row r="10" spans="2:39" x14ac:dyDescent="0.3">
      <c r="B10" s="31">
        <v>1</v>
      </c>
      <c r="C10" s="34" t="str">
        <f t="shared" si="0"/>
        <v>0</v>
      </c>
      <c r="D10" s="35" t="str">
        <f t="shared" si="0"/>
        <v>0</v>
      </c>
      <c r="E10" s="35" t="str">
        <f t="shared" si="0"/>
        <v>1</v>
      </c>
      <c r="F10" s="35" t="str">
        <f t="shared" si="0"/>
        <v>1</v>
      </c>
      <c r="G10" s="35" t="str">
        <f t="shared" si="0"/>
        <v>0</v>
      </c>
      <c r="H10" s="35" t="str">
        <f t="shared" si="0"/>
        <v>1</v>
      </c>
      <c r="I10" s="35" t="str">
        <f t="shared" si="0"/>
        <v>0</v>
      </c>
      <c r="J10" s="34" t="str">
        <f t="shared" si="1"/>
        <v>0</v>
      </c>
      <c r="K10" s="35" t="str">
        <f t="shared" si="1"/>
        <v>0</v>
      </c>
      <c r="L10" s="35" t="str">
        <f t="shared" si="1"/>
        <v>0</v>
      </c>
      <c r="M10" s="35" t="str">
        <f t="shared" si="1"/>
        <v>0</v>
      </c>
      <c r="N10" s="35" t="str">
        <f t="shared" si="1"/>
        <v>0</v>
      </c>
      <c r="O10" s="35" t="str">
        <f t="shared" si="1"/>
        <v>0</v>
      </c>
      <c r="P10" s="35" t="str">
        <f t="shared" si="1"/>
        <v>0</v>
      </c>
      <c r="U10" s="36" t="str" cm="1">
        <f t="array" ref="U10">INDEX(PixelShiftPages,$B10+1)</f>
        <v>A3</v>
      </c>
      <c r="V10" t="str">
        <f t="shared" si="2"/>
        <v>A316</v>
      </c>
      <c r="W10" s="37" t="str">
        <f>pixel_shift_table.asm!$B$3</f>
        <v>A200</v>
      </c>
      <c r="X10">
        <f t="shared" si="3"/>
        <v>278</v>
      </c>
      <c r="Y10" s="39" t="str" cm="1">
        <f t="array" ref="Y10">INDEX(_xlfn.TOROW(PixelShiftTable),X10+1)</f>
        <v>56</v>
      </c>
      <c r="Z10">
        <f t="shared" si="4"/>
        <v>406</v>
      </c>
      <c r="AA10" s="36" t="str" cm="1">
        <f t="array" ref="AA10">INDEX(_xlfn.TOROW(PixelShiftTable),Z10+1)</f>
        <v>A9</v>
      </c>
      <c r="AB10" t="str">
        <f t="shared" si="5"/>
        <v>A956</v>
      </c>
      <c r="AC10" t="str">
        <f>pixel_pattern_table.asm!$B$2</f>
        <v>A900</v>
      </c>
      <c r="AD10">
        <f t="shared" si="6"/>
        <v>86</v>
      </c>
      <c r="AE10" s="41" t="str" cm="1">
        <f t="array" ref="AE10">INDEX(_xlfn.TOROW(PixelPatternTable),AD10+1)</f>
        <v>AC</v>
      </c>
      <c r="AF10" t="str">
        <f t="shared" si="7"/>
        <v>10101100</v>
      </c>
      <c r="AG10" t="str">
        <f t="shared" si="8"/>
        <v>0101100</v>
      </c>
      <c r="AH10" t="str" cm="1">
        <f t="array" ref="AH10">ReverseString(AG10)</f>
        <v>0011010</v>
      </c>
      <c r="AI10">
        <f t="shared" si="9"/>
        <v>87</v>
      </c>
      <c r="AJ10" s="41" t="str" cm="1">
        <f t="array" ref="AJ10">INDEX(_xlfn.TOROW(PixelPatternTable),AI10+1)</f>
        <v>80</v>
      </c>
      <c r="AK10" t="str">
        <f t="shared" si="10"/>
        <v>10000000</v>
      </c>
      <c r="AL10" t="str">
        <f t="shared" si="11"/>
        <v>0000000</v>
      </c>
      <c r="AM10" t="str" cm="1">
        <f t="array" ref="AM10">ReverseString(AL10)</f>
        <v>0000000</v>
      </c>
    </row>
    <row r="11" spans="2:39" x14ac:dyDescent="0.3">
      <c r="B11" s="31">
        <v>2</v>
      </c>
      <c r="C11" s="34" t="str">
        <f t="shared" si="0"/>
        <v>0</v>
      </c>
      <c r="D11" s="35" t="str">
        <f t="shared" si="0"/>
        <v>0</v>
      </c>
      <c r="E11" s="35" t="str">
        <f t="shared" si="0"/>
        <v>0</v>
      </c>
      <c r="F11" s="35" t="str">
        <f t="shared" si="0"/>
        <v>1</v>
      </c>
      <c r="G11" s="35" t="str">
        <f t="shared" si="0"/>
        <v>1</v>
      </c>
      <c r="H11" s="35" t="str">
        <f t="shared" si="0"/>
        <v>0</v>
      </c>
      <c r="I11" s="35" t="str">
        <f t="shared" si="0"/>
        <v>1</v>
      </c>
      <c r="J11" s="34" t="str">
        <f t="shared" si="1"/>
        <v>0</v>
      </c>
      <c r="K11" s="35" t="str">
        <f t="shared" si="1"/>
        <v>0</v>
      </c>
      <c r="L11" s="35" t="str">
        <f t="shared" si="1"/>
        <v>0</v>
      </c>
      <c r="M11" s="35" t="str">
        <f t="shared" si="1"/>
        <v>0</v>
      </c>
      <c r="N11" s="35" t="str">
        <f t="shared" si="1"/>
        <v>0</v>
      </c>
      <c r="O11" s="35" t="str">
        <f t="shared" si="1"/>
        <v>0</v>
      </c>
      <c r="P11" s="35" t="str">
        <f t="shared" si="1"/>
        <v>0</v>
      </c>
      <c r="U11" s="36" t="str" cm="1">
        <f t="array" ref="U11">INDEX(PixelShiftPages,$B11+1)</f>
        <v>A4</v>
      </c>
      <c r="V11" t="str">
        <f t="shared" si="2"/>
        <v>A416</v>
      </c>
      <c r="W11" s="37" t="str">
        <f>pixel_shift_table.asm!$B$3</f>
        <v>A200</v>
      </c>
      <c r="X11">
        <f t="shared" si="3"/>
        <v>534</v>
      </c>
      <c r="Y11" s="39" t="str" cm="1">
        <f t="array" ref="Y11">INDEX(_xlfn.TOROW(PixelShiftTable),X11+1)</f>
        <v>58</v>
      </c>
      <c r="Z11">
        <f t="shared" si="4"/>
        <v>662</v>
      </c>
      <c r="AA11" s="36" t="str" cm="1">
        <f t="array" ref="AA11">INDEX(_xlfn.TOROW(PixelShiftTable),Z11+1)</f>
        <v>A9</v>
      </c>
      <c r="AB11" t="str">
        <f t="shared" si="5"/>
        <v>A958</v>
      </c>
      <c r="AC11" t="str">
        <f>pixel_pattern_table.asm!$B$2</f>
        <v>A900</v>
      </c>
      <c r="AD11">
        <f t="shared" si="6"/>
        <v>88</v>
      </c>
      <c r="AE11" s="41" t="str" cm="1">
        <f t="array" ref="AE11">INDEX(_xlfn.TOROW(PixelPatternTable),AD11+1)</f>
        <v>D8</v>
      </c>
      <c r="AF11" t="str">
        <f t="shared" si="7"/>
        <v>11011000</v>
      </c>
      <c r="AG11" t="str">
        <f t="shared" si="8"/>
        <v>1011000</v>
      </c>
      <c r="AH11" t="str" cm="1">
        <f t="array" ref="AH11">ReverseString(AG11)</f>
        <v>0001101</v>
      </c>
      <c r="AI11">
        <f t="shared" si="9"/>
        <v>89</v>
      </c>
      <c r="AJ11" s="41" t="str" cm="1">
        <f t="array" ref="AJ11">INDEX(_xlfn.TOROW(PixelPatternTable),AI11+1)</f>
        <v>80</v>
      </c>
      <c r="AK11" t="str">
        <f t="shared" si="10"/>
        <v>10000000</v>
      </c>
      <c r="AL11" t="str">
        <f t="shared" si="11"/>
        <v>0000000</v>
      </c>
      <c r="AM11" t="str" cm="1">
        <f t="array" ref="AM11">ReverseString(AL11)</f>
        <v>0000000</v>
      </c>
    </row>
    <row r="12" spans="2:39" x14ac:dyDescent="0.3">
      <c r="B12" s="31">
        <v>3</v>
      </c>
      <c r="C12" s="34" t="str">
        <f t="shared" si="0"/>
        <v>0</v>
      </c>
      <c r="D12" s="35" t="str">
        <f t="shared" si="0"/>
        <v>0</v>
      </c>
      <c r="E12" s="35" t="str">
        <f t="shared" si="0"/>
        <v>0</v>
      </c>
      <c r="F12" s="35" t="str">
        <f t="shared" si="0"/>
        <v>0</v>
      </c>
      <c r="G12" s="35" t="str">
        <f t="shared" si="0"/>
        <v>1</v>
      </c>
      <c r="H12" s="35" t="str">
        <f t="shared" si="0"/>
        <v>1</v>
      </c>
      <c r="I12" s="35" t="str">
        <f t="shared" si="0"/>
        <v>0</v>
      </c>
      <c r="J12" s="34" t="str">
        <f t="shared" si="1"/>
        <v>1</v>
      </c>
      <c r="K12" s="35" t="str">
        <f t="shared" si="1"/>
        <v>0</v>
      </c>
      <c r="L12" s="35" t="str">
        <f t="shared" si="1"/>
        <v>0</v>
      </c>
      <c r="M12" s="35" t="str">
        <f t="shared" si="1"/>
        <v>0</v>
      </c>
      <c r="N12" s="35" t="str">
        <f t="shared" si="1"/>
        <v>0</v>
      </c>
      <c r="O12" s="35" t="str">
        <f t="shared" si="1"/>
        <v>0</v>
      </c>
      <c r="P12" s="35" t="str">
        <f t="shared" si="1"/>
        <v>0</v>
      </c>
      <c r="U12" s="36" t="str" cm="1">
        <f t="array" ref="U12">INDEX(PixelShiftPages,$B12+1)</f>
        <v>A5</v>
      </c>
      <c r="V12" t="str">
        <f t="shared" si="2"/>
        <v>A516</v>
      </c>
      <c r="W12" s="37" t="str">
        <f>pixel_shift_table.asm!$B$3</f>
        <v>A200</v>
      </c>
      <c r="X12">
        <f t="shared" si="3"/>
        <v>790</v>
      </c>
      <c r="Y12" s="39" t="str" cm="1">
        <f t="array" ref="Y12">INDEX(_xlfn.TOROW(PixelShiftTable),X12+1)</f>
        <v>5A</v>
      </c>
      <c r="Z12">
        <f t="shared" si="4"/>
        <v>918</v>
      </c>
      <c r="AA12" s="36" t="str" cm="1">
        <f t="array" ref="AA12">INDEX(_xlfn.TOROW(PixelShiftTable),Z12+1)</f>
        <v>A9</v>
      </c>
      <c r="AB12" t="str">
        <f t="shared" si="5"/>
        <v>A95A</v>
      </c>
      <c r="AC12" t="str">
        <f>pixel_pattern_table.asm!$B$2</f>
        <v>A900</v>
      </c>
      <c r="AD12">
        <f t="shared" si="6"/>
        <v>90</v>
      </c>
      <c r="AE12" s="41" t="str" cm="1">
        <f t="array" ref="AE12">INDEX(_xlfn.TOROW(PixelPatternTable),AD12+1)</f>
        <v>B0</v>
      </c>
      <c r="AF12" t="str">
        <f t="shared" si="7"/>
        <v>10110000</v>
      </c>
      <c r="AG12" t="str">
        <f t="shared" si="8"/>
        <v>0110000</v>
      </c>
      <c r="AH12" t="str" cm="1">
        <f t="array" ref="AH12">ReverseString(AG12)</f>
        <v>0000110</v>
      </c>
      <c r="AI12">
        <f t="shared" si="9"/>
        <v>91</v>
      </c>
      <c r="AJ12" s="41" t="str" cm="1">
        <f t="array" ref="AJ12">INDEX(_xlfn.TOROW(PixelPatternTable),AI12+1)</f>
        <v>81</v>
      </c>
      <c r="AK12" t="str">
        <f t="shared" si="10"/>
        <v>10000001</v>
      </c>
      <c r="AL12" t="str">
        <f t="shared" si="11"/>
        <v>0000001</v>
      </c>
      <c r="AM12" t="str" cm="1">
        <f t="array" ref="AM12">ReverseString(AL12)</f>
        <v>1000000</v>
      </c>
    </row>
    <row r="13" spans="2:39" x14ac:dyDescent="0.3">
      <c r="B13" s="31">
        <v>4</v>
      </c>
      <c r="C13" s="34" t="str">
        <f t="shared" si="0"/>
        <v>0</v>
      </c>
      <c r="D13" s="35" t="str">
        <f t="shared" si="0"/>
        <v>0</v>
      </c>
      <c r="E13" s="35" t="str">
        <f t="shared" si="0"/>
        <v>0</v>
      </c>
      <c r="F13" s="35" t="str">
        <f t="shared" si="0"/>
        <v>0</v>
      </c>
      <c r="G13" s="35" t="str">
        <f t="shared" si="0"/>
        <v>0</v>
      </c>
      <c r="H13" s="35" t="str">
        <f t="shared" si="0"/>
        <v>1</v>
      </c>
      <c r="I13" s="35" t="str">
        <f t="shared" si="0"/>
        <v>1</v>
      </c>
      <c r="J13" s="34" t="str">
        <f t="shared" si="1"/>
        <v>0</v>
      </c>
      <c r="K13" s="35" t="str">
        <f t="shared" si="1"/>
        <v>1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U13" s="36" t="str" cm="1">
        <f t="array" ref="U13">INDEX(PixelShiftPages,$B13+1)</f>
        <v>A6</v>
      </c>
      <c r="V13" t="str">
        <f t="shared" si="2"/>
        <v>A616</v>
      </c>
      <c r="W13" s="37" t="str">
        <f>pixel_shift_table.asm!$B$3</f>
        <v>A200</v>
      </c>
      <c r="X13">
        <f t="shared" si="3"/>
        <v>1046</v>
      </c>
      <c r="Y13" s="39" t="str" cm="1">
        <f t="array" ref="Y13">INDEX(_xlfn.TOROW(PixelShiftTable),X13+1)</f>
        <v>5C</v>
      </c>
      <c r="Z13">
        <f t="shared" si="4"/>
        <v>1174</v>
      </c>
      <c r="AA13" s="36" t="str" cm="1">
        <f t="array" ref="AA13">INDEX(_xlfn.TOROW(PixelShiftTable),Z13+1)</f>
        <v>A9</v>
      </c>
      <c r="AB13" t="str">
        <f t="shared" si="5"/>
        <v>A95C</v>
      </c>
      <c r="AC13" t="str">
        <f>pixel_pattern_table.asm!$B$2</f>
        <v>A900</v>
      </c>
      <c r="AD13">
        <f t="shared" si="6"/>
        <v>92</v>
      </c>
      <c r="AE13" s="41" t="str" cm="1">
        <f t="array" ref="AE13">INDEX(_xlfn.TOROW(PixelPatternTable),AD13+1)</f>
        <v>E0</v>
      </c>
      <c r="AF13" t="str">
        <f t="shared" si="7"/>
        <v>11100000</v>
      </c>
      <c r="AG13" t="str">
        <f t="shared" si="8"/>
        <v>1100000</v>
      </c>
      <c r="AH13" t="str" cm="1">
        <f t="array" ref="AH13">ReverseString(AG13)</f>
        <v>0000011</v>
      </c>
      <c r="AI13">
        <f t="shared" si="9"/>
        <v>93</v>
      </c>
      <c r="AJ13" s="41" t="str" cm="1">
        <f t="array" ref="AJ13">INDEX(_xlfn.TOROW(PixelPatternTable),AI13+1)</f>
        <v>82</v>
      </c>
      <c r="AK13" t="str">
        <f t="shared" si="10"/>
        <v>10000010</v>
      </c>
      <c r="AL13" t="str">
        <f t="shared" si="11"/>
        <v>0000010</v>
      </c>
      <c r="AM13" t="str" cm="1">
        <f t="array" ref="AM13">ReverseString(AL13)</f>
        <v>0100000</v>
      </c>
    </row>
    <row r="14" spans="2:39" x14ac:dyDescent="0.3">
      <c r="B14" s="31">
        <v>5</v>
      </c>
      <c r="C14" s="34" t="str">
        <f t="shared" si="0"/>
        <v>0</v>
      </c>
      <c r="D14" s="35" t="str">
        <f t="shared" si="0"/>
        <v>0</v>
      </c>
      <c r="E14" s="35" t="str">
        <f t="shared" si="0"/>
        <v>0</v>
      </c>
      <c r="F14" s="35" t="str">
        <f t="shared" si="0"/>
        <v>0</v>
      </c>
      <c r="G14" s="35" t="str">
        <f t="shared" si="0"/>
        <v>0</v>
      </c>
      <c r="H14" s="35" t="str">
        <f t="shared" si="0"/>
        <v>0</v>
      </c>
      <c r="I14" s="35" t="str">
        <f t="shared" si="0"/>
        <v>1</v>
      </c>
      <c r="J14" s="34" t="str">
        <f t="shared" si="1"/>
        <v>1</v>
      </c>
      <c r="K14" s="35" t="str">
        <f t="shared" si="1"/>
        <v>0</v>
      </c>
      <c r="L14" s="35" t="str">
        <f t="shared" si="1"/>
        <v>1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U14" s="36" t="str" cm="1">
        <f t="array" ref="U14">INDEX(PixelShiftPages,$B14+1)</f>
        <v>A7</v>
      </c>
      <c r="V14" t="str">
        <f t="shared" si="2"/>
        <v>A716</v>
      </c>
      <c r="W14" s="37" t="str">
        <f>pixel_shift_table.asm!$B$3</f>
        <v>A200</v>
      </c>
      <c r="X14">
        <f t="shared" si="3"/>
        <v>1302</v>
      </c>
      <c r="Y14" s="39" t="str" cm="1">
        <f t="array" ref="Y14">INDEX(_xlfn.TOROW(PixelShiftTable),X14+1)</f>
        <v>5E</v>
      </c>
      <c r="Z14">
        <f t="shared" si="4"/>
        <v>1430</v>
      </c>
      <c r="AA14" s="36" t="str" cm="1">
        <f t="array" ref="AA14">INDEX(_xlfn.TOROW(PixelShiftTable),Z14+1)</f>
        <v>A9</v>
      </c>
      <c r="AB14" t="str">
        <f t="shared" si="5"/>
        <v>A95E</v>
      </c>
      <c r="AC14" t="str">
        <f>pixel_pattern_table.asm!$B$2</f>
        <v>A900</v>
      </c>
      <c r="AD14">
        <f t="shared" si="6"/>
        <v>94</v>
      </c>
      <c r="AE14" s="41" t="str" cm="1">
        <f t="array" ref="AE14">INDEX(_xlfn.TOROW(PixelPatternTable),AD14+1)</f>
        <v>C0</v>
      </c>
      <c r="AF14" t="str">
        <f t="shared" si="7"/>
        <v>11000000</v>
      </c>
      <c r="AG14" t="str">
        <f t="shared" si="8"/>
        <v>1000000</v>
      </c>
      <c r="AH14" t="str" cm="1">
        <f t="array" ref="AH14">ReverseString(AG14)</f>
        <v>0000001</v>
      </c>
      <c r="AI14">
        <f t="shared" si="9"/>
        <v>95</v>
      </c>
      <c r="AJ14" s="41" t="str" cm="1">
        <f t="array" ref="AJ14">INDEX(_xlfn.TOROW(PixelPatternTable),AI14+1)</f>
        <v>85</v>
      </c>
      <c r="AK14" t="str">
        <f t="shared" si="10"/>
        <v>10000101</v>
      </c>
      <c r="AL14" t="str">
        <f t="shared" si="11"/>
        <v>0000101</v>
      </c>
      <c r="AM14" t="str" cm="1">
        <f t="array" ref="AM14">ReverseString(AL14)</f>
        <v>1010000</v>
      </c>
    </row>
    <row r="15" spans="2:39" x14ac:dyDescent="0.3">
      <c r="B15" s="31">
        <v>6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0</v>
      </c>
      <c r="G15" s="35" t="str">
        <f t="shared" si="0"/>
        <v>0</v>
      </c>
      <c r="H15" s="35" t="str">
        <f t="shared" si="0"/>
        <v>0</v>
      </c>
      <c r="I15" s="35" t="str">
        <f t="shared" si="0"/>
        <v>0</v>
      </c>
      <c r="J15" s="34" t="str">
        <f t="shared" si="1"/>
        <v>1</v>
      </c>
      <c r="K15" s="35" t="str">
        <f t="shared" si="1"/>
        <v>1</v>
      </c>
      <c r="L15" s="35" t="str">
        <f t="shared" si="1"/>
        <v>0</v>
      </c>
      <c r="M15" s="35" t="str">
        <f t="shared" si="1"/>
        <v>1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U15" s="36" t="str" cm="1">
        <f t="array" ref="U15">INDEX(PixelShiftPages,$B15+1)</f>
        <v>A8</v>
      </c>
      <c r="V15" t="str">
        <f t="shared" si="2"/>
        <v>A816</v>
      </c>
      <c r="W15" s="37" t="str">
        <f>pixel_shift_table.asm!$B$3</f>
        <v>A200</v>
      </c>
      <c r="X15">
        <f t="shared" si="3"/>
        <v>1558</v>
      </c>
      <c r="Y15" s="39" t="str" cm="1">
        <f t="array" ref="Y15">INDEX(_xlfn.TOROW(PixelShiftTable),X15+1)</f>
        <v>B0</v>
      </c>
      <c r="Z15">
        <f t="shared" si="4"/>
        <v>1686</v>
      </c>
      <c r="AA15" s="36" t="str" cm="1">
        <f t="array" ref="AA15">INDEX(_xlfn.TOROW(PixelShiftTable),Z15+1)</f>
        <v>A9</v>
      </c>
      <c r="AB15" t="str">
        <f t="shared" si="5"/>
        <v>A9B0</v>
      </c>
      <c r="AC15" t="str">
        <f>pixel_pattern_table.asm!$B$2</f>
        <v>A900</v>
      </c>
      <c r="AD15">
        <f t="shared" si="6"/>
        <v>176</v>
      </c>
      <c r="AE15" s="41" t="str" cm="1">
        <f t="array" ref="AE15">INDEX(_xlfn.TOROW(PixelPatternTable),AD15+1)</f>
        <v>80</v>
      </c>
      <c r="AF15" t="str">
        <f t="shared" si="7"/>
        <v>10000000</v>
      </c>
      <c r="AG15" t="str">
        <f t="shared" si="8"/>
        <v>0000000</v>
      </c>
      <c r="AH15" t="str" cm="1">
        <f t="array" ref="AH15">ReverseString(AG15)</f>
        <v>0000000</v>
      </c>
      <c r="AI15">
        <f t="shared" si="9"/>
        <v>177</v>
      </c>
      <c r="AJ15" s="41" t="str" cm="1">
        <f t="array" ref="AJ15">INDEX(_xlfn.TOROW(PixelPatternTable),AI15+1)</f>
        <v>8B</v>
      </c>
      <c r="AK15" t="str">
        <f t="shared" si="10"/>
        <v>10001011</v>
      </c>
      <c r="AL15" t="str">
        <f t="shared" si="11"/>
        <v>0001011</v>
      </c>
      <c r="AM15" t="str" cm="1">
        <f t="array" ref="AM15">ReverseString(AL15)</f>
        <v>1101000</v>
      </c>
    </row>
    <row r="17" spans="2:39" ht="60" x14ac:dyDescent="0.3">
      <c r="B17" t="s">
        <v>919</v>
      </c>
      <c r="U17" s="30" t="s">
        <v>894</v>
      </c>
      <c r="V17" s="30" t="s">
        <v>897</v>
      </c>
      <c r="W17" s="30" t="s">
        <v>898</v>
      </c>
      <c r="X17" s="30" t="s">
        <v>895</v>
      </c>
      <c r="Y17" s="30" t="s">
        <v>899</v>
      </c>
      <c r="Z17" s="30" t="s">
        <v>896</v>
      </c>
      <c r="AA17" s="30" t="s">
        <v>901</v>
      </c>
      <c r="AB17" s="30" t="s">
        <v>900</v>
      </c>
      <c r="AC17" s="30" t="s">
        <v>903</v>
      </c>
      <c r="AD17" s="30" t="s">
        <v>902</v>
      </c>
      <c r="AE17" s="30" t="s">
        <v>907</v>
      </c>
      <c r="AF17" s="30" t="s">
        <v>909</v>
      </c>
      <c r="AG17" s="30" t="s">
        <v>911</v>
      </c>
      <c r="AH17" s="30" t="s">
        <v>906</v>
      </c>
      <c r="AI17" s="30" t="s">
        <v>905</v>
      </c>
      <c r="AJ17" s="30" t="s">
        <v>908</v>
      </c>
      <c r="AK17" s="30" t="s">
        <v>910</v>
      </c>
      <c r="AL17" s="30" t="s">
        <v>912</v>
      </c>
      <c r="AM17" s="30" t="s">
        <v>904</v>
      </c>
    </row>
    <row r="18" spans="2:39" x14ac:dyDescent="0.3">
      <c r="C18">
        <v>0</v>
      </c>
      <c r="D18">
        <v>1</v>
      </c>
      <c r="E18">
        <v>2</v>
      </c>
      <c r="F18">
        <v>3</v>
      </c>
      <c r="G18">
        <v>4</v>
      </c>
      <c r="H18">
        <v>5</v>
      </c>
      <c r="I18">
        <v>6</v>
      </c>
      <c r="J18">
        <v>0</v>
      </c>
      <c r="K18">
        <v>1</v>
      </c>
      <c r="L18">
        <v>2</v>
      </c>
      <c r="M18">
        <v>3</v>
      </c>
      <c r="N18">
        <v>4</v>
      </c>
      <c r="O18">
        <v>5</v>
      </c>
      <c r="P18">
        <v>6</v>
      </c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</row>
    <row r="19" spans="2:39" x14ac:dyDescent="0.3">
      <c r="B19" s="5" t="s">
        <v>890</v>
      </c>
      <c r="C19" s="32" t="s">
        <v>889</v>
      </c>
      <c r="D19" s="33"/>
      <c r="E19" s="33"/>
      <c r="F19" s="33"/>
      <c r="G19" s="33"/>
      <c r="H19" s="33"/>
      <c r="I19" s="33"/>
      <c r="J19" s="32" t="s">
        <v>888</v>
      </c>
      <c r="K19" s="33"/>
      <c r="L19" s="33"/>
      <c r="M19" s="33"/>
      <c r="N19" s="33"/>
      <c r="O19" s="33"/>
      <c r="P19" s="33"/>
    </row>
    <row r="20" spans="2:39" x14ac:dyDescent="0.3">
      <c r="B20" s="31">
        <v>0</v>
      </c>
      <c r="C20" s="34" t="str">
        <f t="shared" ref="C20:I26" si="12">MID($AH20,C$7+1,1)</f>
        <v>0</v>
      </c>
      <c r="D20" s="35" t="str">
        <f t="shared" si="12"/>
        <v>1</v>
      </c>
      <c r="E20" s="35" t="str">
        <f t="shared" si="12"/>
        <v>1</v>
      </c>
      <c r="F20" s="35" t="str">
        <f t="shared" si="12"/>
        <v>0</v>
      </c>
      <c r="G20" s="35" t="str">
        <f t="shared" si="12"/>
        <v>1</v>
      </c>
      <c r="H20" s="35" t="str">
        <f t="shared" si="12"/>
        <v>0</v>
      </c>
      <c r="I20" s="35" t="str">
        <f t="shared" si="12"/>
        <v>0</v>
      </c>
      <c r="J20" s="34" t="str">
        <f t="shared" ref="J20:P26" si="13">MID($AM20,J$7+1,1)</f>
        <v>0</v>
      </c>
      <c r="K20" s="35" t="str">
        <f t="shared" si="13"/>
        <v>0</v>
      </c>
      <c r="L20" s="35" t="str">
        <f t="shared" si="13"/>
        <v>0</v>
      </c>
      <c r="M20" s="35" t="str">
        <f t="shared" si="13"/>
        <v>0</v>
      </c>
      <c r="N20" s="35" t="str">
        <f t="shared" si="13"/>
        <v>0</v>
      </c>
      <c r="O20" s="35" t="str">
        <f t="shared" si="13"/>
        <v>0</v>
      </c>
      <c r="P20" s="35" t="str">
        <f t="shared" si="13"/>
        <v>0</v>
      </c>
      <c r="U20" s="40" t="str">
        <f>U9</f>
        <v>A2</v>
      </c>
      <c r="V20" s="40" t="str">
        <f>V9</f>
        <v>A216</v>
      </c>
      <c r="W20" s="40" t="str">
        <f>W9</f>
        <v>A200</v>
      </c>
      <c r="X20" s="40">
        <f>X9</f>
        <v>22</v>
      </c>
      <c r="Y20" s="39" t="str" cm="1">
        <f t="array" ref="Y20">INDEX(PixelShiftTable,INT(X20/COLUMNS(PixelShiftTable))+1,MOD(X20,COLUMNS(PixelShiftTable))+1)</f>
        <v>54</v>
      </c>
      <c r="Z20" s="40">
        <f>Z9</f>
        <v>150</v>
      </c>
      <c r="AA20" s="36" t="str" cm="1">
        <f t="array" ref="AA20">INDEX(PixelShiftTable,INT(Z20/COLUMNS(PixelShiftTable))+1,MOD(Z20,COLUMNS(PixelShiftTable))+1)</f>
        <v>A9</v>
      </c>
      <c r="AB20" s="40" t="str">
        <f>AB9</f>
        <v>A954</v>
      </c>
      <c r="AC20" s="40" t="str">
        <f>AC9</f>
        <v>A900</v>
      </c>
      <c r="AD20" s="40">
        <f>AD9</f>
        <v>84</v>
      </c>
      <c r="AE20" s="41" t="str" cm="1">
        <f t="array" ref="AE20">INDEX(PixelPatternTable,INT(AD20/COLUMNS(PixelPatternTable))+1,MOD(AD20,COLUMNS(PixelPatternTable))+1)</f>
        <v>96</v>
      </c>
      <c r="AF20" s="40" t="str">
        <f t="shared" ref="AF20:AI20" si="14">AF9</f>
        <v>10010110</v>
      </c>
      <c r="AG20" s="40" t="str">
        <f t="shared" si="14"/>
        <v>0010110</v>
      </c>
      <c r="AH20" s="40" t="str">
        <f t="shared" si="14"/>
        <v>0110100</v>
      </c>
      <c r="AI20" s="40">
        <f t="shared" si="14"/>
        <v>85</v>
      </c>
      <c r="AJ20" s="41" t="str" cm="1">
        <f t="array" ref="AJ20">INDEX(PixelPatternTable,INT(AI20/COLUMNS(PixelPatternTable))+1,MOD(AI20,COLUMNS(PixelPatternTable))+1)</f>
        <v>80</v>
      </c>
      <c r="AK20" s="40" t="str">
        <f t="shared" ref="AK20:AM20" si="15">AK9</f>
        <v>10000000</v>
      </c>
      <c r="AL20" s="40" t="str">
        <f t="shared" si="15"/>
        <v>0000000</v>
      </c>
      <c r="AM20" s="40" t="str">
        <f t="shared" si="15"/>
        <v>0000000</v>
      </c>
    </row>
    <row r="21" spans="2:39" x14ac:dyDescent="0.3">
      <c r="B21" s="31">
        <v>1</v>
      </c>
      <c r="C21" s="34" t="str">
        <f t="shared" si="12"/>
        <v>0</v>
      </c>
      <c r="D21" s="35" t="str">
        <f t="shared" si="12"/>
        <v>0</v>
      </c>
      <c r="E21" s="35" t="str">
        <f t="shared" si="12"/>
        <v>1</v>
      </c>
      <c r="F21" s="35" t="str">
        <f t="shared" si="12"/>
        <v>1</v>
      </c>
      <c r="G21" s="35" t="str">
        <f t="shared" si="12"/>
        <v>0</v>
      </c>
      <c r="H21" s="35" t="str">
        <f t="shared" si="12"/>
        <v>1</v>
      </c>
      <c r="I21" s="35" t="str">
        <f t="shared" si="12"/>
        <v>0</v>
      </c>
      <c r="J21" s="34" t="str">
        <f t="shared" si="13"/>
        <v>0</v>
      </c>
      <c r="K21" s="35" t="str">
        <f t="shared" si="13"/>
        <v>0</v>
      </c>
      <c r="L21" s="35" t="str">
        <f t="shared" si="13"/>
        <v>0</v>
      </c>
      <c r="M21" s="35" t="str">
        <f t="shared" si="13"/>
        <v>0</v>
      </c>
      <c r="N21" s="35" t="str">
        <f t="shared" si="13"/>
        <v>0</v>
      </c>
      <c r="O21" s="35" t="str">
        <f t="shared" si="13"/>
        <v>0</v>
      </c>
      <c r="P21" s="35" t="str">
        <f t="shared" si="13"/>
        <v>0</v>
      </c>
      <c r="U21" s="40" t="str">
        <f t="shared" ref="U21:V26" si="16">U10</f>
        <v>A3</v>
      </c>
      <c r="V21" s="40" t="str">
        <f t="shared" si="16"/>
        <v>A316</v>
      </c>
      <c r="W21" s="40" t="str">
        <f t="shared" ref="W21:X21" si="17">W10</f>
        <v>A200</v>
      </c>
      <c r="X21" s="40">
        <f t="shared" si="17"/>
        <v>278</v>
      </c>
      <c r="Y21" s="39" t="str" cm="1">
        <f t="array" ref="Y21">INDEX(PixelShiftTable,INT(X21/COLUMNS(PixelShiftTable))+1,MOD(X21,COLUMNS(PixelShiftTable))+1)</f>
        <v>56</v>
      </c>
      <c r="Z21" s="40">
        <f t="shared" ref="Z21" si="18">Z10</f>
        <v>406</v>
      </c>
      <c r="AA21" s="39" t="str" cm="1">
        <f t="array" ref="AA21">INDEX(PixelShiftTable,INT(Z21/COLUMNS(PixelShiftTable))+1,MOD(Z21,COLUMNS(PixelShiftTable))+1)</f>
        <v>A9</v>
      </c>
      <c r="AB21" s="40" t="str">
        <f t="shared" ref="AB21:AD21" si="19">AB10</f>
        <v>A956</v>
      </c>
      <c r="AC21" s="40" t="str">
        <f t="shared" si="19"/>
        <v>A900</v>
      </c>
      <c r="AD21" s="40">
        <f t="shared" si="19"/>
        <v>86</v>
      </c>
      <c r="AE21" s="41" t="str" cm="1">
        <f t="array" ref="AE21">INDEX(PixelPatternTable,INT(AD21/COLUMNS(PixelPatternTable))+1,MOD(AD21,COLUMNS(PixelPatternTable))+1)</f>
        <v>AC</v>
      </c>
      <c r="AF21" s="40" t="str">
        <f t="shared" ref="AF21:AI21" si="20">AF10</f>
        <v>10101100</v>
      </c>
      <c r="AG21" s="40" t="str">
        <f t="shared" si="20"/>
        <v>0101100</v>
      </c>
      <c r="AH21" s="40" t="str">
        <f t="shared" si="20"/>
        <v>0011010</v>
      </c>
      <c r="AI21" s="40">
        <f t="shared" si="20"/>
        <v>87</v>
      </c>
      <c r="AJ21" s="41" t="str" cm="1">
        <f t="array" ref="AJ21">INDEX(PixelPatternTable,INT(AI21/COLUMNS(PixelPatternTable))+1,MOD(AI21,COLUMNS(PixelPatternTable))+1)</f>
        <v>80</v>
      </c>
      <c r="AK21" s="40" t="str">
        <f t="shared" ref="AK21:AM21" si="21">AK10</f>
        <v>10000000</v>
      </c>
      <c r="AL21" s="40" t="str">
        <f t="shared" si="21"/>
        <v>0000000</v>
      </c>
      <c r="AM21" s="40" t="str">
        <f t="shared" si="21"/>
        <v>0000000</v>
      </c>
    </row>
    <row r="22" spans="2:39" x14ac:dyDescent="0.3">
      <c r="B22" s="31">
        <v>2</v>
      </c>
      <c r="C22" s="34" t="str">
        <f t="shared" si="12"/>
        <v>0</v>
      </c>
      <c r="D22" s="35" t="str">
        <f t="shared" si="12"/>
        <v>0</v>
      </c>
      <c r="E22" s="35" t="str">
        <f t="shared" si="12"/>
        <v>0</v>
      </c>
      <c r="F22" s="35" t="str">
        <f t="shared" si="12"/>
        <v>1</v>
      </c>
      <c r="G22" s="35" t="str">
        <f t="shared" si="12"/>
        <v>1</v>
      </c>
      <c r="H22" s="35" t="str">
        <f t="shared" si="12"/>
        <v>0</v>
      </c>
      <c r="I22" s="35" t="str">
        <f t="shared" si="12"/>
        <v>1</v>
      </c>
      <c r="J22" s="34" t="str">
        <f t="shared" si="13"/>
        <v>0</v>
      </c>
      <c r="K22" s="35" t="str">
        <f t="shared" si="13"/>
        <v>0</v>
      </c>
      <c r="L22" s="35" t="str">
        <f t="shared" si="13"/>
        <v>0</v>
      </c>
      <c r="M22" s="35" t="str">
        <f t="shared" si="13"/>
        <v>0</v>
      </c>
      <c r="N22" s="35" t="str">
        <f t="shared" si="13"/>
        <v>0</v>
      </c>
      <c r="O22" s="35" t="str">
        <f t="shared" si="13"/>
        <v>0</v>
      </c>
      <c r="P22" s="35" t="str">
        <f t="shared" si="13"/>
        <v>0</v>
      </c>
      <c r="U22" s="40" t="str">
        <f t="shared" si="16"/>
        <v>A4</v>
      </c>
      <c r="V22" s="40" t="str">
        <f t="shared" si="16"/>
        <v>A416</v>
      </c>
      <c r="W22" s="40" t="str">
        <f t="shared" ref="W22:X22" si="22">W11</f>
        <v>A200</v>
      </c>
      <c r="X22" s="40">
        <f t="shared" si="22"/>
        <v>534</v>
      </c>
      <c r="Y22" s="39" t="str" cm="1">
        <f t="array" ref="Y22">INDEX(PixelShiftTable,INT(X22/COLUMNS(PixelShiftTable))+1,MOD(X22,COLUMNS(PixelShiftTable))+1)</f>
        <v>58</v>
      </c>
      <c r="Z22" s="40">
        <f t="shared" ref="Z22" si="23">Z11</f>
        <v>662</v>
      </c>
      <c r="AA22" s="39" t="str" cm="1">
        <f t="array" ref="AA22">INDEX(PixelShiftTable,INT(Z22/COLUMNS(PixelShiftTable))+1,MOD(Z22,COLUMNS(PixelShiftTable))+1)</f>
        <v>A9</v>
      </c>
      <c r="AB22" s="40" t="str">
        <f t="shared" ref="AB22:AD22" si="24">AB11</f>
        <v>A958</v>
      </c>
      <c r="AC22" s="40" t="str">
        <f t="shared" si="24"/>
        <v>A900</v>
      </c>
      <c r="AD22" s="40">
        <f t="shared" si="24"/>
        <v>88</v>
      </c>
      <c r="AE22" s="41" t="str" cm="1">
        <f t="array" ref="AE22">INDEX(PixelPatternTable,INT(AD22/COLUMNS(PixelPatternTable))+1,MOD(AD22,COLUMNS(PixelPatternTable))+1)</f>
        <v>D8</v>
      </c>
      <c r="AF22" s="40" t="str">
        <f t="shared" ref="AF22:AI22" si="25">AF11</f>
        <v>11011000</v>
      </c>
      <c r="AG22" s="40" t="str">
        <f t="shared" si="25"/>
        <v>1011000</v>
      </c>
      <c r="AH22" s="40" t="str">
        <f t="shared" si="25"/>
        <v>0001101</v>
      </c>
      <c r="AI22" s="40">
        <f t="shared" si="25"/>
        <v>89</v>
      </c>
      <c r="AJ22" s="41" t="str" cm="1">
        <f t="array" ref="AJ22">INDEX(PixelPatternTable,INT(AI22/COLUMNS(PixelPatternTable))+1,MOD(AI22,COLUMNS(PixelPatternTable))+1)</f>
        <v>80</v>
      </c>
      <c r="AK22" s="40" t="str">
        <f t="shared" ref="AK22:AM22" si="26">AK11</f>
        <v>10000000</v>
      </c>
      <c r="AL22" s="40" t="str">
        <f t="shared" si="26"/>
        <v>0000000</v>
      </c>
      <c r="AM22" s="40" t="str">
        <f t="shared" si="26"/>
        <v>0000000</v>
      </c>
    </row>
    <row r="23" spans="2:39" x14ac:dyDescent="0.3">
      <c r="B23" s="31">
        <v>3</v>
      </c>
      <c r="C23" s="34" t="str">
        <f t="shared" si="12"/>
        <v>0</v>
      </c>
      <c r="D23" s="35" t="str">
        <f t="shared" si="12"/>
        <v>0</v>
      </c>
      <c r="E23" s="35" t="str">
        <f t="shared" si="12"/>
        <v>0</v>
      </c>
      <c r="F23" s="35" t="str">
        <f t="shared" si="12"/>
        <v>0</v>
      </c>
      <c r="G23" s="35" t="str">
        <f t="shared" si="12"/>
        <v>1</v>
      </c>
      <c r="H23" s="35" t="str">
        <f t="shared" si="12"/>
        <v>1</v>
      </c>
      <c r="I23" s="35" t="str">
        <f t="shared" si="12"/>
        <v>0</v>
      </c>
      <c r="J23" s="34" t="str">
        <f t="shared" si="13"/>
        <v>1</v>
      </c>
      <c r="K23" s="35" t="str">
        <f t="shared" si="13"/>
        <v>0</v>
      </c>
      <c r="L23" s="35" t="str">
        <f t="shared" si="13"/>
        <v>0</v>
      </c>
      <c r="M23" s="35" t="str">
        <f t="shared" si="13"/>
        <v>0</v>
      </c>
      <c r="N23" s="35" t="str">
        <f t="shared" si="13"/>
        <v>0</v>
      </c>
      <c r="O23" s="35" t="str">
        <f t="shared" si="13"/>
        <v>0</v>
      </c>
      <c r="P23" s="35" t="str">
        <f t="shared" si="13"/>
        <v>0</v>
      </c>
      <c r="U23" s="40" t="str">
        <f t="shared" si="16"/>
        <v>A5</v>
      </c>
      <c r="V23" s="40" t="str">
        <f t="shared" si="16"/>
        <v>A516</v>
      </c>
      <c r="W23" s="40" t="str">
        <f t="shared" ref="W23:X23" si="27">W12</f>
        <v>A200</v>
      </c>
      <c r="X23" s="40">
        <f t="shared" si="27"/>
        <v>790</v>
      </c>
      <c r="Y23" s="39" t="str" cm="1">
        <f t="array" ref="Y23">INDEX(PixelShiftTable,INT(X23/COLUMNS(PixelShiftTable))+1,MOD(X23,COLUMNS(PixelShiftTable))+1)</f>
        <v>5A</v>
      </c>
      <c r="Z23" s="40">
        <f t="shared" ref="Z23" si="28">Z12</f>
        <v>918</v>
      </c>
      <c r="AA23" s="39" t="str" cm="1">
        <f t="array" ref="AA23">INDEX(PixelShiftTable,INT(Z23/COLUMNS(PixelShiftTable))+1,MOD(Z23,COLUMNS(PixelShiftTable))+1)</f>
        <v>A9</v>
      </c>
      <c r="AB23" s="40" t="str">
        <f t="shared" ref="AB23:AD23" si="29">AB12</f>
        <v>A95A</v>
      </c>
      <c r="AC23" s="40" t="str">
        <f t="shared" si="29"/>
        <v>A900</v>
      </c>
      <c r="AD23" s="40">
        <f t="shared" si="29"/>
        <v>90</v>
      </c>
      <c r="AE23" s="41" t="str" cm="1">
        <f t="array" ref="AE23">INDEX(PixelPatternTable,INT(AD23/COLUMNS(PixelPatternTable))+1,MOD(AD23,COLUMNS(PixelPatternTable))+1)</f>
        <v>B0</v>
      </c>
      <c r="AF23" s="40" t="str">
        <f t="shared" ref="AF23:AI23" si="30">AF12</f>
        <v>10110000</v>
      </c>
      <c r="AG23" s="40" t="str">
        <f t="shared" si="30"/>
        <v>0110000</v>
      </c>
      <c r="AH23" s="40" t="str">
        <f t="shared" si="30"/>
        <v>0000110</v>
      </c>
      <c r="AI23" s="40">
        <f t="shared" si="30"/>
        <v>91</v>
      </c>
      <c r="AJ23" s="41" t="str" cm="1">
        <f t="array" ref="AJ23">INDEX(PixelPatternTable,INT(AI23/COLUMNS(PixelPatternTable))+1,MOD(AI23,COLUMNS(PixelPatternTable))+1)</f>
        <v>81</v>
      </c>
      <c r="AK23" s="40" t="str">
        <f t="shared" ref="AK23:AM23" si="31">AK12</f>
        <v>10000001</v>
      </c>
      <c r="AL23" s="40" t="str">
        <f t="shared" si="31"/>
        <v>0000001</v>
      </c>
      <c r="AM23" s="40" t="str">
        <f t="shared" si="31"/>
        <v>1000000</v>
      </c>
    </row>
    <row r="24" spans="2:39" x14ac:dyDescent="0.3">
      <c r="B24" s="31">
        <v>4</v>
      </c>
      <c r="C24" s="34" t="str">
        <f t="shared" si="12"/>
        <v>0</v>
      </c>
      <c r="D24" s="35" t="str">
        <f t="shared" si="12"/>
        <v>0</v>
      </c>
      <c r="E24" s="35" t="str">
        <f t="shared" si="12"/>
        <v>0</v>
      </c>
      <c r="F24" s="35" t="str">
        <f t="shared" si="12"/>
        <v>0</v>
      </c>
      <c r="G24" s="35" t="str">
        <f t="shared" si="12"/>
        <v>0</v>
      </c>
      <c r="H24" s="35" t="str">
        <f t="shared" si="12"/>
        <v>1</v>
      </c>
      <c r="I24" s="35" t="str">
        <f t="shared" si="12"/>
        <v>1</v>
      </c>
      <c r="J24" s="34" t="str">
        <f t="shared" si="13"/>
        <v>0</v>
      </c>
      <c r="K24" s="35" t="str">
        <f t="shared" si="13"/>
        <v>1</v>
      </c>
      <c r="L24" s="35" t="str">
        <f t="shared" si="13"/>
        <v>0</v>
      </c>
      <c r="M24" s="35" t="str">
        <f t="shared" si="13"/>
        <v>0</v>
      </c>
      <c r="N24" s="35" t="str">
        <f t="shared" si="13"/>
        <v>0</v>
      </c>
      <c r="O24" s="35" t="str">
        <f t="shared" si="13"/>
        <v>0</v>
      </c>
      <c r="P24" s="35" t="str">
        <f t="shared" si="13"/>
        <v>0</v>
      </c>
      <c r="U24" s="40" t="str">
        <f t="shared" si="16"/>
        <v>A6</v>
      </c>
      <c r="V24" s="40" t="str">
        <f t="shared" si="16"/>
        <v>A616</v>
      </c>
      <c r="W24" s="40" t="str">
        <f t="shared" ref="W24:X24" si="32">W13</f>
        <v>A200</v>
      </c>
      <c r="X24" s="40">
        <f t="shared" si="32"/>
        <v>1046</v>
      </c>
      <c r="Y24" s="39" t="str" cm="1">
        <f t="array" ref="Y24">INDEX(PixelShiftTable,INT(X24/COLUMNS(PixelShiftTable))+1,MOD(X24,COLUMNS(PixelShiftTable))+1)</f>
        <v>5C</v>
      </c>
      <c r="Z24" s="40">
        <f t="shared" ref="Z24" si="33">Z13</f>
        <v>1174</v>
      </c>
      <c r="AA24" s="39" t="str" cm="1">
        <f t="array" ref="AA24">INDEX(PixelShiftTable,INT(Z24/COLUMNS(PixelShiftTable))+1,MOD(Z24,COLUMNS(PixelShiftTable))+1)</f>
        <v>A9</v>
      </c>
      <c r="AB24" s="40" t="str">
        <f t="shared" ref="AB24:AD24" si="34">AB13</f>
        <v>A95C</v>
      </c>
      <c r="AC24" s="40" t="str">
        <f t="shared" si="34"/>
        <v>A900</v>
      </c>
      <c r="AD24" s="40">
        <f t="shared" si="34"/>
        <v>92</v>
      </c>
      <c r="AE24" s="41" t="str" cm="1">
        <f t="array" ref="AE24">INDEX(PixelPatternTable,INT(AD24/COLUMNS(PixelPatternTable))+1,MOD(AD24,COLUMNS(PixelPatternTable))+1)</f>
        <v>E0</v>
      </c>
      <c r="AF24" s="40" t="str">
        <f t="shared" ref="AF24:AI24" si="35">AF13</f>
        <v>11100000</v>
      </c>
      <c r="AG24" s="40" t="str">
        <f t="shared" si="35"/>
        <v>1100000</v>
      </c>
      <c r="AH24" s="40" t="str">
        <f t="shared" si="35"/>
        <v>0000011</v>
      </c>
      <c r="AI24" s="40">
        <f t="shared" si="35"/>
        <v>93</v>
      </c>
      <c r="AJ24" s="41" t="str" cm="1">
        <f t="array" ref="AJ24">INDEX(PixelPatternTable,INT(AI24/COLUMNS(PixelPatternTable))+1,MOD(AI24,COLUMNS(PixelPatternTable))+1)</f>
        <v>82</v>
      </c>
      <c r="AK24" s="40" t="str">
        <f t="shared" ref="AK24:AM24" si="36">AK13</f>
        <v>10000010</v>
      </c>
      <c r="AL24" s="40" t="str">
        <f t="shared" si="36"/>
        <v>0000010</v>
      </c>
      <c r="AM24" s="40" t="str">
        <f t="shared" si="36"/>
        <v>0100000</v>
      </c>
    </row>
    <row r="25" spans="2:39" x14ac:dyDescent="0.3">
      <c r="B25" s="31">
        <v>5</v>
      </c>
      <c r="C25" s="34" t="str">
        <f t="shared" si="12"/>
        <v>0</v>
      </c>
      <c r="D25" s="35" t="str">
        <f t="shared" si="12"/>
        <v>0</v>
      </c>
      <c r="E25" s="35" t="str">
        <f t="shared" si="12"/>
        <v>0</v>
      </c>
      <c r="F25" s="35" t="str">
        <f t="shared" si="12"/>
        <v>0</v>
      </c>
      <c r="G25" s="35" t="str">
        <f t="shared" si="12"/>
        <v>0</v>
      </c>
      <c r="H25" s="35" t="str">
        <f t="shared" si="12"/>
        <v>0</v>
      </c>
      <c r="I25" s="35" t="str">
        <f t="shared" si="12"/>
        <v>1</v>
      </c>
      <c r="J25" s="34" t="str">
        <f t="shared" si="13"/>
        <v>1</v>
      </c>
      <c r="K25" s="35" t="str">
        <f t="shared" si="13"/>
        <v>0</v>
      </c>
      <c r="L25" s="35" t="str">
        <f t="shared" si="13"/>
        <v>1</v>
      </c>
      <c r="M25" s="35" t="str">
        <f t="shared" si="13"/>
        <v>0</v>
      </c>
      <c r="N25" s="35" t="str">
        <f t="shared" si="13"/>
        <v>0</v>
      </c>
      <c r="O25" s="35" t="str">
        <f t="shared" si="13"/>
        <v>0</v>
      </c>
      <c r="P25" s="35" t="str">
        <f t="shared" si="13"/>
        <v>0</v>
      </c>
      <c r="U25" s="40" t="str">
        <f t="shared" si="16"/>
        <v>A7</v>
      </c>
      <c r="V25" s="40" t="str">
        <f t="shared" si="16"/>
        <v>A716</v>
      </c>
      <c r="W25" s="40" t="str">
        <f t="shared" ref="W25:X25" si="37">W14</f>
        <v>A200</v>
      </c>
      <c r="X25" s="40">
        <f t="shared" si="37"/>
        <v>1302</v>
      </c>
      <c r="Y25" s="39" t="str" cm="1">
        <f t="array" ref="Y25">INDEX(PixelShiftTable,INT(X25/COLUMNS(PixelShiftTable))+1,MOD(X25,COLUMNS(PixelShiftTable))+1)</f>
        <v>5E</v>
      </c>
      <c r="Z25" s="40">
        <f t="shared" ref="Z25" si="38">Z14</f>
        <v>1430</v>
      </c>
      <c r="AA25" s="39" t="str" cm="1">
        <f t="array" ref="AA25">INDEX(PixelShiftTable,INT(Z25/COLUMNS(PixelShiftTable))+1,MOD(Z25,COLUMNS(PixelShiftTable))+1)</f>
        <v>A9</v>
      </c>
      <c r="AB25" s="40" t="str">
        <f t="shared" ref="AB25:AD25" si="39">AB14</f>
        <v>A95E</v>
      </c>
      <c r="AC25" s="40" t="str">
        <f t="shared" si="39"/>
        <v>A900</v>
      </c>
      <c r="AD25" s="40">
        <f t="shared" si="39"/>
        <v>94</v>
      </c>
      <c r="AE25" s="41" t="str" cm="1">
        <f t="array" ref="AE25">INDEX(PixelPatternTable,INT(AD25/COLUMNS(PixelPatternTable))+1,MOD(AD25,COLUMNS(PixelPatternTable))+1)</f>
        <v>C0</v>
      </c>
      <c r="AF25" s="40" t="str">
        <f t="shared" ref="AF25:AI25" si="40">AF14</f>
        <v>11000000</v>
      </c>
      <c r="AG25" s="40" t="str">
        <f t="shared" si="40"/>
        <v>1000000</v>
      </c>
      <c r="AH25" s="40" t="str">
        <f t="shared" si="40"/>
        <v>0000001</v>
      </c>
      <c r="AI25" s="40">
        <f t="shared" si="40"/>
        <v>95</v>
      </c>
      <c r="AJ25" s="41" t="str" cm="1">
        <f t="array" ref="AJ25">INDEX(PixelPatternTable,INT(AI25/COLUMNS(PixelPatternTable))+1,MOD(AI25,COLUMNS(PixelPatternTable))+1)</f>
        <v>85</v>
      </c>
      <c r="AK25" s="40" t="str">
        <f t="shared" ref="AK25:AM25" si="41">AK14</f>
        <v>10000101</v>
      </c>
      <c r="AL25" s="40" t="str">
        <f t="shared" si="41"/>
        <v>0000101</v>
      </c>
      <c r="AM25" s="40" t="str">
        <f t="shared" si="41"/>
        <v>1010000</v>
      </c>
    </row>
    <row r="26" spans="2:39" x14ac:dyDescent="0.3">
      <c r="B26" s="31">
        <v>6</v>
      </c>
      <c r="C26" s="34" t="str">
        <f t="shared" si="12"/>
        <v>0</v>
      </c>
      <c r="D26" s="35" t="str">
        <f t="shared" si="12"/>
        <v>0</v>
      </c>
      <c r="E26" s="35" t="str">
        <f t="shared" si="12"/>
        <v>0</v>
      </c>
      <c r="F26" s="35" t="str">
        <f t="shared" si="12"/>
        <v>0</v>
      </c>
      <c r="G26" s="35" t="str">
        <f t="shared" si="12"/>
        <v>0</v>
      </c>
      <c r="H26" s="35" t="str">
        <f t="shared" si="12"/>
        <v>0</v>
      </c>
      <c r="I26" s="35" t="str">
        <f t="shared" si="12"/>
        <v>0</v>
      </c>
      <c r="J26" s="34" t="str">
        <f t="shared" si="13"/>
        <v>1</v>
      </c>
      <c r="K26" s="35" t="str">
        <f t="shared" si="13"/>
        <v>1</v>
      </c>
      <c r="L26" s="35" t="str">
        <f t="shared" si="13"/>
        <v>0</v>
      </c>
      <c r="M26" s="35" t="str">
        <f t="shared" si="13"/>
        <v>1</v>
      </c>
      <c r="N26" s="35" t="str">
        <f t="shared" si="13"/>
        <v>0</v>
      </c>
      <c r="O26" s="35" t="str">
        <f t="shared" si="13"/>
        <v>0</v>
      </c>
      <c r="P26" s="35" t="str">
        <f t="shared" si="13"/>
        <v>0</v>
      </c>
      <c r="U26" s="40" t="str">
        <f t="shared" si="16"/>
        <v>A8</v>
      </c>
      <c r="V26" s="40" t="str">
        <f t="shared" si="16"/>
        <v>A816</v>
      </c>
      <c r="W26" s="40" t="str">
        <f t="shared" ref="W26:X26" si="42">W15</f>
        <v>A200</v>
      </c>
      <c r="X26" s="40">
        <f t="shared" si="42"/>
        <v>1558</v>
      </c>
      <c r="Y26" s="39" t="str" cm="1">
        <f t="array" ref="Y26">INDEX(PixelShiftTable,INT(X26/COLUMNS(PixelShiftTable))+1,MOD(X26,COLUMNS(PixelShiftTable))+1)</f>
        <v>B0</v>
      </c>
      <c r="Z26" s="40">
        <f t="shared" ref="Z26" si="43">Z15</f>
        <v>1686</v>
      </c>
      <c r="AA26" s="39" t="str" cm="1">
        <f t="array" ref="AA26">INDEX(PixelShiftTable,INT(Z26/COLUMNS(PixelShiftTable))+1,MOD(Z26,COLUMNS(PixelShiftTable))+1)</f>
        <v>A9</v>
      </c>
      <c r="AB26" s="40" t="str">
        <f t="shared" ref="AB26:AD26" si="44">AB15</f>
        <v>A9B0</v>
      </c>
      <c r="AC26" s="40" t="str">
        <f t="shared" si="44"/>
        <v>A900</v>
      </c>
      <c r="AD26" s="40">
        <f t="shared" si="44"/>
        <v>176</v>
      </c>
      <c r="AE26" s="41" t="str" cm="1">
        <f t="array" ref="AE26">INDEX(PixelPatternTable,INT(AD26/COLUMNS(PixelPatternTable))+1,MOD(AD26,COLUMNS(PixelPatternTable))+1)</f>
        <v>80</v>
      </c>
      <c r="AF26" s="40" t="str">
        <f t="shared" ref="AF26:AI26" si="45">AF15</f>
        <v>10000000</v>
      </c>
      <c r="AG26" s="40" t="str">
        <f t="shared" si="45"/>
        <v>0000000</v>
      </c>
      <c r="AH26" s="40" t="str">
        <f t="shared" si="45"/>
        <v>0000000</v>
      </c>
      <c r="AI26" s="40">
        <f t="shared" si="45"/>
        <v>177</v>
      </c>
      <c r="AJ26" s="41" t="str" cm="1">
        <f t="array" ref="AJ26">INDEX(PixelPatternTable,INT(AI26/COLUMNS(PixelPatternTable))+1,MOD(AI26,COLUMNS(PixelPatternTable))+1)</f>
        <v>8B</v>
      </c>
      <c r="AK26" s="40" t="str">
        <f t="shared" ref="AK26:AM26" si="46">AK15</f>
        <v>10001011</v>
      </c>
      <c r="AL26" s="40" t="str">
        <f t="shared" si="46"/>
        <v>0001011</v>
      </c>
      <c r="AM26" s="40" t="str">
        <f t="shared" si="46"/>
        <v>1101000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883</v>
      </c>
      <c r="C2" s="5" t="s">
        <v>884</v>
      </c>
      <c r="D2" s="5" t="s">
        <v>885</v>
      </c>
      <c r="E2" s="5" t="s">
        <v>886</v>
      </c>
      <c r="F2" s="5" t="s">
        <v>887</v>
      </c>
      <c r="G2" s="5" t="s">
        <v>882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3"/>
      <c r="E1" s="6"/>
      <c r="F1" s="7"/>
    </row>
    <row r="2" spans="1:6" x14ac:dyDescent="0.3">
      <c r="A2" s="42" t="s">
        <v>174</v>
      </c>
      <c r="B2" s="66" t="s">
        <v>880</v>
      </c>
      <c r="C2" s="43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42" t="s">
        <v>175</v>
      </c>
      <c r="B3" s="5" t="str">
        <f>DEC2HEX(HEX2DEC(B2)+2)</f>
        <v>A902</v>
      </c>
      <c r="C3" s="43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42" t="s">
        <v>176</v>
      </c>
      <c r="B4" s="5" t="str">
        <f t="shared" ref="B4:B67" si="4">DEC2HEX(HEX2DEC(B3)+2)</f>
        <v>A904</v>
      </c>
      <c r="C4" s="43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42" t="s">
        <v>177</v>
      </c>
      <c r="B5" s="5" t="str">
        <f t="shared" si="4"/>
        <v>A906</v>
      </c>
      <c r="C5" s="43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42" t="s">
        <v>178</v>
      </c>
      <c r="B6" s="5" t="str">
        <f t="shared" si="4"/>
        <v>A908</v>
      </c>
      <c r="C6" s="43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42" t="s">
        <v>179</v>
      </c>
      <c r="B7" s="5" t="str">
        <f t="shared" si="4"/>
        <v>A90A</v>
      </c>
      <c r="C7" s="43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42" t="s">
        <v>180</v>
      </c>
      <c r="B8" s="5" t="str">
        <f t="shared" si="4"/>
        <v>A90C</v>
      </c>
      <c r="C8" s="43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42" t="s">
        <v>181</v>
      </c>
      <c r="B9" s="5" t="str">
        <f t="shared" si="4"/>
        <v>A90E</v>
      </c>
      <c r="C9" s="43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42" t="s">
        <v>182</v>
      </c>
      <c r="B10" s="5" t="str">
        <f t="shared" si="4"/>
        <v>A910</v>
      </c>
      <c r="C10" s="43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42" t="s">
        <v>183</v>
      </c>
      <c r="B11" s="5" t="str">
        <f t="shared" si="4"/>
        <v>A912</v>
      </c>
      <c r="C11" s="43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42" t="s">
        <v>184</v>
      </c>
      <c r="B12" s="5" t="str">
        <f t="shared" si="4"/>
        <v>A914</v>
      </c>
      <c r="C12" s="43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42" t="s">
        <v>185</v>
      </c>
      <c r="B13" s="5" t="str">
        <f t="shared" si="4"/>
        <v>A916</v>
      </c>
      <c r="C13" s="43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42" t="s">
        <v>186</v>
      </c>
      <c r="B14" s="5" t="str">
        <f t="shared" si="4"/>
        <v>A918</v>
      </c>
      <c r="C14" s="43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42" t="s">
        <v>187</v>
      </c>
      <c r="B15" s="5" t="str">
        <f t="shared" si="4"/>
        <v>A91A</v>
      </c>
      <c r="C15" s="43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42" t="s">
        <v>188</v>
      </c>
      <c r="B16" s="5" t="str">
        <f t="shared" si="4"/>
        <v>A91C</v>
      </c>
      <c r="C16" s="43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42" t="s">
        <v>189</v>
      </c>
      <c r="B17" s="5" t="str">
        <f t="shared" si="4"/>
        <v>A91E</v>
      </c>
      <c r="C17" s="43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42" t="s">
        <v>190</v>
      </c>
      <c r="B18" s="5" t="str">
        <f t="shared" si="4"/>
        <v>A920</v>
      </c>
      <c r="C18" s="43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42" t="s">
        <v>191</v>
      </c>
      <c r="B19" s="5" t="str">
        <f t="shared" si="4"/>
        <v>A922</v>
      </c>
      <c r="C19" s="43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42" t="s">
        <v>192</v>
      </c>
      <c r="B20" s="5" t="str">
        <f t="shared" si="4"/>
        <v>A924</v>
      </c>
      <c r="C20" s="43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42" t="s">
        <v>193</v>
      </c>
      <c r="B21" s="5" t="str">
        <f t="shared" si="4"/>
        <v>A926</v>
      </c>
      <c r="C21" s="43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42" t="s">
        <v>194</v>
      </c>
      <c r="B22" s="5" t="str">
        <f t="shared" si="4"/>
        <v>A928</v>
      </c>
      <c r="C22" s="43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42" t="s">
        <v>195</v>
      </c>
      <c r="B23" s="5" t="str">
        <f t="shared" si="4"/>
        <v>A92A</v>
      </c>
      <c r="C23" s="43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42" t="s">
        <v>196</v>
      </c>
      <c r="B24" s="5" t="str">
        <f t="shared" si="4"/>
        <v>A92C</v>
      </c>
      <c r="C24" s="43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42" t="s">
        <v>197</v>
      </c>
      <c r="B25" s="5" t="str">
        <f t="shared" si="4"/>
        <v>A92E</v>
      </c>
      <c r="C25" s="43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42" t="s">
        <v>198</v>
      </c>
      <c r="B26" s="5" t="str">
        <f t="shared" si="4"/>
        <v>A930</v>
      </c>
      <c r="C26" s="43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42" t="s">
        <v>199</v>
      </c>
      <c r="B27" s="5" t="str">
        <f t="shared" si="4"/>
        <v>A932</v>
      </c>
      <c r="C27" s="43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42" t="s">
        <v>200</v>
      </c>
      <c r="B28" s="5" t="str">
        <f t="shared" si="4"/>
        <v>A934</v>
      </c>
      <c r="C28" s="43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42" t="s">
        <v>201</v>
      </c>
      <c r="B29" s="5" t="str">
        <f t="shared" si="4"/>
        <v>A936</v>
      </c>
      <c r="C29" s="43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42" t="s">
        <v>202</v>
      </c>
      <c r="B30" s="5" t="str">
        <f t="shared" si="4"/>
        <v>A938</v>
      </c>
      <c r="C30" s="43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42" t="s">
        <v>203</v>
      </c>
      <c r="B31" s="5" t="str">
        <f t="shared" si="4"/>
        <v>A93A</v>
      </c>
      <c r="C31" s="43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42" t="s">
        <v>204</v>
      </c>
      <c r="B32" s="5" t="str">
        <f t="shared" si="4"/>
        <v>A93C</v>
      </c>
      <c r="C32" s="43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42" t="s">
        <v>205</v>
      </c>
      <c r="B33" s="5" t="str">
        <f t="shared" si="4"/>
        <v>A93E</v>
      </c>
      <c r="C33" s="43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42" t="s">
        <v>206</v>
      </c>
      <c r="B34" s="5" t="str">
        <f t="shared" si="4"/>
        <v>A940</v>
      </c>
      <c r="C34" s="43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42" t="s">
        <v>207</v>
      </c>
      <c r="B35" s="5" t="str">
        <f t="shared" si="4"/>
        <v>A942</v>
      </c>
      <c r="C35" s="43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42" t="s">
        <v>208</v>
      </c>
      <c r="B36" s="5" t="str">
        <f t="shared" si="4"/>
        <v>A944</v>
      </c>
      <c r="C36" s="43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42" t="s">
        <v>209</v>
      </c>
      <c r="B37" s="5" t="str">
        <f t="shared" si="4"/>
        <v>A946</v>
      </c>
      <c r="C37" s="43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42" t="s">
        <v>210</v>
      </c>
      <c r="B38" s="5" t="str">
        <f t="shared" si="4"/>
        <v>A948</v>
      </c>
      <c r="C38" s="43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42" t="s">
        <v>211</v>
      </c>
      <c r="B39" s="5" t="str">
        <f t="shared" si="4"/>
        <v>A94A</v>
      </c>
      <c r="C39" s="43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42" t="s">
        <v>212</v>
      </c>
      <c r="B40" s="5" t="str">
        <f t="shared" si="4"/>
        <v>A94C</v>
      </c>
      <c r="C40" s="43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42" t="s">
        <v>213</v>
      </c>
      <c r="B41" s="5" t="str">
        <f t="shared" si="4"/>
        <v>A94E</v>
      </c>
      <c r="C41" s="43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42" t="s">
        <v>214</v>
      </c>
      <c r="B42" s="5" t="str">
        <f t="shared" si="4"/>
        <v>A950</v>
      </c>
      <c r="C42" s="43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42" t="s">
        <v>215</v>
      </c>
      <c r="B43" s="5" t="str">
        <f t="shared" si="4"/>
        <v>A952</v>
      </c>
      <c r="C43" s="43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42" t="s">
        <v>216</v>
      </c>
      <c r="B44" s="5" t="str">
        <f t="shared" si="4"/>
        <v>A954</v>
      </c>
      <c r="C44" s="43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42" t="s">
        <v>217</v>
      </c>
      <c r="B45" s="5" t="str">
        <f t="shared" si="4"/>
        <v>A956</v>
      </c>
      <c r="C45" s="43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42" t="s">
        <v>218</v>
      </c>
      <c r="B46" s="5" t="str">
        <f t="shared" si="4"/>
        <v>A958</v>
      </c>
      <c r="C46" s="43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42" t="s">
        <v>219</v>
      </c>
      <c r="B47" s="5" t="str">
        <f t="shared" si="4"/>
        <v>A95A</v>
      </c>
      <c r="C47" s="43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42" t="s">
        <v>220</v>
      </c>
      <c r="B48" s="5" t="str">
        <f t="shared" si="4"/>
        <v>A95C</v>
      </c>
      <c r="C48" s="43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42" t="s">
        <v>221</v>
      </c>
      <c r="B49" s="5" t="str">
        <f t="shared" si="4"/>
        <v>A95E</v>
      </c>
      <c r="C49" s="43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42" t="s">
        <v>222</v>
      </c>
      <c r="B50" s="5" t="str">
        <f t="shared" si="4"/>
        <v>A960</v>
      </c>
      <c r="C50" s="43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42" t="s">
        <v>223</v>
      </c>
      <c r="B51" s="5" t="str">
        <f t="shared" si="4"/>
        <v>A962</v>
      </c>
      <c r="C51" s="43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42" t="s">
        <v>224</v>
      </c>
      <c r="B52" s="5" t="str">
        <f t="shared" si="4"/>
        <v>A964</v>
      </c>
      <c r="C52" s="43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42" t="s">
        <v>225</v>
      </c>
      <c r="B53" s="5" t="str">
        <f t="shared" si="4"/>
        <v>A966</v>
      </c>
      <c r="C53" s="43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42" t="s">
        <v>226</v>
      </c>
      <c r="B54" s="5" t="str">
        <f t="shared" si="4"/>
        <v>A968</v>
      </c>
      <c r="C54" s="43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42" t="s">
        <v>227</v>
      </c>
      <c r="B55" s="5" t="str">
        <f t="shared" si="4"/>
        <v>A96A</v>
      </c>
      <c r="C55" s="43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42" t="s">
        <v>228</v>
      </c>
      <c r="B56" s="5" t="str">
        <f t="shared" si="4"/>
        <v>A96C</v>
      </c>
      <c r="C56" s="43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42" t="s">
        <v>229</v>
      </c>
      <c r="B57" s="5" t="str">
        <f t="shared" si="4"/>
        <v>A96E</v>
      </c>
      <c r="C57" s="43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42" t="s">
        <v>230</v>
      </c>
      <c r="B58" s="5" t="str">
        <f t="shared" si="4"/>
        <v>A970</v>
      </c>
      <c r="C58" s="43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42" t="s">
        <v>231</v>
      </c>
      <c r="B59" s="5" t="str">
        <f t="shared" si="4"/>
        <v>A972</v>
      </c>
      <c r="C59" s="43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42" t="s">
        <v>232</v>
      </c>
      <c r="B60" s="5" t="str">
        <f t="shared" si="4"/>
        <v>A974</v>
      </c>
      <c r="C60" s="43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42" t="s">
        <v>233</v>
      </c>
      <c r="B61" s="5" t="str">
        <f t="shared" si="4"/>
        <v>A976</v>
      </c>
      <c r="C61" s="43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42" t="s">
        <v>234</v>
      </c>
      <c r="B62" s="5" t="str">
        <f t="shared" si="4"/>
        <v>A978</v>
      </c>
      <c r="C62" s="43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42" t="s">
        <v>235</v>
      </c>
      <c r="B63" s="5" t="str">
        <f t="shared" si="4"/>
        <v>A97A</v>
      </c>
      <c r="C63" s="43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42" t="s">
        <v>236</v>
      </c>
      <c r="B64" s="5" t="str">
        <f t="shared" si="4"/>
        <v>A97C</v>
      </c>
      <c r="C64" s="43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42" t="s">
        <v>237</v>
      </c>
      <c r="B65" s="5" t="str">
        <f t="shared" si="4"/>
        <v>A97E</v>
      </c>
      <c r="C65" s="43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42" t="s">
        <v>238</v>
      </c>
      <c r="B66" s="5" t="str">
        <f t="shared" si="4"/>
        <v>A980</v>
      </c>
      <c r="C66" s="43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42" t="s">
        <v>239</v>
      </c>
      <c r="B67" s="5" t="str">
        <f t="shared" si="4"/>
        <v>A982</v>
      </c>
      <c r="C67" s="43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42" t="s">
        <v>240</v>
      </c>
      <c r="B68" s="5" t="str">
        <f t="shared" ref="B68:B131" si="9">DEC2HEX(HEX2DEC(B67)+2)</f>
        <v>A984</v>
      </c>
      <c r="C68" s="43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42" t="s">
        <v>241</v>
      </c>
      <c r="B69" s="5" t="str">
        <f t="shared" si="9"/>
        <v>A986</v>
      </c>
      <c r="C69" s="43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42" t="s">
        <v>242</v>
      </c>
      <c r="B70" s="5" t="str">
        <f t="shared" si="9"/>
        <v>A988</v>
      </c>
      <c r="C70" s="43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42" t="s">
        <v>243</v>
      </c>
      <c r="B71" s="5" t="str">
        <f t="shared" si="9"/>
        <v>A98A</v>
      </c>
      <c r="C71" s="43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42" t="s">
        <v>244</v>
      </c>
      <c r="B72" s="5" t="str">
        <f t="shared" si="9"/>
        <v>A98C</v>
      </c>
      <c r="C72" s="43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42" t="s">
        <v>245</v>
      </c>
      <c r="B73" s="5" t="str">
        <f t="shared" si="9"/>
        <v>A98E</v>
      </c>
      <c r="C73" s="43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42" t="s">
        <v>246</v>
      </c>
      <c r="B74" s="5" t="str">
        <f t="shared" si="9"/>
        <v>A990</v>
      </c>
      <c r="C74" s="43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42" t="s">
        <v>247</v>
      </c>
      <c r="B75" s="5" t="str">
        <f t="shared" si="9"/>
        <v>A992</v>
      </c>
      <c r="C75" s="43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42" t="s">
        <v>248</v>
      </c>
      <c r="B76" s="5" t="str">
        <f t="shared" si="9"/>
        <v>A994</v>
      </c>
      <c r="C76" s="43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42" t="s">
        <v>249</v>
      </c>
      <c r="B77" s="5" t="str">
        <f t="shared" si="9"/>
        <v>A996</v>
      </c>
      <c r="C77" s="43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42" t="s">
        <v>250</v>
      </c>
      <c r="B78" s="5" t="str">
        <f t="shared" si="9"/>
        <v>A998</v>
      </c>
      <c r="C78" s="43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42" t="s">
        <v>251</v>
      </c>
      <c r="B79" s="5" t="str">
        <f t="shared" si="9"/>
        <v>A99A</v>
      </c>
      <c r="C79" s="43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42" t="s">
        <v>252</v>
      </c>
      <c r="B80" s="5" t="str">
        <f t="shared" si="9"/>
        <v>A99C</v>
      </c>
      <c r="C80" s="43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42" t="s">
        <v>253</v>
      </c>
      <c r="B81" s="5" t="str">
        <f t="shared" si="9"/>
        <v>A99E</v>
      </c>
      <c r="C81" s="43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42" t="s">
        <v>254</v>
      </c>
      <c r="B82" s="5" t="str">
        <f t="shared" si="9"/>
        <v>A9A0</v>
      </c>
      <c r="C82" s="43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42" t="s">
        <v>255</v>
      </c>
      <c r="B83" s="5" t="str">
        <f t="shared" si="9"/>
        <v>A9A2</v>
      </c>
      <c r="C83" s="43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42" t="s">
        <v>256</v>
      </c>
      <c r="B84" s="5" t="str">
        <f t="shared" si="9"/>
        <v>A9A4</v>
      </c>
      <c r="C84" s="43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42" t="s">
        <v>257</v>
      </c>
      <c r="B85" s="5" t="str">
        <f t="shared" si="9"/>
        <v>A9A6</v>
      </c>
      <c r="C85" s="43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42" t="s">
        <v>258</v>
      </c>
      <c r="B86" s="5" t="str">
        <f t="shared" si="9"/>
        <v>A9A8</v>
      </c>
      <c r="C86" s="43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42" t="s">
        <v>259</v>
      </c>
      <c r="B87" s="5" t="str">
        <f t="shared" si="9"/>
        <v>A9AA</v>
      </c>
      <c r="C87" s="43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42" t="s">
        <v>260</v>
      </c>
      <c r="B88" s="5" t="str">
        <f t="shared" si="9"/>
        <v>A9AC</v>
      </c>
      <c r="C88" s="43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42" t="s">
        <v>261</v>
      </c>
      <c r="B89" s="5" t="str">
        <f t="shared" si="9"/>
        <v>A9AE</v>
      </c>
      <c r="C89" s="43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42" t="s">
        <v>262</v>
      </c>
      <c r="B90" s="5" t="str">
        <f t="shared" si="9"/>
        <v>A9B0</v>
      </c>
      <c r="C90" s="43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42" t="s">
        <v>263</v>
      </c>
      <c r="B91" s="5" t="str">
        <f t="shared" si="9"/>
        <v>A9B2</v>
      </c>
      <c r="C91" s="43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42" t="s">
        <v>264</v>
      </c>
      <c r="B92" s="5" t="str">
        <f t="shared" si="9"/>
        <v>A9B4</v>
      </c>
      <c r="C92" s="43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42" t="s">
        <v>265</v>
      </c>
      <c r="B93" s="5" t="str">
        <f t="shared" si="9"/>
        <v>A9B6</v>
      </c>
      <c r="C93" s="43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42" t="s">
        <v>266</v>
      </c>
      <c r="B94" s="5" t="str">
        <f t="shared" si="9"/>
        <v>A9B8</v>
      </c>
      <c r="C94" s="43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42" t="s">
        <v>267</v>
      </c>
      <c r="B95" s="5" t="str">
        <f t="shared" si="9"/>
        <v>A9BA</v>
      </c>
      <c r="C95" s="43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42" t="s">
        <v>268</v>
      </c>
      <c r="B96" s="5" t="str">
        <f t="shared" si="9"/>
        <v>A9BC</v>
      </c>
      <c r="C96" s="43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42" t="s">
        <v>269</v>
      </c>
      <c r="B97" s="5" t="str">
        <f t="shared" si="9"/>
        <v>A9BE</v>
      </c>
      <c r="C97" s="43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42" t="s">
        <v>270</v>
      </c>
      <c r="B98" s="5" t="str">
        <f t="shared" si="9"/>
        <v>A9C0</v>
      </c>
      <c r="C98" s="43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42" t="s">
        <v>271</v>
      </c>
      <c r="B99" s="5" t="str">
        <f t="shared" si="9"/>
        <v>A9C2</v>
      </c>
      <c r="C99" s="43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42" t="s">
        <v>272</v>
      </c>
      <c r="B100" s="5" t="str">
        <f t="shared" si="9"/>
        <v>A9C4</v>
      </c>
      <c r="C100" s="43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42" t="s">
        <v>273</v>
      </c>
      <c r="B101" s="5" t="str">
        <f t="shared" si="9"/>
        <v>A9C6</v>
      </c>
      <c r="C101" s="43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42" t="s">
        <v>274</v>
      </c>
      <c r="B102" s="5" t="str">
        <f t="shared" si="9"/>
        <v>A9C8</v>
      </c>
      <c r="C102" s="43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42" t="s">
        <v>275</v>
      </c>
      <c r="B103" s="5" t="str">
        <f t="shared" si="9"/>
        <v>A9CA</v>
      </c>
      <c r="C103" s="43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42" t="s">
        <v>276</v>
      </c>
      <c r="B104" s="5" t="str">
        <f t="shared" si="9"/>
        <v>A9CC</v>
      </c>
      <c r="C104" s="43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42" t="s">
        <v>277</v>
      </c>
      <c r="B105" s="5" t="str">
        <f t="shared" si="9"/>
        <v>A9CE</v>
      </c>
      <c r="C105" s="43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42" t="s">
        <v>278</v>
      </c>
      <c r="B106" s="5" t="str">
        <f t="shared" si="9"/>
        <v>A9D0</v>
      </c>
      <c r="C106" s="43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42" t="s">
        <v>279</v>
      </c>
      <c r="B107" s="5" t="str">
        <f t="shared" si="9"/>
        <v>A9D2</v>
      </c>
      <c r="C107" s="43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42" t="s">
        <v>280</v>
      </c>
      <c r="B108" s="5" t="str">
        <f t="shared" si="9"/>
        <v>A9D4</v>
      </c>
      <c r="C108" s="43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42" t="s">
        <v>281</v>
      </c>
      <c r="B109" s="5" t="str">
        <f t="shared" si="9"/>
        <v>A9D6</v>
      </c>
      <c r="C109" s="43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42" t="s">
        <v>282</v>
      </c>
      <c r="B110" s="5" t="str">
        <f t="shared" si="9"/>
        <v>A9D8</v>
      </c>
      <c r="C110" s="43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42" t="s">
        <v>283</v>
      </c>
      <c r="B111" s="5" t="str">
        <f t="shared" si="9"/>
        <v>A9DA</v>
      </c>
      <c r="C111" s="43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42" t="s">
        <v>284</v>
      </c>
      <c r="B112" s="5" t="str">
        <f t="shared" si="9"/>
        <v>A9DC</v>
      </c>
      <c r="C112" s="43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42" t="s">
        <v>285</v>
      </c>
      <c r="B113" s="5" t="str">
        <f t="shared" si="9"/>
        <v>A9DE</v>
      </c>
      <c r="C113" s="43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42" t="s">
        <v>286</v>
      </c>
      <c r="B114" s="5" t="str">
        <f t="shared" si="9"/>
        <v>A9E0</v>
      </c>
      <c r="C114" s="43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42" t="s">
        <v>287</v>
      </c>
      <c r="B115" s="5" t="str">
        <f t="shared" si="9"/>
        <v>A9E2</v>
      </c>
      <c r="C115" s="43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42" t="s">
        <v>288</v>
      </c>
      <c r="B116" s="5" t="str">
        <f t="shared" si="9"/>
        <v>A9E4</v>
      </c>
      <c r="C116" s="43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42" t="s">
        <v>289</v>
      </c>
      <c r="B117" s="5" t="str">
        <f t="shared" si="9"/>
        <v>A9E6</v>
      </c>
      <c r="C117" s="43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42" t="s">
        <v>290</v>
      </c>
      <c r="B118" s="5" t="str">
        <f t="shared" si="9"/>
        <v>A9E8</v>
      </c>
      <c r="C118" s="43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42" t="s">
        <v>291</v>
      </c>
      <c r="B119" s="5" t="str">
        <f t="shared" si="9"/>
        <v>A9EA</v>
      </c>
      <c r="C119" s="43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42" t="s">
        <v>292</v>
      </c>
      <c r="B120" s="5" t="str">
        <f t="shared" si="9"/>
        <v>A9EC</v>
      </c>
      <c r="C120" s="43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42" t="s">
        <v>293</v>
      </c>
      <c r="B121" s="5" t="str">
        <f t="shared" si="9"/>
        <v>A9EE</v>
      </c>
      <c r="C121" s="43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42" t="s">
        <v>294</v>
      </c>
      <c r="B122" s="5" t="str">
        <f t="shared" si="9"/>
        <v>A9F0</v>
      </c>
      <c r="C122" s="43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42" t="s">
        <v>295</v>
      </c>
      <c r="B123" s="5" t="str">
        <f t="shared" si="9"/>
        <v>A9F2</v>
      </c>
      <c r="C123" s="43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42" t="s">
        <v>296</v>
      </c>
      <c r="B124" s="5" t="str">
        <f t="shared" si="9"/>
        <v>A9F4</v>
      </c>
      <c r="C124" s="43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42" t="s">
        <v>297</v>
      </c>
      <c r="B125" s="5" t="str">
        <f t="shared" si="9"/>
        <v>A9F6</v>
      </c>
      <c r="C125" s="43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42" t="s">
        <v>298</v>
      </c>
      <c r="B126" s="5" t="str">
        <f t="shared" si="9"/>
        <v>A9F8</v>
      </c>
      <c r="C126" s="43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42" t="s">
        <v>299</v>
      </c>
      <c r="B127" s="5" t="str">
        <f t="shared" si="9"/>
        <v>A9FA</v>
      </c>
      <c r="C127" s="43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42" t="s">
        <v>300</v>
      </c>
      <c r="B128" s="5" t="str">
        <f t="shared" si="9"/>
        <v>A9FC</v>
      </c>
      <c r="C128" s="43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42" t="s">
        <v>301</v>
      </c>
      <c r="B129" s="5" t="str">
        <f t="shared" si="9"/>
        <v>A9FE</v>
      </c>
      <c r="C129" s="43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42" t="s">
        <v>302</v>
      </c>
      <c r="B130" s="5" t="str">
        <f t="shared" si="9"/>
        <v>AA00</v>
      </c>
      <c r="C130" s="43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42" t="s">
        <v>303</v>
      </c>
      <c r="B131" s="5" t="str">
        <f t="shared" si="9"/>
        <v>AA02</v>
      </c>
      <c r="C131" s="43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42" t="s">
        <v>304</v>
      </c>
      <c r="B132" s="5" t="str">
        <f t="shared" ref="B132:B195" si="14">DEC2HEX(HEX2DEC(B131)+2)</f>
        <v>AA04</v>
      </c>
      <c r="C132" s="43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42" t="s">
        <v>305</v>
      </c>
      <c r="B133" s="5" t="str">
        <f t="shared" si="14"/>
        <v>AA06</v>
      </c>
      <c r="C133" s="43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42" t="s">
        <v>306</v>
      </c>
      <c r="B134" s="5" t="str">
        <f t="shared" si="14"/>
        <v>AA08</v>
      </c>
      <c r="C134" s="43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42" t="s">
        <v>307</v>
      </c>
      <c r="B135" s="5" t="str">
        <f t="shared" si="14"/>
        <v>AA0A</v>
      </c>
      <c r="C135" s="43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42" t="s">
        <v>308</v>
      </c>
      <c r="B136" s="5" t="str">
        <f t="shared" si="14"/>
        <v>AA0C</v>
      </c>
      <c r="C136" s="43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42" t="s">
        <v>309</v>
      </c>
      <c r="B137" s="5" t="str">
        <f t="shared" si="14"/>
        <v>AA0E</v>
      </c>
      <c r="C137" s="43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42" t="s">
        <v>310</v>
      </c>
      <c r="B138" s="5" t="str">
        <f t="shared" si="14"/>
        <v>AA10</v>
      </c>
      <c r="C138" s="43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42" t="s">
        <v>311</v>
      </c>
      <c r="B139" s="5" t="str">
        <f t="shared" si="14"/>
        <v>AA12</v>
      </c>
      <c r="C139" s="43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42" t="s">
        <v>312</v>
      </c>
      <c r="B140" s="5" t="str">
        <f t="shared" si="14"/>
        <v>AA14</v>
      </c>
      <c r="C140" s="43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42" t="s">
        <v>313</v>
      </c>
      <c r="B141" s="5" t="str">
        <f t="shared" si="14"/>
        <v>AA16</v>
      </c>
      <c r="C141" s="43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42" t="s">
        <v>314</v>
      </c>
      <c r="B142" s="5" t="str">
        <f t="shared" si="14"/>
        <v>AA18</v>
      </c>
      <c r="C142" s="43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42" t="s">
        <v>315</v>
      </c>
      <c r="B143" s="5" t="str">
        <f t="shared" si="14"/>
        <v>AA1A</v>
      </c>
      <c r="C143" s="43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42" t="s">
        <v>316</v>
      </c>
      <c r="B144" s="5" t="str">
        <f t="shared" si="14"/>
        <v>AA1C</v>
      </c>
      <c r="C144" s="43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42" t="s">
        <v>317</v>
      </c>
      <c r="B145" s="5" t="str">
        <f t="shared" si="14"/>
        <v>AA1E</v>
      </c>
      <c r="C145" s="43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42" t="s">
        <v>318</v>
      </c>
      <c r="B146" s="5" t="str">
        <f t="shared" si="14"/>
        <v>AA20</v>
      </c>
      <c r="C146" s="43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42" t="s">
        <v>319</v>
      </c>
      <c r="B147" s="5" t="str">
        <f t="shared" si="14"/>
        <v>AA22</v>
      </c>
      <c r="C147" s="43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42" t="s">
        <v>320</v>
      </c>
      <c r="B148" s="5" t="str">
        <f t="shared" si="14"/>
        <v>AA24</v>
      </c>
      <c r="C148" s="43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42" t="s">
        <v>321</v>
      </c>
      <c r="B149" s="5" t="str">
        <f t="shared" si="14"/>
        <v>AA26</v>
      </c>
      <c r="C149" s="43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42" t="s">
        <v>322</v>
      </c>
      <c r="B150" s="5" t="str">
        <f t="shared" si="14"/>
        <v>AA28</v>
      </c>
      <c r="C150" s="43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42" t="s">
        <v>323</v>
      </c>
      <c r="B151" s="5" t="str">
        <f t="shared" si="14"/>
        <v>AA2A</v>
      </c>
      <c r="C151" s="43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42" t="s">
        <v>324</v>
      </c>
      <c r="B152" s="5" t="str">
        <f t="shared" si="14"/>
        <v>AA2C</v>
      </c>
      <c r="C152" s="43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42" t="s">
        <v>325</v>
      </c>
      <c r="B153" s="5" t="str">
        <f t="shared" si="14"/>
        <v>AA2E</v>
      </c>
      <c r="C153" s="43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42" t="s">
        <v>326</v>
      </c>
      <c r="B154" s="5" t="str">
        <f t="shared" si="14"/>
        <v>AA30</v>
      </c>
      <c r="C154" s="43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42" t="s">
        <v>327</v>
      </c>
      <c r="B155" s="5" t="str">
        <f t="shared" si="14"/>
        <v>AA32</v>
      </c>
      <c r="C155" s="43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42" t="s">
        <v>328</v>
      </c>
      <c r="B156" s="5" t="str">
        <f t="shared" si="14"/>
        <v>AA34</v>
      </c>
      <c r="C156" s="43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42" t="s">
        <v>329</v>
      </c>
      <c r="B157" s="5" t="str">
        <f t="shared" si="14"/>
        <v>AA36</v>
      </c>
      <c r="C157" s="43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42" t="s">
        <v>330</v>
      </c>
      <c r="B158" s="5" t="str">
        <f t="shared" si="14"/>
        <v>AA38</v>
      </c>
      <c r="C158" s="43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42" t="s">
        <v>331</v>
      </c>
      <c r="B159" s="5" t="str">
        <f t="shared" si="14"/>
        <v>AA3A</v>
      </c>
      <c r="C159" s="43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42" t="s">
        <v>332</v>
      </c>
      <c r="B160" s="5" t="str">
        <f t="shared" si="14"/>
        <v>AA3C</v>
      </c>
      <c r="C160" s="43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42" t="s">
        <v>333</v>
      </c>
      <c r="B161" s="5" t="str">
        <f t="shared" si="14"/>
        <v>AA3E</v>
      </c>
      <c r="C161" s="43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42" t="s">
        <v>334</v>
      </c>
      <c r="B162" s="5" t="str">
        <f t="shared" si="14"/>
        <v>AA40</v>
      </c>
      <c r="C162" s="43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42" t="s">
        <v>335</v>
      </c>
      <c r="B163" s="5" t="str">
        <f t="shared" si="14"/>
        <v>AA42</v>
      </c>
      <c r="C163" s="43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42" t="s">
        <v>336</v>
      </c>
      <c r="B164" s="5" t="str">
        <f t="shared" si="14"/>
        <v>AA44</v>
      </c>
      <c r="C164" s="43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42" t="s">
        <v>337</v>
      </c>
      <c r="B165" s="5" t="str">
        <f t="shared" si="14"/>
        <v>AA46</v>
      </c>
      <c r="C165" s="43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42" t="s">
        <v>338</v>
      </c>
      <c r="B166" s="5" t="str">
        <f t="shared" si="14"/>
        <v>AA48</v>
      </c>
      <c r="C166" s="43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42" t="s">
        <v>339</v>
      </c>
      <c r="B167" s="5" t="str">
        <f t="shared" si="14"/>
        <v>AA4A</v>
      </c>
      <c r="C167" s="43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42" t="s">
        <v>340</v>
      </c>
      <c r="B168" s="5" t="str">
        <f t="shared" si="14"/>
        <v>AA4C</v>
      </c>
      <c r="C168" s="43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42" t="s">
        <v>341</v>
      </c>
      <c r="B169" s="5" t="str">
        <f t="shared" si="14"/>
        <v>AA4E</v>
      </c>
      <c r="C169" s="43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42" t="s">
        <v>342</v>
      </c>
      <c r="B170" s="5" t="str">
        <f t="shared" si="14"/>
        <v>AA50</v>
      </c>
      <c r="C170" s="43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42" t="s">
        <v>343</v>
      </c>
      <c r="B171" s="5" t="str">
        <f t="shared" si="14"/>
        <v>AA52</v>
      </c>
      <c r="C171" s="43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42" t="s">
        <v>344</v>
      </c>
      <c r="B172" s="5" t="str">
        <f t="shared" si="14"/>
        <v>AA54</v>
      </c>
      <c r="C172" s="43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42" t="s">
        <v>345</v>
      </c>
      <c r="B173" s="5" t="str">
        <f t="shared" si="14"/>
        <v>AA56</v>
      </c>
      <c r="C173" s="43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42" t="s">
        <v>346</v>
      </c>
      <c r="B174" s="5" t="str">
        <f t="shared" si="14"/>
        <v>AA58</v>
      </c>
      <c r="C174" s="43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42" t="s">
        <v>347</v>
      </c>
      <c r="B175" s="5" t="str">
        <f t="shared" si="14"/>
        <v>AA5A</v>
      </c>
      <c r="C175" s="43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42" t="s">
        <v>348</v>
      </c>
      <c r="B176" s="5" t="str">
        <f t="shared" si="14"/>
        <v>AA5C</v>
      </c>
      <c r="C176" s="43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42" t="s">
        <v>349</v>
      </c>
      <c r="B177" s="5" t="str">
        <f t="shared" si="14"/>
        <v>AA5E</v>
      </c>
      <c r="C177" s="43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42" t="s">
        <v>350</v>
      </c>
      <c r="B178" s="5" t="str">
        <f t="shared" si="14"/>
        <v>AA60</v>
      </c>
      <c r="C178" s="43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42" t="s">
        <v>351</v>
      </c>
      <c r="B179" s="5" t="str">
        <f t="shared" si="14"/>
        <v>AA62</v>
      </c>
      <c r="C179" s="43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42" t="s">
        <v>352</v>
      </c>
      <c r="B180" s="5" t="str">
        <f t="shared" si="14"/>
        <v>AA64</v>
      </c>
      <c r="C180" s="43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42" t="s">
        <v>353</v>
      </c>
      <c r="B181" s="5" t="str">
        <f t="shared" si="14"/>
        <v>AA66</v>
      </c>
      <c r="C181" s="43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42" t="s">
        <v>354</v>
      </c>
      <c r="B182" s="5" t="str">
        <f t="shared" si="14"/>
        <v>AA68</v>
      </c>
      <c r="C182" s="43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42" t="s">
        <v>355</v>
      </c>
      <c r="B183" s="5" t="str">
        <f t="shared" si="14"/>
        <v>AA6A</v>
      </c>
      <c r="C183" s="43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42" t="s">
        <v>356</v>
      </c>
      <c r="B184" s="5" t="str">
        <f t="shared" si="14"/>
        <v>AA6C</v>
      </c>
      <c r="C184" s="43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42" t="s">
        <v>357</v>
      </c>
      <c r="B185" s="5" t="str">
        <f t="shared" si="14"/>
        <v>AA6E</v>
      </c>
      <c r="C185" s="43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42" t="s">
        <v>358</v>
      </c>
      <c r="B186" s="5" t="str">
        <f t="shared" si="14"/>
        <v>AA70</v>
      </c>
      <c r="C186" s="43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42" t="s">
        <v>359</v>
      </c>
      <c r="B187" s="5" t="str">
        <f t="shared" si="14"/>
        <v>AA72</v>
      </c>
      <c r="C187" s="43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42" t="s">
        <v>360</v>
      </c>
      <c r="B188" s="5" t="str">
        <f t="shared" si="14"/>
        <v>AA74</v>
      </c>
      <c r="C188" s="43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42" t="s">
        <v>361</v>
      </c>
      <c r="B189" s="5" t="str">
        <f t="shared" si="14"/>
        <v>AA76</v>
      </c>
      <c r="C189" s="43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42" t="s">
        <v>362</v>
      </c>
      <c r="B190" s="5" t="str">
        <f t="shared" si="14"/>
        <v>AA78</v>
      </c>
      <c r="C190" s="43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42" t="s">
        <v>363</v>
      </c>
      <c r="B191" s="5" t="str">
        <f t="shared" si="14"/>
        <v>AA7A</v>
      </c>
      <c r="C191" s="43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42" t="s">
        <v>364</v>
      </c>
      <c r="B192" s="5" t="str">
        <f t="shared" si="14"/>
        <v>AA7C</v>
      </c>
      <c r="C192" s="43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42" t="s">
        <v>365</v>
      </c>
      <c r="B193" s="5" t="str">
        <f t="shared" si="14"/>
        <v>AA7E</v>
      </c>
      <c r="C193" s="43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42" t="s">
        <v>366</v>
      </c>
      <c r="B194" s="5" t="str">
        <f t="shared" si="14"/>
        <v>AA80</v>
      </c>
      <c r="C194" s="43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42" t="s">
        <v>367</v>
      </c>
      <c r="B195" s="5" t="str">
        <f t="shared" si="14"/>
        <v>AA82</v>
      </c>
      <c r="C195" s="43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42" t="s">
        <v>368</v>
      </c>
      <c r="B196" s="5" t="str">
        <f t="shared" ref="B196:B259" si="19">DEC2HEX(HEX2DEC(B195)+2)</f>
        <v>AA84</v>
      </c>
      <c r="C196" s="43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42" t="s">
        <v>369</v>
      </c>
      <c r="B197" s="5" t="str">
        <f t="shared" si="19"/>
        <v>AA86</v>
      </c>
      <c r="C197" s="43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42" t="s">
        <v>370</v>
      </c>
      <c r="B198" s="5" t="str">
        <f t="shared" si="19"/>
        <v>AA88</v>
      </c>
      <c r="C198" s="43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42" t="s">
        <v>371</v>
      </c>
      <c r="B199" s="5" t="str">
        <f t="shared" si="19"/>
        <v>AA8A</v>
      </c>
      <c r="C199" s="43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42" t="s">
        <v>372</v>
      </c>
      <c r="B200" s="5" t="str">
        <f t="shared" si="19"/>
        <v>AA8C</v>
      </c>
      <c r="C200" s="43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42" t="s">
        <v>373</v>
      </c>
      <c r="B201" s="5" t="str">
        <f t="shared" si="19"/>
        <v>AA8E</v>
      </c>
      <c r="C201" s="43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42" t="s">
        <v>374</v>
      </c>
      <c r="B202" s="5" t="str">
        <f t="shared" si="19"/>
        <v>AA90</v>
      </c>
      <c r="C202" s="43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42" t="s">
        <v>375</v>
      </c>
      <c r="B203" s="5" t="str">
        <f t="shared" si="19"/>
        <v>AA92</v>
      </c>
      <c r="C203" s="43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42" t="s">
        <v>376</v>
      </c>
      <c r="B204" s="5" t="str">
        <f t="shared" si="19"/>
        <v>AA94</v>
      </c>
      <c r="C204" s="43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42" t="s">
        <v>377</v>
      </c>
      <c r="B205" s="5" t="str">
        <f t="shared" si="19"/>
        <v>AA96</v>
      </c>
      <c r="C205" s="43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42" t="s">
        <v>378</v>
      </c>
      <c r="B206" s="5" t="str">
        <f t="shared" si="19"/>
        <v>AA98</v>
      </c>
      <c r="C206" s="43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42" t="s">
        <v>379</v>
      </c>
      <c r="B207" s="5" t="str">
        <f t="shared" si="19"/>
        <v>AA9A</v>
      </c>
      <c r="C207" s="43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42" t="s">
        <v>380</v>
      </c>
      <c r="B208" s="5" t="str">
        <f t="shared" si="19"/>
        <v>AA9C</v>
      </c>
      <c r="C208" s="43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42" t="s">
        <v>381</v>
      </c>
      <c r="B209" s="5" t="str">
        <f t="shared" si="19"/>
        <v>AA9E</v>
      </c>
      <c r="C209" s="43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42" t="s">
        <v>382</v>
      </c>
      <c r="B210" s="5" t="str">
        <f t="shared" si="19"/>
        <v>AAA0</v>
      </c>
      <c r="C210" s="43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42" t="s">
        <v>383</v>
      </c>
      <c r="B211" s="5" t="str">
        <f t="shared" si="19"/>
        <v>AAA2</v>
      </c>
      <c r="C211" s="43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42" t="s">
        <v>384</v>
      </c>
      <c r="B212" s="5" t="str">
        <f t="shared" si="19"/>
        <v>AAA4</v>
      </c>
      <c r="C212" s="43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42" t="s">
        <v>385</v>
      </c>
      <c r="B213" s="5" t="str">
        <f t="shared" si="19"/>
        <v>AAA6</v>
      </c>
      <c r="C213" s="43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42" t="s">
        <v>386</v>
      </c>
      <c r="B214" s="5" t="str">
        <f t="shared" si="19"/>
        <v>AAA8</v>
      </c>
      <c r="C214" s="43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42" t="s">
        <v>387</v>
      </c>
      <c r="B215" s="5" t="str">
        <f t="shared" si="19"/>
        <v>AAAA</v>
      </c>
      <c r="C215" s="43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42" t="s">
        <v>388</v>
      </c>
      <c r="B216" s="5" t="str">
        <f t="shared" si="19"/>
        <v>AAAC</v>
      </c>
      <c r="C216" s="43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42" t="s">
        <v>389</v>
      </c>
      <c r="B217" s="5" t="str">
        <f t="shared" si="19"/>
        <v>AAAE</v>
      </c>
      <c r="C217" s="43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42" t="s">
        <v>390</v>
      </c>
      <c r="B218" s="5" t="str">
        <f t="shared" si="19"/>
        <v>AAB0</v>
      </c>
      <c r="C218" s="43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42" t="s">
        <v>391</v>
      </c>
      <c r="B219" s="5" t="str">
        <f t="shared" si="19"/>
        <v>AAB2</v>
      </c>
      <c r="C219" s="43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42" t="s">
        <v>392</v>
      </c>
      <c r="B220" s="5" t="str">
        <f t="shared" si="19"/>
        <v>AAB4</v>
      </c>
      <c r="C220" s="43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42" t="s">
        <v>393</v>
      </c>
      <c r="B221" s="5" t="str">
        <f t="shared" si="19"/>
        <v>AAB6</v>
      </c>
      <c r="C221" s="43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42" t="s">
        <v>394</v>
      </c>
      <c r="B222" s="5" t="str">
        <f t="shared" si="19"/>
        <v>AAB8</v>
      </c>
      <c r="C222" s="43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42" t="s">
        <v>395</v>
      </c>
      <c r="B223" s="5" t="str">
        <f t="shared" si="19"/>
        <v>AABA</v>
      </c>
      <c r="C223" s="43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42" t="s">
        <v>396</v>
      </c>
      <c r="B224" s="5" t="str">
        <f t="shared" si="19"/>
        <v>AABC</v>
      </c>
      <c r="C224" s="43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42" t="s">
        <v>397</v>
      </c>
      <c r="B225" s="5" t="str">
        <f t="shared" si="19"/>
        <v>AABE</v>
      </c>
      <c r="C225" s="43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42" t="s">
        <v>398</v>
      </c>
      <c r="B226" s="5" t="str">
        <f t="shared" si="19"/>
        <v>AAC0</v>
      </c>
      <c r="C226" s="43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42" t="s">
        <v>399</v>
      </c>
      <c r="B227" s="5" t="str">
        <f t="shared" si="19"/>
        <v>AAC2</v>
      </c>
      <c r="C227" s="43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42" t="s">
        <v>400</v>
      </c>
      <c r="B228" s="5" t="str">
        <f t="shared" si="19"/>
        <v>AAC4</v>
      </c>
      <c r="C228" s="43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42" t="s">
        <v>401</v>
      </c>
      <c r="B229" s="5" t="str">
        <f t="shared" si="19"/>
        <v>AAC6</v>
      </c>
      <c r="C229" s="43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42" t="s">
        <v>402</v>
      </c>
      <c r="B230" s="5" t="str">
        <f t="shared" si="19"/>
        <v>AAC8</v>
      </c>
      <c r="C230" s="43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42" t="s">
        <v>403</v>
      </c>
      <c r="B231" s="5" t="str">
        <f t="shared" si="19"/>
        <v>AACA</v>
      </c>
      <c r="C231" s="43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42" t="s">
        <v>404</v>
      </c>
      <c r="B232" s="5" t="str">
        <f t="shared" si="19"/>
        <v>AACC</v>
      </c>
      <c r="C232" s="43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42" t="s">
        <v>405</v>
      </c>
      <c r="B233" s="5" t="str">
        <f t="shared" si="19"/>
        <v>AACE</v>
      </c>
      <c r="C233" s="43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42" t="s">
        <v>406</v>
      </c>
      <c r="B234" s="5" t="str">
        <f t="shared" si="19"/>
        <v>AAD0</v>
      </c>
      <c r="C234" s="43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42" t="s">
        <v>407</v>
      </c>
      <c r="B235" s="5" t="str">
        <f t="shared" si="19"/>
        <v>AAD2</v>
      </c>
      <c r="C235" s="43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42" t="s">
        <v>408</v>
      </c>
      <c r="B236" s="5" t="str">
        <f t="shared" si="19"/>
        <v>AAD4</v>
      </c>
      <c r="C236" s="43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42" t="s">
        <v>409</v>
      </c>
      <c r="B237" s="5" t="str">
        <f t="shared" si="19"/>
        <v>AAD6</v>
      </c>
      <c r="C237" s="43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42" t="s">
        <v>410</v>
      </c>
      <c r="B238" s="5" t="str">
        <f t="shared" si="19"/>
        <v>AAD8</v>
      </c>
      <c r="C238" s="43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42" t="s">
        <v>411</v>
      </c>
      <c r="B239" s="5" t="str">
        <f t="shared" si="19"/>
        <v>AADA</v>
      </c>
      <c r="C239" s="43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42" t="s">
        <v>412</v>
      </c>
      <c r="B240" s="5" t="str">
        <f t="shared" si="19"/>
        <v>AADC</v>
      </c>
      <c r="C240" s="43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42" t="s">
        <v>413</v>
      </c>
      <c r="B241" s="5" t="str">
        <f t="shared" si="19"/>
        <v>AADE</v>
      </c>
      <c r="C241" s="43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42" t="s">
        <v>414</v>
      </c>
      <c r="B242" s="5" t="str">
        <f t="shared" si="19"/>
        <v>AAE0</v>
      </c>
      <c r="C242" s="43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42" t="s">
        <v>415</v>
      </c>
      <c r="B243" s="5" t="str">
        <f t="shared" si="19"/>
        <v>AAE2</v>
      </c>
      <c r="C243" s="43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42" t="s">
        <v>416</v>
      </c>
      <c r="B244" s="5" t="str">
        <f t="shared" si="19"/>
        <v>AAE4</v>
      </c>
      <c r="C244" s="43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42" t="s">
        <v>417</v>
      </c>
      <c r="B245" s="5" t="str">
        <f t="shared" si="19"/>
        <v>AAE6</v>
      </c>
      <c r="C245" s="43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42" t="s">
        <v>418</v>
      </c>
      <c r="B246" s="5" t="str">
        <f t="shared" si="19"/>
        <v>AAE8</v>
      </c>
      <c r="C246" s="43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42" t="s">
        <v>419</v>
      </c>
      <c r="B247" s="5" t="str">
        <f t="shared" si="19"/>
        <v>AAEA</v>
      </c>
      <c r="C247" s="43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42" t="s">
        <v>420</v>
      </c>
      <c r="B248" s="5" t="str">
        <f t="shared" si="19"/>
        <v>AAEC</v>
      </c>
      <c r="C248" s="43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42" t="s">
        <v>421</v>
      </c>
      <c r="B249" s="5" t="str">
        <f t="shared" si="19"/>
        <v>AAEE</v>
      </c>
      <c r="C249" s="43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42" t="s">
        <v>422</v>
      </c>
      <c r="B250" s="5" t="str">
        <f t="shared" si="19"/>
        <v>AAF0</v>
      </c>
      <c r="C250" s="43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42" t="s">
        <v>423</v>
      </c>
      <c r="B251" s="5" t="str">
        <f t="shared" si="19"/>
        <v>AAF2</v>
      </c>
      <c r="C251" s="43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42" t="s">
        <v>424</v>
      </c>
      <c r="B252" s="5" t="str">
        <f t="shared" si="19"/>
        <v>AAF4</v>
      </c>
      <c r="C252" s="43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42" t="s">
        <v>425</v>
      </c>
      <c r="B253" s="5" t="str">
        <f t="shared" si="19"/>
        <v>AAF6</v>
      </c>
      <c r="C253" s="43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42" t="s">
        <v>426</v>
      </c>
      <c r="B254" s="5" t="str">
        <f t="shared" si="19"/>
        <v>AAF8</v>
      </c>
      <c r="C254" s="43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42" t="s">
        <v>427</v>
      </c>
      <c r="B255" s="5" t="str">
        <f t="shared" si="19"/>
        <v>AAFA</v>
      </c>
      <c r="C255" s="43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42" t="s">
        <v>428</v>
      </c>
      <c r="B256" s="5" t="str">
        <f t="shared" si="19"/>
        <v>AAFC</v>
      </c>
      <c r="C256" s="43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42" t="s">
        <v>429</v>
      </c>
      <c r="B257" s="5" t="str">
        <f t="shared" si="19"/>
        <v>AAFE</v>
      </c>
      <c r="C257" s="43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42" t="s">
        <v>430</v>
      </c>
      <c r="B258" s="5" t="str">
        <f t="shared" si="19"/>
        <v>AB00</v>
      </c>
      <c r="C258" s="43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42" t="s">
        <v>431</v>
      </c>
      <c r="B259" s="5" t="str">
        <f t="shared" si="19"/>
        <v>AB02</v>
      </c>
      <c r="C259" s="43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42" t="s">
        <v>432</v>
      </c>
      <c r="B260" s="5" t="str">
        <f t="shared" ref="B260:B323" si="24">DEC2HEX(HEX2DEC(B259)+2)</f>
        <v>AB04</v>
      </c>
      <c r="C260" s="43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42" t="s">
        <v>433</v>
      </c>
      <c r="B261" s="5" t="str">
        <f t="shared" si="24"/>
        <v>AB06</v>
      </c>
      <c r="C261" s="43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42" t="s">
        <v>434</v>
      </c>
      <c r="B262" s="5" t="str">
        <f t="shared" si="24"/>
        <v>AB08</v>
      </c>
      <c r="C262" s="43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42" t="s">
        <v>435</v>
      </c>
      <c r="B263" s="5" t="str">
        <f t="shared" si="24"/>
        <v>AB0A</v>
      </c>
      <c r="C263" s="43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42" t="s">
        <v>436</v>
      </c>
      <c r="B264" s="5" t="str">
        <f t="shared" si="24"/>
        <v>AB0C</v>
      </c>
      <c r="C264" s="43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42" t="s">
        <v>437</v>
      </c>
      <c r="B265" s="5" t="str">
        <f t="shared" si="24"/>
        <v>AB0E</v>
      </c>
      <c r="C265" s="43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42" t="s">
        <v>438</v>
      </c>
      <c r="B266" s="5" t="str">
        <f t="shared" si="24"/>
        <v>AB10</v>
      </c>
      <c r="C266" s="43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42" t="s">
        <v>439</v>
      </c>
      <c r="B267" s="5" t="str">
        <f t="shared" si="24"/>
        <v>AB12</v>
      </c>
      <c r="C267" s="43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42" t="s">
        <v>440</v>
      </c>
      <c r="B268" s="5" t="str">
        <f t="shared" si="24"/>
        <v>AB14</v>
      </c>
      <c r="C268" s="43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42" t="s">
        <v>441</v>
      </c>
      <c r="B269" s="5" t="str">
        <f t="shared" si="24"/>
        <v>AB16</v>
      </c>
      <c r="C269" s="43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42" t="s">
        <v>442</v>
      </c>
      <c r="B270" s="5" t="str">
        <f t="shared" si="24"/>
        <v>AB18</v>
      </c>
      <c r="C270" s="43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42" t="s">
        <v>443</v>
      </c>
      <c r="B271" s="5" t="str">
        <f t="shared" si="24"/>
        <v>AB1A</v>
      </c>
      <c r="C271" s="43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42" t="s">
        <v>444</v>
      </c>
      <c r="B272" s="5" t="str">
        <f t="shared" si="24"/>
        <v>AB1C</v>
      </c>
      <c r="C272" s="43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42" t="s">
        <v>445</v>
      </c>
      <c r="B273" s="5" t="str">
        <f t="shared" si="24"/>
        <v>AB1E</v>
      </c>
      <c r="C273" s="43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42" t="s">
        <v>446</v>
      </c>
      <c r="B274" s="5" t="str">
        <f t="shared" si="24"/>
        <v>AB20</v>
      </c>
      <c r="C274" s="43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42" t="s">
        <v>447</v>
      </c>
      <c r="B275" s="5" t="str">
        <f t="shared" si="24"/>
        <v>AB22</v>
      </c>
      <c r="C275" s="43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42" t="s">
        <v>448</v>
      </c>
      <c r="B276" s="5" t="str">
        <f t="shared" si="24"/>
        <v>AB24</v>
      </c>
      <c r="C276" s="43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42" t="s">
        <v>449</v>
      </c>
      <c r="B277" s="5" t="str">
        <f t="shared" si="24"/>
        <v>AB26</v>
      </c>
      <c r="C277" s="43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42" t="s">
        <v>450</v>
      </c>
      <c r="B278" s="5" t="str">
        <f t="shared" si="24"/>
        <v>AB28</v>
      </c>
      <c r="C278" s="43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42" t="s">
        <v>451</v>
      </c>
      <c r="B279" s="5" t="str">
        <f t="shared" si="24"/>
        <v>AB2A</v>
      </c>
      <c r="C279" s="43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42" t="s">
        <v>452</v>
      </c>
      <c r="B280" s="5" t="str">
        <f t="shared" si="24"/>
        <v>AB2C</v>
      </c>
      <c r="C280" s="43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42" t="s">
        <v>453</v>
      </c>
      <c r="B281" s="5" t="str">
        <f t="shared" si="24"/>
        <v>AB2E</v>
      </c>
      <c r="C281" s="43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42" t="s">
        <v>454</v>
      </c>
      <c r="B282" s="5" t="str">
        <f t="shared" si="24"/>
        <v>AB30</v>
      </c>
      <c r="C282" s="43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42" t="s">
        <v>455</v>
      </c>
      <c r="B283" s="5" t="str">
        <f t="shared" si="24"/>
        <v>AB32</v>
      </c>
      <c r="C283" s="43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42" t="s">
        <v>456</v>
      </c>
      <c r="B284" s="5" t="str">
        <f t="shared" si="24"/>
        <v>AB34</v>
      </c>
      <c r="C284" s="43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42" t="s">
        <v>457</v>
      </c>
      <c r="B285" s="5" t="str">
        <f t="shared" si="24"/>
        <v>AB36</v>
      </c>
      <c r="C285" s="43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42" t="s">
        <v>458</v>
      </c>
      <c r="B286" s="5" t="str">
        <f t="shared" si="24"/>
        <v>AB38</v>
      </c>
      <c r="C286" s="43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42" t="s">
        <v>459</v>
      </c>
      <c r="B287" s="5" t="str">
        <f t="shared" si="24"/>
        <v>AB3A</v>
      </c>
      <c r="C287" s="43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42" t="s">
        <v>460</v>
      </c>
      <c r="B288" s="5" t="str">
        <f t="shared" si="24"/>
        <v>AB3C</v>
      </c>
      <c r="C288" s="43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42" t="s">
        <v>461</v>
      </c>
      <c r="B289" s="5" t="str">
        <f t="shared" si="24"/>
        <v>AB3E</v>
      </c>
      <c r="C289" s="43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42" t="s">
        <v>462</v>
      </c>
      <c r="B290" s="5" t="str">
        <f t="shared" si="24"/>
        <v>AB40</v>
      </c>
      <c r="C290" s="43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42" t="s">
        <v>463</v>
      </c>
      <c r="B291" s="5" t="str">
        <f t="shared" si="24"/>
        <v>AB42</v>
      </c>
      <c r="C291" s="43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42" t="s">
        <v>464</v>
      </c>
      <c r="B292" s="5" t="str">
        <f t="shared" si="24"/>
        <v>AB44</v>
      </c>
      <c r="C292" s="43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42" t="s">
        <v>465</v>
      </c>
      <c r="B293" s="5" t="str">
        <f t="shared" si="24"/>
        <v>AB46</v>
      </c>
      <c r="C293" s="43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42" t="s">
        <v>466</v>
      </c>
      <c r="B294" s="5" t="str">
        <f t="shared" si="24"/>
        <v>AB48</v>
      </c>
      <c r="C294" s="43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42" t="s">
        <v>467</v>
      </c>
      <c r="B295" s="5" t="str">
        <f t="shared" si="24"/>
        <v>AB4A</v>
      </c>
      <c r="C295" s="43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42" t="s">
        <v>468</v>
      </c>
      <c r="B296" s="5" t="str">
        <f t="shared" si="24"/>
        <v>AB4C</v>
      </c>
      <c r="C296" s="43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42" t="s">
        <v>469</v>
      </c>
      <c r="B297" s="5" t="str">
        <f t="shared" si="24"/>
        <v>AB4E</v>
      </c>
      <c r="C297" s="43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42" t="s">
        <v>470</v>
      </c>
      <c r="B298" s="5" t="str">
        <f t="shared" si="24"/>
        <v>AB50</v>
      </c>
      <c r="C298" s="43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42" t="s">
        <v>471</v>
      </c>
      <c r="B299" s="5" t="str">
        <f t="shared" si="24"/>
        <v>AB52</v>
      </c>
      <c r="C299" s="43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42" t="s">
        <v>472</v>
      </c>
      <c r="B300" s="5" t="str">
        <f t="shared" si="24"/>
        <v>AB54</v>
      </c>
      <c r="C300" s="43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42" t="s">
        <v>473</v>
      </c>
      <c r="B301" s="5" t="str">
        <f t="shared" si="24"/>
        <v>AB56</v>
      </c>
      <c r="C301" s="43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42" t="s">
        <v>474</v>
      </c>
      <c r="B302" s="5" t="str">
        <f t="shared" si="24"/>
        <v>AB58</v>
      </c>
      <c r="C302" s="43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42" t="s">
        <v>475</v>
      </c>
      <c r="B303" s="5" t="str">
        <f t="shared" si="24"/>
        <v>AB5A</v>
      </c>
      <c r="C303" s="43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42" t="s">
        <v>476</v>
      </c>
      <c r="B304" s="5" t="str">
        <f t="shared" si="24"/>
        <v>AB5C</v>
      </c>
      <c r="C304" s="43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42" t="s">
        <v>477</v>
      </c>
      <c r="B305" s="5" t="str">
        <f t="shared" si="24"/>
        <v>AB5E</v>
      </c>
      <c r="C305" s="43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42" t="s">
        <v>478</v>
      </c>
      <c r="B306" s="5" t="str">
        <f t="shared" si="24"/>
        <v>AB60</v>
      </c>
      <c r="C306" s="43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42" t="s">
        <v>479</v>
      </c>
      <c r="B307" s="5" t="str">
        <f t="shared" si="24"/>
        <v>AB62</v>
      </c>
      <c r="C307" s="43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42" t="s">
        <v>480</v>
      </c>
      <c r="B308" s="5" t="str">
        <f t="shared" si="24"/>
        <v>AB64</v>
      </c>
      <c r="C308" s="43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42" t="s">
        <v>481</v>
      </c>
      <c r="B309" s="5" t="str">
        <f t="shared" si="24"/>
        <v>AB66</v>
      </c>
      <c r="C309" s="43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42" t="s">
        <v>482</v>
      </c>
      <c r="B310" s="5" t="str">
        <f t="shared" si="24"/>
        <v>AB68</v>
      </c>
      <c r="C310" s="43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42" t="s">
        <v>483</v>
      </c>
      <c r="B311" s="5" t="str">
        <f t="shared" si="24"/>
        <v>AB6A</v>
      </c>
      <c r="C311" s="43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42" t="s">
        <v>484</v>
      </c>
      <c r="B312" s="5" t="str">
        <f t="shared" si="24"/>
        <v>AB6C</v>
      </c>
      <c r="C312" s="43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42" t="s">
        <v>485</v>
      </c>
      <c r="B313" s="5" t="str">
        <f t="shared" si="24"/>
        <v>AB6E</v>
      </c>
      <c r="C313" s="43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42" t="s">
        <v>486</v>
      </c>
      <c r="B314" s="5" t="str">
        <f t="shared" si="24"/>
        <v>AB70</v>
      </c>
      <c r="C314" s="43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42" t="s">
        <v>487</v>
      </c>
      <c r="B315" s="5" t="str">
        <f t="shared" si="24"/>
        <v>AB72</v>
      </c>
      <c r="C315" s="43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42" t="s">
        <v>488</v>
      </c>
      <c r="B316" s="5" t="str">
        <f t="shared" si="24"/>
        <v>AB74</v>
      </c>
      <c r="C316" s="43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42" t="s">
        <v>489</v>
      </c>
      <c r="B317" s="5" t="str">
        <f t="shared" si="24"/>
        <v>AB76</v>
      </c>
      <c r="C317" s="43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42" t="s">
        <v>490</v>
      </c>
      <c r="B318" s="5" t="str">
        <f t="shared" si="24"/>
        <v>AB78</v>
      </c>
      <c r="C318" s="43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42" t="s">
        <v>491</v>
      </c>
      <c r="B319" s="5" t="str">
        <f t="shared" si="24"/>
        <v>AB7A</v>
      </c>
      <c r="C319" s="43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42" t="s">
        <v>492</v>
      </c>
      <c r="B320" s="5" t="str">
        <f t="shared" si="24"/>
        <v>AB7C</v>
      </c>
      <c r="C320" s="43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42" t="s">
        <v>493</v>
      </c>
      <c r="B321" s="5" t="str">
        <f t="shared" si="24"/>
        <v>AB7E</v>
      </c>
      <c r="C321" s="43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42" t="s">
        <v>494</v>
      </c>
      <c r="B322" s="5" t="str">
        <f t="shared" si="24"/>
        <v>AB80</v>
      </c>
      <c r="C322" s="43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42" t="s">
        <v>495</v>
      </c>
      <c r="B323" s="5" t="str">
        <f t="shared" si="24"/>
        <v>AB82</v>
      </c>
      <c r="C323" s="43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42" t="s">
        <v>496</v>
      </c>
      <c r="B324" s="5" t="str">
        <f t="shared" ref="B324:B387" si="29">DEC2HEX(HEX2DEC(B323)+2)</f>
        <v>AB84</v>
      </c>
      <c r="C324" s="43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42" t="s">
        <v>497</v>
      </c>
      <c r="B325" s="5" t="str">
        <f t="shared" si="29"/>
        <v>AB86</v>
      </c>
      <c r="C325" s="43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42" t="s">
        <v>498</v>
      </c>
      <c r="B326" s="5" t="str">
        <f t="shared" si="29"/>
        <v>AB88</v>
      </c>
      <c r="C326" s="43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42" t="s">
        <v>499</v>
      </c>
      <c r="B327" s="5" t="str">
        <f t="shared" si="29"/>
        <v>AB8A</v>
      </c>
      <c r="C327" s="43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42" t="s">
        <v>500</v>
      </c>
      <c r="B328" s="5" t="str">
        <f t="shared" si="29"/>
        <v>AB8C</v>
      </c>
      <c r="C328" s="43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42" t="s">
        <v>501</v>
      </c>
      <c r="B329" s="5" t="str">
        <f t="shared" si="29"/>
        <v>AB8E</v>
      </c>
      <c r="C329" s="43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42" t="s">
        <v>502</v>
      </c>
      <c r="B330" s="5" t="str">
        <f t="shared" si="29"/>
        <v>AB90</v>
      </c>
      <c r="C330" s="43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42" t="s">
        <v>503</v>
      </c>
      <c r="B331" s="5" t="str">
        <f t="shared" si="29"/>
        <v>AB92</v>
      </c>
      <c r="C331" s="43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42" t="s">
        <v>504</v>
      </c>
      <c r="B332" s="5" t="str">
        <f t="shared" si="29"/>
        <v>AB94</v>
      </c>
      <c r="C332" s="43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42" t="s">
        <v>505</v>
      </c>
      <c r="B333" s="5" t="str">
        <f t="shared" si="29"/>
        <v>AB96</v>
      </c>
      <c r="C333" s="43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42" t="s">
        <v>506</v>
      </c>
      <c r="B334" s="5" t="str">
        <f t="shared" si="29"/>
        <v>AB98</v>
      </c>
      <c r="C334" s="43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42" t="s">
        <v>507</v>
      </c>
      <c r="B335" s="5" t="str">
        <f t="shared" si="29"/>
        <v>AB9A</v>
      </c>
      <c r="C335" s="43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42" t="s">
        <v>508</v>
      </c>
      <c r="B336" s="5" t="str">
        <f t="shared" si="29"/>
        <v>AB9C</v>
      </c>
      <c r="C336" s="43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42" t="s">
        <v>509</v>
      </c>
      <c r="B337" s="5" t="str">
        <f t="shared" si="29"/>
        <v>AB9E</v>
      </c>
      <c r="C337" s="43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42" t="s">
        <v>510</v>
      </c>
      <c r="B338" s="5" t="str">
        <f t="shared" si="29"/>
        <v>ABA0</v>
      </c>
      <c r="C338" s="43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42" t="s">
        <v>511</v>
      </c>
      <c r="B339" s="5" t="str">
        <f t="shared" si="29"/>
        <v>ABA2</v>
      </c>
      <c r="C339" s="43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42" t="s">
        <v>512</v>
      </c>
      <c r="B340" s="5" t="str">
        <f t="shared" si="29"/>
        <v>ABA4</v>
      </c>
      <c r="C340" s="43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42" t="s">
        <v>513</v>
      </c>
      <c r="B341" s="5" t="str">
        <f t="shared" si="29"/>
        <v>ABA6</v>
      </c>
      <c r="C341" s="43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42" t="s">
        <v>514</v>
      </c>
      <c r="B342" s="5" t="str">
        <f t="shared" si="29"/>
        <v>ABA8</v>
      </c>
      <c r="C342" s="43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42" t="s">
        <v>515</v>
      </c>
      <c r="B343" s="5" t="str">
        <f t="shared" si="29"/>
        <v>ABAA</v>
      </c>
      <c r="C343" s="43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42" t="s">
        <v>516</v>
      </c>
      <c r="B344" s="5" t="str">
        <f t="shared" si="29"/>
        <v>ABAC</v>
      </c>
      <c r="C344" s="43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42" t="s">
        <v>517</v>
      </c>
      <c r="B345" s="5" t="str">
        <f t="shared" si="29"/>
        <v>ABAE</v>
      </c>
      <c r="C345" s="43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42" t="s">
        <v>518</v>
      </c>
      <c r="B346" s="5" t="str">
        <f t="shared" si="29"/>
        <v>ABB0</v>
      </c>
      <c r="C346" s="43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42" t="s">
        <v>519</v>
      </c>
      <c r="B347" s="5" t="str">
        <f t="shared" si="29"/>
        <v>ABB2</v>
      </c>
      <c r="C347" s="43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42" t="s">
        <v>520</v>
      </c>
      <c r="B348" s="5" t="str">
        <f t="shared" si="29"/>
        <v>ABB4</v>
      </c>
      <c r="C348" s="43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42" t="s">
        <v>521</v>
      </c>
      <c r="B349" s="5" t="str">
        <f t="shared" si="29"/>
        <v>ABB6</v>
      </c>
      <c r="C349" s="43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42" t="s">
        <v>522</v>
      </c>
      <c r="B350" s="5" t="str">
        <f t="shared" si="29"/>
        <v>ABB8</v>
      </c>
      <c r="C350" s="43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42" t="s">
        <v>523</v>
      </c>
      <c r="B351" s="5" t="str">
        <f t="shared" si="29"/>
        <v>ABBA</v>
      </c>
      <c r="C351" s="43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42" t="s">
        <v>524</v>
      </c>
      <c r="B352" s="5" t="str">
        <f t="shared" si="29"/>
        <v>ABBC</v>
      </c>
      <c r="C352" s="43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42" t="s">
        <v>525</v>
      </c>
      <c r="B353" s="5" t="str">
        <f t="shared" si="29"/>
        <v>ABBE</v>
      </c>
      <c r="C353" s="43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42" t="s">
        <v>526</v>
      </c>
      <c r="B354" s="5" t="str">
        <f t="shared" si="29"/>
        <v>ABC0</v>
      </c>
      <c r="C354" s="43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42" t="s">
        <v>527</v>
      </c>
      <c r="B355" s="5" t="str">
        <f t="shared" si="29"/>
        <v>ABC2</v>
      </c>
      <c r="C355" s="43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42" t="s">
        <v>528</v>
      </c>
      <c r="B356" s="5" t="str">
        <f t="shared" si="29"/>
        <v>ABC4</v>
      </c>
      <c r="C356" s="43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42" t="s">
        <v>529</v>
      </c>
      <c r="B357" s="5" t="str">
        <f t="shared" si="29"/>
        <v>ABC6</v>
      </c>
      <c r="C357" s="43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42" t="s">
        <v>530</v>
      </c>
      <c r="B358" s="5" t="str">
        <f t="shared" si="29"/>
        <v>ABC8</v>
      </c>
      <c r="C358" s="43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42" t="s">
        <v>531</v>
      </c>
      <c r="B359" s="5" t="str">
        <f t="shared" si="29"/>
        <v>ABCA</v>
      </c>
      <c r="C359" s="43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42" t="s">
        <v>532</v>
      </c>
      <c r="B360" s="5" t="str">
        <f t="shared" si="29"/>
        <v>ABCC</v>
      </c>
      <c r="C360" s="43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42" t="s">
        <v>533</v>
      </c>
      <c r="B361" s="5" t="str">
        <f t="shared" si="29"/>
        <v>ABCE</v>
      </c>
      <c r="C361" s="43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42" t="s">
        <v>534</v>
      </c>
      <c r="B362" s="5" t="str">
        <f t="shared" si="29"/>
        <v>ABD0</v>
      </c>
      <c r="C362" s="43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42" t="s">
        <v>535</v>
      </c>
      <c r="B363" s="5" t="str">
        <f t="shared" si="29"/>
        <v>ABD2</v>
      </c>
      <c r="C363" s="43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42" t="s">
        <v>536</v>
      </c>
      <c r="B364" s="5" t="str">
        <f t="shared" si="29"/>
        <v>ABD4</v>
      </c>
      <c r="C364" s="43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42" t="s">
        <v>537</v>
      </c>
      <c r="B365" s="5" t="str">
        <f t="shared" si="29"/>
        <v>ABD6</v>
      </c>
      <c r="C365" s="43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42" t="s">
        <v>538</v>
      </c>
      <c r="B366" s="5" t="str">
        <f t="shared" si="29"/>
        <v>ABD8</v>
      </c>
      <c r="C366" s="43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42" t="s">
        <v>539</v>
      </c>
      <c r="B367" s="5" t="str">
        <f t="shared" si="29"/>
        <v>ABDA</v>
      </c>
      <c r="C367" s="43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42" t="s">
        <v>540</v>
      </c>
      <c r="B368" s="5" t="str">
        <f t="shared" si="29"/>
        <v>ABDC</v>
      </c>
      <c r="C368" s="43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42" t="s">
        <v>541</v>
      </c>
      <c r="B369" s="5" t="str">
        <f t="shared" si="29"/>
        <v>ABDE</v>
      </c>
      <c r="C369" s="43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42" t="s">
        <v>542</v>
      </c>
      <c r="B370" s="5" t="str">
        <f t="shared" si="29"/>
        <v>ABE0</v>
      </c>
      <c r="C370" s="43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42" t="s">
        <v>543</v>
      </c>
      <c r="B371" s="5" t="str">
        <f t="shared" si="29"/>
        <v>ABE2</v>
      </c>
      <c r="C371" s="43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42" t="s">
        <v>544</v>
      </c>
      <c r="B372" s="5" t="str">
        <f t="shared" si="29"/>
        <v>ABE4</v>
      </c>
      <c r="C372" s="43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42" t="s">
        <v>545</v>
      </c>
      <c r="B373" s="5" t="str">
        <f t="shared" si="29"/>
        <v>ABE6</v>
      </c>
      <c r="C373" s="43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42" t="s">
        <v>546</v>
      </c>
      <c r="B374" s="5" t="str">
        <f t="shared" si="29"/>
        <v>ABE8</v>
      </c>
      <c r="C374" s="43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42" t="s">
        <v>547</v>
      </c>
      <c r="B375" s="5" t="str">
        <f t="shared" si="29"/>
        <v>ABEA</v>
      </c>
      <c r="C375" s="43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42" t="s">
        <v>548</v>
      </c>
      <c r="B376" s="5" t="str">
        <f t="shared" si="29"/>
        <v>ABEC</v>
      </c>
      <c r="C376" s="43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42" t="s">
        <v>549</v>
      </c>
      <c r="B377" s="5" t="str">
        <f t="shared" si="29"/>
        <v>ABEE</v>
      </c>
      <c r="C377" s="43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42" t="s">
        <v>550</v>
      </c>
      <c r="B378" s="5" t="str">
        <f t="shared" si="29"/>
        <v>ABF0</v>
      </c>
      <c r="C378" s="43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42" t="s">
        <v>551</v>
      </c>
      <c r="B379" s="5" t="str">
        <f t="shared" si="29"/>
        <v>ABF2</v>
      </c>
      <c r="C379" s="43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42" t="s">
        <v>552</v>
      </c>
      <c r="B380" s="5" t="str">
        <f t="shared" si="29"/>
        <v>ABF4</v>
      </c>
      <c r="C380" s="43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42" t="s">
        <v>553</v>
      </c>
      <c r="B381" s="5" t="str">
        <f t="shared" si="29"/>
        <v>ABF6</v>
      </c>
      <c r="C381" s="43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42" t="s">
        <v>554</v>
      </c>
      <c r="B382" s="5" t="str">
        <f t="shared" si="29"/>
        <v>ABF8</v>
      </c>
      <c r="C382" s="43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42" t="s">
        <v>555</v>
      </c>
      <c r="B383" s="5" t="str">
        <f t="shared" si="29"/>
        <v>ABFA</v>
      </c>
      <c r="C383" s="43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42" t="s">
        <v>556</v>
      </c>
      <c r="B384" s="5" t="str">
        <f t="shared" si="29"/>
        <v>ABFC</v>
      </c>
      <c r="C384" s="43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42" t="s">
        <v>557</v>
      </c>
      <c r="B385" s="5" t="str">
        <f t="shared" si="29"/>
        <v>ABFE</v>
      </c>
      <c r="C385" s="43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42" t="s">
        <v>558</v>
      </c>
      <c r="B386" s="5" t="str">
        <f t="shared" si="29"/>
        <v>AC00</v>
      </c>
      <c r="C386" s="43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42" t="s">
        <v>559</v>
      </c>
      <c r="B387" s="5" t="str">
        <f t="shared" si="29"/>
        <v>AC02</v>
      </c>
      <c r="C387" s="43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42" t="s">
        <v>560</v>
      </c>
      <c r="B388" s="5" t="str">
        <f t="shared" ref="B388:B451" si="35">DEC2HEX(HEX2DEC(B387)+2)</f>
        <v>AC04</v>
      </c>
      <c r="C388" s="43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42" t="s">
        <v>561</v>
      </c>
      <c r="B389" s="5" t="str">
        <f t="shared" si="35"/>
        <v>AC06</v>
      </c>
      <c r="C389" s="43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42" t="s">
        <v>562</v>
      </c>
      <c r="B390" s="5" t="str">
        <f t="shared" si="35"/>
        <v>AC08</v>
      </c>
      <c r="C390" s="43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42" t="s">
        <v>563</v>
      </c>
      <c r="B391" s="5" t="str">
        <f t="shared" si="35"/>
        <v>AC0A</v>
      </c>
      <c r="C391" s="43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42" t="s">
        <v>564</v>
      </c>
      <c r="B392" s="5" t="str">
        <f t="shared" si="35"/>
        <v>AC0C</v>
      </c>
      <c r="C392" s="43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42" t="s">
        <v>565</v>
      </c>
      <c r="B393" s="5" t="str">
        <f t="shared" si="35"/>
        <v>AC0E</v>
      </c>
      <c r="C393" s="43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42" t="s">
        <v>566</v>
      </c>
      <c r="B394" s="5" t="str">
        <f t="shared" si="35"/>
        <v>AC10</v>
      </c>
      <c r="C394" s="43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42" t="s">
        <v>567</v>
      </c>
      <c r="B395" s="5" t="str">
        <f t="shared" si="35"/>
        <v>AC12</v>
      </c>
      <c r="C395" s="43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42" t="s">
        <v>568</v>
      </c>
      <c r="B396" s="5" t="str">
        <f t="shared" si="35"/>
        <v>AC14</v>
      </c>
      <c r="C396" s="43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42" t="s">
        <v>569</v>
      </c>
      <c r="B397" s="5" t="str">
        <f t="shared" si="35"/>
        <v>AC16</v>
      </c>
      <c r="C397" s="43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42" t="s">
        <v>570</v>
      </c>
      <c r="B398" s="5" t="str">
        <f t="shared" si="35"/>
        <v>AC18</v>
      </c>
      <c r="C398" s="43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42" t="s">
        <v>571</v>
      </c>
      <c r="B399" s="5" t="str">
        <f t="shared" si="35"/>
        <v>AC1A</v>
      </c>
      <c r="C399" s="43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42" t="s">
        <v>572</v>
      </c>
      <c r="B400" s="5" t="str">
        <f t="shared" si="35"/>
        <v>AC1C</v>
      </c>
      <c r="C400" s="43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42" t="s">
        <v>573</v>
      </c>
      <c r="B401" s="5" t="str">
        <f t="shared" si="35"/>
        <v>AC1E</v>
      </c>
      <c r="C401" s="43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42" t="s">
        <v>574</v>
      </c>
      <c r="B402" s="5" t="str">
        <f t="shared" si="35"/>
        <v>AC20</v>
      </c>
      <c r="C402" s="43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42" t="s">
        <v>575</v>
      </c>
      <c r="B403" s="5" t="str">
        <f t="shared" si="35"/>
        <v>AC22</v>
      </c>
      <c r="C403" s="43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42" t="s">
        <v>576</v>
      </c>
      <c r="B404" s="5" t="str">
        <f t="shared" si="35"/>
        <v>AC24</v>
      </c>
      <c r="C404" s="43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42" t="s">
        <v>577</v>
      </c>
      <c r="B405" s="5" t="str">
        <f t="shared" si="35"/>
        <v>AC26</v>
      </c>
      <c r="C405" s="43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42" t="s">
        <v>578</v>
      </c>
      <c r="B406" s="5" t="str">
        <f t="shared" si="35"/>
        <v>AC28</v>
      </c>
      <c r="C406" s="43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42" t="s">
        <v>579</v>
      </c>
      <c r="B407" s="5" t="str">
        <f t="shared" si="35"/>
        <v>AC2A</v>
      </c>
      <c r="C407" s="43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42" t="s">
        <v>580</v>
      </c>
      <c r="B408" s="5" t="str">
        <f t="shared" si="35"/>
        <v>AC2C</v>
      </c>
      <c r="C408" s="43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42" t="s">
        <v>581</v>
      </c>
      <c r="B409" s="5" t="str">
        <f t="shared" si="35"/>
        <v>AC2E</v>
      </c>
      <c r="C409" s="43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42" t="s">
        <v>582</v>
      </c>
      <c r="B410" s="5" t="str">
        <f t="shared" si="35"/>
        <v>AC30</v>
      </c>
      <c r="C410" s="43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42" t="s">
        <v>583</v>
      </c>
      <c r="B411" s="5" t="str">
        <f t="shared" si="35"/>
        <v>AC32</v>
      </c>
      <c r="C411" s="43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42" t="s">
        <v>584</v>
      </c>
      <c r="B412" s="5" t="str">
        <f t="shared" si="35"/>
        <v>AC34</v>
      </c>
      <c r="C412" s="43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42" t="s">
        <v>585</v>
      </c>
      <c r="B413" s="5" t="str">
        <f t="shared" si="35"/>
        <v>AC36</v>
      </c>
      <c r="C413" s="43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42" t="s">
        <v>586</v>
      </c>
      <c r="B414" s="5" t="str">
        <f t="shared" si="35"/>
        <v>AC38</v>
      </c>
      <c r="C414" s="43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42" t="s">
        <v>587</v>
      </c>
      <c r="B415" s="5" t="str">
        <f t="shared" si="35"/>
        <v>AC3A</v>
      </c>
      <c r="C415" s="43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42" t="s">
        <v>588</v>
      </c>
      <c r="B416" s="5" t="str">
        <f t="shared" si="35"/>
        <v>AC3C</v>
      </c>
      <c r="C416" s="43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42" t="s">
        <v>589</v>
      </c>
      <c r="B417" s="5" t="str">
        <f t="shared" si="35"/>
        <v>AC3E</v>
      </c>
      <c r="C417" s="43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42" t="s">
        <v>590</v>
      </c>
      <c r="B418" s="5" t="str">
        <f t="shared" si="35"/>
        <v>AC40</v>
      </c>
      <c r="C418" s="43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42" t="s">
        <v>591</v>
      </c>
      <c r="B419" s="5" t="str">
        <f t="shared" si="35"/>
        <v>AC42</v>
      </c>
      <c r="C419" s="43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42" t="s">
        <v>592</v>
      </c>
      <c r="B420" s="5" t="str">
        <f t="shared" si="35"/>
        <v>AC44</v>
      </c>
      <c r="C420" s="43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42" t="s">
        <v>593</v>
      </c>
      <c r="B421" s="5" t="str">
        <f t="shared" si="35"/>
        <v>AC46</v>
      </c>
      <c r="C421" s="43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42" t="s">
        <v>594</v>
      </c>
      <c r="B422" s="5" t="str">
        <f t="shared" si="35"/>
        <v>AC48</v>
      </c>
      <c r="C422" s="43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42" t="s">
        <v>595</v>
      </c>
      <c r="B423" s="5" t="str">
        <f t="shared" si="35"/>
        <v>AC4A</v>
      </c>
      <c r="C423" s="43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42" t="s">
        <v>596</v>
      </c>
      <c r="B424" s="5" t="str">
        <f t="shared" si="35"/>
        <v>AC4C</v>
      </c>
      <c r="C424" s="43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42" t="s">
        <v>597</v>
      </c>
      <c r="B425" s="5" t="str">
        <f t="shared" si="35"/>
        <v>AC4E</v>
      </c>
      <c r="C425" s="43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42" t="s">
        <v>598</v>
      </c>
      <c r="B426" s="5" t="str">
        <f t="shared" si="35"/>
        <v>AC50</v>
      </c>
      <c r="C426" s="43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42" t="s">
        <v>599</v>
      </c>
      <c r="B427" s="5" t="str">
        <f t="shared" si="35"/>
        <v>AC52</v>
      </c>
      <c r="C427" s="43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42" t="s">
        <v>600</v>
      </c>
      <c r="B428" s="5" t="str">
        <f t="shared" si="35"/>
        <v>AC54</v>
      </c>
      <c r="C428" s="43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42" t="s">
        <v>601</v>
      </c>
      <c r="B429" s="5" t="str">
        <f t="shared" si="35"/>
        <v>AC56</v>
      </c>
      <c r="C429" s="43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42" t="s">
        <v>602</v>
      </c>
      <c r="B430" s="5" t="str">
        <f t="shared" si="35"/>
        <v>AC58</v>
      </c>
      <c r="C430" s="43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42" t="s">
        <v>603</v>
      </c>
      <c r="B431" s="5" t="str">
        <f t="shared" si="35"/>
        <v>AC5A</v>
      </c>
      <c r="C431" s="43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42" t="s">
        <v>604</v>
      </c>
      <c r="B432" s="5" t="str">
        <f t="shared" si="35"/>
        <v>AC5C</v>
      </c>
      <c r="C432" s="43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42" t="s">
        <v>605</v>
      </c>
      <c r="B433" s="5" t="str">
        <f t="shared" si="35"/>
        <v>AC5E</v>
      </c>
      <c r="C433" s="43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42" t="s">
        <v>606</v>
      </c>
      <c r="B434" s="5" t="str">
        <f t="shared" si="35"/>
        <v>AC60</v>
      </c>
      <c r="C434" s="43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42" t="s">
        <v>607</v>
      </c>
      <c r="B435" s="5" t="str">
        <f t="shared" si="35"/>
        <v>AC62</v>
      </c>
      <c r="C435" s="43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42" t="s">
        <v>608</v>
      </c>
      <c r="B436" s="5" t="str">
        <f t="shared" si="35"/>
        <v>AC64</v>
      </c>
      <c r="C436" s="43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42" t="s">
        <v>609</v>
      </c>
      <c r="B437" s="5" t="str">
        <f t="shared" si="35"/>
        <v>AC66</v>
      </c>
      <c r="C437" s="43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42" t="s">
        <v>610</v>
      </c>
      <c r="B438" s="5" t="str">
        <f t="shared" si="35"/>
        <v>AC68</v>
      </c>
      <c r="C438" s="43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42" t="s">
        <v>611</v>
      </c>
      <c r="B439" s="5" t="str">
        <f t="shared" si="35"/>
        <v>AC6A</v>
      </c>
      <c r="C439" s="43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42" t="s">
        <v>612</v>
      </c>
      <c r="B440" s="5" t="str">
        <f t="shared" si="35"/>
        <v>AC6C</v>
      </c>
      <c r="C440" s="43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42" t="s">
        <v>613</v>
      </c>
      <c r="B441" s="5" t="str">
        <f t="shared" si="35"/>
        <v>AC6E</v>
      </c>
      <c r="C441" s="43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42" t="s">
        <v>614</v>
      </c>
      <c r="B442" s="5" t="str">
        <f t="shared" si="35"/>
        <v>AC70</v>
      </c>
      <c r="C442" s="43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42" t="s">
        <v>615</v>
      </c>
      <c r="B443" s="5" t="str">
        <f t="shared" si="35"/>
        <v>AC72</v>
      </c>
      <c r="C443" s="43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42" t="s">
        <v>616</v>
      </c>
      <c r="B444" s="5" t="str">
        <f t="shared" si="35"/>
        <v>AC74</v>
      </c>
      <c r="C444" s="43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42" t="s">
        <v>617</v>
      </c>
      <c r="B445" s="5" t="str">
        <f t="shared" si="35"/>
        <v>AC76</v>
      </c>
      <c r="C445" s="43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42" t="s">
        <v>618</v>
      </c>
      <c r="B446" s="5" t="str">
        <f t="shared" si="35"/>
        <v>AC78</v>
      </c>
      <c r="C446" s="43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42" t="s">
        <v>619</v>
      </c>
      <c r="B447" s="5" t="str">
        <f t="shared" si="35"/>
        <v>AC7A</v>
      </c>
      <c r="C447" s="43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42" t="s">
        <v>620</v>
      </c>
      <c r="B448" s="5" t="str">
        <f t="shared" si="35"/>
        <v>AC7C</v>
      </c>
      <c r="C448" s="43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42" t="s">
        <v>621</v>
      </c>
      <c r="B449" s="5" t="str">
        <f t="shared" si="35"/>
        <v>AC7E</v>
      </c>
      <c r="C449" s="43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42" t="s">
        <v>622</v>
      </c>
      <c r="B450" s="5" t="str">
        <f t="shared" si="35"/>
        <v>AC80</v>
      </c>
      <c r="C450" s="43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42" t="s">
        <v>623</v>
      </c>
      <c r="B451" s="5" t="str">
        <f t="shared" si="35"/>
        <v>AC82</v>
      </c>
      <c r="C451" s="43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42" t="s">
        <v>624</v>
      </c>
      <c r="B452" s="5" t="str">
        <f t="shared" ref="B452:B513" si="41">DEC2HEX(HEX2DEC(B451)+2)</f>
        <v>AC84</v>
      </c>
      <c r="C452" s="43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42" t="s">
        <v>625</v>
      </c>
      <c r="B453" s="5" t="str">
        <f t="shared" si="41"/>
        <v>AC86</v>
      </c>
      <c r="C453" s="43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42" t="s">
        <v>626</v>
      </c>
      <c r="B454" s="5" t="str">
        <f t="shared" si="41"/>
        <v>AC88</v>
      </c>
      <c r="C454" s="43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42" t="s">
        <v>627</v>
      </c>
      <c r="B455" s="5" t="str">
        <f t="shared" si="41"/>
        <v>AC8A</v>
      </c>
      <c r="C455" s="43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42" t="s">
        <v>628</v>
      </c>
      <c r="B456" s="5" t="str">
        <f t="shared" si="41"/>
        <v>AC8C</v>
      </c>
      <c r="C456" s="43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42" t="s">
        <v>629</v>
      </c>
      <c r="B457" s="5" t="str">
        <f t="shared" si="41"/>
        <v>AC8E</v>
      </c>
      <c r="C457" s="43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42" t="s">
        <v>630</v>
      </c>
      <c r="B458" s="5" t="str">
        <f t="shared" si="41"/>
        <v>AC90</v>
      </c>
      <c r="C458" s="43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42" t="s">
        <v>631</v>
      </c>
      <c r="B459" s="5" t="str">
        <f t="shared" si="41"/>
        <v>AC92</v>
      </c>
      <c r="C459" s="43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42" t="s">
        <v>632</v>
      </c>
      <c r="B460" s="5" t="str">
        <f t="shared" si="41"/>
        <v>AC94</v>
      </c>
      <c r="C460" s="43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42" t="s">
        <v>633</v>
      </c>
      <c r="B461" s="5" t="str">
        <f t="shared" si="41"/>
        <v>AC96</v>
      </c>
      <c r="C461" s="43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42" t="s">
        <v>634</v>
      </c>
      <c r="B462" s="5" t="str">
        <f t="shared" si="41"/>
        <v>AC98</v>
      </c>
      <c r="C462" s="43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42" t="s">
        <v>635</v>
      </c>
      <c r="B463" s="5" t="str">
        <f t="shared" si="41"/>
        <v>AC9A</v>
      </c>
      <c r="C463" s="43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42" t="s">
        <v>636</v>
      </c>
      <c r="B464" s="5" t="str">
        <f t="shared" si="41"/>
        <v>AC9C</v>
      </c>
      <c r="C464" s="43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42" t="s">
        <v>637</v>
      </c>
      <c r="B465" s="5" t="str">
        <f t="shared" si="41"/>
        <v>AC9E</v>
      </c>
      <c r="C465" s="43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42" t="s">
        <v>638</v>
      </c>
      <c r="B466" s="5" t="str">
        <f t="shared" si="41"/>
        <v>ACA0</v>
      </c>
      <c r="C466" s="43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42" t="s">
        <v>639</v>
      </c>
      <c r="B467" s="5" t="str">
        <f t="shared" si="41"/>
        <v>ACA2</v>
      </c>
      <c r="C467" s="43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42" t="s">
        <v>640</v>
      </c>
      <c r="B468" s="5" t="str">
        <f t="shared" si="41"/>
        <v>ACA4</v>
      </c>
      <c r="C468" s="43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42" t="s">
        <v>641</v>
      </c>
      <c r="B469" s="5" t="str">
        <f t="shared" si="41"/>
        <v>ACA6</v>
      </c>
      <c r="C469" s="43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42" t="s">
        <v>642</v>
      </c>
      <c r="B470" s="5" t="str">
        <f t="shared" si="41"/>
        <v>ACA8</v>
      </c>
      <c r="C470" s="43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42" t="s">
        <v>643</v>
      </c>
      <c r="B471" s="5" t="str">
        <f t="shared" si="41"/>
        <v>ACAA</v>
      </c>
      <c r="C471" s="43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42" t="s">
        <v>644</v>
      </c>
      <c r="B472" s="5" t="str">
        <f t="shared" si="41"/>
        <v>ACAC</v>
      </c>
      <c r="C472" s="43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42" t="s">
        <v>645</v>
      </c>
      <c r="B473" s="5" t="str">
        <f t="shared" si="41"/>
        <v>ACAE</v>
      </c>
      <c r="C473" s="43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42" t="s">
        <v>646</v>
      </c>
      <c r="B474" s="5" t="str">
        <f t="shared" si="41"/>
        <v>ACB0</v>
      </c>
      <c r="C474" s="43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42" t="s">
        <v>647</v>
      </c>
      <c r="B475" s="5" t="str">
        <f t="shared" si="41"/>
        <v>ACB2</v>
      </c>
      <c r="C475" s="43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42" t="s">
        <v>648</v>
      </c>
      <c r="B476" s="5" t="str">
        <f t="shared" si="41"/>
        <v>ACB4</v>
      </c>
      <c r="C476" s="43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42" t="s">
        <v>649</v>
      </c>
      <c r="B477" s="5" t="str">
        <f t="shared" si="41"/>
        <v>ACB6</v>
      </c>
      <c r="C477" s="43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42" t="s">
        <v>650</v>
      </c>
      <c r="B478" s="5" t="str">
        <f t="shared" si="41"/>
        <v>ACB8</v>
      </c>
      <c r="C478" s="43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42" t="s">
        <v>651</v>
      </c>
      <c r="B479" s="5" t="str">
        <f t="shared" si="41"/>
        <v>ACBA</v>
      </c>
      <c r="C479" s="43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42" t="s">
        <v>652</v>
      </c>
      <c r="B480" s="5" t="str">
        <f t="shared" si="41"/>
        <v>ACBC</v>
      </c>
      <c r="C480" s="43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42" t="s">
        <v>653</v>
      </c>
      <c r="B481" s="5" t="str">
        <f t="shared" si="41"/>
        <v>ACBE</v>
      </c>
      <c r="C481" s="43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42" t="s">
        <v>654</v>
      </c>
      <c r="B482" s="5" t="str">
        <f t="shared" si="41"/>
        <v>ACC0</v>
      </c>
      <c r="C482" s="43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42" t="s">
        <v>655</v>
      </c>
      <c r="B483" s="5" t="str">
        <f t="shared" si="41"/>
        <v>ACC2</v>
      </c>
      <c r="C483" s="43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42" t="s">
        <v>656</v>
      </c>
      <c r="B484" s="5" t="str">
        <f t="shared" si="41"/>
        <v>ACC4</v>
      </c>
      <c r="C484" s="43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42" t="s">
        <v>657</v>
      </c>
      <c r="B485" s="5" t="str">
        <f t="shared" si="41"/>
        <v>ACC6</v>
      </c>
      <c r="C485" s="43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42" t="s">
        <v>658</v>
      </c>
      <c r="B486" s="5" t="str">
        <f t="shared" si="41"/>
        <v>ACC8</v>
      </c>
      <c r="C486" s="43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42" t="s">
        <v>659</v>
      </c>
      <c r="B487" s="5" t="str">
        <f t="shared" si="41"/>
        <v>ACCA</v>
      </c>
      <c r="C487" s="43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42" t="s">
        <v>660</v>
      </c>
      <c r="B488" s="5" t="str">
        <f t="shared" si="41"/>
        <v>ACCC</v>
      </c>
      <c r="C488" s="43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42" t="s">
        <v>661</v>
      </c>
      <c r="B489" s="5" t="str">
        <f t="shared" si="41"/>
        <v>ACCE</v>
      </c>
      <c r="C489" s="43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42" t="s">
        <v>662</v>
      </c>
      <c r="B490" s="5" t="str">
        <f t="shared" si="41"/>
        <v>ACD0</v>
      </c>
      <c r="C490" s="43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42" t="s">
        <v>663</v>
      </c>
      <c r="B491" s="5" t="str">
        <f t="shared" si="41"/>
        <v>ACD2</v>
      </c>
      <c r="C491" s="43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42" t="s">
        <v>664</v>
      </c>
      <c r="B492" s="5" t="str">
        <f t="shared" si="41"/>
        <v>ACD4</v>
      </c>
      <c r="C492" s="43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42" t="s">
        <v>665</v>
      </c>
      <c r="B493" s="5" t="str">
        <f t="shared" si="41"/>
        <v>ACD6</v>
      </c>
      <c r="C493" s="43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42" t="s">
        <v>666</v>
      </c>
      <c r="B494" s="5" t="str">
        <f t="shared" si="41"/>
        <v>ACD8</v>
      </c>
      <c r="C494" s="43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42" t="s">
        <v>667</v>
      </c>
      <c r="B495" s="5" t="str">
        <f t="shared" si="41"/>
        <v>ACDA</v>
      </c>
      <c r="C495" s="43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42" t="s">
        <v>668</v>
      </c>
      <c r="B496" s="5" t="str">
        <f t="shared" si="41"/>
        <v>ACDC</v>
      </c>
      <c r="C496" s="43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42" t="s">
        <v>669</v>
      </c>
      <c r="B497" s="5" t="str">
        <f t="shared" si="41"/>
        <v>ACDE</v>
      </c>
      <c r="C497" s="43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42" t="s">
        <v>670</v>
      </c>
      <c r="B498" s="5" t="str">
        <f t="shared" si="41"/>
        <v>ACE0</v>
      </c>
      <c r="C498" s="43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42" t="s">
        <v>671</v>
      </c>
      <c r="B499" s="5" t="str">
        <f t="shared" si="41"/>
        <v>ACE2</v>
      </c>
      <c r="C499" s="43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42" t="s">
        <v>672</v>
      </c>
      <c r="B500" s="5" t="str">
        <f t="shared" si="41"/>
        <v>ACE4</v>
      </c>
      <c r="C500" s="43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42" t="s">
        <v>673</v>
      </c>
      <c r="B501" s="5" t="str">
        <f t="shared" si="41"/>
        <v>ACE6</v>
      </c>
      <c r="C501" s="43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42" t="s">
        <v>674</v>
      </c>
      <c r="B502" s="5" t="str">
        <f t="shared" si="41"/>
        <v>ACE8</v>
      </c>
      <c r="C502" s="43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42" t="s">
        <v>675</v>
      </c>
      <c r="B503" s="5" t="str">
        <f t="shared" si="41"/>
        <v>ACEA</v>
      </c>
      <c r="C503" s="43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42" t="s">
        <v>676</v>
      </c>
      <c r="B504" s="5" t="str">
        <f t="shared" si="41"/>
        <v>ACEC</v>
      </c>
      <c r="C504" s="43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42" t="s">
        <v>677</v>
      </c>
      <c r="B505" s="5" t="str">
        <f t="shared" si="41"/>
        <v>ACEE</v>
      </c>
      <c r="C505" s="43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42" t="s">
        <v>678</v>
      </c>
      <c r="B506" s="5" t="str">
        <f t="shared" si="41"/>
        <v>ACF0</v>
      </c>
      <c r="C506" s="43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42" t="s">
        <v>679</v>
      </c>
      <c r="B507" s="5" t="str">
        <f t="shared" si="41"/>
        <v>ACF2</v>
      </c>
      <c r="C507" s="43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42" t="s">
        <v>680</v>
      </c>
      <c r="B508" s="5" t="str">
        <f t="shared" si="41"/>
        <v>ACF4</v>
      </c>
      <c r="C508" s="43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42" t="s">
        <v>681</v>
      </c>
      <c r="B509" s="5" t="str">
        <f t="shared" si="41"/>
        <v>ACF6</v>
      </c>
      <c r="C509" s="43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42" t="s">
        <v>682</v>
      </c>
      <c r="B510" s="5" t="str">
        <f t="shared" si="41"/>
        <v>ACF8</v>
      </c>
      <c r="C510" s="43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42" t="s">
        <v>683</v>
      </c>
      <c r="B511" s="5" t="str">
        <f t="shared" si="41"/>
        <v>ACFA</v>
      </c>
      <c r="C511" s="43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42" t="s">
        <v>684</v>
      </c>
      <c r="B512" s="5" t="str">
        <f t="shared" si="41"/>
        <v>ACFC</v>
      </c>
      <c r="C512" s="43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42" t="s">
        <v>685</v>
      </c>
      <c r="B513" s="5" t="str">
        <f t="shared" si="41"/>
        <v>ACFE</v>
      </c>
      <c r="C513" s="43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3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4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42" t="s">
        <v>686</v>
      </c>
      <c r="B3" s="66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42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42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42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42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42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42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42" t="s">
        <v>693</v>
      </c>
      <c r="B10" s="67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42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42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42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42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42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42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42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42" t="s">
        <v>697</v>
      </c>
      <c r="B18" s="67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42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42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42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42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42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42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42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42" t="s">
        <v>705</v>
      </c>
      <c r="B26" s="67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42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42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42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42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42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42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42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42" t="s">
        <v>697</v>
      </c>
      <c r="B34" s="67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42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42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42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42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42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42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42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42" t="s">
        <v>713</v>
      </c>
      <c r="B42" s="67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42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42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42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42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42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42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42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42" t="s">
        <v>697</v>
      </c>
      <c r="B50" s="67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42" t="s">
        <v>714</v>
      </c>
      <c r="B51" s="68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42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42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42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42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42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42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42" t="s">
        <v>721</v>
      </c>
      <c r="B58" s="67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42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42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42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42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42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42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42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42" t="s">
        <v>697</v>
      </c>
      <c r="B66" s="67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42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42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42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42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42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42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42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42" t="s">
        <v>729</v>
      </c>
      <c r="B74" s="67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42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42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42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42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42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42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42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42" t="s">
        <v>697</v>
      </c>
      <c r="B82" s="67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42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42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42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42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42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42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42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42" t="s">
        <v>733</v>
      </c>
      <c r="B90" s="67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42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42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42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42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42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42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42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42" t="s">
        <v>735</v>
      </c>
      <c r="B98" s="67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42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42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42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42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42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42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42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42" t="s">
        <v>737</v>
      </c>
      <c r="B106" s="67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42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42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42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42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42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42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42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42" t="s">
        <v>740</v>
      </c>
      <c r="B114" s="67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70" customWidth="1"/>
    <col min="7" max="7" width="33.1640625" style="70" customWidth="1"/>
    <col min="8" max="16384" width="12" style="70"/>
  </cols>
  <sheetData>
    <row r="1" spans="1:1" x14ac:dyDescent="0.3">
      <c r="A1" s="69"/>
    </row>
    <row r="25" spans="7:12" x14ac:dyDescent="0.3">
      <c r="K25" s="71"/>
      <c r="L25" s="71"/>
    </row>
    <row r="26" spans="7:12" x14ac:dyDescent="0.3">
      <c r="K26" s="71"/>
      <c r="L26" s="71"/>
    </row>
    <row r="27" spans="7:12" x14ac:dyDescent="0.3">
      <c r="K27" s="71"/>
      <c r="L27" s="71"/>
    </row>
    <row r="28" spans="7:12" x14ac:dyDescent="0.3">
      <c r="I28" s="72"/>
      <c r="K28" s="71"/>
      <c r="L28" s="71"/>
    </row>
    <row r="29" spans="7:12" x14ac:dyDescent="0.3">
      <c r="G29" s="70" t="s">
        <v>921</v>
      </c>
      <c r="I29" s="73" t="b">
        <v>1</v>
      </c>
    </row>
    <row r="30" spans="7:12" ht="15" x14ac:dyDescent="0.4">
      <c r="G30" s="74" t="s">
        <v>922</v>
      </c>
      <c r="I30" s="73" t="b">
        <v>1</v>
      </c>
    </row>
    <row r="31" spans="7:12" x14ac:dyDescent="0.3">
      <c r="G31" s="70" t="s">
        <v>920</v>
      </c>
    </row>
    <row r="32" spans="7:12" x14ac:dyDescent="0.3">
      <c r="I32" s="75"/>
    </row>
    <row r="33" spans="9:12" x14ac:dyDescent="0.3">
      <c r="I33" s="75"/>
    </row>
    <row r="34" spans="9:12" x14ac:dyDescent="0.3">
      <c r="I34" s="75"/>
    </row>
    <row r="35" spans="9:12" x14ac:dyDescent="0.3">
      <c r="I35" s="75"/>
    </row>
    <row r="36" spans="9:12" x14ac:dyDescent="0.3">
      <c r="I36" s="75"/>
      <c r="J36" s="76"/>
    </row>
    <row r="37" spans="9:12" x14ac:dyDescent="0.3">
      <c r="I37" s="75"/>
    </row>
    <row r="38" spans="9:12" x14ac:dyDescent="0.3">
      <c r="I38" s="75"/>
      <c r="J38" s="72"/>
    </row>
    <row r="39" spans="9:12" x14ac:dyDescent="0.3">
      <c r="I39" s="75"/>
      <c r="J39" s="72"/>
      <c r="L39" s="77"/>
    </row>
  </sheetData>
  <conditionalFormatting sqref="I30">
    <cfRule type="expression" dxfId="14" priority="2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>
      <selection activeCell="C5" sqref="C5"/>
    </sheetView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4" spans="2:8" x14ac:dyDescent="0.3">
      <c r="B4" t="s">
        <v>168</v>
      </c>
      <c r="C4" s="31">
        <v>53</v>
      </c>
    </row>
    <row r="6" spans="2:8" x14ac:dyDescent="0.3">
      <c r="D6" s="29">
        <v>0</v>
      </c>
      <c r="E6" s="29">
        <v>1</v>
      </c>
      <c r="G6" s="47" t="s">
        <v>172</v>
      </c>
      <c r="H6" s="46"/>
    </row>
    <row r="7" spans="2:8" x14ac:dyDescent="0.3">
      <c r="C7" s="38">
        <v>0</v>
      </c>
      <c r="D7" s="2" t="str">
        <f t="shared" ref="D7:E17" si="0">DEC2HEX(HEX2DEC(SpriteBaseAddress) + ($C7*2+D$6)*SpriteCount + $C$4)</f>
        <v>AD35</v>
      </c>
      <c r="E7" s="2" t="str">
        <f t="shared" si="0"/>
        <v>AD9D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AE05</v>
      </c>
      <c r="E8" s="2" t="str">
        <f t="shared" si="0"/>
        <v>AE6D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AED5</v>
      </c>
      <c r="E9" s="2" t="str">
        <f t="shared" si="0"/>
        <v>AF3D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AFA5</v>
      </c>
      <c r="E10" s="2" t="str">
        <f t="shared" si="0"/>
        <v>B00D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B075</v>
      </c>
      <c r="E11" s="2" t="str">
        <f t="shared" si="0"/>
        <v>B0DD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B145</v>
      </c>
      <c r="E12" s="2" t="str">
        <f t="shared" si="0"/>
        <v>B1AD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B215</v>
      </c>
      <c r="E13" s="2" t="str">
        <f t="shared" si="0"/>
        <v>B27D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B2E5</v>
      </c>
      <c r="E14" s="2" t="str">
        <f t="shared" si="0"/>
        <v>B34D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B3B5</v>
      </c>
      <c r="E15" s="2" t="str">
        <f t="shared" si="0"/>
        <v>B41D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B485</v>
      </c>
      <c r="E16" s="2" t="str">
        <f t="shared" si="0"/>
        <v>B4ED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B555</v>
      </c>
      <c r="E17" s="2" t="str">
        <f t="shared" si="0"/>
        <v>B5BD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A3" sqref="A3:XFD3"/>
      <selection pane="topRight" activeCell="A3" sqref="A3:XFD3"/>
      <selection pane="bottomLeft" activeCell="A3" sqref="A3:XFD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8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</row>
    <row r="2" spans="1:24" ht="18" customHeight="1" x14ac:dyDescent="0.3">
      <c r="B2" s="50" t="s">
        <v>24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24" ht="18.75" x14ac:dyDescent="0.3">
      <c r="A3" s="51" t="s">
        <v>0</v>
      </c>
      <c r="B3" s="32" t="s">
        <v>913</v>
      </c>
      <c r="C3" s="33"/>
      <c r="D3" s="33"/>
      <c r="E3" s="33"/>
      <c r="F3" s="33"/>
      <c r="G3" s="33"/>
      <c r="H3" s="33"/>
      <c r="I3" s="65" t="s">
        <v>1</v>
      </c>
      <c r="J3" s="32" t="s">
        <v>914</v>
      </c>
      <c r="K3" s="33"/>
      <c r="L3" s="33"/>
      <c r="M3" s="33"/>
      <c r="N3" s="33"/>
      <c r="O3" s="33"/>
      <c r="P3" s="33"/>
      <c r="Q3" s="65" t="s">
        <v>2</v>
      </c>
      <c r="R3" s="52" t="s">
        <v>3</v>
      </c>
      <c r="S3" s="53" t="s">
        <v>4</v>
      </c>
      <c r="T3" s="53" t="s">
        <v>5</v>
      </c>
      <c r="U3" s="53" t="s">
        <v>6</v>
      </c>
      <c r="W3" s="53" t="s">
        <v>15</v>
      </c>
      <c r="X3" s="53" t="s">
        <v>14</v>
      </c>
    </row>
    <row r="4" spans="1:24" x14ac:dyDescent="0.3">
      <c r="A4" s="51">
        <v>0</v>
      </c>
      <c r="B4" s="34">
        <v>0</v>
      </c>
      <c r="C4" s="35">
        <v>1</v>
      </c>
      <c r="D4" s="35">
        <v>0</v>
      </c>
      <c r="E4" s="35">
        <v>0</v>
      </c>
      <c r="F4" s="35">
        <v>0</v>
      </c>
      <c r="G4" s="35">
        <v>1</v>
      </c>
      <c r="H4" s="35">
        <v>0</v>
      </c>
      <c r="I4" s="54">
        <v>1</v>
      </c>
      <c r="J4" s="34">
        <v>0</v>
      </c>
      <c r="K4" s="35">
        <v>0</v>
      </c>
      <c r="L4" s="35">
        <v>1</v>
      </c>
      <c r="M4" s="35">
        <v>0</v>
      </c>
      <c r="N4" s="35">
        <v>0</v>
      </c>
      <c r="O4" s="35">
        <v>0</v>
      </c>
      <c r="P4" s="35">
        <v>0</v>
      </c>
      <c r="Q4" s="54">
        <v>1</v>
      </c>
      <c r="R4" s="55" t="s">
        <v>879</v>
      </c>
      <c r="S4" s="56" t="s">
        <v>916</v>
      </c>
      <c r="T4" s="57" t="str">
        <f>hextobits(R4)</f>
        <v>0100010</v>
      </c>
      <c r="U4" s="57" t="str">
        <f t="shared" ref="U4:U14" si="0">hextobits(S4)</f>
        <v>0000100</v>
      </c>
      <c r="W4" s="56" t="str" cm="1">
        <f t="array" ref="W4">ByteToHex(_xlfn.BITAND(HexToByte(R4),127))</f>
        <v>22</v>
      </c>
      <c r="X4" s="56" t="str" cm="1">
        <f t="array" ref="X4">ByteToHex(_xlfn.BITAND(HexToByte(S4),127))</f>
        <v>04</v>
      </c>
    </row>
    <row r="5" spans="1:24" x14ac:dyDescent="0.3">
      <c r="A5" s="51">
        <v>1</v>
      </c>
      <c r="B5" s="34">
        <v>0</v>
      </c>
      <c r="C5" s="35">
        <v>1</v>
      </c>
      <c r="D5" s="35">
        <v>0</v>
      </c>
      <c r="E5" s="35">
        <v>0</v>
      </c>
      <c r="F5" s="35">
        <v>0</v>
      </c>
      <c r="G5" s="35">
        <v>1</v>
      </c>
      <c r="H5" s="35">
        <v>0</v>
      </c>
      <c r="I5" s="54">
        <v>1</v>
      </c>
      <c r="J5" s="34">
        <v>0</v>
      </c>
      <c r="K5" s="35">
        <v>0</v>
      </c>
      <c r="L5" s="35">
        <v>1</v>
      </c>
      <c r="M5" s="35">
        <v>0</v>
      </c>
      <c r="N5" s="35">
        <v>0</v>
      </c>
      <c r="O5" s="35">
        <v>0</v>
      </c>
      <c r="P5" s="35">
        <v>0</v>
      </c>
      <c r="Q5" s="54">
        <v>1</v>
      </c>
      <c r="R5" s="55" t="s">
        <v>879</v>
      </c>
      <c r="S5" s="56" t="s">
        <v>916</v>
      </c>
      <c r="T5" s="57" t="str">
        <f t="shared" ref="T5:T14" si="1">hextobits(R5)</f>
        <v>0100010</v>
      </c>
      <c r="U5" s="57" t="str">
        <f t="shared" si="0"/>
        <v>0000100</v>
      </c>
      <c r="W5" s="56" t="str" cm="1">
        <f t="array" ref="W5">ByteToHex(_xlfn.BITAND(HexToByte(R5),127))</f>
        <v>22</v>
      </c>
      <c r="X5" s="56" t="str" cm="1">
        <f t="array" ref="X5">ByteToHex(_xlfn.BITAND(HexToByte(S5),127))</f>
        <v>04</v>
      </c>
    </row>
    <row r="6" spans="1:24" x14ac:dyDescent="0.3">
      <c r="A6" s="51">
        <v>2</v>
      </c>
      <c r="B6" s="34">
        <v>0</v>
      </c>
      <c r="C6" s="35">
        <v>1</v>
      </c>
      <c r="D6" s="35">
        <v>0</v>
      </c>
      <c r="E6" s="35">
        <v>0</v>
      </c>
      <c r="F6" s="35">
        <v>0</v>
      </c>
      <c r="G6" s="35">
        <v>1</v>
      </c>
      <c r="H6" s="35">
        <v>0</v>
      </c>
      <c r="I6" s="54">
        <v>1</v>
      </c>
      <c r="J6" s="34">
        <v>0</v>
      </c>
      <c r="K6" s="35">
        <v>0</v>
      </c>
      <c r="L6" s="35">
        <v>1</v>
      </c>
      <c r="M6" s="35">
        <v>0</v>
      </c>
      <c r="N6" s="35">
        <v>0</v>
      </c>
      <c r="O6" s="35">
        <v>0</v>
      </c>
      <c r="P6" s="35">
        <v>0</v>
      </c>
      <c r="Q6" s="54">
        <v>1</v>
      </c>
      <c r="R6" s="55" t="s">
        <v>879</v>
      </c>
      <c r="S6" s="56" t="s">
        <v>916</v>
      </c>
      <c r="T6" s="57" t="str">
        <f t="shared" si="1"/>
        <v>0100010</v>
      </c>
      <c r="U6" s="57" t="str">
        <f t="shared" si="0"/>
        <v>0000100</v>
      </c>
      <c r="W6" s="56" t="str" cm="1">
        <f t="array" ref="W6">ByteToHex(_xlfn.BITAND(HexToByte(R6),127))</f>
        <v>22</v>
      </c>
      <c r="X6" s="56" t="str" cm="1">
        <f t="array" ref="X6">ByteToHex(_xlfn.BITAND(HexToByte(S6),127))</f>
        <v>04</v>
      </c>
    </row>
    <row r="7" spans="1:24" x14ac:dyDescent="0.3">
      <c r="A7" s="51">
        <v>3</v>
      </c>
      <c r="B7" s="34">
        <v>0</v>
      </c>
      <c r="C7" s="35">
        <v>0</v>
      </c>
      <c r="D7" s="35">
        <v>0</v>
      </c>
      <c r="E7" s="35">
        <v>1</v>
      </c>
      <c r="F7" s="35">
        <v>0</v>
      </c>
      <c r="G7" s="35">
        <v>1</v>
      </c>
      <c r="H7" s="35">
        <v>0</v>
      </c>
      <c r="I7" s="54">
        <v>1</v>
      </c>
      <c r="J7" s="34">
        <v>1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54">
        <v>1</v>
      </c>
      <c r="R7" s="55" t="s">
        <v>882</v>
      </c>
      <c r="S7" s="56" t="s">
        <v>11</v>
      </c>
      <c r="T7" s="57" t="str">
        <f t="shared" si="1"/>
        <v>0101000</v>
      </c>
      <c r="U7" s="57" t="str">
        <f t="shared" si="0"/>
        <v>0000001</v>
      </c>
      <c r="W7" s="56" t="str" cm="1">
        <f t="array" ref="W7">ByteToHex(_xlfn.BITAND(HexToByte(R7),127))</f>
        <v>28</v>
      </c>
      <c r="X7" s="56" t="str" cm="1">
        <f t="array" ref="X7">ByteToHex(_xlfn.BITAND(HexToByte(S7),127))</f>
        <v>01</v>
      </c>
    </row>
    <row r="8" spans="1:24" x14ac:dyDescent="0.3">
      <c r="A8" s="51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1</v>
      </c>
      <c r="H8" s="35">
        <v>0</v>
      </c>
      <c r="I8" s="54">
        <v>1</v>
      </c>
      <c r="J8" s="34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54">
        <v>1</v>
      </c>
      <c r="R8" s="55" t="s">
        <v>881</v>
      </c>
      <c r="S8" s="56" t="s">
        <v>8</v>
      </c>
      <c r="T8" s="57" t="str">
        <f t="shared" si="1"/>
        <v>0100000</v>
      </c>
      <c r="U8" s="57" t="str">
        <f t="shared" si="0"/>
        <v>0000000</v>
      </c>
      <c r="W8" s="56" t="str" cm="1">
        <f t="array" ref="W8">ByteToHex(_xlfn.BITAND(HexToByte(R8),127))</f>
        <v>20</v>
      </c>
      <c r="X8" s="56" t="str" cm="1">
        <f t="array" ref="X8">ByteToHex(_xlfn.BITAND(HexToByte(S8),127))</f>
        <v>00</v>
      </c>
    </row>
    <row r="9" spans="1:24" x14ac:dyDescent="0.3">
      <c r="A9" s="51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1</v>
      </c>
      <c r="H9" s="35">
        <v>0</v>
      </c>
      <c r="I9" s="54">
        <v>1</v>
      </c>
      <c r="J9" s="34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54">
        <v>1</v>
      </c>
      <c r="R9" s="55" t="s">
        <v>881</v>
      </c>
      <c r="S9" s="56" t="s">
        <v>8</v>
      </c>
      <c r="T9" s="57" t="str">
        <f t="shared" si="1"/>
        <v>0100000</v>
      </c>
      <c r="U9" s="57" t="str">
        <f t="shared" si="0"/>
        <v>0000000</v>
      </c>
      <c r="W9" s="56" t="str" cm="1">
        <f t="array" ref="W9">ByteToHex(_xlfn.BITAND(HexToByte(R9),127))</f>
        <v>20</v>
      </c>
      <c r="X9" s="56" t="str" cm="1">
        <f t="array" ref="X9">ByteToHex(_xlfn.BITAND(HexToByte(S9),127))</f>
        <v>00</v>
      </c>
    </row>
    <row r="10" spans="1:24" x14ac:dyDescent="0.3">
      <c r="A10" s="51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1</v>
      </c>
      <c r="I10" s="54">
        <v>1</v>
      </c>
      <c r="J10" s="34">
        <v>1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54">
        <v>1</v>
      </c>
      <c r="R10" s="55" t="s">
        <v>20</v>
      </c>
      <c r="S10" s="56" t="s">
        <v>11</v>
      </c>
      <c r="T10" s="57" t="str">
        <f t="shared" si="1"/>
        <v>1110000</v>
      </c>
      <c r="U10" s="57" t="str">
        <f t="shared" si="0"/>
        <v>0000001</v>
      </c>
      <c r="W10" s="56" t="str" cm="1">
        <f t="array" ref="W10">ByteToHex(_xlfn.BITAND(HexToByte(R10),127))</f>
        <v>70</v>
      </c>
      <c r="X10" s="56" t="str" cm="1">
        <f t="array" ref="X10">ByteToHex(_xlfn.BITAND(HexToByte(S10),127))</f>
        <v>01</v>
      </c>
    </row>
    <row r="11" spans="1:24" x14ac:dyDescent="0.3">
      <c r="A11" s="51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0</v>
      </c>
      <c r="I11" s="54">
        <v>1</v>
      </c>
      <c r="J11" s="34">
        <v>1</v>
      </c>
      <c r="K11" s="35">
        <v>1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54">
        <v>1</v>
      </c>
      <c r="R11" s="55" t="s">
        <v>18</v>
      </c>
      <c r="S11" s="56" t="s">
        <v>915</v>
      </c>
      <c r="T11" s="57" t="str">
        <f t="shared" si="1"/>
        <v>0110000</v>
      </c>
      <c r="U11" s="57" t="str">
        <f t="shared" si="0"/>
        <v>0000011</v>
      </c>
      <c r="W11" s="56" t="str" cm="1">
        <f t="array" ref="W11">ByteToHex(_xlfn.BITAND(HexToByte(R11),127))</f>
        <v>30</v>
      </c>
      <c r="X11" s="56" t="str" cm="1">
        <f t="array" ref="X11">ByteToHex(_xlfn.BITAND(HexToByte(S11),127))</f>
        <v>03</v>
      </c>
    </row>
    <row r="12" spans="1:24" x14ac:dyDescent="0.3">
      <c r="A12" s="51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1</v>
      </c>
      <c r="H12" s="35">
        <v>0</v>
      </c>
      <c r="I12" s="54">
        <v>1</v>
      </c>
      <c r="J12" s="34">
        <v>1</v>
      </c>
      <c r="K12" s="35">
        <v>1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54">
        <v>1</v>
      </c>
      <c r="R12" s="55" t="s">
        <v>18</v>
      </c>
      <c r="S12" s="56" t="s">
        <v>915</v>
      </c>
      <c r="T12" s="57" t="str">
        <f t="shared" si="1"/>
        <v>0110000</v>
      </c>
      <c r="U12" s="57" t="str">
        <f t="shared" si="0"/>
        <v>0000011</v>
      </c>
      <c r="W12" s="56" t="str" cm="1">
        <f t="array" ref="W12">ByteToHex(_xlfn.BITAND(HexToByte(R12),127))</f>
        <v>30</v>
      </c>
      <c r="X12" s="56" t="str" cm="1">
        <f t="array" ref="X12">ByteToHex(_xlfn.BITAND(HexToByte(S12),127))</f>
        <v>03</v>
      </c>
    </row>
    <row r="13" spans="1:24" x14ac:dyDescent="0.3">
      <c r="A13" s="51">
        <v>9</v>
      </c>
      <c r="B13" s="34">
        <v>0</v>
      </c>
      <c r="C13" s="35">
        <v>0</v>
      </c>
      <c r="D13" s="35">
        <v>0</v>
      </c>
      <c r="E13" s="35">
        <v>0</v>
      </c>
      <c r="F13" s="35">
        <v>1</v>
      </c>
      <c r="G13" s="35">
        <v>1</v>
      </c>
      <c r="H13" s="35">
        <v>0</v>
      </c>
      <c r="I13" s="54">
        <v>1</v>
      </c>
      <c r="J13" s="34">
        <v>1</v>
      </c>
      <c r="K13" s="35">
        <v>1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54">
        <v>1</v>
      </c>
      <c r="R13" s="55" t="s">
        <v>18</v>
      </c>
      <c r="S13" s="56" t="s">
        <v>915</v>
      </c>
      <c r="T13" s="57" t="str">
        <f t="shared" si="1"/>
        <v>0110000</v>
      </c>
      <c r="U13" s="57" t="str">
        <f t="shared" si="0"/>
        <v>0000011</v>
      </c>
      <c r="W13" s="56" t="str" cm="1">
        <f t="array" ref="W13">ByteToHex(_xlfn.BITAND(HexToByte(R13),127))</f>
        <v>30</v>
      </c>
      <c r="X13" s="56" t="str" cm="1">
        <f t="array" ref="X13">ByteToHex(_xlfn.BITAND(HexToByte(S13),127))</f>
        <v>03</v>
      </c>
    </row>
    <row r="14" spans="1:24" x14ac:dyDescent="0.3">
      <c r="A14" s="51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1</v>
      </c>
      <c r="G14" s="35">
        <v>1</v>
      </c>
      <c r="H14" s="35">
        <v>0</v>
      </c>
      <c r="I14" s="54">
        <v>1</v>
      </c>
      <c r="J14" s="34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54">
        <v>1</v>
      </c>
      <c r="R14" s="55" t="s">
        <v>18</v>
      </c>
      <c r="S14" s="56" t="s">
        <v>8</v>
      </c>
      <c r="T14" s="57" t="str">
        <f t="shared" si="1"/>
        <v>0110000</v>
      </c>
      <c r="U14" s="57" t="str">
        <f t="shared" si="0"/>
        <v>0000000</v>
      </c>
      <c r="W14" s="56" t="str" cm="1">
        <f t="array" ref="W14">ByteToHex(_xlfn.BITAND(HexToByte(R14),127))</f>
        <v>30</v>
      </c>
      <c r="X14" s="56" t="str" cm="1">
        <f t="array" ref="X14">ByteToHex(_xlfn.BITAND(HexToByte(S14),127))</f>
        <v>00</v>
      </c>
    </row>
    <row r="16" spans="1:24" ht="18" customHeight="1" x14ac:dyDescent="0.3">
      <c r="A16" s="51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51">
        <v>0</v>
      </c>
      <c r="B17" s="58"/>
      <c r="C17" s="62"/>
      <c r="D17" s="58"/>
      <c r="E17" s="58"/>
      <c r="F17" s="58"/>
      <c r="G17" s="62"/>
      <c r="H17" s="58"/>
      <c r="J17" s="58"/>
      <c r="K17" s="58"/>
      <c r="L17" s="62"/>
      <c r="M17" s="58"/>
      <c r="N17" s="58"/>
      <c r="O17" s="58"/>
      <c r="P17" s="58"/>
    </row>
    <row r="18" spans="1:16" x14ac:dyDescent="0.3">
      <c r="A18" s="51">
        <v>1</v>
      </c>
      <c r="B18" s="58"/>
      <c r="C18" s="62"/>
      <c r="D18" s="58"/>
      <c r="E18" s="58"/>
      <c r="F18" s="58"/>
      <c r="G18" s="62"/>
      <c r="H18" s="58"/>
      <c r="J18" s="58"/>
      <c r="K18" s="58"/>
      <c r="L18" s="62"/>
      <c r="M18" s="58"/>
      <c r="N18" s="58"/>
      <c r="O18" s="58"/>
      <c r="P18" s="58"/>
    </row>
    <row r="19" spans="1:16" x14ac:dyDescent="0.3">
      <c r="A19" s="51">
        <v>2</v>
      </c>
      <c r="B19" s="58"/>
      <c r="C19" s="62"/>
      <c r="D19" s="58"/>
      <c r="E19" s="58"/>
      <c r="F19" s="58"/>
      <c r="G19" s="62"/>
      <c r="H19" s="58"/>
      <c r="J19" s="58"/>
      <c r="K19" s="58"/>
      <c r="L19" s="62"/>
      <c r="M19" s="58"/>
      <c r="N19" s="58"/>
      <c r="O19" s="58"/>
      <c r="P19" s="58"/>
    </row>
    <row r="20" spans="1:16" x14ac:dyDescent="0.3">
      <c r="A20" s="51">
        <v>3</v>
      </c>
      <c r="B20" s="58"/>
      <c r="C20" s="58"/>
      <c r="D20" s="58"/>
      <c r="E20" s="62"/>
      <c r="F20" s="62"/>
      <c r="G20" s="62"/>
      <c r="H20" s="62"/>
      <c r="J20" s="62"/>
      <c r="K20" s="58"/>
      <c r="L20" s="58"/>
      <c r="M20" s="58"/>
      <c r="N20" s="58"/>
      <c r="O20" s="58"/>
      <c r="P20" s="58"/>
    </row>
    <row r="21" spans="1:16" x14ac:dyDescent="0.3">
      <c r="A21" s="51">
        <v>4</v>
      </c>
      <c r="B21" s="58"/>
      <c r="C21" s="58"/>
      <c r="D21" s="58"/>
      <c r="E21" s="58"/>
      <c r="F21" s="58"/>
      <c r="G21" s="62"/>
      <c r="H21" s="58"/>
      <c r="J21" s="58"/>
      <c r="K21" s="58"/>
      <c r="L21" s="58"/>
      <c r="M21" s="58"/>
      <c r="N21" s="58"/>
      <c r="O21" s="58"/>
      <c r="P21" s="58"/>
    </row>
    <row r="22" spans="1:16" x14ac:dyDescent="0.3">
      <c r="A22" s="51">
        <v>5</v>
      </c>
      <c r="B22" s="58"/>
      <c r="C22" s="58"/>
      <c r="D22" s="58"/>
      <c r="E22" s="58"/>
      <c r="F22" s="58"/>
      <c r="G22" s="62"/>
      <c r="H22" s="58"/>
      <c r="J22" s="58"/>
      <c r="K22" s="58"/>
      <c r="L22" s="58"/>
      <c r="M22" s="58"/>
      <c r="N22" s="58"/>
      <c r="O22" s="58"/>
      <c r="P22" s="58"/>
    </row>
    <row r="23" spans="1:16" x14ac:dyDescent="0.3">
      <c r="A23" s="51">
        <v>6</v>
      </c>
      <c r="B23" s="58"/>
      <c r="C23" s="58"/>
      <c r="D23" s="58"/>
      <c r="E23" s="58"/>
      <c r="F23" s="61"/>
      <c r="G23" s="61"/>
      <c r="H23" s="61"/>
      <c r="J23" s="61"/>
      <c r="K23" s="58"/>
      <c r="L23" s="58"/>
      <c r="M23" s="58"/>
      <c r="N23" s="58"/>
      <c r="O23" s="58"/>
      <c r="P23" s="58"/>
    </row>
    <row r="24" spans="1:16" x14ac:dyDescent="0.3">
      <c r="A24" s="51">
        <v>7</v>
      </c>
      <c r="B24" s="58"/>
      <c r="C24" s="58"/>
      <c r="D24" s="58"/>
      <c r="E24" s="58"/>
      <c r="F24" s="61"/>
      <c r="G24" s="61"/>
      <c r="H24" s="62"/>
      <c r="J24" s="61"/>
      <c r="K24" s="61"/>
      <c r="L24" s="58"/>
      <c r="M24" s="58"/>
      <c r="N24" s="58"/>
      <c r="O24" s="58"/>
      <c r="P24" s="58"/>
    </row>
    <row r="25" spans="1:16" x14ac:dyDescent="0.3">
      <c r="A25" s="51">
        <v>8</v>
      </c>
      <c r="B25" s="58"/>
      <c r="C25" s="58"/>
      <c r="D25" s="58"/>
      <c r="E25" s="58"/>
      <c r="F25" s="61"/>
      <c r="G25" s="61"/>
      <c r="H25" s="62"/>
      <c r="J25" s="61"/>
      <c r="K25" s="61"/>
      <c r="L25" s="58"/>
      <c r="M25" s="58"/>
      <c r="N25" s="58"/>
      <c r="O25" s="58"/>
      <c r="P25" s="58"/>
    </row>
    <row r="26" spans="1:16" x14ac:dyDescent="0.3">
      <c r="A26" s="51">
        <v>9</v>
      </c>
      <c r="B26" s="58"/>
      <c r="C26" s="58"/>
      <c r="D26" s="58"/>
      <c r="E26" s="58"/>
      <c r="F26" s="61"/>
      <c r="G26" s="61"/>
      <c r="H26" s="62"/>
      <c r="J26" s="61"/>
      <c r="K26" s="61"/>
      <c r="L26" s="58"/>
      <c r="M26" s="58"/>
      <c r="N26" s="58"/>
      <c r="O26" s="58"/>
      <c r="P26" s="58"/>
    </row>
    <row r="27" spans="1:16" x14ac:dyDescent="0.3">
      <c r="A27" s="51">
        <v>10</v>
      </c>
      <c r="B27" s="58"/>
      <c r="C27" s="58"/>
      <c r="D27" s="58"/>
      <c r="E27" s="58"/>
      <c r="F27" s="61"/>
      <c r="G27" s="61"/>
      <c r="H27" s="58"/>
      <c r="J27" s="58"/>
      <c r="K27" s="58"/>
      <c r="L27" s="58"/>
      <c r="M27" s="58"/>
      <c r="N27" s="58"/>
      <c r="O27" s="58"/>
      <c r="P27" s="58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J30" sqref="J30"/>
      <selection pane="topRight" activeCell="J30" sqref="J30"/>
      <selection pane="bottomLeft" activeCell="J30" sqref="J30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8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</row>
    <row r="2" spans="1:24" ht="18" customHeight="1" x14ac:dyDescent="0.3">
      <c r="B2" s="50" t="s">
        <v>24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24" ht="18.75" x14ac:dyDescent="0.3">
      <c r="A3" s="51" t="s">
        <v>0</v>
      </c>
      <c r="B3" s="32" t="s">
        <v>913</v>
      </c>
      <c r="C3" s="33"/>
      <c r="D3" s="33"/>
      <c r="E3" s="33"/>
      <c r="F3" s="33"/>
      <c r="G3" s="33"/>
      <c r="H3" s="33"/>
      <c r="I3" s="65" t="s">
        <v>1</v>
      </c>
      <c r="J3" s="32" t="s">
        <v>914</v>
      </c>
      <c r="K3" s="33"/>
      <c r="L3" s="33"/>
      <c r="M3" s="33"/>
      <c r="N3" s="33"/>
      <c r="O3" s="33"/>
      <c r="P3" s="33"/>
      <c r="Q3" s="65" t="s">
        <v>2</v>
      </c>
      <c r="R3" s="52" t="s">
        <v>3</v>
      </c>
      <c r="S3" s="53" t="s">
        <v>4</v>
      </c>
      <c r="T3" s="53" t="s">
        <v>5</v>
      </c>
      <c r="U3" s="53" t="s">
        <v>6</v>
      </c>
      <c r="W3" s="53" t="s">
        <v>15</v>
      </c>
      <c r="X3" s="53" t="s">
        <v>14</v>
      </c>
    </row>
    <row r="4" spans="1:24" x14ac:dyDescent="0.3">
      <c r="A4" s="51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54">
        <v>1</v>
      </c>
      <c r="J4" s="34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54">
        <v>1</v>
      </c>
      <c r="R4" s="55" t="s">
        <v>8</v>
      </c>
      <c r="S4" s="56" t="s">
        <v>8</v>
      </c>
      <c r="T4" s="57" t="str">
        <f>hextobits(R4)</f>
        <v>0000000</v>
      </c>
      <c r="U4" s="57" t="str">
        <f t="shared" ref="U4:U14" si="0">hextobits(S4)</f>
        <v>0000000</v>
      </c>
      <c r="W4" s="56" t="str" cm="1">
        <f t="array" ref="W4">ByteToHex(_xlfn.BITAND(HexToByte(R4),127))</f>
        <v>00</v>
      </c>
      <c r="X4" s="56" t="str" cm="1">
        <f t="array" ref="X4">ByteToHex(_xlfn.BITAND(HexToByte(S4),127))</f>
        <v>00</v>
      </c>
    </row>
    <row r="5" spans="1:24" x14ac:dyDescent="0.3">
      <c r="A5" s="51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54">
        <v>1</v>
      </c>
      <c r="J5" s="34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54">
        <v>1</v>
      </c>
      <c r="R5" s="55" t="s">
        <v>8</v>
      </c>
      <c r="S5" s="56" t="s">
        <v>8</v>
      </c>
      <c r="T5" s="57" t="str">
        <f t="shared" ref="T5:T14" si="1">hextobits(R5)</f>
        <v>0000000</v>
      </c>
      <c r="U5" s="57" t="str">
        <f t="shared" si="0"/>
        <v>0000000</v>
      </c>
      <c r="W5" s="56" t="str" cm="1">
        <f t="array" ref="W5">ByteToHex(_xlfn.BITAND(HexToByte(R5),127))</f>
        <v>00</v>
      </c>
      <c r="X5" s="56" t="str" cm="1">
        <f t="array" ref="X5">ByteToHex(_xlfn.BITAND(HexToByte(S5),127))</f>
        <v>00</v>
      </c>
    </row>
    <row r="6" spans="1:24" x14ac:dyDescent="0.3">
      <c r="A6" s="51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54">
        <v>1</v>
      </c>
      <c r="J6" s="34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54">
        <v>1</v>
      </c>
      <c r="R6" s="55" t="s">
        <v>8</v>
      </c>
      <c r="S6" s="56" t="s">
        <v>8</v>
      </c>
      <c r="T6" s="57" t="str">
        <f t="shared" si="1"/>
        <v>0000000</v>
      </c>
      <c r="U6" s="57" t="str">
        <f t="shared" si="0"/>
        <v>0000000</v>
      </c>
      <c r="W6" s="56" t="str" cm="1">
        <f t="array" ref="W6">ByteToHex(_xlfn.BITAND(HexToByte(R6),127))</f>
        <v>00</v>
      </c>
      <c r="X6" s="56" t="str" cm="1">
        <f t="array" ref="X6">ByteToHex(_xlfn.BITAND(HexToByte(S6),127))</f>
        <v>00</v>
      </c>
    </row>
    <row r="7" spans="1:24" x14ac:dyDescent="0.3">
      <c r="A7" s="51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54">
        <v>1</v>
      </c>
      <c r="J7" s="34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54">
        <v>1</v>
      </c>
      <c r="R7" s="55" t="s">
        <v>9</v>
      </c>
      <c r="S7" s="56" t="s">
        <v>8</v>
      </c>
      <c r="T7" s="57" t="str">
        <f t="shared" si="1"/>
        <v>1010101</v>
      </c>
      <c r="U7" s="57" t="str">
        <f t="shared" si="0"/>
        <v>0000000</v>
      </c>
      <c r="W7" s="56" t="str" cm="1">
        <f t="array" ref="W7">ByteToHex(_xlfn.BITAND(HexToByte(R7),127))</f>
        <v>55</v>
      </c>
      <c r="X7" s="56" t="str" cm="1">
        <f t="array" ref="X7">ByteToHex(_xlfn.BITAND(HexToByte(S7),127))</f>
        <v>00</v>
      </c>
    </row>
    <row r="8" spans="1:24" x14ac:dyDescent="0.3">
      <c r="A8" s="51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54">
        <v>1</v>
      </c>
      <c r="J8" s="34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54">
        <v>1</v>
      </c>
      <c r="R8" s="55" t="s">
        <v>10</v>
      </c>
      <c r="S8" s="56" t="s">
        <v>8</v>
      </c>
      <c r="T8" s="57" t="str">
        <f t="shared" si="1"/>
        <v>1000001</v>
      </c>
      <c r="U8" s="57" t="str">
        <f t="shared" si="0"/>
        <v>0000000</v>
      </c>
      <c r="W8" s="56" t="str" cm="1">
        <f t="array" ref="W8">ByteToHex(_xlfn.BITAND(HexToByte(R8),127))</f>
        <v>41</v>
      </c>
      <c r="X8" s="56" t="str" cm="1">
        <f t="array" ref="X8">ByteToHex(_xlfn.BITAND(HexToByte(S8),127))</f>
        <v>00</v>
      </c>
    </row>
    <row r="9" spans="1:24" x14ac:dyDescent="0.3">
      <c r="A9" s="51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54">
        <v>1</v>
      </c>
      <c r="J9" s="34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54">
        <v>1</v>
      </c>
      <c r="R9" s="55" t="s">
        <v>11</v>
      </c>
      <c r="S9" s="56" t="s">
        <v>8</v>
      </c>
      <c r="T9" s="57" t="str">
        <f t="shared" si="1"/>
        <v>0000001</v>
      </c>
      <c r="U9" s="57" t="str">
        <f t="shared" si="0"/>
        <v>0000000</v>
      </c>
      <c r="W9" s="56" t="str" cm="1">
        <f t="array" ref="W9">ByteToHex(_xlfn.BITAND(HexToByte(R9),127))</f>
        <v>01</v>
      </c>
      <c r="X9" s="56" t="str" cm="1">
        <f t="array" ref="X9">ByteToHex(_xlfn.BITAND(HexToByte(S9),127))</f>
        <v>00</v>
      </c>
    </row>
    <row r="10" spans="1:24" x14ac:dyDescent="0.3">
      <c r="A10" s="51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54">
        <v>1</v>
      </c>
      <c r="J10" s="34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54">
        <v>1</v>
      </c>
      <c r="R10" s="55" t="s">
        <v>9</v>
      </c>
      <c r="S10" s="56" t="s">
        <v>8</v>
      </c>
      <c r="T10" s="57" t="str">
        <f t="shared" si="1"/>
        <v>1010101</v>
      </c>
      <c r="U10" s="57" t="str">
        <f t="shared" si="0"/>
        <v>0000000</v>
      </c>
      <c r="W10" s="56" t="str" cm="1">
        <f t="array" ref="W10">ByteToHex(_xlfn.BITAND(HexToByte(R10),127))</f>
        <v>55</v>
      </c>
      <c r="X10" s="56" t="str" cm="1">
        <f t="array" ref="X10">ByteToHex(_xlfn.BITAND(HexToByte(S10),127))</f>
        <v>00</v>
      </c>
    </row>
    <row r="11" spans="1:24" x14ac:dyDescent="0.3">
      <c r="A11" s="51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54">
        <v>1</v>
      </c>
      <c r="J11" s="34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54">
        <v>1</v>
      </c>
      <c r="R11" s="55" t="s">
        <v>12</v>
      </c>
      <c r="S11" s="56" t="s">
        <v>8</v>
      </c>
      <c r="T11" s="57" t="str">
        <f t="shared" si="1"/>
        <v>1010000</v>
      </c>
      <c r="U11" s="57" t="str">
        <f t="shared" si="0"/>
        <v>0000000</v>
      </c>
      <c r="W11" s="56" t="str" cm="1">
        <f t="array" ref="W11">ByteToHex(_xlfn.BITAND(HexToByte(R11),127))</f>
        <v>50</v>
      </c>
      <c r="X11" s="56" t="str" cm="1">
        <f t="array" ref="X11">ByteToHex(_xlfn.BITAND(HexToByte(S11),127))</f>
        <v>00</v>
      </c>
    </row>
    <row r="12" spans="1:24" x14ac:dyDescent="0.3">
      <c r="A12" s="51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54">
        <v>1</v>
      </c>
      <c r="J12" s="34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54">
        <v>1</v>
      </c>
      <c r="R12" s="55" t="s">
        <v>12</v>
      </c>
      <c r="S12" s="56" t="s">
        <v>8</v>
      </c>
      <c r="T12" s="57" t="str">
        <f t="shared" si="1"/>
        <v>1010000</v>
      </c>
      <c r="U12" s="57" t="str">
        <f t="shared" si="0"/>
        <v>0000000</v>
      </c>
      <c r="W12" s="56" t="str" cm="1">
        <f t="array" ref="W12">ByteToHex(_xlfn.BITAND(HexToByte(R12),127))</f>
        <v>50</v>
      </c>
      <c r="X12" s="56" t="str" cm="1">
        <f t="array" ref="X12">ByteToHex(_xlfn.BITAND(HexToByte(S12),127))</f>
        <v>00</v>
      </c>
    </row>
    <row r="13" spans="1:24" x14ac:dyDescent="0.3">
      <c r="A13" s="51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54">
        <v>1</v>
      </c>
      <c r="J13" s="34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54">
        <v>1</v>
      </c>
      <c r="R13" s="55" t="s">
        <v>13</v>
      </c>
      <c r="S13" s="56" t="s">
        <v>8</v>
      </c>
      <c r="T13" s="57" t="str">
        <f t="shared" si="1"/>
        <v>1010001</v>
      </c>
      <c r="U13" s="57" t="str">
        <f t="shared" si="0"/>
        <v>0000000</v>
      </c>
      <c r="W13" s="56" t="str" cm="1">
        <f t="array" ref="W13">ByteToHex(_xlfn.BITAND(HexToByte(R13),127))</f>
        <v>51</v>
      </c>
      <c r="X13" s="56" t="str" cm="1">
        <f t="array" ref="X13">ByteToHex(_xlfn.BITAND(HexToByte(S13),127))</f>
        <v>00</v>
      </c>
    </row>
    <row r="14" spans="1:24" x14ac:dyDescent="0.3">
      <c r="A14" s="51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54">
        <v>1</v>
      </c>
      <c r="J14" s="34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54">
        <v>1</v>
      </c>
      <c r="R14" s="55" t="s">
        <v>9</v>
      </c>
      <c r="S14" s="56" t="s">
        <v>8</v>
      </c>
      <c r="T14" s="57" t="str">
        <f t="shared" si="1"/>
        <v>1010101</v>
      </c>
      <c r="U14" s="57" t="str">
        <f t="shared" si="0"/>
        <v>0000000</v>
      </c>
      <c r="W14" s="56" t="str" cm="1">
        <f t="array" ref="W14">ByteToHex(_xlfn.BITAND(HexToByte(R14),127))</f>
        <v>55</v>
      </c>
      <c r="X14" s="56" t="str" cm="1">
        <f t="array" ref="X14">ByteToHex(_xlfn.BITAND(HexToByte(S14),127))</f>
        <v>00</v>
      </c>
    </row>
    <row r="16" spans="1:24" ht="18" customHeight="1" x14ac:dyDescent="0.3">
      <c r="A16" s="51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51">
        <v>0</v>
      </c>
      <c r="B17" s="58"/>
      <c r="C17" s="58"/>
      <c r="D17" s="58"/>
      <c r="E17" s="58"/>
      <c r="F17" s="58"/>
      <c r="G17" s="58"/>
      <c r="H17" s="58"/>
      <c r="J17" s="58"/>
      <c r="K17" s="58"/>
      <c r="L17" s="58"/>
      <c r="M17" s="58"/>
      <c r="N17" s="58"/>
      <c r="O17" s="58"/>
      <c r="P17" s="58"/>
    </row>
    <row r="18" spans="1:16" x14ac:dyDescent="0.3">
      <c r="A18" s="51">
        <v>1</v>
      </c>
      <c r="B18" s="58"/>
      <c r="C18" s="58"/>
      <c r="D18" s="58"/>
      <c r="E18" s="58"/>
      <c r="F18" s="58"/>
      <c r="G18" s="58"/>
      <c r="H18" s="58"/>
      <c r="J18" s="58"/>
      <c r="K18" s="58"/>
      <c r="L18" s="58"/>
      <c r="M18" s="58"/>
      <c r="N18" s="58"/>
      <c r="O18" s="58"/>
      <c r="P18" s="58"/>
    </row>
    <row r="19" spans="1:16" x14ac:dyDescent="0.3">
      <c r="A19" s="51">
        <v>2</v>
      </c>
      <c r="B19" s="58"/>
      <c r="C19" s="58"/>
      <c r="D19" s="58"/>
      <c r="E19" s="58"/>
      <c r="F19" s="58"/>
      <c r="G19" s="58"/>
      <c r="H19" s="58"/>
      <c r="J19" s="58"/>
      <c r="K19" s="58"/>
      <c r="L19" s="58"/>
      <c r="M19" s="58"/>
      <c r="N19" s="58"/>
      <c r="O19" s="58"/>
      <c r="P19" s="58"/>
    </row>
    <row r="20" spans="1:16" x14ac:dyDescent="0.3">
      <c r="A20" s="51">
        <v>3</v>
      </c>
      <c r="B20" s="60"/>
      <c r="C20" s="60"/>
      <c r="D20" s="60"/>
      <c r="E20" s="60"/>
      <c r="F20" s="60"/>
      <c r="G20" s="60"/>
      <c r="H20" s="60"/>
      <c r="J20" s="58"/>
      <c r="K20" s="58"/>
      <c r="L20" s="58"/>
      <c r="M20" s="58"/>
      <c r="N20" s="58"/>
      <c r="O20" s="58"/>
      <c r="P20" s="58"/>
    </row>
    <row r="21" spans="1:16" x14ac:dyDescent="0.3">
      <c r="A21" s="51">
        <v>4</v>
      </c>
      <c r="B21" s="60"/>
      <c r="C21" s="58"/>
      <c r="D21" s="58"/>
      <c r="E21" s="58"/>
      <c r="F21" s="58"/>
      <c r="G21" s="58"/>
      <c r="H21" s="60"/>
      <c r="J21" s="58"/>
      <c r="K21" s="58"/>
      <c r="L21" s="58"/>
      <c r="M21" s="58"/>
      <c r="N21" s="58"/>
      <c r="O21" s="58"/>
      <c r="P21" s="58"/>
    </row>
    <row r="22" spans="1:16" x14ac:dyDescent="0.3">
      <c r="A22" s="51">
        <v>5</v>
      </c>
      <c r="B22" s="60"/>
      <c r="C22" s="58"/>
      <c r="D22" s="58"/>
      <c r="E22" s="58"/>
      <c r="F22" s="58"/>
      <c r="G22" s="58"/>
      <c r="H22" s="58"/>
      <c r="J22" s="58"/>
      <c r="K22" s="58"/>
      <c r="L22" s="58"/>
      <c r="M22" s="58"/>
      <c r="N22" s="58"/>
      <c r="O22" s="58"/>
      <c r="P22" s="58"/>
    </row>
    <row r="23" spans="1:16" x14ac:dyDescent="0.3">
      <c r="A23" s="51">
        <v>6</v>
      </c>
      <c r="B23" s="60"/>
      <c r="C23" s="60"/>
      <c r="D23" s="60"/>
      <c r="E23" s="60"/>
      <c r="F23" s="60"/>
      <c r="G23" s="60"/>
      <c r="H23" s="60"/>
      <c r="J23" s="58"/>
      <c r="K23" s="58"/>
      <c r="L23" s="58"/>
      <c r="M23" s="58"/>
      <c r="N23" s="58"/>
      <c r="O23" s="58"/>
      <c r="P23" s="58"/>
    </row>
    <row r="24" spans="1:16" x14ac:dyDescent="0.3">
      <c r="A24" s="51">
        <v>7</v>
      </c>
      <c r="B24" s="58"/>
      <c r="C24" s="58"/>
      <c r="D24" s="58"/>
      <c r="E24" s="58"/>
      <c r="F24" s="60"/>
      <c r="G24" s="60"/>
      <c r="H24" s="60"/>
      <c r="J24" s="58"/>
      <c r="K24" s="58"/>
      <c r="L24" s="58"/>
      <c r="M24" s="58"/>
      <c r="N24" s="58"/>
      <c r="O24" s="58"/>
      <c r="P24" s="58"/>
    </row>
    <row r="25" spans="1:16" x14ac:dyDescent="0.3">
      <c r="A25" s="51">
        <v>8</v>
      </c>
      <c r="B25" s="58"/>
      <c r="C25" s="58"/>
      <c r="D25" s="58"/>
      <c r="E25" s="58"/>
      <c r="F25" s="60"/>
      <c r="G25" s="60"/>
      <c r="H25" s="60"/>
      <c r="J25" s="58"/>
      <c r="K25" s="58"/>
      <c r="L25" s="58"/>
      <c r="M25" s="58"/>
      <c r="N25" s="58"/>
      <c r="O25" s="58"/>
      <c r="P25" s="58"/>
    </row>
    <row r="26" spans="1:16" x14ac:dyDescent="0.3">
      <c r="A26" s="51">
        <v>9</v>
      </c>
      <c r="B26" s="60"/>
      <c r="C26" s="58"/>
      <c r="D26" s="58"/>
      <c r="E26" s="58"/>
      <c r="F26" s="60"/>
      <c r="G26" s="60"/>
      <c r="H26" s="60"/>
      <c r="J26" s="58"/>
      <c r="K26" s="58"/>
      <c r="L26" s="58"/>
      <c r="M26" s="58"/>
      <c r="N26" s="58"/>
      <c r="O26" s="58"/>
      <c r="P26" s="58"/>
    </row>
    <row r="27" spans="1:16" x14ac:dyDescent="0.3">
      <c r="A27" s="51">
        <v>10</v>
      </c>
      <c r="B27" s="60"/>
      <c r="C27" s="60"/>
      <c r="D27" s="60"/>
      <c r="E27" s="60"/>
      <c r="F27" s="60"/>
      <c r="G27" s="60"/>
      <c r="H27" s="60"/>
      <c r="J27" s="58"/>
      <c r="K27" s="58"/>
      <c r="L27" s="58"/>
      <c r="M27" s="58"/>
      <c r="N27" s="58"/>
      <c r="O27" s="58"/>
      <c r="P27" s="58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J30" sqref="J30"/>
      <selection pane="topRight" activeCell="J30" sqref="J30"/>
      <selection pane="bottomLeft" activeCell="J30" sqref="J30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8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</row>
    <row r="2" spans="1:24" ht="18" customHeight="1" x14ac:dyDescent="0.3">
      <c r="B2" s="50" t="s">
        <v>24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24" ht="18.75" x14ac:dyDescent="0.3">
      <c r="A3" s="51" t="s">
        <v>0</v>
      </c>
      <c r="B3" s="32" t="s">
        <v>913</v>
      </c>
      <c r="C3" s="33"/>
      <c r="D3" s="33"/>
      <c r="E3" s="33"/>
      <c r="F3" s="33"/>
      <c r="G3" s="33"/>
      <c r="H3" s="33"/>
      <c r="I3" s="65" t="s">
        <v>1</v>
      </c>
      <c r="J3" s="32" t="s">
        <v>914</v>
      </c>
      <c r="K3" s="33"/>
      <c r="L3" s="33"/>
      <c r="M3" s="33"/>
      <c r="N3" s="33"/>
      <c r="O3" s="33"/>
      <c r="P3" s="33"/>
      <c r="Q3" s="65" t="s">
        <v>2</v>
      </c>
      <c r="R3" s="52" t="s">
        <v>3</v>
      </c>
      <c r="S3" s="53" t="s">
        <v>4</v>
      </c>
      <c r="T3" s="53" t="s">
        <v>5</v>
      </c>
      <c r="U3" s="53" t="s">
        <v>6</v>
      </c>
      <c r="W3" s="53" t="s">
        <v>15</v>
      </c>
      <c r="X3" s="53" t="s">
        <v>14</v>
      </c>
    </row>
    <row r="4" spans="1:24" x14ac:dyDescent="0.3">
      <c r="A4" s="51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54">
        <v>1</v>
      </c>
      <c r="J4" s="34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54">
        <v>1</v>
      </c>
      <c r="R4" s="55" t="s">
        <v>16</v>
      </c>
      <c r="S4" s="56" t="s">
        <v>8</v>
      </c>
      <c r="T4" s="57" t="str">
        <f>hextobits(R4)</f>
        <v>1000000</v>
      </c>
      <c r="U4" s="57" t="str">
        <f t="shared" ref="U4:U14" si="0">hextobits(S4)</f>
        <v>0000000</v>
      </c>
      <c r="W4" s="56" t="str" cm="1">
        <f t="array" ref="W4">ByteToHex(_xlfn.BITAND(HexToByte(R4),127))</f>
        <v>40</v>
      </c>
      <c r="X4" s="56" t="str" cm="1">
        <f t="array" ref="X4">ByteToHex(_xlfn.BITAND(HexToByte(S4),127))</f>
        <v>00</v>
      </c>
    </row>
    <row r="5" spans="1:24" x14ac:dyDescent="0.3">
      <c r="A5" s="51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54">
        <v>1</v>
      </c>
      <c r="J5" s="34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54">
        <v>1</v>
      </c>
      <c r="R5" s="55" t="s">
        <v>21</v>
      </c>
      <c r="S5" s="56" t="s">
        <v>11</v>
      </c>
      <c r="T5" s="57" t="str">
        <f t="shared" ref="T5:T14" si="1">hextobits(R5)</f>
        <v>1100000</v>
      </c>
      <c r="U5" s="57" t="str">
        <f t="shared" si="0"/>
        <v>0000001</v>
      </c>
      <c r="W5" s="56" t="str" cm="1">
        <f t="array" ref="W5">ByteToHex(_xlfn.BITAND(HexToByte(R5),127))</f>
        <v>60</v>
      </c>
      <c r="X5" s="56" t="str" cm="1">
        <f t="array" ref="X5">ByteToHex(_xlfn.BITAND(HexToByte(S5),127))</f>
        <v>01</v>
      </c>
    </row>
    <row r="6" spans="1:24" x14ac:dyDescent="0.3">
      <c r="A6" s="51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54">
        <v>1</v>
      </c>
      <c r="J6" s="34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54">
        <v>1</v>
      </c>
      <c r="R6" s="55" t="s">
        <v>21</v>
      </c>
      <c r="S6" s="56" t="s">
        <v>11</v>
      </c>
      <c r="T6" s="57" t="str">
        <f t="shared" si="1"/>
        <v>1100000</v>
      </c>
      <c r="U6" s="57" t="str">
        <f t="shared" si="0"/>
        <v>0000001</v>
      </c>
      <c r="W6" s="56" t="str" cm="1">
        <f t="array" ref="W6">ByteToHex(_xlfn.BITAND(HexToByte(R6),127))</f>
        <v>60</v>
      </c>
      <c r="X6" s="56" t="str" cm="1">
        <f t="array" ref="X6">ByteToHex(_xlfn.BITAND(HexToByte(S6),127))</f>
        <v>01</v>
      </c>
    </row>
    <row r="7" spans="1:24" x14ac:dyDescent="0.3">
      <c r="A7" s="51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54">
        <v>1</v>
      </c>
      <c r="J7" s="34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54">
        <v>1</v>
      </c>
      <c r="R7" s="55" t="s">
        <v>20</v>
      </c>
      <c r="S7" s="56" t="s">
        <v>8</v>
      </c>
      <c r="T7" s="57" t="str">
        <f t="shared" si="1"/>
        <v>1110000</v>
      </c>
      <c r="U7" s="57" t="str">
        <f t="shared" si="0"/>
        <v>0000000</v>
      </c>
      <c r="W7" s="56" t="str" cm="1">
        <f t="array" ref="W7">ByteToHex(_xlfn.BITAND(HexToByte(R7),127))</f>
        <v>70</v>
      </c>
      <c r="X7" s="56" t="str" cm="1">
        <f t="array" ref="X7">ByteToHex(_xlfn.BITAND(HexToByte(S7),127))</f>
        <v>00</v>
      </c>
    </row>
    <row r="8" spans="1:24" x14ac:dyDescent="0.3">
      <c r="A8" s="51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54">
        <v>1</v>
      </c>
      <c r="J8" s="34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54">
        <v>1</v>
      </c>
      <c r="R8" s="55" t="s">
        <v>22</v>
      </c>
      <c r="S8" s="56" t="s">
        <v>11</v>
      </c>
      <c r="T8" s="57" t="str">
        <f t="shared" si="1"/>
        <v>1101100</v>
      </c>
      <c r="U8" s="57" t="str">
        <f t="shared" si="0"/>
        <v>0000001</v>
      </c>
      <c r="W8" s="56" t="str" cm="1">
        <f t="array" ref="W8">ByteToHex(_xlfn.BITAND(HexToByte(R8),127))</f>
        <v>6C</v>
      </c>
      <c r="X8" s="56" t="str" cm="1">
        <f t="array" ref="X8">ByteToHex(_xlfn.BITAND(HexToByte(S8),127))</f>
        <v>01</v>
      </c>
    </row>
    <row r="9" spans="1:24" x14ac:dyDescent="0.3">
      <c r="A9" s="51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54">
        <v>1</v>
      </c>
      <c r="J9" s="34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54">
        <v>1</v>
      </c>
      <c r="R9" s="55" t="s">
        <v>17</v>
      </c>
      <c r="S9" s="56" t="s">
        <v>19</v>
      </c>
      <c r="T9" s="57" t="str">
        <f t="shared" si="1"/>
        <v>0110110</v>
      </c>
      <c r="U9" s="57" t="str">
        <f t="shared" si="0"/>
        <v>0000110</v>
      </c>
      <c r="W9" s="56" t="str" cm="1">
        <f t="array" ref="W9">ByteToHex(_xlfn.BITAND(HexToByte(R9),127))</f>
        <v>36</v>
      </c>
      <c r="X9" s="56" t="str" cm="1">
        <f t="array" ref="X9">ByteToHex(_xlfn.BITAND(HexToByte(S9),127))</f>
        <v>06</v>
      </c>
    </row>
    <row r="10" spans="1:24" x14ac:dyDescent="0.3">
      <c r="A10" s="51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54">
        <v>1</v>
      </c>
      <c r="J10" s="34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54">
        <v>1</v>
      </c>
      <c r="R10" s="55" t="s">
        <v>18</v>
      </c>
      <c r="S10" s="56" t="s">
        <v>8</v>
      </c>
      <c r="T10" s="57" t="str">
        <f t="shared" si="1"/>
        <v>0110000</v>
      </c>
      <c r="U10" s="57" t="str">
        <f t="shared" si="0"/>
        <v>0000000</v>
      </c>
      <c r="W10" s="56" t="str" cm="1">
        <f t="array" ref="W10">ByteToHex(_xlfn.BITAND(HexToByte(R10),127))</f>
        <v>30</v>
      </c>
      <c r="X10" s="56" t="str" cm="1">
        <f t="array" ref="X10">ByteToHex(_xlfn.BITAND(HexToByte(S10),127))</f>
        <v>00</v>
      </c>
    </row>
    <row r="11" spans="1:24" x14ac:dyDescent="0.3">
      <c r="A11" s="51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54">
        <v>1</v>
      </c>
      <c r="J11" s="34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54">
        <v>1</v>
      </c>
      <c r="R11" s="55" t="s">
        <v>20</v>
      </c>
      <c r="S11" s="56" t="s">
        <v>8</v>
      </c>
      <c r="T11" s="57" t="str">
        <f t="shared" si="1"/>
        <v>1110000</v>
      </c>
      <c r="U11" s="57" t="str">
        <f t="shared" si="0"/>
        <v>0000000</v>
      </c>
      <c r="W11" s="56" t="str" cm="1">
        <f t="array" ref="W11">ByteToHex(_xlfn.BITAND(HexToByte(R11),127))</f>
        <v>70</v>
      </c>
      <c r="X11" s="56" t="str" cm="1">
        <f t="array" ref="X11">ByteToHex(_xlfn.BITAND(HexToByte(S11),127))</f>
        <v>00</v>
      </c>
    </row>
    <row r="12" spans="1:24" x14ac:dyDescent="0.3">
      <c r="A12" s="51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54">
        <v>1</v>
      </c>
      <c r="J12" s="34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54">
        <v>1</v>
      </c>
      <c r="R12" s="55" t="s">
        <v>23</v>
      </c>
      <c r="S12" s="56" t="s">
        <v>11</v>
      </c>
      <c r="T12" s="57" t="str">
        <f t="shared" si="1"/>
        <v>1011110</v>
      </c>
      <c r="U12" s="57" t="str">
        <f t="shared" si="0"/>
        <v>0000001</v>
      </c>
      <c r="W12" s="56" t="str" cm="1">
        <f t="array" ref="W12">ByteToHex(_xlfn.BITAND(HexToByte(R12),127))</f>
        <v>5E</v>
      </c>
      <c r="X12" s="56" t="str" cm="1">
        <f t="array" ref="X12">ByteToHex(_xlfn.BITAND(HexToByte(S12),127))</f>
        <v>01</v>
      </c>
    </row>
    <row r="13" spans="1:24" x14ac:dyDescent="0.3">
      <c r="A13" s="51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54">
        <v>1</v>
      </c>
      <c r="J13" s="34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54">
        <v>1</v>
      </c>
      <c r="R13" s="55" t="s">
        <v>16</v>
      </c>
      <c r="S13" s="56" t="s">
        <v>11</v>
      </c>
      <c r="T13" s="57" t="str">
        <f t="shared" si="1"/>
        <v>1000000</v>
      </c>
      <c r="U13" s="57" t="str">
        <f t="shared" si="0"/>
        <v>0000001</v>
      </c>
      <c r="W13" s="56" t="str" cm="1">
        <f t="array" ref="W13">ByteToHex(_xlfn.BITAND(HexToByte(R13),127))</f>
        <v>40</v>
      </c>
      <c r="X13" s="56" t="str" cm="1">
        <f t="array" ref="X13">ByteToHex(_xlfn.BITAND(HexToByte(S13),127))</f>
        <v>01</v>
      </c>
    </row>
    <row r="14" spans="1:24" x14ac:dyDescent="0.3">
      <c r="A14" s="51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54">
        <v>1</v>
      </c>
      <c r="J14" s="34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54">
        <v>1</v>
      </c>
      <c r="R14" s="55" t="s">
        <v>16</v>
      </c>
      <c r="S14" s="56" t="s">
        <v>11</v>
      </c>
      <c r="T14" s="57" t="str">
        <f t="shared" si="1"/>
        <v>1000000</v>
      </c>
      <c r="U14" s="57" t="str">
        <f t="shared" si="0"/>
        <v>0000001</v>
      </c>
      <c r="W14" s="56" t="str" cm="1">
        <f t="array" ref="W14">ByteToHex(_xlfn.BITAND(HexToByte(R14),127))</f>
        <v>40</v>
      </c>
      <c r="X14" s="56" t="str" cm="1">
        <f t="array" ref="X14">ByteToHex(_xlfn.BITAND(HexToByte(S14),127))</f>
        <v>01</v>
      </c>
    </row>
    <row r="16" spans="1:24" ht="18" customHeight="1" x14ac:dyDescent="0.3">
      <c r="A16" s="51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51">
        <v>0</v>
      </c>
      <c r="B17" s="58"/>
      <c r="C17" s="58"/>
      <c r="D17" s="58"/>
      <c r="E17" s="58"/>
      <c r="F17" s="58"/>
      <c r="G17" s="58"/>
      <c r="H17" s="59"/>
      <c r="J17" s="58"/>
      <c r="K17" s="58"/>
      <c r="L17" s="58"/>
      <c r="M17" s="58"/>
      <c r="N17" s="58"/>
      <c r="O17" s="58"/>
      <c r="P17" s="58"/>
    </row>
    <row r="18" spans="1:16" x14ac:dyDescent="0.3">
      <c r="A18" s="51">
        <v>1</v>
      </c>
      <c r="B18" s="58"/>
      <c r="C18" s="58"/>
      <c r="D18" s="58"/>
      <c r="E18" s="58"/>
      <c r="F18" s="58"/>
      <c r="G18" s="61"/>
      <c r="H18" s="61"/>
      <c r="J18" s="61"/>
      <c r="K18" s="58"/>
      <c r="L18" s="58"/>
      <c r="M18" s="58"/>
      <c r="N18" s="58"/>
      <c r="O18" s="58"/>
      <c r="P18" s="58"/>
    </row>
    <row r="19" spans="1:16" x14ac:dyDescent="0.3">
      <c r="A19" s="51">
        <v>2</v>
      </c>
      <c r="B19" s="58"/>
      <c r="C19" s="58"/>
      <c r="D19" s="58"/>
      <c r="E19" s="58"/>
      <c r="F19" s="58"/>
      <c r="G19" s="61"/>
      <c r="H19" s="61"/>
      <c r="J19" s="61"/>
      <c r="K19" s="58"/>
      <c r="L19" s="58"/>
      <c r="M19" s="58"/>
      <c r="N19" s="58"/>
      <c r="O19" s="58"/>
      <c r="P19" s="58"/>
    </row>
    <row r="20" spans="1:16" x14ac:dyDescent="0.3">
      <c r="A20" s="51">
        <v>3</v>
      </c>
      <c r="B20" s="58"/>
      <c r="C20" s="58"/>
      <c r="D20" s="58"/>
      <c r="E20" s="58"/>
      <c r="F20" s="61"/>
      <c r="G20" s="61"/>
      <c r="H20" s="61"/>
      <c r="J20" s="58"/>
      <c r="K20" s="58"/>
      <c r="L20" s="58"/>
      <c r="M20" s="58"/>
      <c r="N20" s="58"/>
      <c r="O20" s="58"/>
      <c r="P20" s="58"/>
    </row>
    <row r="21" spans="1:16" x14ac:dyDescent="0.3">
      <c r="A21" s="51">
        <v>4</v>
      </c>
      <c r="B21" s="58"/>
      <c r="C21" s="58"/>
      <c r="D21" s="61"/>
      <c r="E21" s="61"/>
      <c r="F21" s="62"/>
      <c r="G21" s="61"/>
      <c r="H21" s="61"/>
      <c r="J21" s="61"/>
      <c r="K21" s="58"/>
      <c r="L21" s="58"/>
      <c r="M21" s="58"/>
      <c r="N21" s="58"/>
      <c r="O21" s="58"/>
      <c r="P21" s="58"/>
    </row>
    <row r="22" spans="1:16" x14ac:dyDescent="0.3">
      <c r="A22" s="51">
        <v>5</v>
      </c>
      <c r="B22" s="58"/>
      <c r="C22" s="61"/>
      <c r="D22" s="61"/>
      <c r="E22" s="59"/>
      <c r="F22" s="61"/>
      <c r="G22" s="61"/>
      <c r="H22" s="58"/>
      <c r="J22" s="58"/>
      <c r="K22" s="61"/>
      <c r="L22" s="61"/>
      <c r="M22" s="58"/>
      <c r="N22" s="58"/>
      <c r="O22" s="58"/>
      <c r="P22" s="58"/>
    </row>
    <row r="23" spans="1:16" x14ac:dyDescent="0.3">
      <c r="A23" s="51">
        <v>6</v>
      </c>
      <c r="B23" s="58"/>
      <c r="C23" s="58"/>
      <c r="D23" s="58"/>
      <c r="E23" s="58"/>
      <c r="F23" s="61"/>
      <c r="G23" s="61"/>
      <c r="H23" s="58"/>
      <c r="J23" s="58"/>
      <c r="K23" s="58"/>
      <c r="L23" s="58"/>
      <c r="M23" s="58"/>
      <c r="N23" s="58"/>
      <c r="O23" s="58"/>
      <c r="P23" s="58"/>
    </row>
    <row r="24" spans="1:16" x14ac:dyDescent="0.3">
      <c r="A24" s="51">
        <v>7</v>
      </c>
      <c r="B24" s="58"/>
      <c r="C24" s="58"/>
      <c r="D24" s="58"/>
      <c r="E24" s="58"/>
      <c r="F24" s="61"/>
      <c r="G24" s="61"/>
      <c r="H24" s="61"/>
      <c r="J24" s="58"/>
      <c r="K24" s="58"/>
      <c r="L24" s="58"/>
      <c r="M24" s="58"/>
      <c r="N24" s="58"/>
      <c r="O24" s="58"/>
      <c r="P24" s="58"/>
    </row>
    <row r="25" spans="1:16" x14ac:dyDescent="0.3">
      <c r="A25" s="51">
        <v>8</v>
      </c>
      <c r="B25" s="58"/>
      <c r="C25" s="61"/>
      <c r="D25" s="61"/>
      <c r="E25" s="61"/>
      <c r="F25" s="61"/>
      <c r="G25" s="59"/>
      <c r="H25" s="61"/>
      <c r="J25" s="61"/>
      <c r="K25" s="58"/>
      <c r="L25" s="58"/>
      <c r="M25" s="58"/>
      <c r="N25" s="58"/>
      <c r="O25" s="58"/>
      <c r="P25" s="58"/>
    </row>
    <row r="26" spans="1:16" x14ac:dyDescent="0.3">
      <c r="A26" s="51">
        <v>9</v>
      </c>
      <c r="B26" s="58"/>
      <c r="C26" s="58"/>
      <c r="D26" s="58"/>
      <c r="E26" s="58"/>
      <c r="F26" s="58"/>
      <c r="G26" s="58"/>
      <c r="H26" s="61"/>
      <c r="J26" s="61"/>
      <c r="K26" s="58"/>
      <c r="L26" s="58"/>
      <c r="M26" s="58"/>
      <c r="N26" s="58"/>
      <c r="O26" s="58"/>
      <c r="P26" s="58"/>
    </row>
    <row r="27" spans="1:16" x14ac:dyDescent="0.3">
      <c r="A27" s="51">
        <v>10</v>
      </c>
      <c r="B27" s="58"/>
      <c r="C27" s="58"/>
      <c r="D27" s="58"/>
      <c r="E27" s="58"/>
      <c r="F27" s="58"/>
      <c r="G27" s="58"/>
      <c r="H27" s="61"/>
      <c r="J27" s="61"/>
      <c r="K27" s="58"/>
      <c r="L27" s="58"/>
      <c r="M27" s="58"/>
      <c r="N27" s="58"/>
      <c r="O27" s="58"/>
      <c r="P27" s="58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J30" sqref="J30"/>
      <selection pane="topRight" activeCell="J30" sqref="J30"/>
      <selection pane="bottomLeft" activeCell="J30" sqref="J30"/>
      <selection pane="bottomRight" activeCell="A8" sqref="A8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8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</row>
    <row r="2" spans="1:24" ht="18" customHeight="1" x14ac:dyDescent="0.3">
      <c r="B2" s="50" t="s">
        <v>24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24" ht="18.75" x14ac:dyDescent="0.3">
      <c r="A3" s="51" t="s">
        <v>0</v>
      </c>
      <c r="B3" s="32" t="s">
        <v>913</v>
      </c>
      <c r="C3" s="33"/>
      <c r="D3" s="33"/>
      <c r="E3" s="33"/>
      <c r="F3" s="33"/>
      <c r="G3" s="33"/>
      <c r="H3" s="33"/>
      <c r="I3" s="65" t="s">
        <v>1</v>
      </c>
      <c r="J3" s="32" t="s">
        <v>914</v>
      </c>
      <c r="K3" s="33"/>
      <c r="L3" s="33"/>
      <c r="M3" s="33"/>
      <c r="N3" s="33"/>
      <c r="O3" s="33"/>
      <c r="P3" s="33"/>
      <c r="Q3" s="65" t="s">
        <v>2</v>
      </c>
      <c r="R3" s="52" t="s">
        <v>3</v>
      </c>
      <c r="S3" s="53" t="s">
        <v>4</v>
      </c>
      <c r="T3" s="53" t="s">
        <v>5</v>
      </c>
      <c r="U3" s="53" t="s">
        <v>6</v>
      </c>
      <c r="W3" s="53" t="s">
        <v>15</v>
      </c>
      <c r="X3" s="53" t="s">
        <v>14</v>
      </c>
    </row>
    <row r="4" spans="1:24" x14ac:dyDescent="0.3">
      <c r="A4" s="51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54">
        <v>0</v>
      </c>
      <c r="J4" s="34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54">
        <v>0</v>
      </c>
      <c r="R4" s="55" t="s">
        <v>26</v>
      </c>
      <c r="S4" s="56" t="s">
        <v>34</v>
      </c>
      <c r="T4" s="57" t="str">
        <f>hextobits(R4)</f>
        <v>1000000</v>
      </c>
      <c r="U4" s="57" t="str">
        <f t="shared" ref="U4:U14" si="0">hextobits(S4)</f>
        <v>0000000</v>
      </c>
      <c r="W4" s="56" t="str" cm="1">
        <f t="array" ref="W4">ByteToHex(_xlfn.BITAND(HexToByte(R4),127))</f>
        <v>40</v>
      </c>
      <c r="X4" s="56" t="str" cm="1">
        <f t="array" ref="X4">ByteToHex(_xlfn.BITAND(HexToByte(S4),127))</f>
        <v>00</v>
      </c>
    </row>
    <row r="5" spans="1:24" x14ac:dyDescent="0.3">
      <c r="A5" s="51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54">
        <v>0</v>
      </c>
      <c r="J5" s="34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54">
        <v>0</v>
      </c>
      <c r="R5" s="55" t="s">
        <v>29</v>
      </c>
      <c r="S5" s="56" t="s">
        <v>27</v>
      </c>
      <c r="T5" s="57" t="str">
        <f t="shared" ref="T5:T14" si="1">hextobits(R5)</f>
        <v>1100000</v>
      </c>
      <c r="U5" s="57" t="str">
        <f t="shared" si="0"/>
        <v>0000001</v>
      </c>
      <c r="W5" s="56" t="str" cm="1">
        <f t="array" ref="W5">ByteToHex(_xlfn.BITAND(HexToByte(R5),127))</f>
        <v>60</v>
      </c>
      <c r="X5" s="56" t="str" cm="1">
        <f t="array" ref="X5">ByteToHex(_xlfn.BITAND(HexToByte(S5),127))</f>
        <v>01</v>
      </c>
    </row>
    <row r="6" spans="1:24" x14ac:dyDescent="0.3">
      <c r="A6" s="51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54">
        <v>0</v>
      </c>
      <c r="J6" s="34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54">
        <v>0</v>
      </c>
      <c r="R6" s="55" t="s">
        <v>29</v>
      </c>
      <c r="S6" s="56" t="s">
        <v>27</v>
      </c>
      <c r="T6" s="57" t="str">
        <f t="shared" si="1"/>
        <v>1100000</v>
      </c>
      <c r="U6" s="57" t="str">
        <f t="shared" si="0"/>
        <v>0000001</v>
      </c>
      <c r="W6" s="56" t="str" cm="1">
        <f t="array" ref="W6">ByteToHex(_xlfn.BITAND(HexToByte(R6),127))</f>
        <v>60</v>
      </c>
      <c r="X6" s="56" t="str" cm="1">
        <f t="array" ref="X6">ByteToHex(_xlfn.BITAND(HexToByte(S6),127))</f>
        <v>01</v>
      </c>
    </row>
    <row r="7" spans="1:24" x14ac:dyDescent="0.3">
      <c r="A7" s="51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54">
        <v>0</v>
      </c>
      <c r="J7" s="34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54">
        <v>0</v>
      </c>
      <c r="R7" s="55" t="s">
        <v>28</v>
      </c>
      <c r="S7" s="56" t="s">
        <v>34</v>
      </c>
      <c r="T7" s="57" t="str">
        <f t="shared" si="1"/>
        <v>1110000</v>
      </c>
      <c r="U7" s="57" t="str">
        <f t="shared" si="0"/>
        <v>0000000</v>
      </c>
      <c r="W7" s="56" t="str" cm="1">
        <f t="array" ref="W7">ByteToHex(_xlfn.BITAND(HexToByte(R7),127))</f>
        <v>70</v>
      </c>
      <c r="X7" s="56" t="str" cm="1">
        <f t="array" ref="X7">ByteToHex(_xlfn.BITAND(HexToByte(S7),127))</f>
        <v>00</v>
      </c>
    </row>
    <row r="8" spans="1:24" x14ac:dyDescent="0.3">
      <c r="A8" s="51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54">
        <v>0</v>
      </c>
      <c r="J8" s="34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54">
        <v>0</v>
      </c>
      <c r="R8" s="55" t="s">
        <v>30</v>
      </c>
      <c r="S8" s="56" t="s">
        <v>27</v>
      </c>
      <c r="T8" s="57" t="str">
        <f t="shared" si="1"/>
        <v>1101100</v>
      </c>
      <c r="U8" s="57" t="str">
        <f t="shared" si="0"/>
        <v>0000001</v>
      </c>
      <c r="W8" s="56" t="str" cm="1">
        <f t="array" ref="W8">ByteToHex(_xlfn.BITAND(HexToByte(R8),127))</f>
        <v>6C</v>
      </c>
      <c r="X8" s="56" t="str" cm="1">
        <f t="array" ref="X8">ByteToHex(_xlfn.BITAND(HexToByte(S8),127))</f>
        <v>01</v>
      </c>
    </row>
    <row r="9" spans="1:24" x14ac:dyDescent="0.3">
      <c r="A9" s="51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54">
        <v>0</v>
      </c>
      <c r="J9" s="34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54">
        <v>0</v>
      </c>
      <c r="R9" s="55" t="s">
        <v>31</v>
      </c>
      <c r="S9" s="56" t="s">
        <v>35</v>
      </c>
      <c r="T9" s="57" t="str">
        <f t="shared" si="1"/>
        <v>0110110</v>
      </c>
      <c r="U9" s="57" t="str">
        <f t="shared" si="0"/>
        <v>0000110</v>
      </c>
      <c r="W9" s="56" t="str" cm="1">
        <f t="array" ref="W9">ByteToHex(_xlfn.BITAND(HexToByte(R9),127))</f>
        <v>36</v>
      </c>
      <c r="X9" s="56" t="str" cm="1">
        <f t="array" ref="X9">ByteToHex(_xlfn.BITAND(HexToByte(S9),127))</f>
        <v>06</v>
      </c>
    </row>
    <row r="10" spans="1:24" x14ac:dyDescent="0.3">
      <c r="A10" s="51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54">
        <v>0</v>
      </c>
      <c r="J10" s="34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54">
        <v>0</v>
      </c>
      <c r="R10" s="55" t="s">
        <v>32</v>
      </c>
      <c r="S10" s="56" t="s">
        <v>34</v>
      </c>
      <c r="T10" s="57" t="str">
        <f t="shared" si="1"/>
        <v>0110000</v>
      </c>
      <c r="U10" s="57" t="str">
        <f t="shared" si="0"/>
        <v>0000000</v>
      </c>
      <c r="W10" s="56" t="str" cm="1">
        <f t="array" ref="W10">ByteToHex(_xlfn.BITAND(HexToByte(R10),127))</f>
        <v>30</v>
      </c>
      <c r="X10" s="56" t="str" cm="1">
        <f t="array" ref="X10">ByteToHex(_xlfn.BITAND(HexToByte(S10),127))</f>
        <v>00</v>
      </c>
    </row>
    <row r="11" spans="1:24" x14ac:dyDescent="0.3">
      <c r="A11" s="51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54">
        <v>0</v>
      </c>
      <c r="J11" s="34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54">
        <v>0</v>
      </c>
      <c r="R11" s="55" t="s">
        <v>28</v>
      </c>
      <c r="S11" s="56" t="s">
        <v>34</v>
      </c>
      <c r="T11" s="57" t="str">
        <f t="shared" si="1"/>
        <v>1110000</v>
      </c>
      <c r="U11" s="57" t="str">
        <f t="shared" si="0"/>
        <v>0000000</v>
      </c>
      <c r="W11" s="56" t="str" cm="1">
        <f t="array" ref="W11">ByteToHex(_xlfn.BITAND(HexToByte(R11),127))</f>
        <v>70</v>
      </c>
      <c r="X11" s="56" t="str" cm="1">
        <f t="array" ref="X11">ByteToHex(_xlfn.BITAND(HexToByte(S11),127))</f>
        <v>00</v>
      </c>
    </row>
    <row r="12" spans="1:24" x14ac:dyDescent="0.3">
      <c r="A12" s="51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54">
        <v>0</v>
      </c>
      <c r="J12" s="34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54">
        <v>0</v>
      </c>
      <c r="R12" s="55" t="s">
        <v>33</v>
      </c>
      <c r="S12" s="56" t="s">
        <v>27</v>
      </c>
      <c r="T12" s="57" t="str">
        <f t="shared" si="1"/>
        <v>1011110</v>
      </c>
      <c r="U12" s="57" t="str">
        <f t="shared" si="0"/>
        <v>0000001</v>
      </c>
      <c r="W12" s="56" t="str" cm="1">
        <f t="array" ref="W12">ByteToHex(_xlfn.BITAND(HexToByte(R12),127))</f>
        <v>5E</v>
      </c>
      <c r="X12" s="56" t="str" cm="1">
        <f t="array" ref="X12">ByteToHex(_xlfn.BITAND(HexToByte(S12),127))</f>
        <v>01</v>
      </c>
    </row>
    <row r="13" spans="1:24" x14ac:dyDescent="0.3">
      <c r="A13" s="51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54">
        <v>0</v>
      </c>
      <c r="J13" s="34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54">
        <v>0</v>
      </c>
      <c r="R13" s="55" t="s">
        <v>26</v>
      </c>
      <c r="S13" s="56" t="s">
        <v>27</v>
      </c>
      <c r="T13" s="57" t="str">
        <f t="shared" si="1"/>
        <v>1000000</v>
      </c>
      <c r="U13" s="57" t="str">
        <f t="shared" si="0"/>
        <v>0000001</v>
      </c>
      <c r="W13" s="56" t="str" cm="1">
        <f t="array" ref="W13">ByteToHex(_xlfn.BITAND(HexToByte(R13),127))</f>
        <v>40</v>
      </c>
      <c r="X13" s="56" t="str" cm="1">
        <f t="array" ref="X13">ByteToHex(_xlfn.BITAND(HexToByte(S13),127))</f>
        <v>01</v>
      </c>
    </row>
    <row r="14" spans="1:24" x14ac:dyDescent="0.3">
      <c r="A14" s="51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54">
        <v>0</v>
      </c>
      <c r="J14" s="34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54">
        <v>0</v>
      </c>
      <c r="R14" s="55" t="s">
        <v>26</v>
      </c>
      <c r="S14" s="56" t="s">
        <v>27</v>
      </c>
      <c r="T14" s="57" t="str">
        <f t="shared" si="1"/>
        <v>1000000</v>
      </c>
      <c r="U14" s="57" t="str">
        <f t="shared" si="0"/>
        <v>0000001</v>
      </c>
      <c r="W14" s="56" t="str" cm="1">
        <f t="array" ref="W14">ByteToHex(_xlfn.BITAND(HexToByte(R14),127))</f>
        <v>40</v>
      </c>
      <c r="X14" s="56" t="str" cm="1">
        <f t="array" ref="X14">ByteToHex(_xlfn.BITAND(HexToByte(S14),127))</f>
        <v>01</v>
      </c>
    </row>
    <row r="16" spans="1:24" ht="18" customHeight="1" x14ac:dyDescent="0.3">
      <c r="A16" s="51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51">
        <v>0</v>
      </c>
      <c r="B17" s="58"/>
      <c r="C17" s="58"/>
      <c r="D17" s="58"/>
      <c r="E17" s="58"/>
      <c r="F17" s="58"/>
      <c r="G17" s="58"/>
      <c r="H17" s="63"/>
      <c r="J17" s="58"/>
      <c r="K17" s="58"/>
      <c r="L17" s="58"/>
      <c r="M17" s="58"/>
      <c r="N17" s="58"/>
      <c r="O17" s="58"/>
      <c r="P17" s="58"/>
    </row>
    <row r="18" spans="1:16" x14ac:dyDescent="0.3">
      <c r="A18" s="51">
        <v>1</v>
      </c>
      <c r="B18" s="58"/>
      <c r="C18" s="58"/>
      <c r="D18" s="58"/>
      <c r="E18" s="58"/>
      <c r="F18" s="58"/>
      <c r="G18" s="61"/>
      <c r="H18" s="61"/>
      <c r="J18" s="61"/>
      <c r="K18" s="58"/>
      <c r="L18" s="58"/>
      <c r="M18" s="58"/>
      <c r="N18" s="58"/>
      <c r="O18" s="58"/>
      <c r="P18" s="58"/>
    </row>
    <row r="19" spans="1:16" x14ac:dyDescent="0.3">
      <c r="A19" s="51">
        <v>2</v>
      </c>
      <c r="B19" s="58"/>
      <c r="C19" s="58"/>
      <c r="D19" s="58"/>
      <c r="E19" s="58"/>
      <c r="F19" s="58"/>
      <c r="G19" s="61"/>
      <c r="H19" s="61"/>
      <c r="J19" s="61"/>
      <c r="K19" s="58"/>
      <c r="L19" s="58"/>
      <c r="M19" s="58"/>
      <c r="N19" s="58"/>
      <c r="O19" s="58"/>
      <c r="P19" s="58"/>
    </row>
    <row r="20" spans="1:16" x14ac:dyDescent="0.3">
      <c r="A20" s="51">
        <v>3</v>
      </c>
      <c r="B20" s="58"/>
      <c r="C20" s="58"/>
      <c r="D20" s="58"/>
      <c r="E20" s="58"/>
      <c r="F20" s="61"/>
      <c r="G20" s="61"/>
      <c r="H20" s="61"/>
      <c r="J20" s="58"/>
      <c r="K20" s="58"/>
      <c r="L20" s="58"/>
      <c r="M20" s="58"/>
      <c r="N20" s="58"/>
      <c r="O20" s="58"/>
      <c r="P20" s="58"/>
    </row>
    <row r="21" spans="1:16" x14ac:dyDescent="0.3">
      <c r="A21" s="51">
        <v>4</v>
      </c>
      <c r="B21" s="58"/>
      <c r="C21" s="58"/>
      <c r="D21" s="61"/>
      <c r="E21" s="61"/>
      <c r="F21" s="64"/>
      <c r="G21" s="61"/>
      <c r="H21" s="61"/>
      <c r="J21" s="61"/>
      <c r="K21" s="58"/>
      <c r="L21" s="58"/>
      <c r="M21" s="58"/>
      <c r="N21" s="58"/>
      <c r="O21" s="58"/>
      <c r="P21" s="58"/>
    </row>
    <row r="22" spans="1:16" x14ac:dyDescent="0.3">
      <c r="A22" s="51">
        <v>5</v>
      </c>
      <c r="B22" s="58"/>
      <c r="C22" s="61"/>
      <c r="D22" s="61"/>
      <c r="E22" s="63"/>
      <c r="F22" s="61"/>
      <c r="G22" s="61"/>
      <c r="H22" s="58"/>
      <c r="J22" s="58"/>
      <c r="K22" s="61"/>
      <c r="L22" s="61"/>
      <c r="M22" s="58"/>
      <c r="N22" s="58"/>
      <c r="O22" s="58"/>
      <c r="P22" s="58"/>
    </row>
    <row r="23" spans="1:16" x14ac:dyDescent="0.3">
      <c r="A23" s="51">
        <v>6</v>
      </c>
      <c r="B23" s="58"/>
      <c r="C23" s="58"/>
      <c r="D23" s="58"/>
      <c r="E23" s="58"/>
      <c r="F23" s="61"/>
      <c r="G23" s="61"/>
      <c r="H23" s="58"/>
      <c r="J23" s="58"/>
      <c r="K23" s="58"/>
      <c r="L23" s="58"/>
      <c r="M23" s="58"/>
      <c r="N23" s="58"/>
      <c r="O23" s="58"/>
      <c r="P23" s="58"/>
    </row>
    <row r="24" spans="1:16" x14ac:dyDescent="0.3">
      <c r="A24" s="51">
        <v>7</v>
      </c>
      <c r="B24" s="58"/>
      <c r="C24" s="58"/>
      <c r="D24" s="58"/>
      <c r="E24" s="58"/>
      <c r="F24" s="61"/>
      <c r="G24" s="61"/>
      <c r="H24" s="61"/>
      <c r="J24" s="58"/>
      <c r="K24" s="58"/>
      <c r="L24" s="58"/>
      <c r="M24" s="58"/>
      <c r="N24" s="58"/>
      <c r="O24" s="58"/>
      <c r="P24" s="58"/>
    </row>
    <row r="25" spans="1:16" x14ac:dyDescent="0.3">
      <c r="A25" s="51">
        <v>8</v>
      </c>
      <c r="B25" s="58"/>
      <c r="C25" s="61"/>
      <c r="D25" s="61"/>
      <c r="E25" s="61"/>
      <c r="F25" s="61"/>
      <c r="G25" s="63"/>
      <c r="H25" s="61"/>
      <c r="J25" s="61"/>
      <c r="K25" s="58"/>
      <c r="L25" s="58"/>
      <c r="M25" s="58"/>
      <c r="N25" s="58"/>
      <c r="O25" s="58"/>
      <c r="P25" s="58"/>
    </row>
    <row r="26" spans="1:16" x14ac:dyDescent="0.3">
      <c r="A26" s="51">
        <v>9</v>
      </c>
      <c r="B26" s="58"/>
      <c r="C26" s="58"/>
      <c r="D26" s="58"/>
      <c r="E26" s="58"/>
      <c r="F26" s="58"/>
      <c r="G26" s="58"/>
      <c r="H26" s="61"/>
      <c r="J26" s="61"/>
      <c r="K26" s="58"/>
      <c r="L26" s="58"/>
      <c r="M26" s="58"/>
      <c r="N26" s="58"/>
      <c r="O26" s="58"/>
      <c r="P26" s="58"/>
    </row>
    <row r="27" spans="1:16" x14ac:dyDescent="0.3">
      <c r="A27" s="51">
        <v>10</v>
      </c>
      <c r="B27" s="58"/>
      <c r="C27" s="58"/>
      <c r="D27" s="58"/>
      <c r="E27" s="58"/>
      <c r="F27" s="58"/>
      <c r="G27" s="58"/>
      <c r="H27" s="61"/>
      <c r="J27" s="61"/>
      <c r="K27" s="58"/>
      <c r="L27" s="58"/>
      <c r="M27" s="58"/>
      <c r="N27" s="58"/>
      <c r="O27" s="58"/>
      <c r="P27" s="58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J30" sqref="J30"/>
      <selection pane="topRight" activeCell="J30" sqref="J30"/>
      <selection pane="bottomLeft" activeCell="J30" sqref="J30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8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</row>
    <row r="2" spans="1:24" ht="18" customHeight="1" x14ac:dyDescent="0.3">
      <c r="B2" s="50" t="s">
        <v>24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24" ht="18.75" x14ac:dyDescent="0.3">
      <c r="A3" s="51" t="s">
        <v>0</v>
      </c>
      <c r="B3" s="32" t="s">
        <v>913</v>
      </c>
      <c r="C3" s="33"/>
      <c r="D3" s="33"/>
      <c r="E3" s="33"/>
      <c r="F3" s="33"/>
      <c r="G3" s="33"/>
      <c r="H3" s="33"/>
      <c r="I3" s="65" t="s">
        <v>1</v>
      </c>
      <c r="J3" s="32" t="s">
        <v>914</v>
      </c>
      <c r="K3" s="33"/>
      <c r="L3" s="33"/>
      <c r="M3" s="33"/>
      <c r="N3" s="33"/>
      <c r="O3" s="33"/>
      <c r="P3" s="33"/>
      <c r="Q3" s="65" t="s">
        <v>2</v>
      </c>
      <c r="R3" s="52" t="s">
        <v>3</v>
      </c>
      <c r="S3" s="53" t="s">
        <v>4</v>
      </c>
      <c r="T3" s="53" t="s">
        <v>5</v>
      </c>
      <c r="U3" s="53" t="s">
        <v>6</v>
      </c>
      <c r="W3" s="53" t="s">
        <v>15</v>
      </c>
      <c r="X3" s="53" t="s">
        <v>14</v>
      </c>
    </row>
    <row r="4" spans="1:24" x14ac:dyDescent="0.3">
      <c r="A4" s="51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54">
        <v>1</v>
      </c>
      <c r="J4" s="34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54">
        <v>0</v>
      </c>
      <c r="R4" s="55" t="s">
        <v>16</v>
      </c>
      <c r="S4" s="56" t="s">
        <v>36</v>
      </c>
      <c r="T4" s="57" t="str">
        <f>hextobits(R4)</f>
        <v>1000000</v>
      </c>
      <c r="U4" s="57" t="str">
        <f t="shared" ref="U4:U14" si="0">hextobits(S4)</f>
        <v>0000010</v>
      </c>
      <c r="W4" s="56" t="str" cm="1">
        <f t="array" ref="W4">ByteToHex(_xlfn.BITAND(HexToByte(R4),127))</f>
        <v>40</v>
      </c>
      <c r="X4" s="56" t="str" cm="1">
        <f t="array" ref="X4">ByteToHex(_xlfn.BITAND(HexToByte(S4),127))</f>
        <v>02</v>
      </c>
    </row>
    <row r="5" spans="1:24" x14ac:dyDescent="0.3">
      <c r="A5" s="51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54">
        <v>0</v>
      </c>
      <c r="J5" s="34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54">
        <v>0</v>
      </c>
      <c r="R5" s="55" t="s">
        <v>34</v>
      </c>
      <c r="S5" s="56" t="s">
        <v>34</v>
      </c>
      <c r="T5" s="57" t="str">
        <f t="shared" ref="T5:T14" si="1">hextobits(R5)</f>
        <v>0000000</v>
      </c>
      <c r="U5" s="57" t="str">
        <f t="shared" si="0"/>
        <v>0000000</v>
      </c>
      <c r="W5" s="56" t="str" cm="1">
        <f t="array" ref="W5">ByteToHex(_xlfn.BITAND(HexToByte(R5),127))</f>
        <v>00</v>
      </c>
      <c r="X5" s="56" t="str" cm="1">
        <f t="array" ref="X5">ByteToHex(_xlfn.BITAND(HexToByte(S5),127))</f>
        <v>00</v>
      </c>
    </row>
    <row r="6" spans="1:24" x14ac:dyDescent="0.3">
      <c r="A6" s="51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54">
        <v>0</v>
      </c>
      <c r="J6" s="34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54">
        <v>0</v>
      </c>
      <c r="R6" s="55" t="s">
        <v>34</v>
      </c>
      <c r="S6" s="56" t="s">
        <v>34</v>
      </c>
      <c r="T6" s="57" t="str">
        <f t="shared" si="1"/>
        <v>0000000</v>
      </c>
      <c r="U6" s="57" t="str">
        <f t="shared" si="0"/>
        <v>0000000</v>
      </c>
      <c r="W6" s="56" t="str" cm="1">
        <f t="array" ref="W6">ByteToHex(_xlfn.BITAND(HexToByte(R6),127))</f>
        <v>00</v>
      </c>
      <c r="X6" s="56" t="str" cm="1">
        <f t="array" ref="X6">ByteToHex(_xlfn.BITAND(HexToByte(S6),127))</f>
        <v>00</v>
      </c>
    </row>
    <row r="7" spans="1:24" x14ac:dyDescent="0.3">
      <c r="A7" s="51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54">
        <v>0</v>
      </c>
      <c r="J7" s="34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54">
        <v>0</v>
      </c>
      <c r="R7" s="55" t="s">
        <v>34</v>
      </c>
      <c r="S7" s="56" t="s">
        <v>34</v>
      </c>
      <c r="T7" s="57" t="str">
        <f t="shared" si="1"/>
        <v>0000000</v>
      </c>
      <c r="U7" s="57" t="str">
        <f t="shared" si="0"/>
        <v>0000000</v>
      </c>
      <c r="W7" s="56" t="str" cm="1">
        <f t="array" ref="W7">ByteToHex(_xlfn.BITAND(HexToByte(R7),127))</f>
        <v>00</v>
      </c>
      <c r="X7" s="56" t="str" cm="1">
        <f t="array" ref="X7">ByteToHex(_xlfn.BITAND(HexToByte(S7),127))</f>
        <v>00</v>
      </c>
    </row>
    <row r="8" spans="1:24" x14ac:dyDescent="0.3">
      <c r="A8" s="51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54">
        <v>0</v>
      </c>
      <c r="J8" s="34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54">
        <v>0</v>
      </c>
      <c r="R8" s="55" t="s">
        <v>34</v>
      </c>
      <c r="S8" s="56" t="s">
        <v>34</v>
      </c>
      <c r="T8" s="57" t="str">
        <f t="shared" si="1"/>
        <v>0000000</v>
      </c>
      <c r="U8" s="57" t="str">
        <f t="shared" si="0"/>
        <v>0000000</v>
      </c>
      <c r="W8" s="56" t="str" cm="1">
        <f t="array" ref="W8">ByteToHex(_xlfn.BITAND(HexToByte(R8),127))</f>
        <v>00</v>
      </c>
      <c r="X8" s="56" t="str" cm="1">
        <f t="array" ref="X8">ByteToHex(_xlfn.BITAND(HexToByte(S8),127))</f>
        <v>00</v>
      </c>
    </row>
    <row r="9" spans="1:24" x14ac:dyDescent="0.3">
      <c r="A9" s="51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54">
        <v>0</v>
      </c>
      <c r="J9" s="34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54">
        <v>0</v>
      </c>
      <c r="R9" s="55" t="s">
        <v>34</v>
      </c>
      <c r="S9" s="56" t="s">
        <v>34</v>
      </c>
      <c r="T9" s="57" t="str">
        <f t="shared" si="1"/>
        <v>0000000</v>
      </c>
      <c r="U9" s="57" t="str">
        <f t="shared" si="0"/>
        <v>0000000</v>
      </c>
      <c r="W9" s="56" t="str" cm="1">
        <f t="array" ref="W9">ByteToHex(_xlfn.BITAND(HexToByte(R9),127))</f>
        <v>00</v>
      </c>
      <c r="X9" s="56" t="str" cm="1">
        <f t="array" ref="X9">ByteToHex(_xlfn.BITAND(HexToByte(S9),127))</f>
        <v>00</v>
      </c>
    </row>
    <row r="10" spans="1:24" x14ac:dyDescent="0.3">
      <c r="A10" s="51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54">
        <v>0</v>
      </c>
      <c r="J10" s="34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54">
        <v>0</v>
      </c>
      <c r="R10" s="55" t="s">
        <v>34</v>
      </c>
      <c r="S10" s="56" t="s">
        <v>34</v>
      </c>
      <c r="T10" s="57" t="str">
        <f t="shared" si="1"/>
        <v>0000000</v>
      </c>
      <c r="U10" s="57" t="str">
        <f t="shared" si="0"/>
        <v>0000000</v>
      </c>
      <c r="W10" s="56" t="str" cm="1">
        <f t="array" ref="W10">ByteToHex(_xlfn.BITAND(HexToByte(R10),127))</f>
        <v>00</v>
      </c>
      <c r="X10" s="56" t="str" cm="1">
        <f t="array" ref="X10">ByteToHex(_xlfn.BITAND(HexToByte(S10),127))</f>
        <v>00</v>
      </c>
    </row>
    <row r="11" spans="1:24" x14ac:dyDescent="0.3">
      <c r="A11" s="51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54">
        <v>0</v>
      </c>
      <c r="J11" s="34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54">
        <v>0</v>
      </c>
      <c r="R11" s="55" t="s">
        <v>34</v>
      </c>
      <c r="S11" s="56" t="s">
        <v>34</v>
      </c>
      <c r="T11" s="57" t="str">
        <f t="shared" si="1"/>
        <v>0000000</v>
      </c>
      <c r="U11" s="57" t="str">
        <f t="shared" si="0"/>
        <v>0000000</v>
      </c>
      <c r="W11" s="56" t="str" cm="1">
        <f t="array" ref="W11">ByteToHex(_xlfn.BITAND(HexToByte(R11),127))</f>
        <v>00</v>
      </c>
      <c r="X11" s="56" t="str" cm="1">
        <f t="array" ref="X11">ByteToHex(_xlfn.BITAND(HexToByte(S11),127))</f>
        <v>00</v>
      </c>
    </row>
    <row r="12" spans="1:24" x14ac:dyDescent="0.3">
      <c r="A12" s="51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54">
        <v>0</v>
      </c>
      <c r="J12" s="34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54">
        <v>0</v>
      </c>
      <c r="R12" s="55" t="s">
        <v>34</v>
      </c>
      <c r="S12" s="56" t="s">
        <v>34</v>
      </c>
      <c r="T12" s="57" t="str">
        <f t="shared" si="1"/>
        <v>0000000</v>
      </c>
      <c r="U12" s="57" t="str">
        <f t="shared" si="0"/>
        <v>0000000</v>
      </c>
      <c r="W12" s="56" t="str" cm="1">
        <f t="array" ref="W12">ByteToHex(_xlfn.BITAND(HexToByte(R12),127))</f>
        <v>00</v>
      </c>
      <c r="X12" s="56" t="str" cm="1">
        <f t="array" ref="X12">ByteToHex(_xlfn.BITAND(HexToByte(S12),127))</f>
        <v>00</v>
      </c>
    </row>
    <row r="13" spans="1:24" x14ac:dyDescent="0.3">
      <c r="A13" s="51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54">
        <v>0</v>
      </c>
      <c r="J13" s="34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54">
        <v>0</v>
      </c>
      <c r="R13" s="55" t="s">
        <v>34</v>
      </c>
      <c r="S13" s="56" t="s">
        <v>34</v>
      </c>
      <c r="T13" s="57" t="str">
        <f t="shared" si="1"/>
        <v>0000000</v>
      </c>
      <c r="U13" s="57" t="str">
        <f t="shared" si="0"/>
        <v>0000000</v>
      </c>
      <c r="W13" s="56" t="str" cm="1">
        <f t="array" ref="W13">ByteToHex(_xlfn.BITAND(HexToByte(R13),127))</f>
        <v>00</v>
      </c>
      <c r="X13" s="56" t="str" cm="1">
        <f t="array" ref="X13">ByteToHex(_xlfn.BITAND(HexToByte(S13),127))</f>
        <v>00</v>
      </c>
    </row>
    <row r="14" spans="1:24" x14ac:dyDescent="0.3">
      <c r="A14" s="51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54">
        <v>0</v>
      </c>
      <c r="J14" s="34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54">
        <v>0</v>
      </c>
      <c r="R14" s="55" t="s">
        <v>34</v>
      </c>
      <c r="S14" s="56" t="s">
        <v>34</v>
      </c>
      <c r="T14" s="57" t="str">
        <f t="shared" si="1"/>
        <v>0000000</v>
      </c>
      <c r="U14" s="57" t="str">
        <f t="shared" si="0"/>
        <v>0000000</v>
      </c>
      <c r="W14" s="56" t="str" cm="1">
        <f t="array" ref="W14">ByteToHex(_xlfn.BITAND(HexToByte(R14),127))</f>
        <v>00</v>
      </c>
      <c r="X14" s="56" t="str" cm="1">
        <f t="array" ref="X14">ByteToHex(_xlfn.BITAND(HexToByte(S14),127))</f>
        <v>00</v>
      </c>
    </row>
    <row r="16" spans="1:24" ht="18" customHeight="1" x14ac:dyDescent="0.3">
      <c r="A16" s="51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51">
        <v>0</v>
      </c>
      <c r="B17" s="58"/>
      <c r="C17" s="58"/>
      <c r="D17" s="58"/>
      <c r="E17" s="58"/>
      <c r="F17" s="58"/>
      <c r="G17" s="58"/>
      <c r="H17" s="59"/>
      <c r="J17" s="63"/>
      <c r="K17" s="63"/>
      <c r="L17" s="58"/>
      <c r="M17" s="58"/>
      <c r="N17" s="58"/>
      <c r="O17" s="58"/>
      <c r="P17" s="58"/>
    </row>
    <row r="18" spans="1:16" x14ac:dyDescent="0.3">
      <c r="A18" s="51">
        <v>1</v>
      </c>
      <c r="B18" s="58"/>
      <c r="C18" s="58"/>
      <c r="D18" s="58"/>
      <c r="E18" s="58"/>
      <c r="F18" s="58"/>
      <c r="G18" s="58"/>
      <c r="H18" s="58"/>
      <c r="J18" s="58"/>
      <c r="K18" s="58"/>
      <c r="L18" s="58"/>
      <c r="M18" s="58"/>
      <c r="N18" s="58"/>
      <c r="O18" s="58"/>
      <c r="P18" s="58"/>
    </row>
    <row r="19" spans="1:16" x14ac:dyDescent="0.3">
      <c r="A19" s="51">
        <v>2</v>
      </c>
      <c r="B19" s="58"/>
      <c r="C19" s="58"/>
      <c r="D19" s="58"/>
      <c r="E19" s="58"/>
      <c r="F19" s="58"/>
      <c r="G19" s="58"/>
      <c r="H19" s="58"/>
      <c r="J19" s="58"/>
      <c r="K19" s="58"/>
      <c r="L19" s="58"/>
      <c r="M19" s="58"/>
      <c r="N19" s="58"/>
      <c r="O19" s="58"/>
      <c r="P19" s="58"/>
    </row>
    <row r="20" spans="1:16" x14ac:dyDescent="0.3">
      <c r="A20" s="51">
        <v>3</v>
      </c>
      <c r="B20" s="58"/>
      <c r="C20" s="58"/>
      <c r="D20" s="58"/>
      <c r="E20" s="58"/>
      <c r="F20" s="58"/>
      <c r="G20" s="58"/>
      <c r="H20" s="58"/>
      <c r="J20" s="58"/>
      <c r="K20" s="58"/>
      <c r="L20" s="58"/>
      <c r="M20" s="58"/>
      <c r="N20" s="58"/>
      <c r="O20" s="58"/>
      <c r="P20" s="58"/>
    </row>
    <row r="21" spans="1:16" x14ac:dyDescent="0.3">
      <c r="A21" s="51">
        <v>4</v>
      </c>
      <c r="B21" s="58"/>
      <c r="C21" s="58"/>
      <c r="D21" s="58"/>
      <c r="E21" s="58"/>
      <c r="F21" s="58"/>
      <c r="G21" s="58"/>
      <c r="H21" s="58"/>
      <c r="J21" s="58"/>
      <c r="K21" s="58"/>
      <c r="L21" s="58"/>
      <c r="M21" s="58"/>
      <c r="N21" s="58"/>
      <c r="O21" s="58"/>
      <c r="P21" s="58"/>
    </row>
    <row r="22" spans="1:16" x14ac:dyDescent="0.3">
      <c r="A22" s="51">
        <v>5</v>
      </c>
      <c r="B22" s="58"/>
      <c r="C22" s="58"/>
      <c r="D22" s="58"/>
      <c r="E22" s="58"/>
      <c r="F22" s="58"/>
      <c r="G22" s="58"/>
      <c r="H22" s="58"/>
      <c r="J22" s="58"/>
      <c r="K22" s="58"/>
      <c r="L22" s="58"/>
      <c r="M22" s="58"/>
      <c r="N22" s="58"/>
      <c r="O22" s="58"/>
      <c r="P22" s="58"/>
    </row>
    <row r="23" spans="1:16" x14ac:dyDescent="0.3">
      <c r="A23" s="51">
        <v>6</v>
      </c>
      <c r="B23" s="58"/>
      <c r="C23" s="58"/>
      <c r="D23" s="58"/>
      <c r="E23" s="58"/>
      <c r="F23" s="58"/>
      <c r="G23" s="58"/>
      <c r="H23" s="58"/>
      <c r="J23" s="58"/>
      <c r="K23" s="58"/>
      <c r="L23" s="58"/>
      <c r="M23" s="58"/>
      <c r="N23" s="58"/>
      <c r="O23" s="58"/>
      <c r="P23" s="58"/>
    </row>
    <row r="24" spans="1:16" x14ac:dyDescent="0.3">
      <c r="A24" s="51">
        <v>7</v>
      </c>
      <c r="B24" s="58"/>
      <c r="C24" s="58"/>
      <c r="D24" s="58"/>
      <c r="E24" s="58"/>
      <c r="F24" s="58"/>
      <c r="G24" s="58"/>
      <c r="H24" s="58"/>
      <c r="J24" s="58"/>
      <c r="K24" s="58"/>
      <c r="L24" s="58"/>
      <c r="M24" s="58"/>
      <c r="N24" s="58"/>
      <c r="O24" s="58"/>
      <c r="P24" s="58"/>
    </row>
    <row r="25" spans="1:16" x14ac:dyDescent="0.3">
      <c r="A25" s="51">
        <v>8</v>
      </c>
      <c r="B25" s="58"/>
      <c r="C25" s="58"/>
      <c r="D25" s="58"/>
      <c r="E25" s="58"/>
      <c r="F25" s="58"/>
      <c r="G25" s="58"/>
      <c r="H25" s="58"/>
      <c r="J25" s="58"/>
      <c r="K25" s="58"/>
      <c r="L25" s="58"/>
      <c r="M25" s="58"/>
      <c r="N25" s="58"/>
      <c r="O25" s="58"/>
      <c r="P25" s="58"/>
    </row>
    <row r="26" spans="1:16" x14ac:dyDescent="0.3">
      <c r="A26" s="51">
        <v>9</v>
      </c>
      <c r="B26" s="58"/>
      <c r="C26" s="58"/>
      <c r="D26" s="58"/>
      <c r="E26" s="58"/>
      <c r="F26" s="58"/>
      <c r="G26" s="58"/>
      <c r="H26" s="58"/>
      <c r="J26" s="58"/>
      <c r="K26" s="58"/>
      <c r="L26" s="58"/>
      <c r="M26" s="58"/>
      <c r="N26" s="58"/>
      <c r="O26" s="58"/>
      <c r="P26" s="58"/>
    </row>
    <row r="27" spans="1:16" x14ac:dyDescent="0.3">
      <c r="A27" s="51">
        <v>10</v>
      </c>
      <c r="B27" s="58"/>
      <c r="C27" s="58"/>
      <c r="D27" s="58"/>
      <c r="E27" s="58"/>
      <c r="F27" s="58"/>
      <c r="G27" s="58"/>
      <c r="H27" s="58"/>
      <c r="J27" s="58"/>
      <c r="K27" s="58"/>
      <c r="L27" s="58"/>
      <c r="M27" s="58"/>
      <c r="N27" s="58"/>
      <c r="O27" s="58"/>
      <c r="P27" s="58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5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5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3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4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42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42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42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42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42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42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42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42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42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42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42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42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42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42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42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42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42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42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42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42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42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42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42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42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42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42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42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42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42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42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42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42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42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42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42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42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42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42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42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42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42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42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42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42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42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42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42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42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42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42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42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42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42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42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42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42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42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42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42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42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42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42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42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42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42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42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42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42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42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42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42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42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42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42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42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42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42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42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42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42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42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42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42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42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42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42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42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42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42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42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42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42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42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42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42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42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42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42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42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42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42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42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42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42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42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42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42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42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42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42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42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42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42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42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42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42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42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42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42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42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42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42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42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42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42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42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42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42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42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42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42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42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42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42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42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42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42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42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42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42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42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42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42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42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42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42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42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42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42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42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42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42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42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42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70" customWidth="1"/>
    <col min="7" max="7" width="33.1640625" style="70" customWidth="1"/>
    <col min="8" max="16384" width="12" style="70"/>
  </cols>
  <sheetData>
    <row r="1" spans="1:1" x14ac:dyDescent="0.3">
      <c r="A1" s="69"/>
    </row>
    <row r="25" spans="7:13" x14ac:dyDescent="0.3">
      <c r="L25" s="71"/>
      <c r="M25" s="71"/>
    </row>
    <row r="26" spans="7:13" x14ac:dyDescent="0.3">
      <c r="L26" s="71"/>
      <c r="M26" s="71"/>
    </row>
    <row r="27" spans="7:13" x14ac:dyDescent="0.3">
      <c r="L27" s="71"/>
      <c r="M27" s="71"/>
    </row>
    <row r="28" spans="7:13" x14ac:dyDescent="0.3">
      <c r="G28" s="70" t="s">
        <v>921</v>
      </c>
      <c r="L28" s="71"/>
      <c r="M28" s="71"/>
    </row>
    <row r="29" spans="7:13" x14ac:dyDescent="0.3">
      <c r="G29" s="70" t="s">
        <v>922</v>
      </c>
    </row>
    <row r="30" spans="7:13" ht="15" x14ac:dyDescent="0.4">
      <c r="G30" s="74" t="s">
        <v>920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54</vt:i4>
      </vt:variant>
    </vt:vector>
  </HeadingPairs>
  <TitlesOfParts>
    <vt:vector size="70" baseType="lpstr">
      <vt:lpstr>Pixel shifting</vt:lpstr>
      <vt:lpstr>Pixel Shifter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(load)</vt:lpstr>
      <vt:lpstr>Sprite (S)</vt:lpstr>
      <vt:lpstr>Sprite (Player)</vt:lpstr>
      <vt:lpstr>Sprite (Player HB0)</vt:lpstr>
      <vt:lpstr>Sprite (HB0&lt;&gt;HB1)</vt:lpstr>
      <vt:lpstr>SPRITE_DATA</vt:lpstr>
      <vt:lpstr>sprite_data.asm</vt:lpstr>
      <vt:lpstr>End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PixelPatternTable</vt:lpstr>
      <vt:lpstr>PixelShiftPages</vt:lpstr>
      <vt:lpstr>PixelShiftTable</vt:lpstr>
      <vt:lpstr>SpriteBaseAddress</vt:lpstr>
      <vt:lpstr>SpriteCount</vt:lpstr>
      <vt:lpstr>SpriteData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2026-09-19T10:38:38Z</dcterms:modified>
  <dc:language>en-US</dc:language>
</cp:coreProperties>
</file>