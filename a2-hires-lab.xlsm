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5.xml" ContentType="application/vnd.ms-excel.controlproperties+xml"/>
  <Override PartName="/xl/drawings/drawing1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2223EC63-F6C7-4B93-AD56-B8E8DA1FEEA0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Sprite Shifting" sheetId="20" r:id="rId5"/>
    <sheet name="Sprite Shifter" sheetId="21" r:id="rId6"/>
    <sheet name="Sprite (load)" sheetId="10" r:id="rId7"/>
    <sheet name="Pixel Shifting" sheetId="16" r:id="rId8"/>
    <sheet name="Pixel Shifter" sheetId="13" r:id="rId9"/>
    <sheet name="Pixel Shift Pattern Table" sheetId="19" r:id="rId10"/>
    <sheet name="Pixel Shift Table" sheetId="14" r:id="rId11"/>
    <sheet name="Pixel Shift Pages" sheetId="15" r:id="rId12"/>
    <sheet name="pixel_pattern_table.asm" sheetId="11" r:id="rId13"/>
    <sheet name="pixel_shift_table.asm" sheetId="12" r:id="rId14"/>
    <sheet name="Sprites" sheetId="17" r:id="rId15"/>
    <sheet name="Sprite Loader" sheetId="8" r:id="rId16"/>
    <sheet name="Sprite (S)" sheetId="1" r:id="rId17"/>
    <sheet name="Sprite (Player)" sheetId="4" r:id="rId18"/>
    <sheet name="Sprite (Player HB0)" sheetId="5" r:id="rId19"/>
    <sheet name="Sprite (HB0&lt;&gt;HB1)" sheetId="6" r:id="rId20"/>
    <sheet name="Sprite Data" sheetId="9" r:id="rId21"/>
    <sheet name="sprite_data.asm" sheetId="7" r:id="rId22"/>
    <sheet name="End" sheetId="18" r:id="rId23"/>
  </sheets>
  <functionGroups builtInGroupCount="19"/>
  <definedNames>
    <definedName name="_" localSheetId="3">'Worksheets matrix'!$C$4</definedName>
    <definedName name="_xlnm._FilterDatabase" localSheetId="12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19">'Sprite (HB0&lt;&gt;HB1)'!$T$4:$T$14</definedName>
    <definedName name="BitsByte0" localSheetId="6">'Sprite (load)'!$T$4:$T$14</definedName>
    <definedName name="BitsByte0" localSheetId="18">'Sprite (Player HB0)'!$T$4:$T$14</definedName>
    <definedName name="BitsByte0" localSheetId="17">'Sprite (Player)'!$T$4:$T$14</definedName>
    <definedName name="BitsByte0" localSheetId="16">'Sprite (S)'!$T$4:$T$14</definedName>
    <definedName name="BitsByte1" localSheetId="19">'Sprite (HB0&lt;&gt;HB1)'!$U$4:$U$14</definedName>
    <definedName name="BitsByte1" localSheetId="6">'Sprite (load)'!$U$4:$U$14</definedName>
    <definedName name="BitsByte1" localSheetId="18">'Sprite (Player HB0)'!$U$4:$U$14</definedName>
    <definedName name="BitsByte1" localSheetId="17">'Sprite (Player)'!$U$4:$U$14</definedName>
    <definedName name="BitsByte1" localSheetId="16">'Sprite (S)'!$U$4:$U$14</definedName>
    <definedName name="ClearCells" localSheetId="0">Intro!$L$40:$M$42,Intro!$K$3</definedName>
    <definedName name="EditorByte0" localSheetId="19">'Sprite (HB0&lt;&gt;HB1)'!$B$4:$H$14</definedName>
    <definedName name="EditorByte0" localSheetId="6">'Sprite (load)'!$B$4:$H$14</definedName>
    <definedName name="EditorByte0" localSheetId="18">'Sprite (Player HB0)'!$B$4:$H$14</definedName>
    <definedName name="EditorByte0" localSheetId="17">'Sprite (Player)'!$B$4:$H$14</definedName>
    <definedName name="EditorByte0" localSheetId="16">'Sprite (S)'!$B$4:$H$14</definedName>
    <definedName name="EditorByte1" localSheetId="19">'Sprite (HB0&lt;&gt;HB1)'!$J$4:$P$14</definedName>
    <definedName name="EditorByte1" localSheetId="6">'Sprite (load)'!$J$4:$P$14</definedName>
    <definedName name="EditorByte1" localSheetId="18">'Sprite (Player HB0)'!$J$4:$P$14</definedName>
    <definedName name="EditorByte1" localSheetId="17">'Sprite (Player)'!$J$4:$P$14</definedName>
    <definedName name="EditorByte1" localSheetId="16">'Sprite (S)'!$J$4:$P$14</definedName>
    <definedName name="HexByte0" localSheetId="19">'Sprite (HB0&lt;&gt;HB1)'!$R$4:$R$14</definedName>
    <definedName name="HexByte0" localSheetId="6">'Sprite (load)'!$R$4:$R$14</definedName>
    <definedName name="HexByte0" localSheetId="18">'Sprite (Player HB0)'!$R$4:$R$14</definedName>
    <definedName name="HexByte0" localSheetId="17">'Sprite (Player)'!$R$4:$R$14</definedName>
    <definedName name="HexByte0" localSheetId="16">'Sprite (S)'!$R$4:$R$14</definedName>
    <definedName name="HexByte1" localSheetId="19">'Sprite (HB0&lt;&gt;HB1)'!$S$4:$S$14</definedName>
    <definedName name="HexByte1" localSheetId="6">'Sprite (load)'!$S$4:$S$14</definedName>
    <definedName name="HexByte1" localSheetId="18">'Sprite (Player HB0)'!$S$4:$S$14</definedName>
    <definedName name="HexByte1" localSheetId="17">'Sprite (Player)'!$S$4:$S$14</definedName>
    <definedName name="HexByte1" localSheetId="16">'Sprite (S)'!$S$4:$S$14</definedName>
    <definedName name="HighBit0" localSheetId="19">'Sprite (HB0&lt;&gt;HB1)'!$I$4:$I$14</definedName>
    <definedName name="HighBit0" localSheetId="6">'Sprite (load)'!$I$4:$I$14</definedName>
    <definedName name="HighBit0" localSheetId="18">'Sprite (Player HB0)'!$I$4:$I$14</definedName>
    <definedName name="HighBit0" localSheetId="17">'Sprite (Player)'!$I$4:$I$14</definedName>
    <definedName name="HighBit0" localSheetId="16">'Sprite (S)'!$I$4:$I$14</definedName>
    <definedName name="HighBit1" localSheetId="19">'Sprite (HB0&lt;&gt;HB1)'!$Q$4:$Q$14</definedName>
    <definedName name="HighBit1" localSheetId="6">'Sprite (load)'!$Q$4:$Q$14</definedName>
    <definedName name="HighBit1" localSheetId="18">'Sprite (Player HB0)'!$Q$4:$Q$14</definedName>
    <definedName name="HighBit1" localSheetId="17">'Sprite (Player)'!$Q$4:$Q$14</definedName>
    <definedName name="HighBit1" localSheetId="16">'Sprite (S)'!$Q$4:$Q$14</definedName>
    <definedName name="InputPixels" localSheetId="8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9">'Pixel Shift Pattern Table'!$B$3:$Q$114</definedName>
    <definedName name="PixelShiftTable">pixel_shift_table.asm!$C$3:$R$114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19">'Sprite (HB0&lt;&gt;HB1)'!$B$17:$H$27,'Sprite (HB0&lt;&gt;HB1)'!$J$17:$P$27</definedName>
    <definedName name="ViewerGrid" localSheetId="6">'Sprite (load)'!$B$17:$H$27,'Sprite (load)'!$J$17:$P$27</definedName>
    <definedName name="ViewerGrid" localSheetId="18">'Sprite (Player HB0)'!$B$17:$H$27,'Sprite (Player HB0)'!$J$17:$P$27</definedName>
    <definedName name="ViewerGrid" localSheetId="17">'Sprite (Player)'!$B$17:$H$27,'Sprite (Player)'!$J$17:$P$27</definedName>
    <definedName name="ViewerGrid" localSheetId="16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29" i="17" l="1"/>
  <c r="I29" i="16"/>
  <c r="I29" i="20"/>
  <c r="L43" i="22"/>
  <c r="L42" i="22"/>
  <c r="L41" i="22"/>
  <c r="M17" i="25"/>
  <c r="P14" i="25"/>
  <c r="L17" i="25"/>
  <c r="P13" i="25"/>
  <c r="L16" i="25"/>
  <c r="O13" i="25"/>
  <c r="K16" i="25"/>
  <c r="O12" i="25"/>
  <c r="K17" i="25"/>
  <c r="P12" i="25"/>
  <c r="H16" i="25"/>
  <c r="O9" i="25"/>
  <c r="H17" i="25"/>
  <c r="P9" i="25"/>
  <c r="H10" i="25"/>
  <c r="I9" i="25"/>
  <c r="F9" i="25"/>
  <c r="H7" i="25"/>
  <c r="F11" i="25"/>
  <c r="J7" i="25"/>
  <c r="F8" i="25"/>
  <c r="G7" i="25"/>
  <c r="F7" i="25"/>
  <c r="F5" i="25"/>
  <c r="D7" i="25"/>
  <c r="D9" i="25"/>
  <c r="H5" i="25"/>
  <c r="C7" i="25"/>
  <c r="F4" i="25"/>
  <c r="C5" i="25"/>
  <c r="D4" i="25"/>
  <c r="C18" i="25"/>
  <c r="Q4" i="25"/>
  <c r="C11" i="25"/>
  <c r="J4" i="25"/>
  <c r="C8" i="25"/>
  <c r="G4" i="25"/>
  <c r="C6" i="25"/>
  <c r="E4" i="25"/>
  <c r="M43" i="22" a="1"/>
  <c r="M42" i="22" a="1"/>
  <c r="M41" i="22" a="1"/>
  <c r="A2" i="23"/>
  <c r="B2" i="23" s="1"/>
  <c r="I66" i="22" a="1"/>
  <c r="I65" i="22" a="1"/>
  <c r="I64" i="22" a="1"/>
  <c r="I63" i="22" a="1"/>
  <c r="K3" i="22" a="1"/>
  <c r="I60" i="22" a="1"/>
  <c r="I62" i="22" a="1"/>
  <c r="I61" i="22" a="1"/>
  <c r="B196" i="23"/>
  <c r="B192" i="23"/>
  <c r="B188" i="23"/>
  <c r="B184" i="23"/>
  <c r="B180" i="23"/>
  <c r="B176" i="23"/>
  <c r="B172" i="23"/>
  <c r="B168" i="23"/>
  <c r="B164" i="23"/>
  <c r="B160" i="23"/>
  <c r="B156" i="23"/>
  <c r="B152" i="23"/>
  <c r="B148" i="23"/>
  <c r="B144" i="23"/>
  <c r="B140" i="23"/>
  <c r="B136" i="23"/>
  <c r="B132" i="23"/>
  <c r="B128" i="23"/>
  <c r="B124" i="23"/>
  <c r="B120" i="23"/>
  <c r="B116" i="23"/>
  <c r="B112" i="23"/>
  <c r="B108" i="23"/>
  <c r="B104" i="23"/>
  <c r="B100" i="23"/>
  <c r="B96" i="23"/>
  <c r="B92" i="23"/>
  <c r="B88" i="23"/>
  <c r="B84" i="23"/>
  <c r="B80" i="23"/>
  <c r="B76" i="23"/>
  <c r="B72" i="23"/>
  <c r="B68" i="23"/>
  <c r="B64" i="23"/>
  <c r="B60" i="23"/>
  <c r="B56" i="23"/>
  <c r="B52" i="23"/>
  <c r="B48" i="23"/>
  <c r="B44" i="23"/>
  <c r="B40" i="23"/>
  <c r="B36" i="23"/>
  <c r="B32" i="23"/>
  <c r="B28" i="23"/>
  <c r="B24" i="23"/>
  <c r="B20" i="23"/>
  <c r="B16" i="23"/>
  <c r="B12" i="23"/>
  <c r="B8" i="23"/>
  <c r="B4" i="23"/>
  <c r="B199" i="23"/>
  <c r="B195" i="23"/>
  <c r="B191" i="23"/>
  <c r="B183" i="23"/>
  <c r="B179" i="23"/>
  <c r="B175" i="23"/>
  <c r="B167" i="23"/>
  <c r="B159" i="23"/>
  <c r="B151" i="23"/>
  <c r="B143" i="23"/>
  <c r="B135" i="23"/>
  <c r="B131" i="23"/>
  <c r="B123" i="23"/>
  <c r="B115" i="23"/>
  <c r="B107" i="23"/>
  <c r="B99" i="23"/>
  <c r="B91" i="23"/>
  <c r="B83" i="23"/>
  <c r="B71" i="23"/>
  <c r="B63" i="23"/>
  <c r="B55" i="23"/>
  <c r="B47" i="23"/>
  <c r="B39" i="23"/>
  <c r="B31" i="23"/>
  <c r="B23" i="23"/>
  <c r="B15" i="23"/>
  <c r="B7" i="23"/>
  <c r="B198" i="23"/>
  <c r="B190" i="23"/>
  <c r="B182" i="23"/>
  <c r="B174" i="23"/>
  <c r="B166" i="23"/>
  <c r="B158" i="23"/>
  <c r="B150" i="23"/>
  <c r="B142" i="23"/>
  <c r="B134" i="23"/>
  <c r="B126" i="23"/>
  <c r="B118" i="23"/>
  <c r="B110" i="23"/>
  <c r="B102" i="23"/>
  <c r="B98" i="23"/>
  <c r="B90" i="23"/>
  <c r="B82" i="23"/>
  <c r="B74" i="23"/>
  <c r="B66" i="23"/>
  <c r="B58" i="23"/>
  <c r="B50" i="23"/>
  <c r="B42" i="23"/>
  <c r="B34" i="23"/>
  <c r="B26" i="23"/>
  <c r="B18" i="23"/>
  <c r="B10" i="23"/>
  <c r="B197" i="23"/>
  <c r="B189" i="23"/>
  <c r="B181" i="23"/>
  <c r="B173" i="23"/>
  <c r="B165" i="23"/>
  <c r="B157" i="23"/>
  <c r="B149" i="23"/>
  <c r="B141" i="23"/>
  <c r="B133" i="23"/>
  <c r="B117" i="23"/>
  <c r="B109" i="23"/>
  <c r="B101" i="23"/>
  <c r="B89" i="23"/>
  <c r="B85" i="23"/>
  <c r="B77" i="23"/>
  <c r="B69" i="23"/>
  <c r="B61" i="23"/>
  <c r="B53" i="23"/>
  <c r="B45" i="23"/>
  <c r="B37" i="23"/>
  <c r="B29" i="23"/>
  <c r="B21" i="23"/>
  <c r="B13" i="23"/>
  <c r="B5" i="23"/>
  <c r="B187" i="23"/>
  <c r="B171" i="23"/>
  <c r="B163" i="23"/>
  <c r="B155" i="23"/>
  <c r="B147" i="23"/>
  <c r="B139" i="23"/>
  <c r="B127" i="23"/>
  <c r="B119" i="23"/>
  <c r="B111" i="23"/>
  <c r="B103" i="23"/>
  <c r="B95" i="23"/>
  <c r="B87" i="23"/>
  <c r="B79" i="23"/>
  <c r="B75" i="23"/>
  <c r="B67" i="23"/>
  <c r="B59" i="23"/>
  <c r="B51" i="23"/>
  <c r="B43" i="23"/>
  <c r="B35" i="23"/>
  <c r="B27" i="23"/>
  <c r="B19" i="23"/>
  <c r="B11" i="23"/>
  <c r="B3" i="23"/>
  <c r="B194" i="23"/>
  <c r="B186" i="23"/>
  <c r="B178" i="23"/>
  <c r="B170" i="23"/>
  <c r="B162" i="23"/>
  <c r="B154" i="23"/>
  <c r="B146" i="23"/>
  <c r="B138" i="23"/>
  <c r="B130" i="23"/>
  <c r="B122" i="23"/>
  <c r="B114" i="23"/>
  <c r="B106" i="23"/>
  <c r="B94" i="23"/>
  <c r="B86" i="23"/>
  <c r="B78" i="23"/>
  <c r="B70" i="23"/>
  <c r="B62" i="23"/>
  <c r="B54" i="23"/>
  <c r="B46" i="23"/>
  <c r="B38" i="23"/>
  <c r="B30" i="23"/>
  <c r="B22" i="23"/>
  <c r="B14" i="23"/>
  <c r="B6" i="23"/>
  <c r="B193" i="23"/>
  <c r="B185" i="23"/>
  <c r="B177" i="23"/>
  <c r="B169" i="23"/>
  <c r="B161" i="23"/>
  <c r="B153" i="23"/>
  <c r="B145" i="23"/>
  <c r="B137" i="23"/>
  <c r="B129" i="23"/>
  <c r="B125" i="23"/>
  <c r="B121" i="23"/>
  <c r="B113" i="23"/>
  <c r="B105" i="23"/>
  <c r="B97" i="23"/>
  <c r="B93" i="23"/>
  <c r="B81" i="23"/>
  <c r="B73" i="23"/>
  <c r="B65" i="23"/>
  <c r="B57" i="23"/>
  <c r="B49" i="23"/>
  <c r="B41" i="23"/>
  <c r="B33" i="23"/>
  <c r="B25" i="23"/>
  <c r="B17" i="23"/>
  <c r="B9" i="23"/>
  <c r="M43" i="22" l="1"/>
  <c r="M42" i="22"/>
  <c r="M41" i="22"/>
  <c r="I66" i="22"/>
  <c r="I65" i="22"/>
  <c r="I64" i="22"/>
  <c r="I63" i="22"/>
  <c r="K3" i="22"/>
  <c r="I61" i="22"/>
  <c r="I62" i="22"/>
  <c r="I60" i="22"/>
  <c r="L40" i="22" l="1"/>
  <c r="B3" i="9" l="1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/>
  <c r="AX97" i="19" a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/>
  <c r="AP84" i="19" a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/>
  <c r="AP83" i="19" a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/>
  <c r="AN81" i="19" a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/>
  <c r="AV73" i="19" a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/>
  <c r="AV67" i="19" a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/>
  <c r="AT62" i="19" a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/>
  <c r="AL52" i="19" a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/>
  <c r="AL48" i="19" a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/>
  <c r="AZ46" i="19" a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/>
  <c r="AZ42" i="19" a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/>
  <c r="AZ36" i="19" a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/>
  <c r="AZ28" i="19" a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/>
  <c r="AL24" i="19" a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/>
  <c r="AP20" i="19" a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/>
  <c r="AL19" i="19" a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/>
  <c r="AT17" i="19" a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/>
  <c r="AP16" i="19" a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/>
  <c r="AL15" i="19" a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/>
  <c r="AT13" i="19" a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/>
  <c r="AP12" i="19" a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AG23" i="21" l="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U11" i="10"/>
  <c r="U6" i="10"/>
  <c r="S6" i="13" a="1"/>
  <c r="T7" i="10"/>
  <c r="T8" i="10"/>
  <c r="W10" i="10" a="1"/>
  <c r="X9" i="10" a="1"/>
  <c r="T6" i="10"/>
  <c r="U14" i="10"/>
  <c r="T5" i="10"/>
  <c r="W4" i="10" a="1"/>
  <c r="X13" i="10" a="1"/>
  <c r="U13" i="10"/>
  <c r="X4" i="10" a="1"/>
  <c r="W13" i="10" a="1"/>
  <c r="K47" i="11" a="1"/>
  <c r="U9" i="10"/>
  <c r="U12" i="10"/>
  <c r="U5" i="10"/>
  <c r="W14" i="10" a="1"/>
  <c r="W7" i="10" a="1"/>
  <c r="X14" i="10" a="1"/>
  <c r="W11" i="10" a="1"/>
  <c r="W12" i="10" a="1"/>
  <c r="W8" i="10" a="1"/>
  <c r="X12" i="10" a="1"/>
  <c r="T4" i="10"/>
  <c r="X5" i="10" a="1"/>
  <c r="X8" i="10" a="1"/>
  <c r="U4" i="10"/>
  <c r="U8" i="10"/>
  <c r="J47" i="11" a="1"/>
  <c r="T14" i="10"/>
  <c r="W5" i="10" a="1"/>
  <c r="T13" i="10"/>
  <c r="X6" i="10" a="1"/>
  <c r="T11" i="10"/>
  <c r="X11" i="10" a="1"/>
  <c r="W9" i="10" a="1"/>
  <c r="X10" i="10" a="1"/>
  <c r="X7" i="10" a="1"/>
  <c r="T9" i="10"/>
  <c r="U7" i="10"/>
  <c r="T10" i="10"/>
  <c r="U10" i="10"/>
  <c r="T12" i="10"/>
  <c r="W6" i="10" a="1"/>
  <c r="B26" i="21" l="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T4" i="1"/>
  <c r="W14" i="4" a="1"/>
  <c r="U13" i="1"/>
  <c r="X9" i="1" a="1"/>
  <c r="U5" i="1"/>
  <c r="W5" i="4" a="1"/>
  <c r="U7" i="5"/>
  <c r="T8" i="5"/>
  <c r="X6" i="6" a="1"/>
  <c r="W10" i="6" a="1"/>
  <c r="T14" i="1"/>
  <c r="X8" i="1" a="1"/>
  <c r="W5" i="5" a="1"/>
  <c r="X7" i="5" a="1"/>
  <c r="T7" i="5"/>
  <c r="U7" i="1"/>
  <c r="T5" i="4"/>
  <c r="T11" i="4"/>
  <c r="T10" i="1"/>
  <c r="T5" i="5"/>
  <c r="U9" i="6"/>
  <c r="X9" i="6" a="1"/>
  <c r="U11" i="5"/>
  <c r="W14" i="6" a="1"/>
  <c r="X10" i="5" a="1"/>
  <c r="U4" i="1"/>
  <c r="X8" i="6" a="1"/>
  <c r="X11" i="1" a="1"/>
  <c r="U5" i="6"/>
  <c r="U7" i="4"/>
  <c r="T6" i="1"/>
  <c r="W8" i="4" a="1"/>
  <c r="X14" i="4" a="1"/>
  <c r="W12" i="1" a="1"/>
  <c r="X6" i="1" a="1"/>
  <c r="T12" i="5"/>
  <c r="T13" i="4"/>
  <c r="U9" i="4"/>
  <c r="W12" i="4" a="1"/>
  <c r="W8" i="5" a="1"/>
  <c r="W4" i="6" a="1"/>
  <c r="X4" i="1" a="1"/>
  <c r="X10" i="6" a="1"/>
  <c r="X10" i="1" a="1"/>
  <c r="T12" i="4"/>
  <c r="X13" i="6" a="1"/>
  <c r="X5" i="1" a="1"/>
  <c r="W9" i="5" a="1"/>
  <c r="U11" i="1"/>
  <c r="U14" i="5"/>
  <c r="U13" i="6"/>
  <c r="W10" i="4" a="1"/>
  <c r="U5" i="4"/>
  <c r="U5" i="5"/>
  <c r="T9" i="5"/>
  <c r="T7" i="1"/>
  <c r="T7" i="6"/>
  <c r="W9" i="1" a="1"/>
  <c r="W11" i="5" a="1"/>
  <c r="X5" i="6" a="1"/>
  <c r="U10" i="5"/>
  <c r="T6" i="4"/>
  <c r="T14" i="6"/>
  <c r="X6" i="4" a="1"/>
  <c r="W6" i="4" a="1"/>
  <c r="X12" i="1" a="1"/>
  <c r="X5" i="5" a="1"/>
  <c r="X12" i="5" a="1"/>
  <c r="T10" i="4"/>
  <c r="X7" i="4" a="1"/>
  <c r="U10" i="4"/>
  <c r="X12" i="6" a="1"/>
  <c r="U11" i="6"/>
  <c r="T8" i="6"/>
  <c r="T6" i="5"/>
  <c r="X11" i="5" a="1"/>
  <c r="U12" i="5"/>
  <c r="U13" i="4"/>
  <c r="X9" i="5" a="1"/>
  <c r="U9" i="5"/>
  <c r="T11" i="1"/>
  <c r="T9" i="6"/>
  <c r="T13" i="5"/>
  <c r="T11" i="6"/>
  <c r="U10" i="1"/>
  <c r="U4" i="6"/>
  <c r="U10" i="6"/>
  <c r="W13" i="5" a="1"/>
  <c r="T13" i="1"/>
  <c r="U8" i="4"/>
  <c r="U6" i="4"/>
  <c r="W9" i="6" a="1"/>
  <c r="X4" i="5" a="1"/>
  <c r="T8" i="1"/>
  <c r="W6" i="5" a="1"/>
  <c r="X10" i="4" a="1"/>
  <c r="T11" i="5"/>
  <c r="X11" i="4" a="1"/>
  <c r="X4" i="4" a="1"/>
  <c r="T4" i="6"/>
  <c r="U12" i="6"/>
  <c r="U13" i="5"/>
  <c r="T8" i="4"/>
  <c r="W8" i="1" a="1"/>
  <c r="T13" i="6"/>
  <c r="U7" i="6"/>
  <c r="U8" i="6"/>
  <c r="W4" i="5" a="1"/>
  <c r="W10" i="5" a="1"/>
  <c r="W8" i="6" a="1"/>
  <c r="W4" i="4" a="1"/>
  <c r="W5" i="1" a="1"/>
  <c r="W13" i="1" a="1"/>
  <c r="X13" i="1" a="1"/>
  <c r="X14" i="5" a="1"/>
  <c r="U8" i="1"/>
  <c r="T9" i="1"/>
  <c r="W13" i="4" a="1"/>
  <c r="T6" i="6"/>
  <c r="T4" i="5"/>
  <c r="X8" i="5" a="1"/>
  <c r="U12" i="4"/>
  <c r="T9" i="4"/>
  <c r="W4" i="1" a="1"/>
  <c r="W7" i="5" a="1"/>
  <c r="W10" i="1" a="1"/>
  <c r="T10" i="6"/>
  <c r="U11" i="4"/>
  <c r="X5" i="4" a="1"/>
  <c r="T5" i="6"/>
  <c r="W6" i="6" a="1"/>
  <c r="X11" i="6" a="1"/>
  <c r="U12" i="1"/>
  <c r="X4" i="6" a="1"/>
  <c r="U6" i="1"/>
  <c r="U4" i="4"/>
  <c r="X13" i="4" a="1"/>
  <c r="T10" i="5"/>
  <c r="T7" i="4"/>
  <c r="X7" i="6" a="1"/>
  <c r="T14" i="5"/>
  <c r="X7" i="1" a="1"/>
  <c r="X14" i="6" a="1"/>
  <c r="T12" i="1"/>
  <c r="T4" i="4"/>
  <c r="W14" i="1" a="1"/>
  <c r="T5" i="1"/>
  <c r="X12" i="4" a="1"/>
  <c r="W12" i="5" a="1"/>
  <c r="T12" i="6"/>
  <c r="U6" i="6"/>
  <c r="W6" i="1" a="1"/>
  <c r="W9" i="4" a="1"/>
  <c r="X14" i="1" a="1"/>
  <c r="W11" i="6" a="1"/>
  <c r="U9" i="1"/>
  <c r="W12" i="6" a="1"/>
  <c r="W7" i="4" a="1"/>
  <c r="W7" i="6" a="1"/>
  <c r="U14" i="4"/>
  <c r="U4" i="5"/>
  <c r="X13" i="5" a="1"/>
  <c r="T14" i="4"/>
  <c r="W11" i="1" a="1"/>
  <c r="W7" i="1" a="1"/>
  <c r="X6" i="5" a="1"/>
  <c r="U6" i="5"/>
  <c r="W13" i="6" a="1"/>
  <c r="X9" i="4" a="1"/>
  <c r="U14" i="6"/>
  <c r="W5" i="6" a="1"/>
  <c r="W11" i="4" a="1"/>
  <c r="U8" i="5"/>
  <c r="U14" i="1"/>
  <c r="W14" i="5" a="1"/>
  <c r="X8" i="4" a="1"/>
  <c r="AH39" i="21" l="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AK39" i="21" a="1"/>
  <c r="AK39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BL52" i="21" a="1"/>
  <c r="AU37" i="21" a="1"/>
  <c r="AU35" i="21" a="1"/>
  <c r="AK25" i="21" l="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N39" i="21"/>
  <c r="AP39" i="21" s="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BA38" i="21" a="1"/>
  <c r="AI43" i="13" a="1"/>
  <c r="AI44" i="13" a="1"/>
  <c r="AN39" i="13" a="1"/>
  <c r="AN45" i="13" a="1"/>
  <c r="BN54" i="21" a="1"/>
  <c r="AI42" i="13" a="1"/>
  <c r="AI45" i="13" a="1"/>
  <c r="AU38" i="21" a="1"/>
  <c r="AN41" i="13" a="1"/>
  <c r="AI39" i="13" a="1"/>
  <c r="AN42" i="13" a="1"/>
  <c r="AN44" i="13" a="1"/>
  <c r="AU22" i="21" a="1"/>
  <c r="AI41" i="13" a="1"/>
  <c r="AN43" i="13" a="1"/>
  <c r="AI40" i="13" a="1"/>
  <c r="AN40" i="13" a="1"/>
  <c r="AA17" i="13" l="1"/>
  <c r="Y30" i="13"/>
  <c r="AA14" i="13"/>
  <c r="Y27" i="13"/>
  <c r="Z27" i="13" s="1" a="1"/>
  <c r="Z27" i="13" s="1"/>
  <c r="AA19" i="13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O40" i="13"/>
  <c r="AN45" i="13"/>
  <c r="J45" i="13" s="1"/>
  <c r="AN44" i="13"/>
  <c r="N44" i="13" s="1"/>
  <c r="AN42" i="13"/>
  <c r="M42" i="13" s="1"/>
  <c r="I45" i="13"/>
  <c r="I42" i="13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9" i="13" a="1"/>
  <c r="AB19" i="13" s="1"/>
  <c r="AA32" i="13"/>
  <c r="AB32" i="13" s="1" a="1"/>
  <c r="AB32" i="13" s="1"/>
  <c r="AB18" i="13" a="1"/>
  <c r="AB18" i="13" s="1"/>
  <c r="AA31" i="13"/>
  <c r="AB31" i="13" s="1" a="1"/>
  <c r="AB31" i="13" s="1"/>
  <c r="AB17" i="13" a="1"/>
  <c r="AB17" i="13" s="1"/>
  <c r="AA30" i="13"/>
  <c r="AB30" i="13" s="1" a="1"/>
  <c r="AB30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M52" i="21" a="1"/>
  <c r="BN55" i="21" a="1"/>
  <c r="BA35" i="21" a="1"/>
  <c r="BA25" i="21" a="1"/>
  <c r="AU25" i="21" a="1"/>
  <c r="BA37" i="21" a="1"/>
  <c r="BN52" i="21" a="1"/>
  <c r="BA22" i="21" a="1"/>
  <c r="BL55" i="21" a="1"/>
  <c r="C42" i="13" l="1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M54" i="21" a="1"/>
  <c r="AU24" i="21" a="1"/>
  <c r="AU23" i="21" a="1"/>
  <c r="BA40" i="21" a="1"/>
  <c r="BN56" i="21" a="1"/>
  <c r="BN53" i="21" a="1"/>
  <c r="AU36" i="21" a="1"/>
  <c r="BA23" i="21" a="1"/>
  <c r="BA26" i="21" a="1"/>
  <c r="BA24" i="21" a="1"/>
  <c r="BL54" i="21" a="1"/>
  <c r="BN57" i="21" a="1"/>
  <c r="AU39" i="21" a="1"/>
  <c r="BA36" i="21" a="1"/>
  <c r="BL53" i="21" a="1"/>
  <c r="BM55" i="21" a="1"/>
  <c r="BA39" i="21" a="1"/>
  <c r="BD53" i="21" l="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E19" i="13"/>
  <c r="AE15" i="13"/>
  <c r="AF17" i="13" a="1"/>
  <c r="AF17" i="13" s="1"/>
  <c r="AG17" i="13" s="1"/>
  <c r="AF13" i="13" a="1"/>
  <c r="AF13" i="13" s="1"/>
  <c r="AG13" i="13" s="1"/>
  <c r="AF26" i="13" a="1"/>
  <c r="AF26" i="13" s="1"/>
  <c r="AJ13" i="13"/>
  <c r="AE16" i="13"/>
  <c r="AE29" i="13" s="1"/>
  <c r="AF14" i="13" a="1"/>
  <c r="AF14" i="13" s="1"/>
  <c r="AG14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BM53" i="21" a="1"/>
  <c r="BL56" i="21" a="1"/>
  <c r="BM57" i="21" a="1"/>
  <c r="AU40" i="21" a="1"/>
  <c r="AU27" i="21" a="1"/>
  <c r="BM56" i="21" a="1"/>
  <c r="AU26" i="21" a="1"/>
  <c r="BA27" i="21" a="1"/>
  <c r="BM53" i="21" l="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L53" i="21"/>
  <c r="Q53" i="21"/>
  <c r="O53" i="21"/>
  <c r="P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F28" i="13" a="1"/>
  <c r="AF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BL57" i="21" a="1"/>
  <c r="BA41" i="21" a="1"/>
  <c r="AI14" i="13" a="1"/>
  <c r="AI17" i="13" a="1"/>
  <c r="BN58" i="21" a="1"/>
  <c r="AI18" i="13" a="1"/>
  <c r="AN15" i="13" a="1"/>
  <c r="AI13" i="13" a="1"/>
  <c r="AU41" i="21" a="1"/>
  <c r="AK19" i="13" l="1" a="1"/>
  <c r="AK19" i="13" s="1"/>
  <c r="AL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D57" i="21"/>
  <c r="G57" i="21"/>
  <c r="F57" i="2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M19" i="13"/>
  <c r="AL32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BM58" i="21" a="1"/>
  <c r="BA29" i="21" a="1"/>
  <c r="AU42" i="21" a="1"/>
  <c r="AN13" i="13" a="1"/>
  <c r="AI15" i="13" a="1"/>
  <c r="BN59" i="21" a="1"/>
  <c r="BL59" i="21" a="1"/>
  <c r="AI19" i="13" a="1"/>
  <c r="AN19" i="13" a="1"/>
  <c r="AU29" i="21" a="1"/>
  <c r="BL58" i="21" a="1"/>
  <c r="BA42" i="21" a="1"/>
  <c r="AU28" i="21" a="1"/>
  <c r="BA28" i="21" a="1"/>
  <c r="AI16" i="13" a="1"/>
  <c r="J57" i="21" l="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I15" i="13"/>
  <c r="G15" i="13"/>
  <c r="D15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8" i="13" a="1"/>
  <c r="BM59" i="21" a="1"/>
  <c r="AN16" i="13" a="1"/>
  <c r="BA43" i="21" a="1"/>
  <c r="AU43" i="21" a="1"/>
  <c r="AN14" i="13" a="1"/>
  <c r="BL60" i="21" a="1"/>
  <c r="BN60" i="21" a="1"/>
  <c r="BA30" i="21" a="1"/>
  <c r="AN17" i="13" a="1"/>
  <c r="AU30" i="21" a="1"/>
  <c r="F15" i="13" l="1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F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C32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A44" i="21" a="1"/>
  <c r="AU31" i="21" a="1"/>
  <c r="BM60" i="21" a="1"/>
  <c r="BL61" i="21" a="1"/>
  <c r="BN61" i="21" a="1"/>
  <c r="BA31" i="21" a="1"/>
  <c r="AU44" i="21" a="1"/>
  <c r="I28" i="13" l="1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M61" i="21" a="1"/>
  <c r="AU32" i="21" a="1"/>
  <c r="BL62" i="21" a="1"/>
  <c r="BA32" i="21" a="1"/>
  <c r="P31" i="13" l="1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BM62" i="21" a="1"/>
  <c r="BA45" i="21" a="1"/>
  <c r="AU45" i="21" a="1"/>
  <c r="BN62" i="21" a="1"/>
  <c r="P61" i="21" l="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Q62" i="21" l="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AI114" i="19" l="1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T56" i="7" l="1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S2" i="9" l="1"/>
  <c r="T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<sst xmlns="http://schemas.openxmlformats.org/spreadsheetml/2006/main" count="1357" uniqueCount="983">
  <si>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</si>
  <si>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</si>
  <si>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</si>
  <si>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</si>
  <si>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</si>
  <si>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</si>
  <si>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</si>
  <si>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</si>
  <si>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</si>
  <si>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</si>
  <si>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</si>
  <si>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</si>
  <si>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</si>
  <si>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</si>
  <si>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</si>
  <si>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</si>
  <si>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</si>
  <si>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</si>
  <si>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</si>
  <si>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</si>
  <si>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</si>
  <si>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</si>
  <si>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</si>
  <si>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</si>
  <si>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</si>
  <si>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</si>
  <si>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</si>
  <si>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</si>
  <si>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</si>
  <si>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</si>
  <si>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</si>
  <si>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</si>
  <si>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</si>
  <si>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</si>
  <si>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</si>
  <si>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</si>
  <si>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</si>
  <si>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</si>
  <si>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</si>
  <si>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</si>
  <si>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</si>
  <si>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</si>
  <si>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</si>
  <si>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</si>
  <si>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</si>
  <si>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</si>
  <si>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</si>
  <si>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</si>
  <si>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</si>
  <si>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</si>
  <si>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</si>
  <si>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</si>
  <si>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</si>
  <si>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</si>
  <si>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</si>
  <si>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</si>
  <si>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</si>
  <si>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</si>
  <si>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</si>
  <si>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</si>
  <si>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</si>
  <si>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</si>
  <si>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</si>
  <si>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</si>
  <si>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</si>
  <si>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</si>
  <si>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</si>
  <si>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</si>
  <si>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</si>
  <si>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</si>
  <si>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</si>
  <si>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</si>
  <si>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</si>
  <si>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</si>
  <si>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</si>
  <si>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</si>
  <si>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</si>
  <si>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</si>
  <si>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</si>
  <si>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</si>
  <si>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</si>
  <si>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</si>
  <si>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</si>
  <si>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</si>
  <si>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</si>
  <si>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</si>
  <si>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</si>
  <si>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</si>
  <si>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</si>
  <si>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</si>
  <si>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</si>
  <si>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</si>
  <si>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</si>
  <si>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</si>
  <si>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</si>
  <si>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</si>
  <si>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</si>
  <si>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</si>
  <si>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</si>
  <si>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</si>
  <si>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</si>
  <si>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</si>
  <si>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</si>
  <si>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</si>
  <si>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</si>
  <si>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</si>
  <si>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</si>
  <si>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</si>
  <si>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</si>
  <si>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</si>
  <si>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</si>
  <si>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</si>
  <si>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</si>
  <si>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</si>
  <si>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</si>
  <si>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</si>
  <si>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</si>
  <si>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</si>
  <si>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</si>
  <si>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</si>
  <si>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</si>
  <si>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</si>
  <si>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</si>
  <si>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</si>
  <si>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</si>
  <si>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</si>
  <si>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</si>
  <si>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</si>
  <si>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</si>
  <si>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</si>
  <si>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</si>
  <si>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</si>
  <si>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</si>
  <si>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</si>
  <si>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</si>
  <si>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</si>
  <si>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</si>
  <si>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</si>
  <si>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</si>
  <si>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</si>
  <si>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</si>
  <si>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</si>
  <si>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</si>
  <si>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</si>
  <si>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</si>
  <si>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</si>
  <si>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</si>
  <si>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</si>
  <si>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</si>
  <si>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</si>
  <si>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</si>
  <si>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</si>
  <si>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</si>
  <si>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</si>
  <si>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</si>
  <si>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</si>
  <si>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</si>
  <si>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</si>
  <si>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</si>
  <si>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</si>
  <si>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</si>
  <si>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</si>
  <si>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</si>
  <si>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</si>
  <si>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</si>
  <si>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</si>
  <si>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</si>
  <si>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</si>
  <si>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</si>
  <si>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</si>
  <si>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</si>
  <si>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</si>
  <si>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</si>
  <si>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</si>
  <si>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</si>
  <si>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</si>
  <si>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</si>
  <si>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</si>
  <si>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</si>
  <si>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</si>
  <si>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</si>
  <si>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</si>
  <si>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</si>
  <si>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</si>
  <si>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</si>
  <si>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</si>
  <si>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</si>
  <si>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</si>
  <si>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</si>
  <si>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</si>
  <si>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</si>
  <si>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</si>
  <si>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</si>
  <si>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</si>
  <si>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</si>
  <si>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</si>
  <si>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</si>
  <si>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</si>
  <si>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</si>
  <si>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</si>
  <si>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</si>
  <si>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</si>
  <si>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</si>
  <si>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</si>
  <si>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</si>
  <si>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</si>
  <si>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</si>
  <si>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</si>
  <si>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</si>
  <si>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</si>
  <si>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</si>
  <si>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</si>
  <si>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</si>
  <si>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</si>
  <si>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</si>
  <si>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</si>
  <si>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</si>
  <si>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</si>
  <si>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</si>
  <si>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</si>
  <si>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</si>
  <si>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</si>
  <si>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</si>
  <si>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</si>
  <si>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</si>
  <si>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</si>
  <si>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</si>
  <si>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</si>
  <si>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</si>
  <si>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</si>
  <si>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</si>
  <si>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</si>
  <si>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</si>
  <si>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</si>
  <si>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</si>
  <si>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</si>
  <si>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</si>
  <si>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</si>
  <si>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</si>
  <si>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</si>
  <si>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</si>
  <si>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</si>
  <si>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</si>
  <si>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</si>
  <si>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</si>
  <si>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</si>
  <si>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</si>
  <si>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</si>
  <si>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</si>
  <si>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</si>
  <si>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</si>
  <si>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</si>
  <si>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</si>
  <si>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</si>
  <si>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</si>
  <si>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</si>
  <si>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</si>
  <si>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</si>
  <si>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</si>
  <si>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</si>
  <si>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</si>
  <si>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</si>
  <si>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</si>
  <si>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</si>
  <si>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</si>
  <si>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</si>
  <si>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</si>
  <si>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</si>
  <si>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</si>
  <si>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</si>
  <si>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</si>
  <si>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</si>
  <si>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</si>
  <si>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</si>
  <si>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</si>
  <si>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</si>
  <si>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</si>
  <si>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</si>
  <si>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</si>
  <si>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</si>
  <si>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</si>
  <si>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</si>
  <si>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</si>
  <si>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</si>
  <si>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</si>
  <si>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</si>
  <si>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</si>
  <si>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</si>
  <si>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</si>
  <si>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</si>
  <si>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</si>
  <si>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</si>
  <si>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</si>
  <si>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</si>
  <si>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</si>
  <si>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</si>
  <si>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</si>
  <si>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</si>
  <si>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</si>
  <si>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</si>
  <si>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</si>
  <si>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</si>
  <si>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</si>
  <si>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</si>
  <si>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</si>
  <si>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</si>
  <si>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</si>
  <si>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</si>
  <si>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</si>
  <si>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</si>
  <si>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</si>
  <si>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</si>
  <si>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</si>
  <si>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</si>
  <si>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</si>
  <si>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</si>
  <si>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</si>
  <si>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</si>
  <si>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</si>
  <si>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</si>
  <si>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</si>
  <si>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</si>
  <si>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</si>
  <si>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</si>
  <si>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</si>
  <si>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</si>
  <si>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</si>
  <si>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</si>
  <si>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</si>
  <si>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</si>
  <si>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</si>
  <si>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</si>
  <si>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</si>
  <si>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</si>
  <si>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</si>
  <si>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</si>
  <si>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</si>
  <si>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</si>
  <si>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</si>
  <si>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</si>
  <si>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</si>
  <si>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</si>
  <si>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</si>
  <si>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</si>
  <si>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</si>
  <si>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</si>
  <si>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</si>
  <si>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</si>
  <si>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</si>
  <si>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</si>
  <si>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</si>
  <si>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</si>
  <si>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</si>
  <si>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</si>
  <si>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</si>
  <si>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</si>
  <si>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</si>
  <si>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</si>
  <si>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</si>
  <si>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</si>
  <si>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</si>
  <si>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</si>
  <si>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</si>
  <si>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</si>
  <si>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</si>
  <si>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</si>
  <si>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</si>
  <si>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</si>
  <si>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</si>
  <si>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</si>
  <si>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</si>
  <si>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</si>
  <si>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</si>
  <si>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</si>
  <si>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</si>
  <si>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</si>
  <si>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</si>
  <si>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</si>
  <si>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</si>
  <si>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</si>
  <si>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</si>
  <si>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</si>
  <si>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</si>
  <si>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</si>
  <si>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</si>
  <si>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</si>
  <si>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</si>
  <si>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</si>
  <si>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</si>
  <si>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</si>
  <si>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</si>
  <si>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</si>
  <si>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</si>
  <si>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</si>
  <si>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</si>
  <si>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</si>
  <si>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</si>
  <si>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</si>
  <si>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</si>
  <si>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</si>
  <si>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</si>
  <si>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</si>
  <si>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</si>
  <si>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</si>
  <si>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</si>
  <si>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</si>
  <si>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</si>
  <si>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</si>
  <si>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</si>
  <si>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</si>
  <si>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</si>
  <si>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</si>
  <si>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</si>
  <si>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</si>
  <si>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</si>
  <si>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</si>
  <si>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</si>
  <si>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</si>
  <si>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</si>
  <si>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</si>
  <si>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</si>
  <si>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</si>
  <si>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</si>
  <si>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</si>
  <si>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</si>
  <si>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</si>
  <si>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</si>
  <si>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</si>
  <si>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</si>
  <si>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</si>
  <si>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</si>
  <si>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</si>
  <si>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</si>
  <si>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</si>
  <si>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</si>
  <si>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</si>
  <si>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</si>
  <si>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</si>
  <si>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</si>
  <si>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</si>
  <si>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</si>
  <si>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</si>
  <si>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</si>
  <si>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</si>
  <si>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</si>
  <si>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</si>
  <si>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</si>
  <si>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</si>
  <si>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</si>
  <si>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</si>
  <si>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</si>
  <si>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</si>
  <si>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</si>
  <si>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</si>
  <si>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</si>
  <si>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</si>
  <si>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</si>
  <si>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</si>
  <si>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</si>
  <si>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</si>
  <si>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</si>
  <si>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</si>
  <si>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</si>
  <si>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</si>
  <si>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</si>
  <si>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</si>
  <si>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</si>
  <si>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</si>
  <si>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</si>
  <si>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</si>
  <si>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</si>
  <si>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</si>
  <si>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</si>
  <si>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</si>
  <si>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</si>
  <si>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</si>
  <si>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</si>
  <si>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</si>
  <si>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</si>
  <si>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</si>
  <si>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</si>
  <si>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</si>
  <si>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</si>
  <si>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</si>
  <si>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</si>
  <si>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</si>
  <si>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</si>
  <si>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</si>
  <si>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</si>
  <si>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</si>
  <si>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</si>
  <si>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</si>
  <si>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</si>
  <si>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</si>
  <si>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</si>
  <si>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</si>
  <si>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</si>
  <si>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</si>
  <si>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</si>
  <si>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</si>
  <si>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</si>
  <si>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</si>
  <si>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</si>
  <si>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</si>
  <si>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</si>
  <si>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</si>
  <si>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</si>
  <si>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</si>
  <si>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</si>
  <si>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</si>
  <si>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</si>
  <si>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</si>
  <si>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</si>
  <si>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</si>
  <si>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</si>
  <si>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</si>
  <si>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</si>
  <si>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</si>
  <si>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</si>
  <si>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</si>
  <si>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</si>
  <si>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</si>
  <si>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</si>
  <si>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</si>
  <si>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</si>
  <si>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</si>
  <si>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</si>
  <si>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</si>
  <si>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</si>
  <si>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</si>
  <si>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</si>
  <si>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</si>
  <si>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</si>
  <si>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</si>
  <si>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</si>
  <si>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</si>
  <si>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</si>
  <si>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</si>
  <si>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</si>
  <si>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</si>
  <si>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</si>
  <si>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</si>
  <si>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</si>
  <si>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</si>
  <si>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</si>
  <si>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</si>
  <si>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</si>
  <si>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</si>
  <si>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</si>
  <si>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</si>
  <si>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</si>
  <si>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</si>
  <si>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</si>
  <si>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</si>
  <si>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</si>
  <si>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</si>
  <si>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</si>
  <si>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</si>
  <si>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</si>
  <si>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</si>
  <si>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</si>
  <si>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</si>
  <si>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</si>
  <si>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</si>
  <si>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</si>
  <si>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</si>
  <si>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</si>
  <si>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</si>
  <si>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</si>
  <si>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</si>
  <si>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</si>
  <si>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</si>
  <si>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</si>
  <si>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</si>
  <si>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</si>
  <si>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</si>
  <si>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</si>
  <si>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</si>
  <si>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</si>
  <si>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</si>
  <si>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</si>
  <si>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</si>
  <si>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</si>
  <si>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</si>
  <si>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</si>
  <si>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</si>
  <si>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</si>
  <si>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</si>
  <si>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</si>
  <si>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</si>
  <si>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</si>
  <si>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</si>
  <si>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</si>
  <si>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</si>
  <si>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</si>
  <si>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</si>
  <si>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</si>
  <si>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</si>
  <si>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</si>
  <si>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</si>
  <si>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</si>
  <si>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</si>
  <si>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</si>
  <si>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</si>
  <si>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</si>
  <si>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</si>
  <si>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</si>
  <si>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</si>
  <si>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</si>
  <si>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</si>
  <si>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</si>
  <si>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</si>
  <si>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</si>
  <si>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</si>
  <si>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</si>
  <si>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</si>
  <si>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</si>
  <si>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</si>
  <si>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</si>
  <si>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</si>
  <si>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</si>
  <si>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</si>
  <si>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</si>
  <si>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</si>
  <si>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</si>
  <si>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</si>
  <si>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</si>
  <si>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</si>
  <si>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</si>
  <si>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</si>
  <si>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</si>
  <si>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</si>
  <si>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</si>
  <si>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</si>
  <si>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</si>
  <si>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</si>
  <si>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</si>
  <si>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</si>
  <si>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</si>
  <si>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</si>
  <si>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</si>
  <si>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</si>
  <si>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</si>
  <si>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</si>
  <si>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</si>
  <si>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</si>
  <si>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</si>
  <si>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</si>
  <si>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</si>
  <si>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</si>
  <si>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</si>
  <si>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</si>
  <si>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</si>
  <si>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</si>
  <si>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</si>
  <si>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</si>
  <si>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</si>
  <si>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</si>
  <si>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</si>
  <si>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</si>
  <si>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</si>
  <si>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</si>
  <si>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</si>
  <si>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</si>
  <si>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</si>
  <si>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</si>
  <si>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</si>
  <si>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</si>
  <si>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</si>
  <si>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</si>
  <si>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</si>
  <si>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</si>
  <si>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</si>
  <si>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</si>
  <si>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</si>
  <si>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</si>
  <si>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</si>
  <si>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</si>
  <si>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</si>
  <si>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</si>
  <si>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</si>
  <si>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</si>
  <si>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</si>
  <si>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</si>
  <si>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</si>
  <si>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</si>
  <si>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</si>
  <si>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</si>
  <si>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</si>
  <si>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</si>
  <si>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</si>
  <si>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</si>
  <si>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</si>
  <si>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</si>
  <si>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</si>
  <si>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</si>
  <si>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</si>
  <si>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</si>
  <si>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</si>
  <si>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</si>
  <si>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</si>
  <si>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</si>
  <si>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</si>
  <si>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</si>
  <si>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</si>
  <si>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</si>
  <si>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</si>
  <si>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</si>
  <si>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</si>
  <si>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</si>
  <si>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</si>
  <si>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</si>
  <si>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</si>
  <si>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</si>
  <si>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</si>
  <si>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</si>
  <si>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</si>
  <si>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</si>
  <si>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</si>
  <si>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</si>
  <si>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</si>
  <si>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</si>
  <si>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</si>
  <si>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</si>
  <si>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</si>
  <si>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</si>
  <si>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</si>
  <si>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</si>
  <si>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</si>
  <si>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</si>
  <si>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</si>
  <si>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</si>
  <si>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</si>
  <si>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</si>
  <si>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</si>
  <si>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</si>
  <si>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</si>
  <si>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</si>
  <si>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</si>
  <si>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</si>
  <si>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</si>
  <si>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</si>
  <si>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</si>
  <si>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</si>
  <si>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</si>
  <si>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</si>
  <si>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</si>
  <si>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</si>
  <si>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</si>
  <si>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</si>
  <si>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</si>
  <si>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</si>
  <si>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</si>
  <si>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</si>
  <si>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</si>
  <si>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</si>
  <si>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</si>
  <si>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</si>
  <si>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</si>
  <si>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</si>
  <si>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</si>
  <si>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</si>
  <si>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</si>
  <si>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</si>
  <si>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</si>
  <si>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</si>
  <si>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</si>
  <si>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</si>
  <si>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</si>
  <si>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</si>
  <si>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</si>
  <si>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</si>
  <si>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</si>
  <si>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</si>
  <si>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</si>
  <si>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</si>
  <si>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</si>
  <si>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</si>
  <si>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</si>
  <si>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</si>
  <si>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</si>
  <si>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</si>
  <si>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</si>
  <si>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</si>
  <si>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</si>
  <si>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</si>
  <si>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</si>
  <si>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</si>
  <si>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</si>
  <si>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</si>
  <si>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</si>
  <si>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</si>
  <si>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</si>
  <si>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</si>
  <si>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</si>
  <si>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</si>
  <si>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</si>
  <si>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</si>
  <si>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</si>
  <si>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</si>
  <si>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</si>
  <si>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</si>
  <si>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</si>
  <si>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</si>
  <si>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</si>
  <si>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</si>
  <si>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</si>
  <si>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</si>
  <si>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</si>
  <si>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</si>
  <si>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</si>
  <si>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</si>
  <si>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</si>
  <si>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</si>
  <si>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</si>
  <si>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</si>
  <si>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</si>
  <si>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</si>
  <si>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</si>
  <si>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</si>
  <si>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</si>
  <si>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</si>
  <si>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</si>
  <si>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</si>
  <si>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</si>
  <si>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</si>
  <si>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</si>
  <si>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</si>
  <si>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</si>
  <si>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</si>
  <si>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</si>
  <si>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</si>
  <si>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</si>
  <si>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</si>
  <si>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</si>
  <si>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</si>
  <si>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</si>
  <si>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</si>
  <si>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</si>
  <si>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</si>
  <si>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</si>
  <si>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</si>
  <si>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</si>
  <si>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</si>
  <si>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</si>
  <si>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</si>
  <si>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</si>
  <si>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</si>
  <si>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</si>
  <si>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</si>
  <si>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</si>
  <si>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</si>
  <si>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</si>
  <si>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</si>
  <si>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</si>
  <si>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</si>
  <si>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</si>
  <si>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</si>
  <si>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</si>
  <si>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</si>
  <si>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</si>
  <si>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</si>
  <si>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</si>
  <si>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</si>
  <si>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</si>
  <si>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</si>
  <si>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</si>
  <si>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</si>
  <si>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</si>
  <si>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</si>
  <si>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</si>
  <si>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</si>
  <si>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</si>
  <si>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</si>
  <si>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</si>
  <si>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</si>
  <si>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</si>
  <si>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</si>
  <si>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</si>
  <si>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</si>
  <si>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</si>
  <si>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</si>
  <si>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</si>
  <si>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</si>
  <si>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</si>
  <si>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</si>
  <si>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</si>
  <si>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</si>
  <si>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</si>
  <si>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</si>
  <si>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</si>
  <si>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</si>
  <si>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</si>
  <si>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</si>
  <si>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</si>
  <si>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</si>
  <si>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</si>
  <si>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</si>
  <si>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</si>
  <si>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</si>
  <si>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</si>
  <si>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</si>
  <si>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</si>
  <si>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</si>
  <si>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</si>
  <si>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</si>
  <si>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</si>
  <si>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</si>
  <si>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</si>
  <si>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</si>
  <si>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</si>
  <si>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</si>
  <si>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</si>
  <si>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</si>
  <si>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</si>
  <si>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</si>
  <si>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</si>
  <si>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</si>
  <si>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</si>
  <si>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</si>
  <si>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</si>
  <si>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</si>
  <si>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</si>
  <si>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</si>
  <si>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</si>
  <si>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</si>
  <si>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</si>
  <si>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</si>
  <si>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</si>
  <si>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</si>
  <si>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</si>
  <si>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</si>
  <si>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</si>
  <si>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</si>
  <si>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</si>
  <si>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</si>
  <si>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</si>
  <si>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</si>
  <si>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</si>
  <si>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</si>
  <si>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</si>
  <si>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</si>
  <si>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</si>
  <si>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</si>
  <si>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</si>
  <si>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</si>
  <si>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</si>
  <si>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</si>
  <si>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</si>
  <si>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</si>
  <si>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</si>
  <si>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</si>
  <si>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</si>
  <si>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</si>
  <si>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</si>
  <si>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</si>
  <si>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90</t>
  </si>
  <si>
    <t>A0</t>
  </si>
  <si>
    <t>84</t>
  </si>
  <si>
    <t>98</t>
  </si>
  <si>
    <t>87</t>
  </si>
  <si>
    <t>D8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</si>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</sst>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4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70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7" xfId="1" applyNumberFormat="1" applyFont="1" applyBorder="1"/>
    <xf numFmtId="0" fontId="0" fillId="0" borderId="0" xfId="1" applyNumberFormat="1" applyFont="1" applyBorder="1"/>
    <xf numFmtId="0" fontId="0" fillId="0" borderId="8" xfId="1" applyNumberFormat="1" applyFont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9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0" fillId="0" borderId="0" xfId="0" applyFill="1" applyAlignment="1">
      <alignment textRotation="90"/>
    </xf>
    <xf numFmtId="0" fontId="21" fillId="0" borderId="0" xfId="0" applyFont="1" applyFill="1" applyAlignment="1">
      <alignment textRotation="90"/>
    </xf>
    <xf numFmtId="0" fontId="10" fillId="0" borderId="0" xfId="0" applyFont="1" applyFill="1" applyAlignment="1">
      <alignment textRotation="90"/>
    </xf>
    <xf numFmtId="0" fontId="21" fillId="0" borderId="0" xfId="0" applyFont="1" applyFill="1"/>
    <xf numFmtId="0" fontId="0" fillId="0" borderId="0" xfId="0" applyFill="1"/>
    <xf numFmtId="0" fontId="10" fillId="0" borderId="0" xfId="0" applyFont="1" applyFill="1"/>
    <xf numFmtId="0" fontId="0" fillId="0" borderId="0" xfId="0" quotePrefix="1" applyFill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  <xf numFmtId="0" fontId="1" fillId="12" borderId="0" xfId="9" applyFont="1" applyFill="1"/>
    <xf numFmtId="0" fontId="7" fillId="0" borderId="0" xfId="0" applyFont="1" applyFill="1"/>
    <xf numFmtId="0" fontId="0" fillId="0" borderId="0" xfId="0" applyFill="1" applyAlignment="1">
      <alignment horizontal="center"/>
    </xf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3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705446F9-9327-8714-2C34-1CF739A75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DA3E2F95-5CB6-882F-4FF1-D9D301B9B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headings, panes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46</xdr:row>
          <xdr:rowOff>33327</xdr:rowOff>
        </xdr:from>
        <xdr:to>
          <xdr:col>10</xdr:col>
          <xdr:colOff>38100</xdr:colOff>
          <xdr:row>47</xdr:row>
          <xdr:rowOff>128577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13E2E79A-2198-EF6E-7D5B-43730CF40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57140</xdr:rowOff>
        </xdr:from>
        <xdr:to>
          <xdr:col>10</xdr:col>
          <xdr:colOff>38100</xdr:colOff>
          <xdr:row>46</xdr:row>
          <xdr:rowOff>23802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B08AAF43-78CC-754A-5CEC-D47DD0443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6DE64CB6-BD91-8F93-420B-6BC8646F6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260920 v0009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8C97C04A-C762-5ACA-0D28-9B983E2CE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CAE53236-0E75-0CC7-C2F8-C2656F292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5CAE6581-A611-D00C-40C5-8060C51C6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8FF4D28A-D5FE-DCE2-A3AF-13D153A4E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43</xdr:col>
      <xdr:colOff>28575</xdr:colOff>
      <xdr:row>6</xdr:row>
      <xdr:rowOff>114300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3"/>
          <a:ext cx="1914525" cy="6096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7CC1A9E8-2AAE-FE1D-18F4-A33B2A0F7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6E90F1C7-8A20-D9A2-127C-EFC2C33BF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C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C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C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C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D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D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D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D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E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E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E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E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F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F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F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F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tabSelected="1" zoomScaleNormal="100" workbookViewId="0"/>
  </sheetViews>
  <sheetFormatPr baseColWidth="10" defaultColWidth="12" defaultRowHeight="10.15" x14ac:dyDescent="0.3"/>
  <cols>
    <col min="1" max="1" width="8.58203125" style="63" customWidth="1"/>
    <col min="2" max="6" width="8.58203125" style="61" customWidth="1"/>
    <col min="7" max="7" width="33.1640625" style="61" customWidth="1"/>
    <col min="8" max="9" width="12" style="61"/>
    <col min="10" max="10" width="12.83203125" style="61" customWidth="1"/>
    <col min="11" max="11" width="12" style="61"/>
    <col min="12" max="12" width="13.83203125" style="61" bestFit="1" customWidth="1"/>
    <col min="13" max="16384" width="12" style="61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63" t="str" cm="1">
        <f t="array" ref="K3">LastInColumn2(Versions!C:C)</f>
        <v>GitHub public, Phase 1-4 completed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5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5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5" t="s">
        <v>962</v>
      </c>
    </row>
    <row r="31" spans="7:9" ht="10.25" customHeight="1" x14ac:dyDescent="0.3">
      <c r="G31" s="167" t="s">
        <v>941</v>
      </c>
      <c r="I31" s="129"/>
    </row>
    <row r="32" spans="7:9" ht="10.25" customHeight="1" x14ac:dyDescent="0.3">
      <c r="G32" s="167" t="s">
        <v>955</v>
      </c>
    </row>
    <row r="33" spans="1:13" ht="10.25" customHeight="1" x14ac:dyDescent="0.3">
      <c r="G33" s="167" t="s">
        <v>912</v>
      </c>
    </row>
    <row r="34" spans="1:13" ht="10.25" customHeight="1" x14ac:dyDescent="0.3">
      <c r="G34" s="167" t="s">
        <v>911</v>
      </c>
    </row>
    <row r="35" spans="1:13" ht="10.25" customHeight="1" x14ac:dyDescent="0.3"/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31" customFormat="1" ht="10.25" customHeight="1" x14ac:dyDescent="0.3">
      <c r="A40" s="130"/>
      <c r="L40" s="64" t="b">
        <f>AND(L42:L46)</f>
        <v>1</v>
      </c>
    </row>
    <row r="41" spans="1:13" s="131" customFormat="1" ht="10.25" customHeight="1" x14ac:dyDescent="0.3">
      <c r="A41" s="130"/>
      <c r="L41" s="66" t="b">
        <f>'Sprite Shifting'!I30</f>
        <v>1</v>
      </c>
      <c r="M41" s="131" t="str" cm="1">
        <f t="array" ref="M41">GetWorksheetName('Sprite Shifting'!I30)</f>
        <v>Sprite Shifting</v>
      </c>
    </row>
    <row r="42" spans="1:13" s="131" customFormat="1" ht="10.25" customHeight="1" x14ac:dyDescent="0.3">
      <c r="A42" s="130"/>
      <c r="L42" s="66" t="b">
        <f>'Pixel Shifting'!I30</f>
        <v>1</v>
      </c>
      <c r="M42" s="131" t="str" cm="1">
        <f t="array" ref="M42">GetWorksheetName('Pixel Shifting'!I30)</f>
        <v>Pixel Shifting</v>
      </c>
    </row>
    <row r="43" spans="1:13" s="131" customFormat="1" ht="10.25" customHeight="1" x14ac:dyDescent="0.3">
      <c r="A43" s="130"/>
      <c r="L43" s="66" t="b">
        <f>Sprites!I30</f>
        <v>1</v>
      </c>
      <c r="M43" s="131" t="str" cm="1">
        <f t="array" ref="M43">GetWorksheetName(Sprites!I30)</f>
        <v>Sprites</v>
      </c>
    </row>
    <row r="44" spans="1:13" s="131" customFormat="1" ht="10.25" customHeight="1" x14ac:dyDescent="0.3">
      <c r="A44" s="130"/>
    </row>
    <row r="45" spans="1:13" s="131" customFormat="1" ht="10.25" customHeight="1" x14ac:dyDescent="0.3">
      <c r="A45" s="130"/>
    </row>
    <row r="46" spans="1:13" s="131" customFormat="1" ht="10.25" customHeight="1" x14ac:dyDescent="0.3">
      <c r="A46" s="130"/>
    </row>
    <row r="47" spans="1:13" s="131" customFormat="1" ht="10.25" customHeight="1" x14ac:dyDescent="0.3">
      <c r="A47" s="130"/>
    </row>
    <row r="48" spans="1:13" s="131" customFormat="1" ht="10.25" customHeight="1" x14ac:dyDescent="0.3">
      <c r="A48" s="130"/>
    </row>
    <row r="49" spans="1:9" s="131" customFormat="1" ht="10.25" customHeight="1" x14ac:dyDescent="0.3">
      <c r="A49" s="130"/>
    </row>
    <row r="50" spans="1:9" s="131" customFormat="1" ht="10.25" customHeight="1" x14ac:dyDescent="0.3">
      <c r="A50" s="130"/>
    </row>
    <row r="51" spans="1:9" s="131" customFormat="1" ht="10.25" customHeight="1" x14ac:dyDescent="0.3">
      <c r="A51" s="130"/>
    </row>
    <row r="52" spans="1:9" s="131" customFormat="1" ht="10.25" customHeight="1" x14ac:dyDescent="0.3">
      <c r="A52" s="130"/>
    </row>
    <row r="53" spans="1:9" ht="10.25" customHeight="1" x14ac:dyDescent="0.3"/>
    <row r="59" spans="1:9" ht="10.5" thickBot="1" x14ac:dyDescent="0.35">
      <c r="I59" s="132" t="s">
        <v>963</v>
      </c>
    </row>
    <row r="60" spans="1:9" x14ac:dyDescent="0.3">
      <c r="I60" s="133" t="str" cm="1">
        <f t="array" ref="I60">GetWorksheetName(A1)</f>
        <v>Intro</v>
      </c>
    </row>
    <row r="61" spans="1:9" x14ac:dyDescent="0.3">
      <c r="I61" s="134" t="str" cm="1">
        <f t="array" ref="I61">GetWorksheetName('&gt; comments &lt;'!A1)</f>
        <v>&gt; comments &lt;</v>
      </c>
    </row>
    <row r="62" spans="1:9" x14ac:dyDescent="0.3">
      <c r="I62" s="134" t="str" cm="1">
        <f t="array" ref="I62">GetWorksheetName(Versions!A1)</f>
        <v>Versions</v>
      </c>
    </row>
    <row r="63" spans="1:9" x14ac:dyDescent="0.3">
      <c r="I63" s="134" t="str" cm="1">
        <f t="array" ref="I63">GetWorksheetName('Worksheets matrix'!A1)</f>
        <v>Worksheets matrix</v>
      </c>
    </row>
    <row r="64" spans="1:9" x14ac:dyDescent="0.3">
      <c r="I64" s="135" t="str" cm="1">
        <f t="array" ref="I64">GetWorksheetName('Sprite Shifting'!A1)</f>
        <v>Sprite Shifting</v>
      </c>
    </row>
    <row r="65" spans="9:9" x14ac:dyDescent="0.3">
      <c r="I65" s="135" t="str" cm="1">
        <f t="array" ref="I65">GetWorksheetName('Pixel Shifting'!A1)</f>
        <v>Pixel Shifting</v>
      </c>
    </row>
    <row r="66" spans="9:9" x14ac:dyDescent="0.3">
      <c r="I66" s="135" t="str" cm="1">
        <f t="array" ref="I66">GetWorksheetName(Sprites!A1)</f>
        <v>Sprites</v>
      </c>
    </row>
    <row r="67" spans="9:9" ht="10.5" thickBot="1" x14ac:dyDescent="0.35">
      <c r="I67" s="136"/>
    </row>
  </sheetData>
  <conditionalFormatting sqref="L41:L43">
    <cfRule type="expression" dxfId="32" priority="2">
      <formula>IFERROR(NOT(L41),TRUE)</formula>
    </cfRule>
  </conditionalFormatting>
  <conditionalFormatting sqref="L40">
    <cfRule type="expression" dxfId="31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Button_HideDisplayHeadingsAndFreezeAllPanes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46</xdr:row>
                    <xdr:rowOff>33338</xdr:rowOff>
                  </from>
                  <to>
                    <xdr:col>10</xdr:col>
                    <xdr:colOff>38100</xdr:colOff>
                    <xdr:row>47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9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40" customWidth="1"/>
    <col min="2" max="2" width="131" style="140" customWidth="1"/>
    <col min="3" max="16384" width="13.6640625" style="142"/>
  </cols>
  <sheetData>
    <row r="1" spans="1:2" s="139" customFormat="1" x14ac:dyDescent="0.3">
      <c r="A1" s="137" t="s">
        <v>964</v>
      </c>
      <c r="B1" s="138" t="s">
        <v>965</v>
      </c>
    </row>
    <row r="2" spans="1:2" x14ac:dyDescent="0.3">
      <c r="A2" s="140" t="str">
        <f>GetAddress('Sprite Shifter'!$AD$4, TRUE)</f>
        <v>'Sprite Shifter'!$AD$4</v>
      </c>
      <c r="B2" s="141" t="str">
        <f>GetComment($A$2, TRUE)</f>
        <v>some comment</v>
      </c>
    </row>
    <row r="3" spans="1:2" x14ac:dyDescent="0.3">
      <c r="B3" s="141" t="str">
        <f>GetComment($A$3, TRUE)</f>
        <v/>
      </c>
    </row>
    <row r="4" spans="1:2" x14ac:dyDescent="0.3">
      <c r="B4" s="141" t="str">
        <f>GetComment($A$4, TRUE)</f>
        <v/>
      </c>
    </row>
    <row r="5" spans="1:2" x14ac:dyDescent="0.3">
      <c r="B5" s="141" t="str">
        <f>GetComment($A$5, TRUE)</f>
        <v/>
      </c>
    </row>
    <row r="6" spans="1:2" x14ac:dyDescent="0.3">
      <c r="B6" s="141" t="str">
        <f>GetComment($A$6, TRUE)</f>
        <v/>
      </c>
    </row>
    <row r="7" spans="1:2" x14ac:dyDescent="0.3">
      <c r="B7" s="141" t="str">
        <f>GetComment($A$7, TRUE)</f>
        <v/>
      </c>
    </row>
    <row r="8" spans="1:2" x14ac:dyDescent="0.3">
      <c r="B8" s="141" t="str">
        <f>GetComment($A$8, TRUE)</f>
        <v/>
      </c>
    </row>
    <row r="9" spans="1:2" x14ac:dyDescent="0.3">
      <c r="B9" s="141" t="str">
        <f>GetComment($A$9, TRUE)</f>
        <v/>
      </c>
    </row>
    <row r="10" spans="1:2" x14ac:dyDescent="0.3">
      <c r="B10" s="141" t="str">
        <f>GetComment($A$10, TRUE)</f>
        <v/>
      </c>
    </row>
    <row r="11" spans="1:2" x14ac:dyDescent="0.3">
      <c r="B11" s="141" t="str">
        <f>GetComment($A$11, TRUE)</f>
        <v/>
      </c>
    </row>
    <row r="12" spans="1:2" x14ac:dyDescent="0.3">
      <c r="B12" s="141" t="str">
        <f>GetComment($A$12, TRUE)</f>
        <v/>
      </c>
    </row>
    <row r="13" spans="1:2" x14ac:dyDescent="0.3">
      <c r="B13" s="141" t="str">
        <f>GetComment($A$13, TRUE)</f>
        <v/>
      </c>
    </row>
    <row r="14" spans="1:2" x14ac:dyDescent="0.3">
      <c r="B14" s="141" t="str">
        <f>GetComment($A$14, TRUE)</f>
        <v/>
      </c>
    </row>
    <row r="15" spans="1:2" x14ac:dyDescent="0.3">
      <c r="B15" s="141" t="str">
        <f>GetComment($A$15, TRUE)</f>
        <v/>
      </c>
    </row>
    <row r="16" spans="1:2" x14ac:dyDescent="0.3">
      <c r="B16" s="141" t="str">
        <f>GetComment($A$16, TRUE)</f>
        <v/>
      </c>
    </row>
    <row r="17" spans="2:2" x14ac:dyDescent="0.3">
      <c r="B17" s="141" t="str">
        <f>GetComment($A$17, TRUE)</f>
        <v/>
      </c>
    </row>
    <row r="18" spans="2:2" x14ac:dyDescent="0.3">
      <c r="B18" s="141" t="str">
        <f>GetComment($A$18, TRUE)</f>
        <v/>
      </c>
    </row>
    <row r="19" spans="2:2" x14ac:dyDescent="0.3">
      <c r="B19" s="141" t="str">
        <f>GetComment($A$19, TRUE)</f>
        <v/>
      </c>
    </row>
    <row r="20" spans="2:2" x14ac:dyDescent="0.3">
      <c r="B20" s="141" t="str">
        <f>GetComment($A$20, TRUE)</f>
        <v/>
      </c>
    </row>
    <row r="21" spans="2:2" x14ac:dyDescent="0.3">
      <c r="B21" s="141" t="str">
        <f>GetComment($A$21, TRUE)</f>
        <v/>
      </c>
    </row>
    <row r="22" spans="2:2" x14ac:dyDescent="0.3">
      <c r="B22" s="141" t="str">
        <f>GetComment($A$22, TRUE)</f>
        <v/>
      </c>
    </row>
    <row r="23" spans="2:2" x14ac:dyDescent="0.3">
      <c r="B23" s="141" t="str">
        <f>GetComment($A$23, TRUE)</f>
        <v/>
      </c>
    </row>
    <row r="24" spans="2:2" x14ac:dyDescent="0.3">
      <c r="B24" s="141" t="str">
        <f>GetComment($A$24, TRUE)</f>
        <v/>
      </c>
    </row>
    <row r="25" spans="2:2" x14ac:dyDescent="0.3">
      <c r="B25" s="141" t="str">
        <f>GetComment($A$25, TRUE)</f>
        <v/>
      </c>
    </row>
    <row r="26" spans="2:2" x14ac:dyDescent="0.3">
      <c r="B26" s="141" t="str">
        <f>GetComment($A$26, TRUE)</f>
        <v/>
      </c>
    </row>
    <row r="27" spans="2:2" x14ac:dyDescent="0.3">
      <c r="B27" s="141" t="str">
        <f>GetComment($A$27, TRUE)</f>
        <v/>
      </c>
    </row>
    <row r="28" spans="2:2" x14ac:dyDescent="0.3">
      <c r="B28" s="141" t="str">
        <f>GetComment($A$28, TRUE)</f>
        <v/>
      </c>
    </row>
    <row r="29" spans="2:2" x14ac:dyDescent="0.3">
      <c r="B29" s="141" t="str">
        <f>GetComment($A$29, TRUE)</f>
        <v/>
      </c>
    </row>
    <row r="30" spans="2:2" x14ac:dyDescent="0.3">
      <c r="B30" s="141" t="str">
        <f>GetComment($A$30, TRUE)</f>
        <v/>
      </c>
    </row>
    <row r="31" spans="2:2" x14ac:dyDescent="0.3">
      <c r="B31" s="141" t="str">
        <f>GetComment($A$31, TRUE)</f>
        <v/>
      </c>
    </row>
    <row r="32" spans="2:2" x14ac:dyDescent="0.3">
      <c r="B32" s="141" t="str">
        <f>GetComment($A$32, TRUE)</f>
        <v/>
      </c>
    </row>
    <row r="33" spans="2:2" x14ac:dyDescent="0.3">
      <c r="B33" s="141" t="str">
        <f>GetComment($A$33, TRUE)</f>
        <v/>
      </c>
    </row>
    <row r="34" spans="2:2" x14ac:dyDescent="0.3">
      <c r="B34" s="141" t="str">
        <f>GetComment($A$34, TRUE)</f>
        <v/>
      </c>
    </row>
    <row r="35" spans="2:2" x14ac:dyDescent="0.3">
      <c r="B35" s="141" t="str">
        <f>GetComment($A$35, TRUE)</f>
        <v/>
      </c>
    </row>
    <row r="36" spans="2:2" x14ac:dyDescent="0.3">
      <c r="B36" s="141" t="str">
        <f>GetComment($A$36, TRUE)</f>
        <v/>
      </c>
    </row>
    <row r="37" spans="2:2" x14ac:dyDescent="0.3">
      <c r="B37" s="141" t="str">
        <f>GetComment($A$37, TRUE)</f>
        <v/>
      </c>
    </row>
    <row r="38" spans="2:2" x14ac:dyDescent="0.3">
      <c r="B38" s="141" t="str">
        <f>GetComment($A$38, TRUE)</f>
        <v/>
      </c>
    </row>
    <row r="39" spans="2:2" x14ac:dyDescent="0.3">
      <c r="B39" s="141" t="str">
        <f>GetComment($A$39, TRUE)</f>
        <v/>
      </c>
    </row>
    <row r="40" spans="2:2" x14ac:dyDescent="0.3">
      <c r="B40" s="141" t="str">
        <f>GetComment($A$40, TRUE)</f>
        <v/>
      </c>
    </row>
    <row r="41" spans="2:2" x14ac:dyDescent="0.3">
      <c r="B41" s="141" t="str">
        <f>GetComment($A$41, TRUE)</f>
        <v/>
      </c>
    </row>
    <row r="42" spans="2:2" x14ac:dyDescent="0.3">
      <c r="B42" s="141" t="str">
        <f>GetComment($A$42, TRUE)</f>
        <v/>
      </c>
    </row>
    <row r="43" spans="2:2" x14ac:dyDescent="0.3">
      <c r="B43" s="141" t="str">
        <f>GetComment($A$43, TRUE)</f>
        <v/>
      </c>
    </row>
    <row r="44" spans="2:2" x14ac:dyDescent="0.3">
      <c r="B44" s="141" t="str">
        <f>GetComment($A$44, TRUE)</f>
        <v/>
      </c>
    </row>
    <row r="45" spans="2:2" x14ac:dyDescent="0.3">
      <c r="B45" s="141" t="str">
        <f>GetComment($A$45, TRUE)</f>
        <v/>
      </c>
    </row>
    <row r="46" spans="2:2" x14ac:dyDescent="0.3">
      <c r="B46" s="141" t="str">
        <f>GetComment($A$46, TRUE)</f>
        <v/>
      </c>
    </row>
    <row r="47" spans="2:2" x14ac:dyDescent="0.3">
      <c r="B47" s="141" t="str">
        <f>GetComment($A$47, TRUE)</f>
        <v/>
      </c>
    </row>
    <row r="48" spans="2:2" x14ac:dyDescent="0.3">
      <c r="B48" s="141" t="str">
        <f>GetComment($A$48, TRUE)</f>
        <v/>
      </c>
    </row>
    <row r="49" spans="2:2" x14ac:dyDescent="0.3">
      <c r="B49" s="141" t="str">
        <f>GetComment($A$49, TRUE)</f>
        <v/>
      </c>
    </row>
    <row r="50" spans="2:2" x14ac:dyDescent="0.3">
      <c r="B50" s="141" t="str">
        <f>GetComment($A$50, TRUE)</f>
        <v/>
      </c>
    </row>
    <row r="51" spans="2:2" x14ac:dyDescent="0.3">
      <c r="B51" s="141" t="str">
        <f>GetComment($A$51, TRUE)</f>
        <v/>
      </c>
    </row>
    <row r="52" spans="2:2" x14ac:dyDescent="0.3">
      <c r="B52" s="141" t="str">
        <f>GetComment($A$52, TRUE)</f>
        <v/>
      </c>
    </row>
    <row r="53" spans="2:2" x14ac:dyDescent="0.3">
      <c r="B53" s="141" t="str">
        <f>GetComment($A$53, TRUE)</f>
        <v/>
      </c>
    </row>
    <row r="54" spans="2:2" x14ac:dyDescent="0.3">
      <c r="B54" s="141" t="str">
        <f>GetComment($A$54, TRUE)</f>
        <v/>
      </c>
    </row>
    <row r="55" spans="2:2" x14ac:dyDescent="0.3">
      <c r="B55" s="141" t="str">
        <f>GetComment($A$55, TRUE)</f>
        <v/>
      </c>
    </row>
    <row r="56" spans="2:2" x14ac:dyDescent="0.3">
      <c r="B56" s="141" t="str">
        <f>GetComment($A$56, TRUE)</f>
        <v/>
      </c>
    </row>
    <row r="57" spans="2:2" x14ac:dyDescent="0.3">
      <c r="B57" s="141" t="str">
        <f>GetComment($A$57, TRUE)</f>
        <v/>
      </c>
    </row>
    <row r="58" spans="2:2" x14ac:dyDescent="0.3">
      <c r="B58" s="141" t="str">
        <f>GetComment($A$58, TRUE)</f>
        <v/>
      </c>
    </row>
    <row r="59" spans="2:2" x14ac:dyDescent="0.3">
      <c r="B59" s="141" t="str">
        <f>GetComment($A$59, TRUE)</f>
        <v/>
      </c>
    </row>
    <row r="60" spans="2:2" x14ac:dyDescent="0.3">
      <c r="B60" s="141" t="str">
        <f>GetComment($A$60, TRUE)</f>
        <v/>
      </c>
    </row>
    <row r="61" spans="2:2" x14ac:dyDescent="0.3">
      <c r="B61" s="141" t="str">
        <f>GetComment($A$61, TRUE)</f>
        <v/>
      </c>
    </row>
    <row r="62" spans="2:2" x14ac:dyDescent="0.3">
      <c r="B62" s="141" t="str">
        <f>GetComment($A$62, TRUE)</f>
        <v/>
      </c>
    </row>
    <row r="63" spans="2:2" x14ac:dyDescent="0.3">
      <c r="B63" s="141" t="str">
        <f>GetComment($A$63, TRUE)</f>
        <v/>
      </c>
    </row>
    <row r="64" spans="2:2" x14ac:dyDescent="0.3">
      <c r="B64" s="141" t="str">
        <f>GetComment($A$64, TRUE)</f>
        <v/>
      </c>
    </row>
    <row r="65" spans="2:2" x14ac:dyDescent="0.3">
      <c r="B65" s="141" t="str">
        <f>GetComment($A$65, TRUE)</f>
        <v/>
      </c>
    </row>
    <row r="66" spans="2:2" x14ac:dyDescent="0.3">
      <c r="B66" s="141" t="str">
        <f>GetComment($A$66, TRUE)</f>
        <v/>
      </c>
    </row>
    <row r="67" spans="2:2" x14ac:dyDescent="0.3">
      <c r="B67" s="141" t="str">
        <f>GetComment($A$67, TRUE)</f>
        <v/>
      </c>
    </row>
    <row r="68" spans="2:2" x14ac:dyDescent="0.3">
      <c r="B68" s="141" t="str">
        <f>GetComment($A$68, TRUE)</f>
        <v/>
      </c>
    </row>
    <row r="69" spans="2:2" x14ac:dyDescent="0.3">
      <c r="B69" s="141" t="str">
        <f>GetComment($A$69, TRUE)</f>
        <v/>
      </c>
    </row>
    <row r="70" spans="2:2" x14ac:dyDescent="0.3">
      <c r="B70" s="141" t="str">
        <f>GetComment($A$70, TRUE)</f>
        <v/>
      </c>
    </row>
    <row r="71" spans="2:2" x14ac:dyDescent="0.3">
      <c r="B71" s="141" t="str">
        <f>GetComment($A$71, TRUE)</f>
        <v/>
      </c>
    </row>
    <row r="72" spans="2:2" x14ac:dyDescent="0.3">
      <c r="B72" s="141" t="str">
        <f>GetComment($A$72, TRUE)</f>
        <v/>
      </c>
    </row>
    <row r="73" spans="2:2" x14ac:dyDescent="0.3">
      <c r="B73" s="141" t="str">
        <f>GetComment($A$73, TRUE)</f>
        <v/>
      </c>
    </row>
    <row r="74" spans="2:2" x14ac:dyDescent="0.3">
      <c r="B74" s="141" t="str">
        <f>GetComment($A$74, TRUE)</f>
        <v/>
      </c>
    </row>
    <row r="75" spans="2:2" x14ac:dyDescent="0.3">
      <c r="B75" s="141" t="str">
        <f>GetComment($A$75, TRUE)</f>
        <v/>
      </c>
    </row>
    <row r="76" spans="2:2" x14ac:dyDescent="0.3">
      <c r="B76" s="141" t="str">
        <f>GetComment($A$76, TRUE)</f>
        <v/>
      </c>
    </row>
    <row r="77" spans="2:2" x14ac:dyDescent="0.3">
      <c r="B77" s="141" t="str">
        <f>GetComment($A$77, TRUE)</f>
        <v/>
      </c>
    </row>
    <row r="78" spans="2:2" x14ac:dyDescent="0.3">
      <c r="B78" s="141" t="str">
        <f>GetComment($A$78, TRUE)</f>
        <v/>
      </c>
    </row>
    <row r="79" spans="2:2" x14ac:dyDescent="0.3">
      <c r="B79" s="141" t="str">
        <f>GetComment($A$79, TRUE)</f>
        <v/>
      </c>
    </row>
    <row r="80" spans="2:2" x14ac:dyDescent="0.3">
      <c r="B80" s="141" t="str">
        <f>GetComment($A$80, TRUE)</f>
        <v/>
      </c>
    </row>
    <row r="81" spans="2:2" x14ac:dyDescent="0.3">
      <c r="B81" s="141" t="str">
        <f>GetComment($A$81, TRUE)</f>
        <v/>
      </c>
    </row>
    <row r="82" spans="2:2" x14ac:dyDescent="0.3">
      <c r="B82" s="141" t="str">
        <f>GetComment($A$82, TRUE)</f>
        <v/>
      </c>
    </row>
    <row r="83" spans="2:2" x14ac:dyDescent="0.3">
      <c r="B83" s="141" t="str">
        <f>GetComment($A$83, TRUE)</f>
        <v/>
      </c>
    </row>
    <row r="84" spans="2:2" x14ac:dyDescent="0.3">
      <c r="B84" s="141" t="str">
        <f>GetComment($A$84, TRUE)</f>
        <v/>
      </c>
    </row>
    <row r="85" spans="2:2" x14ac:dyDescent="0.3">
      <c r="B85" s="141" t="str">
        <f>GetComment($A$85, TRUE)</f>
        <v/>
      </c>
    </row>
    <row r="86" spans="2:2" x14ac:dyDescent="0.3">
      <c r="B86" s="141" t="str">
        <f>GetComment($A$86, TRUE)</f>
        <v/>
      </c>
    </row>
    <row r="87" spans="2:2" x14ac:dyDescent="0.3">
      <c r="B87" s="141" t="str">
        <f>GetComment($A$87, TRUE)</f>
        <v/>
      </c>
    </row>
    <row r="88" spans="2:2" x14ac:dyDescent="0.3">
      <c r="B88" s="141" t="str">
        <f>GetComment($A$88, TRUE)</f>
        <v/>
      </c>
    </row>
    <row r="89" spans="2:2" x14ac:dyDescent="0.3">
      <c r="B89" s="141" t="str">
        <f>GetComment($A$89, TRUE)</f>
        <v/>
      </c>
    </row>
    <row r="90" spans="2:2" x14ac:dyDescent="0.3">
      <c r="B90" s="141" t="str">
        <f>GetComment($A$90, TRUE)</f>
        <v/>
      </c>
    </row>
    <row r="91" spans="2:2" x14ac:dyDescent="0.3">
      <c r="B91" s="141" t="str">
        <f>GetComment($A$91, TRUE)</f>
        <v/>
      </c>
    </row>
    <row r="92" spans="2:2" x14ac:dyDescent="0.3">
      <c r="B92" s="141" t="str">
        <f>GetComment($A$92, TRUE)</f>
        <v/>
      </c>
    </row>
    <row r="93" spans="2:2" x14ac:dyDescent="0.3">
      <c r="B93" s="141" t="str">
        <f>GetComment($A$93, TRUE)</f>
        <v/>
      </c>
    </row>
    <row r="94" spans="2:2" x14ac:dyDescent="0.3">
      <c r="B94" s="141" t="str">
        <f>GetComment($A$94, TRUE)</f>
        <v/>
      </c>
    </row>
    <row r="95" spans="2:2" x14ac:dyDescent="0.3">
      <c r="B95" s="141" t="str">
        <f>GetComment($A$95, TRUE)</f>
        <v/>
      </c>
    </row>
    <row r="96" spans="2:2" x14ac:dyDescent="0.3">
      <c r="B96" s="141" t="str">
        <f>GetComment($A$96, TRUE)</f>
        <v/>
      </c>
    </row>
    <row r="97" spans="2:2" x14ac:dyDescent="0.3">
      <c r="B97" s="141" t="str">
        <f>GetComment($A$97, TRUE)</f>
        <v/>
      </c>
    </row>
    <row r="98" spans="2:2" x14ac:dyDescent="0.3">
      <c r="B98" s="141" t="str">
        <f>GetComment($A$98, TRUE)</f>
        <v/>
      </c>
    </row>
    <row r="99" spans="2:2" x14ac:dyDescent="0.3">
      <c r="B99" s="141" t="str">
        <f>GetComment($A$99, TRUE)</f>
        <v/>
      </c>
    </row>
    <row r="100" spans="2:2" x14ac:dyDescent="0.3">
      <c r="B100" s="141" t="str">
        <f>GetComment($A$100, TRUE)</f>
        <v/>
      </c>
    </row>
    <row r="101" spans="2:2" x14ac:dyDescent="0.3">
      <c r="B101" s="141" t="str">
        <f>GetComment($A$101, TRUE)</f>
        <v/>
      </c>
    </row>
    <row r="102" spans="2:2" x14ac:dyDescent="0.3">
      <c r="B102" s="141" t="str">
        <f>GetComment($A$102, TRUE)</f>
        <v/>
      </c>
    </row>
    <row r="103" spans="2:2" x14ac:dyDescent="0.3">
      <c r="B103" s="141" t="str">
        <f>GetComment($A$103, TRUE)</f>
        <v/>
      </c>
    </row>
    <row r="104" spans="2:2" x14ac:dyDescent="0.3">
      <c r="B104" s="141" t="str">
        <f>GetComment($A$104, TRUE)</f>
        <v/>
      </c>
    </row>
    <row r="105" spans="2:2" x14ac:dyDescent="0.3">
      <c r="B105" s="141" t="str">
        <f>GetComment($A$105, TRUE)</f>
        <v/>
      </c>
    </row>
    <row r="106" spans="2:2" x14ac:dyDescent="0.3">
      <c r="B106" s="141" t="str">
        <f>GetComment($A$106, TRUE)</f>
        <v/>
      </c>
    </row>
    <row r="107" spans="2:2" x14ac:dyDescent="0.3">
      <c r="B107" s="141" t="str">
        <f>GetComment($A$107, TRUE)</f>
        <v/>
      </c>
    </row>
    <row r="108" spans="2:2" x14ac:dyDescent="0.3">
      <c r="B108" s="141" t="str">
        <f>GetComment($A$108, TRUE)</f>
        <v/>
      </c>
    </row>
    <row r="109" spans="2:2" x14ac:dyDescent="0.3">
      <c r="B109" s="141" t="str">
        <f>GetComment($A$109, TRUE)</f>
        <v/>
      </c>
    </row>
    <row r="110" spans="2:2" x14ac:dyDescent="0.3">
      <c r="B110" s="141" t="str">
        <f>GetComment($A$110, TRUE)</f>
        <v/>
      </c>
    </row>
    <row r="111" spans="2:2" x14ac:dyDescent="0.3">
      <c r="B111" s="141" t="str">
        <f>GetComment($A$111, TRUE)</f>
        <v/>
      </c>
    </row>
    <row r="112" spans="2:2" x14ac:dyDescent="0.3">
      <c r="B112" s="141" t="str">
        <f>GetComment($A$112, TRUE)</f>
        <v/>
      </c>
    </row>
    <row r="113" spans="2:2" x14ac:dyDescent="0.3">
      <c r="B113" s="141" t="str">
        <f>GetComment($A$113, TRUE)</f>
        <v/>
      </c>
    </row>
    <row r="114" spans="2:2" x14ac:dyDescent="0.3">
      <c r="B114" s="141" t="str">
        <f>GetComment($A$114, TRUE)</f>
        <v/>
      </c>
    </row>
    <row r="115" spans="2:2" x14ac:dyDescent="0.3">
      <c r="B115" s="141" t="str">
        <f>GetComment($A$115, TRUE)</f>
        <v/>
      </c>
    </row>
    <row r="116" spans="2:2" x14ac:dyDescent="0.3">
      <c r="B116" s="141" t="str">
        <f>GetComment($A$116, TRUE)</f>
        <v/>
      </c>
    </row>
    <row r="117" spans="2:2" x14ac:dyDescent="0.3">
      <c r="B117" s="141" t="str">
        <f>GetComment($A$117, TRUE)</f>
        <v/>
      </c>
    </row>
    <row r="118" spans="2:2" x14ac:dyDescent="0.3">
      <c r="B118" s="141" t="str">
        <f>GetComment($A$118, TRUE)</f>
        <v/>
      </c>
    </row>
    <row r="119" spans="2:2" x14ac:dyDescent="0.3">
      <c r="B119" s="141" t="str">
        <f>GetComment($A$119, TRUE)</f>
        <v/>
      </c>
    </row>
    <row r="120" spans="2:2" x14ac:dyDescent="0.3">
      <c r="B120" s="141" t="str">
        <f>GetComment($A$120, TRUE)</f>
        <v/>
      </c>
    </row>
    <row r="121" spans="2:2" x14ac:dyDescent="0.3">
      <c r="B121" s="141" t="str">
        <f>GetComment($A$121, TRUE)</f>
        <v/>
      </c>
    </row>
    <row r="122" spans="2:2" x14ac:dyDescent="0.3">
      <c r="B122" s="141" t="str">
        <f>GetComment($A$122, TRUE)</f>
        <v/>
      </c>
    </row>
    <row r="123" spans="2:2" x14ac:dyDescent="0.3">
      <c r="B123" s="141" t="str">
        <f>GetComment($A$123, TRUE)</f>
        <v/>
      </c>
    </row>
    <row r="124" spans="2:2" x14ac:dyDescent="0.3">
      <c r="B124" s="141" t="str">
        <f>GetComment($A$124, TRUE)</f>
        <v/>
      </c>
    </row>
    <row r="125" spans="2:2" x14ac:dyDescent="0.3">
      <c r="B125" s="141" t="str">
        <f>GetComment($A$125, TRUE)</f>
        <v/>
      </c>
    </row>
    <row r="126" spans="2:2" x14ac:dyDescent="0.3">
      <c r="B126" s="141" t="str">
        <f>GetComment($A$126, TRUE)</f>
        <v/>
      </c>
    </row>
    <row r="127" spans="2:2" x14ac:dyDescent="0.3">
      <c r="B127" s="141" t="str">
        <f>GetComment($A$127, TRUE)</f>
        <v/>
      </c>
    </row>
    <row r="128" spans="2:2" x14ac:dyDescent="0.3">
      <c r="B128" s="141" t="str">
        <f>GetComment($A$128, TRUE)</f>
        <v/>
      </c>
    </row>
    <row r="129" spans="2:2" x14ac:dyDescent="0.3">
      <c r="B129" s="141" t="str">
        <f>GetComment($A$129, TRUE)</f>
        <v/>
      </c>
    </row>
    <row r="130" spans="2:2" x14ac:dyDescent="0.3">
      <c r="B130" s="141" t="str">
        <f>GetComment($A$130, TRUE)</f>
        <v/>
      </c>
    </row>
    <row r="131" spans="2:2" x14ac:dyDescent="0.3">
      <c r="B131" s="141" t="str">
        <f>GetComment($A$131, TRUE)</f>
        <v/>
      </c>
    </row>
    <row r="132" spans="2:2" x14ac:dyDescent="0.3">
      <c r="B132" s="141" t="str">
        <f>GetComment($A$132, TRUE)</f>
        <v/>
      </c>
    </row>
    <row r="133" spans="2:2" x14ac:dyDescent="0.3">
      <c r="B133" s="141" t="str">
        <f>GetComment($A$133, TRUE)</f>
        <v/>
      </c>
    </row>
    <row r="134" spans="2:2" x14ac:dyDescent="0.3">
      <c r="B134" s="141" t="str">
        <f>GetComment($A$134, TRUE)</f>
        <v/>
      </c>
    </row>
    <row r="135" spans="2:2" x14ac:dyDescent="0.3">
      <c r="B135" s="141" t="str">
        <f>GetComment($A$135, TRUE)</f>
        <v/>
      </c>
    </row>
    <row r="136" spans="2:2" x14ac:dyDescent="0.3">
      <c r="B136" s="141" t="str">
        <f>GetComment($A$136, TRUE)</f>
        <v/>
      </c>
    </row>
    <row r="137" spans="2:2" x14ac:dyDescent="0.3">
      <c r="B137" s="141" t="str">
        <f>GetComment($A$137, TRUE)</f>
        <v/>
      </c>
    </row>
    <row r="138" spans="2:2" x14ac:dyDescent="0.3">
      <c r="B138" s="141" t="str">
        <f>GetComment($A$138, TRUE)</f>
        <v/>
      </c>
    </row>
    <row r="139" spans="2:2" x14ac:dyDescent="0.3">
      <c r="B139" s="141" t="str">
        <f>GetComment($A$139, TRUE)</f>
        <v/>
      </c>
    </row>
    <row r="140" spans="2:2" x14ac:dyDescent="0.3">
      <c r="B140" s="141" t="str">
        <f>GetComment($A$140, TRUE)</f>
        <v/>
      </c>
    </row>
    <row r="141" spans="2:2" x14ac:dyDescent="0.3">
      <c r="B141" s="141" t="str">
        <f>GetComment($A$141, TRUE)</f>
        <v/>
      </c>
    </row>
    <row r="142" spans="2:2" x14ac:dyDescent="0.3">
      <c r="B142" s="141" t="str">
        <f>GetComment($A$142, TRUE)</f>
        <v/>
      </c>
    </row>
    <row r="143" spans="2:2" x14ac:dyDescent="0.3">
      <c r="B143" s="141" t="str">
        <f>GetComment($A$143, TRUE)</f>
        <v/>
      </c>
    </row>
    <row r="144" spans="2:2" x14ac:dyDescent="0.3">
      <c r="B144" s="141" t="str">
        <f>GetComment($A$144, TRUE)</f>
        <v/>
      </c>
    </row>
    <row r="145" spans="2:2" x14ac:dyDescent="0.3">
      <c r="B145" s="141" t="str">
        <f>GetComment($A$145, TRUE)</f>
        <v/>
      </c>
    </row>
    <row r="146" spans="2:2" x14ac:dyDescent="0.3">
      <c r="B146" s="141" t="str">
        <f>GetComment($A$146, TRUE)</f>
        <v/>
      </c>
    </row>
    <row r="147" spans="2:2" x14ac:dyDescent="0.3">
      <c r="B147" s="141" t="str">
        <f>GetComment($A$147, TRUE)</f>
        <v/>
      </c>
    </row>
    <row r="148" spans="2:2" x14ac:dyDescent="0.3">
      <c r="B148" s="141" t="str">
        <f>GetComment($A$148, TRUE)</f>
        <v/>
      </c>
    </row>
    <row r="149" spans="2:2" x14ac:dyDescent="0.3">
      <c r="B149" s="141" t="str">
        <f>GetComment($A$149, TRUE)</f>
        <v/>
      </c>
    </row>
    <row r="150" spans="2:2" x14ac:dyDescent="0.3">
      <c r="B150" s="141" t="str">
        <f>GetComment($A$150, TRUE)</f>
        <v/>
      </c>
    </row>
    <row r="151" spans="2:2" x14ac:dyDescent="0.3">
      <c r="B151" s="141" t="str">
        <f>GetComment($A$151, TRUE)</f>
        <v/>
      </c>
    </row>
    <row r="152" spans="2:2" x14ac:dyDescent="0.3">
      <c r="B152" s="141" t="str">
        <f>GetComment($A$152, TRUE)</f>
        <v/>
      </c>
    </row>
    <row r="153" spans="2:2" x14ac:dyDescent="0.3">
      <c r="B153" s="141" t="str">
        <f>GetComment($A$153, TRUE)</f>
        <v/>
      </c>
    </row>
    <row r="154" spans="2:2" x14ac:dyDescent="0.3">
      <c r="B154" s="141" t="str">
        <f>GetComment($A$154, TRUE)</f>
        <v/>
      </c>
    </row>
    <row r="155" spans="2:2" x14ac:dyDescent="0.3">
      <c r="B155" s="141" t="str">
        <f>GetComment($A$155, TRUE)</f>
        <v/>
      </c>
    </row>
    <row r="156" spans="2:2" x14ac:dyDescent="0.3">
      <c r="B156" s="141" t="str">
        <f>GetComment($A$156, TRUE)</f>
        <v/>
      </c>
    </row>
    <row r="157" spans="2:2" x14ac:dyDescent="0.3">
      <c r="B157" s="141" t="str">
        <f>GetComment($A$157, TRUE)</f>
        <v/>
      </c>
    </row>
    <row r="158" spans="2:2" x14ac:dyDescent="0.3">
      <c r="B158" s="141" t="str">
        <f>GetComment($A$158, TRUE)</f>
        <v/>
      </c>
    </row>
    <row r="159" spans="2:2" x14ac:dyDescent="0.3">
      <c r="B159" s="141" t="str">
        <f>GetComment($A$159, TRUE)</f>
        <v/>
      </c>
    </row>
    <row r="160" spans="2:2" x14ac:dyDescent="0.3">
      <c r="B160" s="141" t="str">
        <f>GetComment($A$160, TRUE)</f>
        <v/>
      </c>
    </row>
    <row r="161" spans="2:2" x14ac:dyDescent="0.3">
      <c r="B161" s="141" t="str">
        <f>GetComment($A$161, TRUE)</f>
        <v/>
      </c>
    </row>
    <row r="162" spans="2:2" x14ac:dyDescent="0.3">
      <c r="B162" s="141" t="str">
        <f>GetComment($A$162, TRUE)</f>
        <v/>
      </c>
    </row>
    <row r="163" spans="2:2" x14ac:dyDescent="0.3">
      <c r="B163" s="141" t="str">
        <f>GetComment($A$163, TRUE)</f>
        <v/>
      </c>
    </row>
    <row r="164" spans="2:2" x14ac:dyDescent="0.3">
      <c r="B164" s="141" t="str">
        <f>GetComment($A$164, TRUE)</f>
        <v/>
      </c>
    </row>
    <row r="165" spans="2:2" x14ac:dyDescent="0.3">
      <c r="B165" s="141" t="str">
        <f>GetComment($A$165, TRUE)</f>
        <v/>
      </c>
    </row>
    <row r="166" spans="2:2" x14ac:dyDescent="0.3">
      <c r="B166" s="141" t="str">
        <f>GetComment($A$166, TRUE)</f>
        <v/>
      </c>
    </row>
    <row r="167" spans="2:2" x14ac:dyDescent="0.3">
      <c r="B167" s="141" t="str">
        <f>GetComment($A$167, TRUE)</f>
        <v/>
      </c>
    </row>
    <row r="168" spans="2:2" x14ac:dyDescent="0.3">
      <c r="B168" s="141" t="str">
        <f>GetComment($A$168, TRUE)</f>
        <v/>
      </c>
    </row>
    <row r="169" spans="2:2" x14ac:dyDescent="0.3">
      <c r="B169" s="141" t="str">
        <f>GetComment($A$169, TRUE)</f>
        <v/>
      </c>
    </row>
    <row r="170" spans="2:2" x14ac:dyDescent="0.3">
      <c r="B170" s="141" t="str">
        <f>GetComment($A$170, TRUE)</f>
        <v/>
      </c>
    </row>
    <row r="171" spans="2:2" x14ac:dyDescent="0.3">
      <c r="B171" s="141" t="str">
        <f>GetComment($A$171, TRUE)</f>
        <v/>
      </c>
    </row>
    <row r="172" spans="2:2" x14ac:dyDescent="0.3">
      <c r="B172" s="141" t="str">
        <f>GetComment($A$172, TRUE)</f>
        <v/>
      </c>
    </row>
    <row r="173" spans="2:2" x14ac:dyDescent="0.3">
      <c r="B173" s="141" t="str">
        <f>GetComment($A$173, TRUE)</f>
        <v/>
      </c>
    </row>
    <row r="174" spans="2:2" x14ac:dyDescent="0.3">
      <c r="B174" s="141" t="str">
        <f>GetComment($A$174, TRUE)</f>
        <v/>
      </c>
    </row>
    <row r="175" spans="2:2" x14ac:dyDescent="0.3">
      <c r="B175" s="141" t="str">
        <f>GetComment($A$175, TRUE)</f>
        <v/>
      </c>
    </row>
    <row r="176" spans="2:2" x14ac:dyDescent="0.3">
      <c r="B176" s="141" t="str">
        <f>GetComment($A$176, TRUE)</f>
        <v/>
      </c>
    </row>
    <row r="177" spans="2:2" x14ac:dyDescent="0.3">
      <c r="B177" s="141" t="str">
        <f>GetComment($A$177, TRUE)</f>
        <v/>
      </c>
    </row>
    <row r="178" spans="2:2" x14ac:dyDescent="0.3">
      <c r="B178" s="141" t="str">
        <f>GetComment($A$178, TRUE)</f>
        <v/>
      </c>
    </row>
    <row r="179" spans="2:2" x14ac:dyDescent="0.3">
      <c r="B179" s="141" t="str">
        <f>GetComment($A$179, TRUE)</f>
        <v/>
      </c>
    </row>
    <row r="180" spans="2:2" x14ac:dyDescent="0.3">
      <c r="B180" s="141" t="str">
        <f>GetComment($A$180, TRUE)</f>
        <v/>
      </c>
    </row>
    <row r="181" spans="2:2" x14ac:dyDescent="0.3">
      <c r="B181" s="141" t="str">
        <f>GetComment($A$181, TRUE)</f>
        <v/>
      </c>
    </row>
    <row r="182" spans="2:2" x14ac:dyDescent="0.3">
      <c r="B182" s="141" t="str">
        <f>GetComment($A$182, TRUE)</f>
        <v/>
      </c>
    </row>
    <row r="183" spans="2:2" x14ac:dyDescent="0.3">
      <c r="B183" s="141" t="str">
        <f>GetComment($A$183, TRUE)</f>
        <v/>
      </c>
    </row>
    <row r="184" spans="2:2" x14ac:dyDescent="0.3">
      <c r="B184" s="141" t="str">
        <f>GetComment($A$184, TRUE)</f>
        <v/>
      </c>
    </row>
    <row r="185" spans="2:2" x14ac:dyDescent="0.3">
      <c r="B185" s="141" t="str">
        <f>GetComment($A$185, TRUE)</f>
        <v/>
      </c>
    </row>
    <row r="186" spans="2:2" x14ac:dyDescent="0.3">
      <c r="B186" s="141" t="str">
        <f>GetComment($A$186, TRUE)</f>
        <v/>
      </c>
    </row>
    <row r="187" spans="2:2" x14ac:dyDescent="0.3">
      <c r="B187" s="141" t="str">
        <f>GetComment($A$187, TRUE)</f>
        <v/>
      </c>
    </row>
    <row r="188" spans="2:2" x14ac:dyDescent="0.3">
      <c r="B188" s="141" t="str">
        <f>GetComment($A$188, TRUE)</f>
        <v/>
      </c>
    </row>
    <row r="189" spans="2:2" x14ac:dyDescent="0.3">
      <c r="B189" s="141" t="str">
        <f>GetComment($A$189, TRUE)</f>
        <v/>
      </c>
    </row>
    <row r="190" spans="2:2" x14ac:dyDescent="0.3">
      <c r="B190" s="141" t="str">
        <f>GetComment($A$190, TRUE)</f>
        <v/>
      </c>
    </row>
    <row r="191" spans="2:2" x14ac:dyDescent="0.3">
      <c r="B191" s="141" t="str">
        <f>GetComment($A$191, TRUE)</f>
        <v/>
      </c>
    </row>
    <row r="192" spans="2:2" x14ac:dyDescent="0.3">
      <c r="B192" s="141" t="str">
        <f>GetComment($A$192, TRUE)</f>
        <v/>
      </c>
    </row>
    <row r="193" spans="1:2" x14ac:dyDescent="0.3">
      <c r="B193" s="141" t="str">
        <f>GetComment($A$193, TRUE)</f>
        <v/>
      </c>
    </row>
    <row r="194" spans="1:2" x14ac:dyDescent="0.3">
      <c r="B194" s="141" t="str">
        <f>GetComment($A$194, TRUE)</f>
        <v/>
      </c>
    </row>
    <row r="195" spans="1:2" x14ac:dyDescent="0.3">
      <c r="B195" s="141" t="str">
        <f>GetComment($A$195, TRUE)</f>
        <v/>
      </c>
    </row>
    <row r="196" spans="1:2" x14ac:dyDescent="0.3">
      <c r="B196" s="141" t="str">
        <f>GetComment($A$196, TRUE)</f>
        <v/>
      </c>
    </row>
    <row r="197" spans="1:2" x14ac:dyDescent="0.3">
      <c r="B197" s="141" t="str">
        <f>GetComment($A$197, TRUE)</f>
        <v/>
      </c>
    </row>
    <row r="198" spans="1:2" x14ac:dyDescent="0.3">
      <c r="B198" s="141" t="str">
        <f>GetComment($A$198, TRUE)</f>
        <v/>
      </c>
    </row>
    <row r="199" spans="1:2" x14ac:dyDescent="0.3">
      <c r="B199" s="141" t="str">
        <f>GetComment($A$199, TRUE)</f>
        <v/>
      </c>
    </row>
    <row r="200" spans="1:2" s="144" customFormat="1" x14ac:dyDescent="0.3">
      <c r="A200" s="143"/>
      <c r="B200" s="143"/>
    </row>
  </sheetData>
  <conditionalFormatting sqref="B2:B199">
    <cfRule type="expression" dxfId="30" priority="1">
      <formula>NOT(ISERROR(SEARCH("ERR:",B2)))</formula>
    </cfRule>
    <cfRule type="expression" dxfId="29" priority="2">
      <formula>NOT(ISERROR(SEARCH("TOGET:",B2)))</formula>
    </cfRule>
    <cfRule type="expression" dxfId="28" priority="3">
      <formula>NOT(ISERROR(SEARCH("!!!",B2)))</formula>
    </cfRule>
    <cfRule type="expression" dxfId="27" priority="4">
      <formula>NOT(ISERROR(SEARCH("~?~?~?",B2)))</formula>
    </cfRule>
    <cfRule type="expression" dxfId="26" priority="5">
      <formula>NOT(ISERROR(SEARCH("TODO:",B2)))</formula>
    </cfRule>
    <cfRule type="expression" dxfId="25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>
      <selection activeCell="C2" sqref="C2"/>
    </sheetView>
  </sheetViews>
  <sheetFormatPr baseColWidth="10" defaultRowHeight="10.15" x14ac:dyDescent="0.3"/>
  <cols>
    <col min="1" max="1" width="1.83203125" customWidth="1"/>
    <col min="2" max="2" width="14.33203125" style="145" customWidth="1"/>
    <col min="3" max="3" width="127.75" bestFit="1" customWidth="1"/>
  </cols>
  <sheetData>
    <row r="2" spans="2:3" x14ac:dyDescent="0.3">
      <c r="B2" s="145" t="s">
        <v>981</v>
      </c>
      <c r="C2" t="s">
        <v>982</v>
      </c>
    </row>
    <row r="3" spans="2:3" x14ac:dyDescent="0.3">
      <c r="B3" s="146"/>
    </row>
    <row r="14" spans="2:3" x14ac:dyDescent="0.3">
      <c r="C14" s="14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9" width="3.5" customWidth="1" outlineLevel="1"/>
    <col min="10" max="10" width="3.5" customWidth="1"/>
    <col min="11" max="14" width="3.5" customWidth="1" outlineLevel="1"/>
    <col min="15" max="16" width="3.5" bestFit="1" customWidth="1" outlineLevel="1"/>
    <col min="17" max="17" width="3.5" bestFit="1" customWidth="1"/>
    <col min="18" max="24" width="3.5" bestFit="1" customWidth="1" outlineLevel="1"/>
    <col min="25" max="119" width="3.5" bestFit="1" customWidth="1"/>
  </cols>
  <sheetData>
    <row r="3" spans="2:107" s="13" customFormat="1" ht="87.75" x14ac:dyDescent="0.3">
      <c r="B3" s="157"/>
      <c r="C3" s="148" t="s">
        <v>962</v>
      </c>
      <c r="D3" s="159" t="s">
        <v>966</v>
      </c>
      <c r="E3" s="159" t="s">
        <v>967</v>
      </c>
      <c r="F3" s="159" t="s">
        <v>968</v>
      </c>
      <c r="G3" s="148" t="s">
        <v>941</v>
      </c>
      <c r="H3" s="159" t="s">
        <v>969</v>
      </c>
      <c r="I3" s="159" t="s">
        <v>970</v>
      </c>
      <c r="J3" s="148" t="s">
        <v>955</v>
      </c>
      <c r="K3" s="159" t="s">
        <v>971</v>
      </c>
      <c r="L3" s="159" t="s">
        <v>972</v>
      </c>
      <c r="M3" s="159" t="s">
        <v>973</v>
      </c>
      <c r="N3" s="159" t="s">
        <v>974</v>
      </c>
      <c r="O3" s="165" t="s">
        <v>173</v>
      </c>
      <c r="P3" s="165" t="s">
        <v>741</v>
      </c>
      <c r="Q3" s="148" t="s">
        <v>912</v>
      </c>
      <c r="R3" s="159" t="s">
        <v>975</v>
      </c>
      <c r="S3" s="159" t="s">
        <v>976</v>
      </c>
      <c r="T3" s="159" t="s">
        <v>977</v>
      </c>
      <c r="U3" s="159" t="s">
        <v>978</v>
      </c>
      <c r="V3" s="159" t="s">
        <v>979</v>
      </c>
      <c r="W3" s="159" t="s">
        <v>980</v>
      </c>
      <c r="X3" s="165" t="s">
        <v>167</v>
      </c>
      <c r="Y3" s="148" t="s">
        <v>911</v>
      </c>
      <c r="Z3" s="158"/>
      <c r="AA3" s="158"/>
      <c r="AB3" s="159"/>
      <c r="AC3" s="159"/>
      <c r="AD3" s="159"/>
      <c r="AE3" s="159"/>
      <c r="AF3" s="158"/>
      <c r="AG3" s="159"/>
      <c r="AH3" s="158"/>
      <c r="AI3" s="159"/>
      <c r="AJ3" s="158"/>
      <c r="AK3" s="159"/>
      <c r="AL3" s="159"/>
      <c r="AM3" s="158"/>
      <c r="AN3" s="158"/>
      <c r="AO3" s="158"/>
      <c r="AP3" s="159"/>
      <c r="AQ3" s="158"/>
      <c r="AR3" s="158"/>
      <c r="AS3" s="158"/>
      <c r="AT3" s="159"/>
      <c r="AU3" s="158"/>
      <c r="AV3" s="158"/>
      <c r="AW3" s="158"/>
      <c r="AX3" s="159"/>
      <c r="AY3" s="158"/>
      <c r="AZ3" s="159"/>
      <c r="BA3" s="159"/>
      <c r="BB3" s="159"/>
      <c r="BC3" s="158"/>
      <c r="BD3" s="159"/>
      <c r="BE3" s="159"/>
      <c r="BF3" s="158"/>
      <c r="BG3" s="150"/>
      <c r="BH3" s="150"/>
      <c r="BI3" s="149"/>
      <c r="BJ3" s="149"/>
      <c r="BK3" s="150"/>
      <c r="BL3" s="149"/>
      <c r="BM3" s="149"/>
      <c r="BN3" s="149"/>
      <c r="BO3" s="149"/>
      <c r="BP3" s="149"/>
      <c r="BQ3" s="149"/>
      <c r="BR3" s="149"/>
      <c r="BS3" s="149"/>
      <c r="BT3" s="149"/>
      <c r="BU3" s="150"/>
      <c r="BV3" s="149"/>
      <c r="BW3" s="149"/>
      <c r="BX3" s="149"/>
      <c r="BY3" s="149"/>
      <c r="BZ3" s="149"/>
      <c r="CA3" s="149"/>
      <c r="CB3" s="149"/>
      <c r="CC3" s="149"/>
      <c r="CD3" s="149"/>
      <c r="CE3" s="149"/>
      <c r="CF3" s="149"/>
      <c r="CG3" s="150"/>
      <c r="CH3" s="149"/>
      <c r="CI3" s="149"/>
      <c r="CJ3" s="150"/>
      <c r="CK3" s="149"/>
      <c r="CL3" s="149"/>
      <c r="CM3" s="149"/>
      <c r="CN3" s="149"/>
      <c r="CO3" s="149"/>
      <c r="CP3" s="149"/>
      <c r="CQ3" s="149"/>
      <c r="CR3" s="149"/>
      <c r="CS3" s="149"/>
      <c r="CT3" s="150"/>
      <c r="CU3" s="149"/>
      <c r="CV3" s="149"/>
      <c r="CW3" s="149"/>
      <c r="CX3" s="149"/>
      <c r="CY3" s="149"/>
      <c r="CZ3" s="150"/>
      <c r="DA3" s="149"/>
      <c r="DB3" s="150"/>
      <c r="DC3" s="150"/>
    </row>
    <row r="4" spans="2:107" x14ac:dyDescent="0.3">
      <c r="B4" s="151" t="s">
        <v>962</v>
      </c>
      <c r="C4" s="152"/>
      <c r="D4" s="161" t="str">
        <f>LinkSheets("&lt;=", Intro!A1, '&gt; comments &lt;'!A1)</f>
        <v>&lt;=</v>
      </c>
      <c r="E4" s="161" t="str">
        <f>LinkSheets("&lt;=", Intro!A1, Versions!A1)</f>
        <v>&lt;=</v>
      </c>
      <c r="F4" s="161" t="str">
        <f>LinkSheets("&lt;=", Intro!A1, 'Worksheets matrix'!A1)</f>
        <v>&lt;=</v>
      </c>
      <c r="G4" s="161" t="str">
        <f>LinkSheets("&lt;=", Intro!A1, 'Sprite Shifting'!A1)</f>
        <v>&lt;=</v>
      </c>
      <c r="H4" s="161"/>
      <c r="I4" s="161"/>
      <c r="J4" s="161" t="str">
        <f>LinkSheets("&lt;=", Intro!A1, 'Pixel Shifting'!A1)</f>
        <v>&lt;=</v>
      </c>
      <c r="K4" s="161"/>
      <c r="L4" s="161"/>
      <c r="M4" s="161"/>
      <c r="N4" s="161"/>
      <c r="O4" s="161"/>
      <c r="P4" s="161"/>
      <c r="Q4" s="161" t="str">
        <f>LinkSheets("&lt;=", Intro!A1, Sprites!A1)</f>
        <v>&lt;=</v>
      </c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</row>
    <row r="5" spans="2:107" outlineLevel="1" x14ac:dyDescent="0.3">
      <c r="B5" s="162" t="s">
        <v>966</v>
      </c>
      <c r="C5" s="161" t="str">
        <f>LinkSheets("=&gt;", Intro!A1, '&gt; comments &lt;'!A1)</f>
        <v>=&gt;</v>
      </c>
      <c r="D5" s="154"/>
      <c r="E5" s="163"/>
      <c r="F5" s="161" t="str">
        <f>LinkSheets("=&gt;", 'Worksheets matrix'!A1, '&gt; comments &lt;'!A1)</f>
        <v>=&gt;</v>
      </c>
      <c r="G5" s="161"/>
      <c r="H5" s="161" t="str">
        <f>LinkSheets("&lt;=", '&gt; comments &lt;'!A1, 'Sprite Shifter'!A1)</f>
        <v>&lt;=</v>
      </c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</row>
    <row r="6" spans="2:107" outlineLevel="1" x14ac:dyDescent="0.3">
      <c r="B6" s="162" t="s">
        <v>967</v>
      </c>
      <c r="C6" s="161" t="str">
        <f>LinkSheets("=&gt;", Intro!A1, Versions!A1)</f>
        <v>=&gt;</v>
      </c>
      <c r="D6" s="161"/>
      <c r="E6" s="154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</row>
    <row r="7" spans="2:107" outlineLevel="1" x14ac:dyDescent="0.3">
      <c r="B7" s="162" t="s">
        <v>968</v>
      </c>
      <c r="C7" s="161" t="str">
        <f>LinkSheets("=&gt;", Intro!A1, 'Worksheets matrix'!A1)</f>
        <v>=&gt;</v>
      </c>
      <c r="D7" s="163" t="str">
        <f>LinkSheets("&lt;=", 'Worksheets matrix'!A1, '&gt; comments &lt;'!A1)</f>
        <v>&lt;=</v>
      </c>
      <c r="E7" s="163"/>
      <c r="F7" s="154" t="str">
        <f>LinkSheets("&lt;=&gt;", 'Worksheets matrix'!A1, 'Worksheets matrix'!A1)</f>
        <v>&lt;=&gt;</v>
      </c>
      <c r="G7" s="161" t="str">
        <f>LinkSheets("&lt;=", 'Worksheets matrix'!A1, 'Sprite Shifting'!A1)</f>
        <v>&lt;=</v>
      </c>
      <c r="H7" s="161" t="str">
        <f>LinkSheets("&lt;=", 'Worksheets matrix'!A1, 'Sprite Shifter'!A1)</f>
        <v>&lt;=</v>
      </c>
      <c r="I7" s="161"/>
      <c r="J7" s="161" t="str">
        <f>LinkSheets("&lt;=", 'Worksheets matrix'!A1, 'Pixel Shifting'!A1)</f>
        <v>&lt;=</v>
      </c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3"/>
      <c r="AW7" s="163"/>
      <c r="AX7" s="161"/>
      <c r="AY7" s="161"/>
      <c r="AZ7" s="161"/>
      <c r="BA7" s="161"/>
      <c r="BB7" s="161"/>
      <c r="BC7" s="161"/>
      <c r="BD7" s="161"/>
      <c r="BE7" s="161"/>
      <c r="BF7" s="161"/>
      <c r="BM7" s="155"/>
    </row>
    <row r="8" spans="2:107" x14ac:dyDescent="0.3">
      <c r="B8" s="151" t="s">
        <v>941</v>
      </c>
      <c r="C8" s="161" t="str">
        <f>LinkSheets("=&gt;", Intro!A1, 'Sprite Shifting'!A1)</f>
        <v>=&gt;</v>
      </c>
      <c r="D8" s="161"/>
      <c r="E8" s="161"/>
      <c r="F8" s="161" t="str">
        <f>LinkSheets("=&gt;", 'Worksheets matrix'!A1, 'Sprite Shifting'!A1)</f>
        <v>=&gt;</v>
      </c>
      <c r="G8" s="152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</row>
    <row r="9" spans="2:107" outlineLevel="1" x14ac:dyDescent="0.3">
      <c r="B9" s="162" t="s">
        <v>969</v>
      </c>
      <c r="C9" s="161"/>
      <c r="D9" s="161" t="str">
        <f>LinkSheets("=&gt;", '&gt; comments &lt;'!A1, 'Sprite Shifter'!A1)</f>
        <v>=&gt;</v>
      </c>
      <c r="E9" s="161"/>
      <c r="F9" s="161" t="str">
        <f>LinkSheets("=&gt;", 'Worksheets matrix'!A1, 'Sprite Shifter'!A1)</f>
        <v>=&gt;</v>
      </c>
      <c r="G9" s="161"/>
      <c r="H9" s="154"/>
      <c r="I9" s="161" t="str">
        <f>LinkSheets("&lt;=", 'Sprite Shifter'!A1, 'Sprite (load)'!A1)</f>
        <v>&lt;=</v>
      </c>
      <c r="J9" s="161"/>
      <c r="K9" s="161"/>
      <c r="L9" s="161"/>
      <c r="M9" s="161"/>
      <c r="N9" s="161"/>
      <c r="O9" s="161" t="str">
        <f>LinkSheets("&lt;=", 'Sprite Shifter'!A1, pixel_pattern_table.asm!A1)</f>
        <v>&lt;=</v>
      </c>
      <c r="P9" s="161" t="str">
        <f>LinkSheets("&lt;=", 'Sprite Shifter'!A1, pixel_shift_table.asm!A1)</f>
        <v>&lt;=</v>
      </c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</row>
    <row r="10" spans="2:107" outlineLevel="1" x14ac:dyDescent="0.3">
      <c r="B10" s="162" t="s">
        <v>970</v>
      </c>
      <c r="C10" s="161"/>
      <c r="D10" s="161"/>
      <c r="E10" s="161"/>
      <c r="F10" s="161"/>
      <c r="G10" s="161"/>
      <c r="H10" s="163" t="str">
        <f>LinkSheets("=&gt;", 'Sprite Shifter'!A1, 'Sprite (load)'!A1)</f>
        <v>=&gt;</v>
      </c>
      <c r="I10" s="154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  <c r="AM10" s="161"/>
      <c r="AN10" s="161"/>
      <c r="AO10" s="161"/>
      <c r="AP10" s="161"/>
      <c r="AQ10" s="161"/>
      <c r="AR10" s="161"/>
      <c r="AS10" s="161"/>
      <c r="AT10" s="161"/>
      <c r="AU10" s="161"/>
      <c r="AV10" s="161"/>
      <c r="AW10" s="161"/>
      <c r="AX10" s="161"/>
      <c r="AY10" s="161"/>
      <c r="AZ10" s="161"/>
      <c r="BA10" s="161"/>
      <c r="BB10" s="161"/>
      <c r="BC10" s="161"/>
      <c r="BD10" s="161"/>
      <c r="BE10" s="161"/>
      <c r="BF10" s="161"/>
    </row>
    <row r="11" spans="2:107" x14ac:dyDescent="0.3">
      <c r="B11" s="151" t="s">
        <v>955</v>
      </c>
      <c r="C11" s="161" t="str">
        <f>LinkSheets("=&gt;", Intro!A1, 'Pixel Shifting'!A1)</f>
        <v>=&gt;</v>
      </c>
      <c r="D11" s="161"/>
      <c r="E11" s="161"/>
      <c r="F11" s="161" t="str">
        <f>LinkSheets("=&gt;", 'Worksheets matrix'!A1, 'Pixel Shifting'!A1)</f>
        <v>=&gt;</v>
      </c>
      <c r="G11" s="161"/>
      <c r="H11" s="163"/>
      <c r="I11" s="163"/>
      <c r="J11" s="152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1"/>
      <c r="AM11" s="161"/>
      <c r="AN11" s="161"/>
      <c r="AO11" s="161"/>
      <c r="AP11" s="161"/>
      <c r="AQ11" s="161"/>
      <c r="AR11" s="161"/>
      <c r="AS11" s="161"/>
      <c r="AT11" s="161"/>
      <c r="AU11" s="161"/>
      <c r="AV11" s="161"/>
      <c r="AW11" s="161"/>
      <c r="AX11" s="161"/>
      <c r="AY11" s="161"/>
      <c r="AZ11" s="161"/>
      <c r="BA11" s="161"/>
      <c r="BB11" s="161"/>
      <c r="BC11" s="161"/>
      <c r="BD11" s="161"/>
      <c r="BE11" s="161"/>
      <c r="BF11" s="161"/>
    </row>
    <row r="12" spans="2:107" outlineLevel="1" x14ac:dyDescent="0.3">
      <c r="B12" s="162" t="s">
        <v>971</v>
      </c>
      <c r="C12" s="161"/>
      <c r="D12" s="163"/>
      <c r="E12" s="163"/>
      <c r="F12" s="161"/>
      <c r="G12" s="161"/>
      <c r="H12" s="163"/>
      <c r="I12" s="163"/>
      <c r="J12" s="163"/>
      <c r="K12" s="154"/>
      <c r="L12" s="161"/>
      <c r="M12" s="161"/>
      <c r="N12" s="161"/>
      <c r="O12" s="161" t="str">
        <f>LinkSheets("&lt;=", 'Pixel Shifter'!A1, pixel_pattern_table.asm!A1)</f>
        <v>&lt;=</v>
      </c>
      <c r="P12" s="161" t="str">
        <f>LinkSheets("&lt;=", 'Pixel Shifter'!A1, pixel_shift_table.asm!A1)</f>
        <v>&lt;=</v>
      </c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  <c r="AS12" s="161"/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  <c r="BD12" s="161"/>
      <c r="BE12" s="161"/>
      <c r="BF12" s="161"/>
    </row>
    <row r="13" spans="2:107" outlineLevel="1" x14ac:dyDescent="0.3">
      <c r="B13" s="162" t="s">
        <v>972</v>
      </c>
      <c r="C13" s="161"/>
      <c r="D13" s="161"/>
      <c r="E13" s="161"/>
      <c r="F13" s="161"/>
      <c r="G13" s="161"/>
      <c r="H13" s="163"/>
      <c r="I13" s="163"/>
      <c r="J13" s="163"/>
      <c r="K13" s="161"/>
      <c r="L13" s="154"/>
      <c r="M13" s="161"/>
      <c r="N13" s="161"/>
      <c r="O13" s="161" t="str">
        <f>LinkSheets("&lt;=", 'Pixel Shift Pattern Table'!A1, pixel_pattern_table.asm!A1)</f>
        <v>&lt;=</v>
      </c>
      <c r="P13" s="161" t="str">
        <f>LinkSheets("&lt;=", 'Pixel Shift Pattern Table'!A1, pixel_shift_table.asm!A1)</f>
        <v>&lt;=</v>
      </c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  <c r="AN13" s="161"/>
      <c r="AO13" s="161"/>
      <c r="AP13" s="161"/>
      <c r="AQ13" s="161"/>
      <c r="AR13" s="161"/>
      <c r="AS13" s="161"/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  <c r="BD13" s="161"/>
      <c r="BE13" s="161"/>
      <c r="BF13" s="161"/>
    </row>
    <row r="14" spans="2:107" outlineLevel="1" x14ac:dyDescent="0.3">
      <c r="B14" s="162" t="s">
        <v>973</v>
      </c>
      <c r="C14" s="161"/>
      <c r="D14" s="161"/>
      <c r="E14" s="161"/>
      <c r="F14" s="161"/>
      <c r="G14" s="161"/>
      <c r="H14" s="163"/>
      <c r="I14" s="163"/>
      <c r="J14" s="163"/>
      <c r="K14" s="163"/>
      <c r="L14" s="161"/>
      <c r="M14" s="154"/>
      <c r="N14" s="161"/>
      <c r="O14" s="161"/>
      <c r="P14" s="161" t="str">
        <f>LinkSheets("&lt;=", 'Pixel Shift Table'!A1, pixel_shift_table.asm!A1)</f>
        <v>&lt;=</v>
      </c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  <c r="AN14" s="161"/>
      <c r="AO14" s="161"/>
      <c r="AP14" s="161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</row>
    <row r="15" spans="2:107" outlineLevel="1" x14ac:dyDescent="0.3">
      <c r="B15" s="162" t="s">
        <v>974</v>
      </c>
      <c r="C15" s="161"/>
      <c r="D15" s="163"/>
      <c r="E15" s="163"/>
      <c r="F15" s="161"/>
      <c r="G15" s="161"/>
      <c r="H15" s="161"/>
      <c r="I15" s="161"/>
      <c r="J15" s="161"/>
      <c r="K15" s="161"/>
      <c r="L15" s="161"/>
      <c r="M15" s="163"/>
      <c r="N15" s="154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161"/>
      <c r="AG15" s="161"/>
      <c r="AH15" s="161"/>
      <c r="AI15" s="161"/>
      <c r="AJ15" s="161"/>
      <c r="AK15" s="161"/>
      <c r="AL15" s="161"/>
      <c r="AM15" s="161"/>
      <c r="AN15" s="161"/>
      <c r="AO15" s="161"/>
      <c r="AP15" s="161"/>
      <c r="AQ15" s="161"/>
      <c r="AR15" s="161"/>
      <c r="AS15" s="161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  <c r="BD15" s="161"/>
      <c r="BE15" s="161"/>
      <c r="BF15" s="161"/>
    </row>
    <row r="16" spans="2:107" outlineLevel="1" x14ac:dyDescent="0.3">
      <c r="B16" s="164" t="s">
        <v>173</v>
      </c>
      <c r="C16" s="161"/>
      <c r="D16" s="161"/>
      <c r="E16" s="161"/>
      <c r="F16" s="161"/>
      <c r="G16" s="161"/>
      <c r="H16" s="161" t="str">
        <f>LinkSheets("=&gt;", 'Sprite Shifter'!A1, pixel_pattern_table.asm!A1)</f>
        <v>=&gt;</v>
      </c>
      <c r="I16" s="161"/>
      <c r="J16" s="161"/>
      <c r="K16" s="163" t="str">
        <f>LinkSheets("=&gt;", 'Pixel Shifter'!A1, pixel_pattern_table.asm!A1)</f>
        <v>=&gt;</v>
      </c>
      <c r="L16" s="161" t="str">
        <f>LinkSheets("=&gt;", 'Pixel Shift Pattern Table'!A1, pixel_pattern_table.asm!A1)</f>
        <v>=&gt;</v>
      </c>
      <c r="M16" s="161"/>
      <c r="N16" s="161"/>
      <c r="O16" s="166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  <c r="AM16" s="161"/>
      <c r="AN16" s="161"/>
      <c r="AO16" s="161"/>
      <c r="AP16" s="161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</row>
    <row r="17" spans="2:58" outlineLevel="1" x14ac:dyDescent="0.3">
      <c r="B17" s="164" t="s">
        <v>741</v>
      </c>
      <c r="C17" s="161"/>
      <c r="D17" s="161"/>
      <c r="E17" s="161"/>
      <c r="F17" s="161"/>
      <c r="G17" s="161"/>
      <c r="H17" s="161" t="str">
        <f>LinkSheets("=&gt;", 'Sprite Shifter'!A1, pixel_shift_table.asm!A1)</f>
        <v>=&gt;</v>
      </c>
      <c r="I17" s="161"/>
      <c r="J17" s="161"/>
      <c r="K17" s="161" t="str">
        <f>LinkSheets("=&gt;", 'Pixel Shifter'!A1, pixel_shift_table.asm!A1)</f>
        <v>=&gt;</v>
      </c>
      <c r="L17" s="161" t="str">
        <f>LinkSheets("=&gt;", 'Pixel Shift Pattern Table'!A1, pixel_shift_table.asm!A1)</f>
        <v>=&gt;</v>
      </c>
      <c r="M17" s="161" t="str">
        <f>LinkSheets("=&gt;", 'Pixel Shift Table'!A1, pixel_shift_table.asm!A1)</f>
        <v>=&gt;</v>
      </c>
      <c r="N17" s="161"/>
      <c r="O17" s="161"/>
      <c r="P17" s="166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  <c r="AN17" s="161"/>
      <c r="AO17" s="161"/>
      <c r="AP17" s="161"/>
      <c r="AQ17" s="161"/>
      <c r="AR17" s="161"/>
      <c r="AS17" s="161"/>
      <c r="AT17" s="161"/>
      <c r="AU17" s="161"/>
      <c r="AV17" s="161"/>
      <c r="AW17" s="161"/>
      <c r="AX17" s="161"/>
      <c r="AY17" s="161"/>
      <c r="AZ17" s="161"/>
      <c r="BA17" s="161"/>
      <c r="BB17" s="161"/>
      <c r="BC17" s="161"/>
      <c r="BD17" s="161"/>
      <c r="BE17" s="161"/>
      <c r="BF17" s="161"/>
    </row>
    <row r="18" spans="2:58" x14ac:dyDescent="0.3">
      <c r="B18" s="151" t="s">
        <v>912</v>
      </c>
      <c r="C18" s="161" t="str">
        <f>LinkSheets("=&gt;", Intro!A1, Sprites!A1)</f>
        <v>=&gt;</v>
      </c>
      <c r="D18" s="161"/>
      <c r="E18" s="161"/>
      <c r="F18" s="161"/>
      <c r="G18" s="161"/>
      <c r="H18" s="161"/>
      <c r="I18" s="161"/>
      <c r="J18" s="161"/>
      <c r="K18" s="161"/>
      <c r="L18" s="163"/>
      <c r="M18" s="161"/>
      <c r="N18" s="161"/>
      <c r="O18" s="161"/>
      <c r="P18" s="161"/>
      <c r="Q18" s="152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  <c r="AM18" s="161"/>
      <c r="AN18" s="161"/>
      <c r="AO18" s="161"/>
      <c r="AP18" s="161"/>
      <c r="AQ18" s="161"/>
      <c r="AR18" s="161"/>
      <c r="AS18" s="161"/>
      <c r="AT18" s="161"/>
      <c r="AU18" s="161"/>
      <c r="AV18" s="161"/>
      <c r="AW18" s="161"/>
      <c r="AX18" s="161"/>
      <c r="AY18" s="161"/>
      <c r="AZ18" s="161"/>
      <c r="BA18" s="161"/>
      <c r="BB18" s="161"/>
      <c r="BC18" s="161"/>
      <c r="BD18" s="161"/>
      <c r="BE18" s="161"/>
      <c r="BF18" s="161"/>
    </row>
    <row r="19" spans="2:58" outlineLevel="1" x14ac:dyDescent="0.3">
      <c r="B19" s="162" t="s">
        <v>975</v>
      </c>
      <c r="C19" s="161"/>
      <c r="D19" s="161"/>
      <c r="E19" s="161"/>
      <c r="F19" s="161"/>
      <c r="G19" s="161"/>
      <c r="H19" s="161"/>
      <c r="I19" s="163"/>
      <c r="J19" s="161"/>
      <c r="K19" s="161"/>
      <c r="L19" s="161"/>
      <c r="M19" s="161"/>
      <c r="N19" s="161"/>
      <c r="O19" s="161"/>
      <c r="P19" s="161"/>
      <c r="Q19" s="161"/>
      <c r="R19" s="154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/>
      <c r="AM19" s="161"/>
      <c r="AN19" s="161"/>
      <c r="AO19" s="161"/>
      <c r="AP19" s="163"/>
      <c r="AQ19" s="161"/>
      <c r="AR19" s="161"/>
      <c r="AS19" s="161"/>
      <c r="AT19" s="161"/>
      <c r="AU19" s="161"/>
      <c r="AV19" s="161"/>
      <c r="AW19" s="161"/>
      <c r="AX19" s="161"/>
      <c r="AY19" s="161"/>
      <c r="AZ19" s="161"/>
      <c r="BA19" s="161"/>
      <c r="BB19" s="161"/>
      <c r="BC19" s="161"/>
      <c r="BD19" s="161"/>
      <c r="BE19" s="161"/>
      <c r="BF19" s="161"/>
    </row>
    <row r="20" spans="2:58" outlineLevel="1" x14ac:dyDescent="0.3">
      <c r="B20" s="162" t="s">
        <v>976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54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61"/>
      <c r="AP20" s="161"/>
      <c r="AQ20" s="161"/>
      <c r="AR20" s="161"/>
      <c r="AS20" s="161"/>
      <c r="AT20" s="161"/>
      <c r="AU20" s="161"/>
      <c r="AV20" s="161"/>
      <c r="AW20" s="161"/>
      <c r="AX20" s="161"/>
      <c r="AY20" s="161"/>
      <c r="AZ20" s="161"/>
      <c r="BA20" s="161"/>
      <c r="BB20" s="161"/>
      <c r="BC20" s="161"/>
      <c r="BD20" s="161"/>
      <c r="BE20" s="161"/>
      <c r="BF20" s="161"/>
    </row>
    <row r="21" spans="2:58" outlineLevel="1" x14ac:dyDescent="0.3">
      <c r="B21" s="162" t="s">
        <v>977</v>
      </c>
      <c r="C21" s="161"/>
      <c r="D21" s="161"/>
      <c r="E21" s="161"/>
      <c r="F21" s="161"/>
      <c r="G21" s="161"/>
      <c r="H21" s="161"/>
      <c r="I21" s="163"/>
      <c r="J21" s="163"/>
      <c r="K21" s="163"/>
      <c r="L21" s="163"/>
      <c r="M21" s="161"/>
      <c r="N21" s="161"/>
      <c r="O21" s="161"/>
      <c r="P21" s="161"/>
      <c r="Q21" s="161"/>
      <c r="R21" s="161"/>
      <c r="S21" s="161"/>
      <c r="T21" s="154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161"/>
      <c r="AM21" s="161"/>
      <c r="AN21" s="161"/>
      <c r="AO21" s="161"/>
      <c r="AP21" s="161"/>
      <c r="AQ21" s="161"/>
      <c r="AR21" s="161"/>
      <c r="AS21" s="161"/>
      <c r="AT21" s="161"/>
      <c r="AU21" s="161"/>
      <c r="AV21" s="161"/>
      <c r="AW21" s="161"/>
      <c r="AX21" s="161"/>
      <c r="AY21" s="161"/>
      <c r="AZ21" s="161"/>
      <c r="BA21" s="161"/>
      <c r="BB21" s="161"/>
      <c r="BC21" s="161"/>
      <c r="BD21" s="161"/>
      <c r="BE21" s="161"/>
      <c r="BF21" s="161"/>
    </row>
    <row r="22" spans="2:58" outlineLevel="1" x14ac:dyDescent="0.3">
      <c r="B22" s="162" t="s">
        <v>978</v>
      </c>
      <c r="C22" s="161"/>
      <c r="D22" s="163"/>
      <c r="E22" s="163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3"/>
      <c r="U22" s="154"/>
      <c r="V22" s="161"/>
      <c r="W22" s="161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  <c r="AN22" s="161"/>
      <c r="AO22" s="161"/>
      <c r="AP22" s="161"/>
      <c r="AQ22" s="161"/>
      <c r="AR22" s="161"/>
      <c r="AS22" s="161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1"/>
      <c r="BF22" s="161"/>
    </row>
    <row r="23" spans="2:58" outlineLevel="1" x14ac:dyDescent="0.3">
      <c r="B23" s="162" t="s">
        <v>979</v>
      </c>
      <c r="C23" s="161"/>
      <c r="D23" s="163"/>
      <c r="E23" s="163"/>
      <c r="F23" s="161"/>
      <c r="G23" s="161"/>
      <c r="H23" s="161"/>
      <c r="I23" s="161"/>
      <c r="J23" s="161"/>
      <c r="K23" s="161"/>
      <c r="L23" s="161"/>
      <c r="M23" s="161"/>
      <c r="N23" s="161"/>
      <c r="O23" s="161"/>
      <c r="P23" s="161"/>
      <c r="Q23" s="161"/>
      <c r="R23" s="161"/>
      <c r="S23" s="161"/>
      <c r="T23" s="161"/>
      <c r="U23" s="163"/>
      <c r="V23" s="154"/>
      <c r="W23" s="161"/>
      <c r="X23" s="161"/>
      <c r="Y23" s="163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161"/>
      <c r="AM23" s="161"/>
      <c r="AN23" s="161"/>
      <c r="AO23" s="161"/>
      <c r="AP23" s="161"/>
      <c r="AQ23" s="161"/>
      <c r="AR23" s="161"/>
      <c r="AS23" s="161"/>
      <c r="AT23" s="161"/>
      <c r="AU23" s="161"/>
      <c r="AV23" s="161"/>
      <c r="AW23" s="161"/>
      <c r="AX23" s="161"/>
      <c r="AY23" s="161"/>
      <c r="AZ23" s="161"/>
      <c r="BA23" s="161"/>
      <c r="BB23" s="161"/>
      <c r="BC23" s="161"/>
      <c r="BD23" s="161"/>
      <c r="BE23" s="161"/>
      <c r="BF23" s="161"/>
    </row>
    <row r="24" spans="2:58" outlineLevel="1" x14ac:dyDescent="0.3">
      <c r="B24" s="162" t="s">
        <v>980</v>
      </c>
      <c r="C24" s="161"/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3"/>
      <c r="W24" s="154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  <c r="BD24" s="161"/>
      <c r="BE24" s="161"/>
      <c r="BF24" s="161"/>
    </row>
    <row r="25" spans="2:58" outlineLevel="1" x14ac:dyDescent="0.3">
      <c r="B25" s="164" t="s">
        <v>167</v>
      </c>
      <c r="C25" s="161"/>
      <c r="D25" s="163"/>
      <c r="E25" s="163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/>
      <c r="R25" s="161"/>
      <c r="S25" s="161"/>
      <c r="T25" s="163"/>
      <c r="U25" s="161"/>
      <c r="V25" s="161"/>
      <c r="W25" s="161"/>
      <c r="X25" s="166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  <c r="BD25" s="161"/>
      <c r="BE25" s="161"/>
      <c r="BF25" s="161"/>
    </row>
    <row r="26" spans="2:58" x14ac:dyDescent="0.3">
      <c r="B26" s="151" t="s">
        <v>911</v>
      </c>
      <c r="C26" s="161"/>
      <c r="D26" s="163"/>
      <c r="E26" s="163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3"/>
      <c r="Y26" s="152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  <c r="AM26" s="161"/>
      <c r="AN26" s="161"/>
      <c r="AO26" s="161"/>
      <c r="AP26" s="161"/>
      <c r="AQ26" s="161"/>
      <c r="AR26" s="161"/>
      <c r="AS26" s="161"/>
      <c r="AT26" s="161"/>
      <c r="AU26" s="161"/>
      <c r="AV26" s="161"/>
      <c r="AW26" s="161"/>
      <c r="AX26" s="161"/>
      <c r="AY26" s="161"/>
      <c r="AZ26" s="161"/>
      <c r="BA26" s="161"/>
      <c r="BB26" s="161"/>
      <c r="BC26" s="161"/>
      <c r="BD26" s="161"/>
      <c r="BE26" s="161"/>
      <c r="BF26" s="161"/>
    </row>
    <row r="27" spans="2:58" x14ac:dyDescent="0.3">
      <c r="B27" s="160"/>
      <c r="C27" s="161"/>
      <c r="D27" s="163"/>
      <c r="E27" s="163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3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/>
      <c r="AM27" s="161"/>
      <c r="AN27" s="161"/>
      <c r="AO27" s="161"/>
      <c r="AP27" s="161"/>
      <c r="AQ27" s="161"/>
      <c r="AR27" s="161"/>
      <c r="AS27" s="161"/>
      <c r="AT27" s="161"/>
      <c r="AU27" s="161"/>
      <c r="AV27" s="161"/>
      <c r="AW27" s="161"/>
      <c r="AX27" s="161"/>
      <c r="AY27" s="161"/>
      <c r="AZ27" s="161"/>
      <c r="BA27" s="161"/>
      <c r="BB27" s="161"/>
      <c r="BC27" s="161"/>
      <c r="BD27" s="161"/>
      <c r="BE27" s="161"/>
      <c r="BF27" s="161"/>
    </row>
    <row r="28" spans="2:58" x14ac:dyDescent="0.3">
      <c r="B28" s="160"/>
      <c r="C28" s="161"/>
      <c r="D28" s="163"/>
      <c r="E28" s="163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3"/>
      <c r="W28" s="161"/>
      <c r="X28" s="163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AZ28" s="161"/>
      <c r="BA28" s="161"/>
      <c r="BB28" s="161"/>
      <c r="BC28" s="161"/>
      <c r="BD28" s="161"/>
      <c r="BE28" s="161"/>
      <c r="BF28" s="161"/>
    </row>
    <row r="29" spans="2:58" x14ac:dyDescent="0.3">
      <c r="B29" s="162"/>
      <c r="C29" s="161"/>
      <c r="D29" s="163"/>
      <c r="E29" s="163"/>
      <c r="F29" s="161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3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  <c r="BD29" s="161"/>
      <c r="BE29" s="161"/>
      <c r="BF29" s="161"/>
    </row>
    <row r="30" spans="2:58" x14ac:dyDescent="0.3">
      <c r="B30" s="162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3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  <c r="BD30" s="161"/>
      <c r="BE30" s="161"/>
      <c r="BF30" s="161"/>
    </row>
    <row r="31" spans="2:58" x14ac:dyDescent="0.3">
      <c r="B31" s="162"/>
      <c r="C31" s="161"/>
      <c r="D31" s="161"/>
      <c r="E31" s="161"/>
      <c r="F31" s="161"/>
      <c r="G31" s="161"/>
      <c r="H31" s="161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3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  <c r="BD31" s="161"/>
      <c r="BE31" s="161"/>
      <c r="BF31" s="161"/>
    </row>
    <row r="32" spans="2:58" x14ac:dyDescent="0.3">
      <c r="B32" s="162"/>
      <c r="C32" s="161"/>
      <c r="D32" s="161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161"/>
      <c r="AT32" s="161"/>
      <c r="AU32" s="161"/>
      <c r="AV32" s="161"/>
      <c r="AW32" s="161"/>
      <c r="AX32" s="161"/>
      <c r="AY32" s="161"/>
      <c r="AZ32" s="161"/>
      <c r="BA32" s="161"/>
      <c r="BB32" s="161"/>
      <c r="BC32" s="161"/>
      <c r="BD32" s="161"/>
      <c r="BE32" s="161"/>
      <c r="BF32" s="161"/>
    </row>
    <row r="33" spans="2:65" x14ac:dyDescent="0.3">
      <c r="B33" s="160"/>
      <c r="C33" s="161"/>
      <c r="D33" s="161"/>
      <c r="E33" s="161"/>
      <c r="F33" s="161"/>
      <c r="G33" s="161"/>
      <c r="H33" s="161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161"/>
      <c r="AT33" s="161"/>
      <c r="AU33" s="161"/>
      <c r="AV33" s="161"/>
      <c r="AW33" s="161"/>
      <c r="AX33" s="161"/>
      <c r="AY33" s="161"/>
      <c r="AZ33" s="161"/>
      <c r="BA33" s="161"/>
      <c r="BB33" s="161"/>
      <c r="BC33" s="161"/>
      <c r="BD33" s="161"/>
      <c r="BE33" s="161"/>
      <c r="BF33" s="161"/>
    </row>
    <row r="34" spans="2:65" x14ac:dyDescent="0.3">
      <c r="B34" s="162"/>
      <c r="C34" s="161"/>
      <c r="D34" s="161"/>
      <c r="E34" s="161"/>
      <c r="F34" s="161"/>
      <c r="G34" s="161"/>
      <c r="H34" s="161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161"/>
      <c r="AT34" s="161"/>
      <c r="AU34" s="161"/>
      <c r="AV34" s="161"/>
      <c r="AW34" s="161"/>
      <c r="AX34" s="161"/>
      <c r="AY34" s="161"/>
      <c r="AZ34" s="161"/>
      <c r="BA34" s="161"/>
      <c r="BB34" s="161"/>
      <c r="BC34" s="161"/>
      <c r="BD34" s="161"/>
      <c r="BE34" s="161"/>
      <c r="BF34" s="161"/>
    </row>
    <row r="35" spans="2:65" x14ac:dyDescent="0.3">
      <c r="B35" s="160"/>
      <c r="C35" s="161"/>
      <c r="D35" s="161"/>
      <c r="E35" s="161"/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161"/>
      <c r="AT35" s="161"/>
      <c r="AU35" s="161"/>
      <c r="AV35" s="161"/>
      <c r="AW35" s="161"/>
      <c r="AX35" s="161"/>
      <c r="AY35" s="161"/>
      <c r="AZ35" s="161"/>
      <c r="BA35" s="161"/>
      <c r="BB35" s="161"/>
      <c r="BC35" s="161"/>
      <c r="BD35" s="161"/>
      <c r="BE35" s="161"/>
      <c r="BF35" s="161"/>
    </row>
    <row r="36" spans="2:65" x14ac:dyDescent="0.3">
      <c r="B36" s="162"/>
      <c r="C36" s="161"/>
      <c r="D36" s="161"/>
      <c r="E36" s="161"/>
      <c r="F36" s="161"/>
      <c r="G36" s="161"/>
      <c r="H36" s="161"/>
      <c r="I36" s="161"/>
      <c r="J36" s="161"/>
      <c r="K36" s="161"/>
      <c r="L36" s="161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161"/>
      <c r="AQ36" s="161"/>
      <c r="AR36" s="161"/>
      <c r="AS36" s="161"/>
      <c r="AT36" s="161"/>
      <c r="AU36" s="161"/>
      <c r="AV36" s="161"/>
      <c r="AW36" s="161"/>
      <c r="AX36" s="161"/>
      <c r="AY36" s="161"/>
      <c r="AZ36" s="161"/>
      <c r="BA36" s="161"/>
      <c r="BB36" s="161"/>
      <c r="BC36" s="161"/>
      <c r="BD36" s="161"/>
      <c r="BE36" s="161"/>
      <c r="BF36" s="161"/>
    </row>
    <row r="37" spans="2:65" x14ac:dyDescent="0.3">
      <c r="B37" s="160"/>
      <c r="C37" s="161"/>
      <c r="D37" s="161"/>
      <c r="E37" s="161"/>
      <c r="F37" s="161"/>
      <c r="G37" s="161"/>
      <c r="H37" s="161"/>
      <c r="I37" s="161"/>
      <c r="J37" s="161"/>
      <c r="K37" s="161"/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161"/>
      <c r="AQ37" s="161"/>
      <c r="AR37" s="161"/>
      <c r="AS37" s="161"/>
      <c r="AT37" s="161"/>
      <c r="AU37" s="161"/>
      <c r="AV37" s="161"/>
      <c r="AW37" s="161"/>
      <c r="AX37" s="161"/>
      <c r="AY37" s="161"/>
      <c r="AZ37" s="161"/>
      <c r="BA37" s="161"/>
      <c r="BB37" s="161"/>
      <c r="BC37" s="161"/>
      <c r="BD37" s="161"/>
      <c r="BE37" s="161"/>
      <c r="BF37" s="161"/>
    </row>
    <row r="38" spans="2:65" x14ac:dyDescent="0.3">
      <c r="B38" s="162"/>
      <c r="C38" s="161"/>
      <c r="D38" s="163"/>
      <c r="E38" s="163"/>
      <c r="F38" s="161"/>
      <c r="G38" s="161"/>
      <c r="H38" s="161"/>
      <c r="I38" s="161"/>
      <c r="J38" s="161"/>
      <c r="K38" s="161"/>
      <c r="L38" s="161"/>
      <c r="M38" s="161"/>
      <c r="N38" s="161"/>
      <c r="O38" s="161"/>
      <c r="P38" s="161"/>
      <c r="Q38" s="161"/>
      <c r="R38" s="161"/>
      <c r="S38" s="161"/>
      <c r="T38" s="161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163"/>
      <c r="AK38" s="161"/>
      <c r="AL38" s="161"/>
      <c r="AM38" s="161"/>
      <c r="AN38" s="161"/>
      <c r="AO38" s="161"/>
      <c r="AP38" s="161"/>
      <c r="AQ38" s="161"/>
      <c r="AR38" s="161"/>
      <c r="AS38" s="161"/>
      <c r="AT38" s="161"/>
      <c r="AU38" s="161"/>
      <c r="AV38" s="161"/>
      <c r="AW38" s="161"/>
      <c r="AX38" s="161"/>
      <c r="AY38" s="161"/>
      <c r="AZ38" s="161"/>
      <c r="BA38" s="161"/>
      <c r="BB38" s="161"/>
      <c r="BC38" s="161"/>
      <c r="BD38" s="161"/>
      <c r="BE38" s="161"/>
      <c r="BF38" s="161"/>
    </row>
    <row r="39" spans="2:65" x14ac:dyDescent="0.3">
      <c r="B39" s="162"/>
      <c r="C39" s="161"/>
      <c r="D39" s="161"/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163"/>
      <c r="AK39" s="161"/>
      <c r="AL39" s="161"/>
      <c r="AM39" s="161"/>
      <c r="AN39" s="161"/>
      <c r="AO39" s="161"/>
      <c r="AP39" s="161"/>
      <c r="AQ39" s="161"/>
      <c r="AR39" s="161"/>
      <c r="AS39" s="161"/>
      <c r="AT39" s="161"/>
      <c r="AU39" s="161"/>
      <c r="AV39" s="161"/>
      <c r="AW39" s="161"/>
      <c r="AX39" s="161"/>
      <c r="AY39" s="161"/>
      <c r="AZ39" s="161"/>
      <c r="BA39" s="161"/>
      <c r="BB39" s="161"/>
      <c r="BC39" s="161"/>
      <c r="BD39" s="161"/>
      <c r="BE39" s="161"/>
      <c r="BF39" s="161"/>
    </row>
    <row r="40" spans="2:65" x14ac:dyDescent="0.3">
      <c r="B40" s="160"/>
      <c r="C40" s="163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AQ40" s="161"/>
      <c r="AR40" s="161"/>
      <c r="AS40" s="161"/>
      <c r="AT40" s="161"/>
      <c r="AU40" s="161"/>
      <c r="AV40" s="161"/>
      <c r="AW40" s="161"/>
      <c r="AX40" s="161"/>
      <c r="AY40" s="161"/>
      <c r="AZ40" s="161"/>
      <c r="BA40" s="161"/>
      <c r="BB40" s="161"/>
      <c r="BC40" s="161"/>
      <c r="BD40" s="161"/>
      <c r="BE40" s="161"/>
      <c r="BF40" s="161"/>
    </row>
    <row r="41" spans="2:65" x14ac:dyDescent="0.3">
      <c r="B41" s="160"/>
      <c r="C41" s="161"/>
      <c r="D41" s="163"/>
      <c r="E41" s="163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3"/>
      <c r="AK41" s="161"/>
      <c r="AL41" s="161"/>
      <c r="AM41" s="163"/>
      <c r="AN41" s="161"/>
      <c r="AO41" s="161"/>
      <c r="AP41" s="161"/>
      <c r="AQ41" s="161"/>
      <c r="AR41" s="161"/>
      <c r="AS41" s="161"/>
      <c r="AT41" s="161"/>
      <c r="AU41" s="161"/>
      <c r="AV41" s="161"/>
      <c r="AW41" s="161"/>
      <c r="AX41" s="161"/>
      <c r="AY41" s="161"/>
      <c r="AZ41" s="161"/>
      <c r="BA41" s="161"/>
      <c r="BB41" s="161"/>
      <c r="BC41" s="161"/>
      <c r="BD41" s="161"/>
      <c r="BE41" s="161"/>
      <c r="BF41" s="161"/>
      <c r="BM41" s="155"/>
    </row>
    <row r="42" spans="2:65" x14ac:dyDescent="0.3">
      <c r="B42" s="160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</row>
    <row r="43" spans="2:65" x14ac:dyDescent="0.3">
      <c r="B43" s="162"/>
      <c r="C43" s="161"/>
      <c r="D43" s="161"/>
      <c r="E43" s="161"/>
      <c r="F43" s="161"/>
      <c r="G43" s="161"/>
      <c r="H43" s="161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161"/>
      <c r="AK43" s="161"/>
      <c r="AL43" s="161"/>
      <c r="AM43" s="161"/>
      <c r="AN43" s="161"/>
      <c r="AO43" s="161"/>
      <c r="AP43" s="161"/>
      <c r="AQ43" s="161"/>
      <c r="AR43" s="161"/>
      <c r="AS43" s="161"/>
      <c r="AT43" s="161"/>
      <c r="AU43" s="161"/>
      <c r="AV43" s="161"/>
      <c r="AW43" s="161"/>
      <c r="AX43" s="161"/>
      <c r="AY43" s="161"/>
      <c r="AZ43" s="161"/>
      <c r="BA43" s="161"/>
      <c r="BB43" s="161"/>
      <c r="BC43" s="161"/>
      <c r="BD43" s="161"/>
      <c r="BE43" s="161"/>
      <c r="BF43" s="161"/>
    </row>
    <row r="44" spans="2:65" x14ac:dyDescent="0.3">
      <c r="B44" s="160"/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</row>
    <row r="45" spans="2:65" x14ac:dyDescent="0.3">
      <c r="B45" s="160"/>
      <c r="C45" s="161"/>
      <c r="D45" s="161"/>
      <c r="E45" s="161"/>
      <c r="F45" s="161"/>
      <c r="G45" s="161"/>
      <c r="H45" s="161"/>
      <c r="I45" s="161"/>
      <c r="J45" s="161"/>
      <c r="K45" s="161"/>
      <c r="L45" s="161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163"/>
      <c r="AK45" s="161"/>
      <c r="AL45" s="161"/>
      <c r="AM45" s="161"/>
      <c r="AN45" s="161"/>
      <c r="AO45" s="161"/>
      <c r="AP45" s="161"/>
      <c r="AQ45" s="163"/>
      <c r="AR45" s="161"/>
      <c r="AS45" s="161"/>
      <c r="AT45" s="161"/>
      <c r="AU45" s="163"/>
      <c r="AV45" s="161"/>
      <c r="AW45" s="161"/>
      <c r="AX45" s="163"/>
      <c r="AY45" s="161"/>
      <c r="AZ45" s="161"/>
      <c r="BA45" s="161"/>
      <c r="BB45" s="161"/>
      <c r="BC45" s="161"/>
      <c r="BD45" s="161"/>
      <c r="BE45" s="161"/>
      <c r="BF45" s="161"/>
    </row>
    <row r="46" spans="2:65" x14ac:dyDescent="0.3">
      <c r="B46" s="160"/>
      <c r="C46" s="161"/>
      <c r="D46" s="161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161"/>
      <c r="AR46" s="163"/>
      <c r="AS46" s="161"/>
      <c r="AT46" s="161"/>
      <c r="AU46" s="161"/>
      <c r="AV46" s="161"/>
      <c r="AW46" s="161"/>
      <c r="AX46" s="161"/>
      <c r="AY46" s="161"/>
      <c r="AZ46" s="161"/>
      <c r="BA46" s="161"/>
      <c r="BB46" s="161"/>
      <c r="BC46" s="161"/>
      <c r="BD46" s="161"/>
      <c r="BE46" s="161"/>
      <c r="BF46" s="161"/>
    </row>
    <row r="47" spans="2:65" x14ac:dyDescent="0.3">
      <c r="B47" s="162"/>
      <c r="C47" s="161"/>
      <c r="D47" s="161"/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3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161"/>
      <c r="AK47" s="161"/>
      <c r="AL47" s="161"/>
      <c r="AM47" s="161"/>
      <c r="AN47" s="161"/>
      <c r="AO47" s="161"/>
      <c r="AP47" s="161"/>
      <c r="AQ47" s="161"/>
      <c r="AR47" s="163"/>
      <c r="AS47" s="161"/>
      <c r="AT47" s="161"/>
      <c r="AU47" s="161"/>
      <c r="AV47" s="161"/>
      <c r="AW47" s="161"/>
      <c r="AX47" s="161"/>
      <c r="AY47" s="161"/>
      <c r="AZ47" s="161"/>
      <c r="BA47" s="161"/>
      <c r="BB47" s="161"/>
      <c r="BC47" s="161"/>
      <c r="BD47" s="161"/>
      <c r="BE47" s="161"/>
      <c r="BF47" s="161"/>
    </row>
    <row r="48" spans="2:65" x14ac:dyDescent="0.3">
      <c r="B48" s="160"/>
      <c r="C48" s="163"/>
      <c r="D48" s="161"/>
      <c r="E48" s="163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161"/>
      <c r="AK48" s="161"/>
      <c r="AL48" s="161"/>
      <c r="AM48" s="161"/>
      <c r="AN48" s="161"/>
      <c r="AO48" s="161"/>
      <c r="AP48" s="161"/>
      <c r="AQ48" s="161"/>
      <c r="AR48" s="161"/>
      <c r="AS48" s="161"/>
      <c r="AT48" s="161"/>
      <c r="AU48" s="161"/>
      <c r="AV48" s="161"/>
      <c r="AW48" s="161"/>
      <c r="AX48" s="161"/>
      <c r="AY48" s="161"/>
      <c r="AZ48" s="161"/>
      <c r="BA48" s="161"/>
      <c r="BB48" s="161"/>
      <c r="BC48" s="161"/>
      <c r="BD48" s="161"/>
      <c r="BE48" s="161"/>
      <c r="BF48" s="161"/>
    </row>
    <row r="49" spans="2:88" x14ac:dyDescent="0.3">
      <c r="B49" s="160"/>
      <c r="C49" s="161"/>
      <c r="D49" s="163"/>
      <c r="E49" s="163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3"/>
      <c r="AH49" s="161"/>
      <c r="AI49" s="161"/>
      <c r="AJ49" s="161"/>
      <c r="AK49" s="161"/>
      <c r="AL49" s="161"/>
      <c r="AM49" s="161"/>
      <c r="AN49" s="161"/>
      <c r="AO49" s="161"/>
      <c r="AP49" s="161"/>
      <c r="AQ49" s="161"/>
      <c r="AR49" s="161"/>
      <c r="AS49" s="161"/>
      <c r="AT49" s="161"/>
      <c r="AU49" s="161"/>
      <c r="AV49" s="161"/>
      <c r="AW49" s="161"/>
      <c r="AX49" s="161"/>
      <c r="AY49" s="161"/>
      <c r="AZ49" s="161"/>
      <c r="BA49" s="161"/>
      <c r="BB49" s="161"/>
      <c r="BC49" s="161"/>
      <c r="BD49" s="161"/>
      <c r="BE49" s="161"/>
      <c r="BF49" s="161"/>
    </row>
    <row r="50" spans="2:88" x14ac:dyDescent="0.3">
      <c r="B50" s="160"/>
      <c r="C50" s="161"/>
      <c r="D50" s="163"/>
      <c r="E50" s="163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3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3"/>
      <c r="AH50" s="161"/>
      <c r="AI50" s="161"/>
      <c r="AJ50" s="161"/>
      <c r="AK50" s="161"/>
      <c r="AL50" s="161"/>
      <c r="AM50" s="161"/>
      <c r="AN50" s="163"/>
      <c r="AO50" s="163"/>
      <c r="AP50" s="163"/>
      <c r="AQ50" s="161"/>
      <c r="AR50" s="161"/>
      <c r="AS50" s="161"/>
      <c r="AT50" s="161"/>
      <c r="AU50" s="161"/>
      <c r="AV50" s="161"/>
      <c r="AW50" s="161"/>
      <c r="AX50" s="161"/>
      <c r="AY50" s="161"/>
      <c r="AZ50" s="161"/>
      <c r="BA50" s="161"/>
      <c r="BB50" s="161"/>
      <c r="BC50" s="161"/>
      <c r="BD50" s="161"/>
      <c r="BE50" s="161"/>
      <c r="BF50" s="161"/>
    </row>
    <row r="51" spans="2:88" x14ac:dyDescent="0.3">
      <c r="B51" s="162"/>
      <c r="C51" s="161"/>
      <c r="D51" s="163"/>
      <c r="E51" s="163"/>
      <c r="F51" s="161"/>
      <c r="G51" s="161"/>
      <c r="H51" s="161"/>
      <c r="I51" s="161"/>
      <c r="J51" s="161"/>
      <c r="K51" s="163"/>
      <c r="L51" s="161"/>
      <c r="M51" s="161"/>
      <c r="N51" s="161"/>
      <c r="O51" s="161"/>
      <c r="P51" s="161"/>
      <c r="Q51" s="161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61"/>
      <c r="AM51" s="161"/>
      <c r="AN51" s="163"/>
      <c r="AO51" s="163"/>
      <c r="AP51" s="161"/>
      <c r="AQ51" s="163"/>
      <c r="AR51" s="161"/>
      <c r="AS51" s="161"/>
      <c r="AT51" s="161"/>
      <c r="AU51" s="163"/>
      <c r="AV51" s="163"/>
      <c r="AW51" s="163"/>
      <c r="AX51" s="161"/>
      <c r="AY51" s="161"/>
      <c r="AZ51" s="161"/>
      <c r="BA51" s="161"/>
      <c r="BB51" s="161"/>
      <c r="BC51" s="161"/>
      <c r="BD51" s="161"/>
      <c r="BE51" s="161"/>
      <c r="BF51" s="161"/>
    </row>
    <row r="52" spans="2:88" x14ac:dyDescent="0.3">
      <c r="B52" s="160"/>
      <c r="C52" s="161"/>
      <c r="D52" s="163"/>
      <c r="E52" s="163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3"/>
      <c r="AY52" s="161"/>
      <c r="AZ52" s="161"/>
      <c r="BA52" s="161"/>
      <c r="BB52" s="161"/>
      <c r="BC52" s="161"/>
      <c r="BD52" s="161"/>
      <c r="BE52" s="161"/>
      <c r="BF52" s="161"/>
    </row>
    <row r="53" spans="2:88" x14ac:dyDescent="0.3">
      <c r="B53" s="162"/>
      <c r="C53" s="161"/>
      <c r="D53" s="163"/>
      <c r="E53" s="163"/>
      <c r="F53" s="161"/>
      <c r="G53" s="161"/>
      <c r="H53" s="161"/>
      <c r="I53" s="161"/>
      <c r="J53" s="161"/>
      <c r="K53" s="161"/>
      <c r="L53" s="163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3"/>
      <c r="AW53" s="163"/>
      <c r="AX53" s="161"/>
      <c r="AY53" s="161"/>
      <c r="AZ53" s="161"/>
      <c r="BA53" s="161"/>
      <c r="BB53" s="161"/>
      <c r="BC53" s="161"/>
      <c r="BD53" s="161"/>
      <c r="BE53" s="161"/>
      <c r="BF53" s="161"/>
    </row>
    <row r="54" spans="2:88" x14ac:dyDescent="0.3">
      <c r="B54" s="162"/>
      <c r="C54" s="161"/>
      <c r="D54" s="161"/>
      <c r="E54" s="161"/>
      <c r="F54" s="161"/>
      <c r="G54" s="161"/>
      <c r="H54" s="161"/>
      <c r="I54" s="161"/>
      <c r="J54" s="161"/>
      <c r="K54" s="161"/>
      <c r="L54" s="161"/>
      <c r="M54" s="163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  <c r="AB54" s="161"/>
      <c r="AC54" s="161"/>
      <c r="AD54" s="161"/>
      <c r="AE54" s="161"/>
      <c r="AF54" s="161"/>
      <c r="AG54" s="161"/>
      <c r="AH54" s="161"/>
      <c r="AI54" s="161"/>
      <c r="AJ54" s="161"/>
      <c r="AK54" s="161"/>
      <c r="AL54" s="161"/>
      <c r="AM54" s="161"/>
      <c r="AN54" s="161"/>
      <c r="AO54" s="161"/>
      <c r="AP54" s="161"/>
      <c r="AQ54" s="161"/>
      <c r="AR54" s="161"/>
      <c r="AS54" s="161"/>
      <c r="AT54" s="161"/>
      <c r="AU54" s="161"/>
      <c r="AV54" s="163"/>
      <c r="AW54" s="163"/>
      <c r="AX54" s="161"/>
      <c r="AY54" s="161"/>
      <c r="AZ54" s="161"/>
      <c r="BA54" s="161"/>
      <c r="BB54" s="161"/>
      <c r="BC54" s="161"/>
      <c r="BD54" s="161"/>
      <c r="BE54" s="161"/>
      <c r="BF54" s="161"/>
    </row>
    <row r="55" spans="2:88" x14ac:dyDescent="0.3">
      <c r="B55" s="162"/>
      <c r="C55" s="161"/>
      <c r="D55" s="161"/>
      <c r="E55" s="161"/>
      <c r="F55" s="161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3"/>
      <c r="AW55" s="163"/>
      <c r="AX55" s="161"/>
      <c r="AY55" s="161"/>
      <c r="AZ55" s="161"/>
      <c r="BA55" s="161"/>
      <c r="BB55" s="161"/>
      <c r="BC55" s="161"/>
      <c r="BD55" s="161"/>
      <c r="BE55" s="161"/>
      <c r="BF55" s="161"/>
    </row>
    <row r="56" spans="2:88" x14ac:dyDescent="0.3">
      <c r="B56" s="160"/>
      <c r="C56" s="161"/>
      <c r="D56" s="161"/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  <c r="BE56" s="161"/>
      <c r="BF56" s="161"/>
    </row>
    <row r="57" spans="2:88" x14ac:dyDescent="0.3">
      <c r="B57" s="162"/>
      <c r="C57" s="161"/>
      <c r="D57" s="163"/>
      <c r="E57" s="163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3"/>
      <c r="BB57" s="161"/>
      <c r="BC57" s="161"/>
      <c r="BD57" s="161"/>
      <c r="BE57" s="161"/>
      <c r="BF57" s="161"/>
    </row>
    <row r="58" spans="2:88" x14ac:dyDescent="0.3">
      <c r="B58" s="162"/>
      <c r="C58" s="161"/>
      <c r="D58" s="161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/>
      <c r="AM58" s="161"/>
      <c r="AN58" s="161"/>
      <c r="AO58" s="161"/>
      <c r="AP58" s="161"/>
      <c r="AQ58" s="161"/>
      <c r="AR58" s="161"/>
      <c r="AS58" s="161"/>
      <c r="AT58" s="161"/>
      <c r="AU58" s="161"/>
      <c r="AV58" s="161"/>
      <c r="AW58" s="161"/>
      <c r="AX58" s="161"/>
      <c r="AY58" s="161"/>
      <c r="AZ58" s="161"/>
      <c r="BA58" s="161"/>
      <c r="BB58" s="163"/>
      <c r="BC58" s="161"/>
      <c r="BD58" s="161"/>
      <c r="BE58" s="161"/>
      <c r="BF58" s="161"/>
    </row>
    <row r="59" spans="2:88" x14ac:dyDescent="0.3">
      <c r="B59" s="160"/>
      <c r="C59" s="161"/>
      <c r="D59" s="163"/>
      <c r="E59" s="163"/>
      <c r="F59" s="161"/>
      <c r="G59" s="161"/>
      <c r="H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1"/>
      <c r="AS59" s="161"/>
      <c r="AT59" s="161"/>
      <c r="AU59" s="161"/>
      <c r="AV59" s="161"/>
      <c r="AW59" s="161"/>
      <c r="AX59" s="161"/>
      <c r="AY59" s="161"/>
      <c r="AZ59" s="161"/>
      <c r="BA59" s="161"/>
      <c r="BB59" s="161"/>
      <c r="BC59" s="161"/>
      <c r="BD59" s="161"/>
      <c r="BE59" s="161"/>
      <c r="BF59" s="161"/>
    </row>
    <row r="60" spans="2:88" x14ac:dyDescent="0.3">
      <c r="B60" s="156"/>
      <c r="D60" s="155"/>
      <c r="E60" s="155"/>
      <c r="BF60" s="155"/>
    </row>
    <row r="61" spans="2:88" x14ac:dyDescent="0.3">
      <c r="B61" s="156"/>
      <c r="BG61" s="155"/>
      <c r="BZ61" s="155"/>
      <c r="CA61" s="155"/>
      <c r="CB61" s="155"/>
      <c r="CC61" s="155"/>
      <c r="CD61" s="155"/>
      <c r="CE61" s="155"/>
      <c r="CF61" s="155"/>
      <c r="CG61" s="155"/>
      <c r="CH61" s="155"/>
      <c r="CI61" s="155"/>
      <c r="CJ61" s="155"/>
    </row>
    <row r="62" spans="2:88" x14ac:dyDescent="0.3">
      <c r="B62" s="153"/>
    </row>
    <row r="63" spans="2:88" x14ac:dyDescent="0.3">
      <c r="B63" s="153"/>
      <c r="D63" s="155"/>
      <c r="E63" s="155"/>
      <c r="BL63" s="155"/>
      <c r="BM63" s="155"/>
      <c r="BO63" s="155"/>
      <c r="BW63" s="155"/>
    </row>
    <row r="64" spans="2:88" x14ac:dyDescent="0.3">
      <c r="B64" s="156"/>
      <c r="BZ64" s="155"/>
      <c r="CA64" s="155"/>
      <c r="CB64" s="155"/>
      <c r="CC64" s="155"/>
      <c r="CD64" s="155"/>
      <c r="CE64" s="155"/>
      <c r="CF64" s="155"/>
      <c r="CG64" s="155"/>
      <c r="CH64" s="155"/>
      <c r="CI64" s="155"/>
      <c r="CJ64" s="155"/>
    </row>
    <row r="65" spans="2:76" x14ac:dyDescent="0.3">
      <c r="B65" s="153"/>
      <c r="D65" s="155"/>
      <c r="E65" s="155"/>
      <c r="K65" s="155"/>
      <c r="BM65" s="155"/>
      <c r="BN65" s="155"/>
    </row>
    <row r="66" spans="2:76" x14ac:dyDescent="0.3">
      <c r="B66" s="153"/>
      <c r="D66" s="155"/>
      <c r="E66" s="155"/>
    </row>
    <row r="67" spans="2:76" x14ac:dyDescent="0.3">
      <c r="B67" s="153"/>
      <c r="D67" s="155"/>
      <c r="E67" s="155"/>
    </row>
    <row r="68" spans="2:76" x14ac:dyDescent="0.3">
      <c r="B68" s="153"/>
      <c r="D68" s="155"/>
      <c r="E68" s="155"/>
      <c r="U68" s="155"/>
      <c r="BL68" s="155"/>
      <c r="BN68" s="155"/>
    </row>
    <row r="69" spans="2:76" x14ac:dyDescent="0.3">
      <c r="B69" s="153"/>
      <c r="D69" s="155"/>
      <c r="E69" s="155"/>
      <c r="BO69" s="155"/>
    </row>
    <row r="70" spans="2:76" x14ac:dyDescent="0.3">
      <c r="B70" s="153"/>
      <c r="D70" s="155"/>
      <c r="E70" s="155"/>
      <c r="BJ70" s="155"/>
    </row>
    <row r="71" spans="2:76" x14ac:dyDescent="0.3">
      <c r="B71" s="153"/>
      <c r="BJ71" s="155"/>
      <c r="BL71" s="155"/>
      <c r="BO71" s="155"/>
    </row>
    <row r="72" spans="2:76" x14ac:dyDescent="0.3">
      <c r="B72" s="153"/>
      <c r="BR72" s="155"/>
    </row>
    <row r="73" spans="2:76" x14ac:dyDescent="0.3">
      <c r="B73" s="153"/>
      <c r="D73" s="155"/>
      <c r="E73" s="155"/>
      <c r="BJ73" s="155"/>
      <c r="BN73" s="155"/>
    </row>
    <row r="74" spans="2:76" x14ac:dyDescent="0.3">
      <c r="B74" s="156"/>
      <c r="BN74" s="155"/>
    </row>
    <row r="75" spans="2:76" x14ac:dyDescent="0.3">
      <c r="B75" s="153"/>
    </row>
    <row r="76" spans="2:76" x14ac:dyDescent="0.3">
      <c r="B76" s="153"/>
      <c r="D76" s="155"/>
      <c r="E76" s="155"/>
    </row>
    <row r="77" spans="2:76" x14ac:dyDescent="0.3">
      <c r="B77" s="153"/>
    </row>
    <row r="78" spans="2:76" x14ac:dyDescent="0.3">
      <c r="B78" s="153"/>
    </row>
    <row r="79" spans="2:76" x14ac:dyDescent="0.3">
      <c r="B79" s="153"/>
      <c r="BW79" s="155"/>
      <c r="BX79" s="155"/>
    </row>
    <row r="80" spans="2:76" x14ac:dyDescent="0.3">
      <c r="B80" s="153"/>
      <c r="BW80" s="155"/>
      <c r="BX80" s="155"/>
    </row>
    <row r="81" spans="2:88" x14ac:dyDescent="0.3">
      <c r="B81" s="153"/>
      <c r="BW81" s="155"/>
    </row>
    <row r="82" spans="2:88" x14ac:dyDescent="0.3">
      <c r="B82" s="153"/>
      <c r="BW82" s="155"/>
    </row>
    <row r="83" spans="2:88" x14ac:dyDescent="0.3">
      <c r="B83" s="153"/>
      <c r="BW83" s="155"/>
    </row>
    <row r="84" spans="2:88" x14ac:dyDescent="0.3">
      <c r="B84" s="153"/>
      <c r="BW84" s="155"/>
    </row>
    <row r="85" spans="2:88" x14ac:dyDescent="0.3">
      <c r="B85" s="153"/>
      <c r="BW85" s="155"/>
    </row>
    <row r="86" spans="2:88" x14ac:dyDescent="0.3">
      <c r="B86" s="156"/>
      <c r="BW86" s="155"/>
      <c r="BX86" s="155"/>
    </row>
    <row r="87" spans="2:88" x14ac:dyDescent="0.3">
      <c r="B87" s="153"/>
      <c r="BW87" s="155"/>
    </row>
    <row r="88" spans="2:88" x14ac:dyDescent="0.3">
      <c r="B88" s="153"/>
      <c r="BW88" s="155"/>
    </row>
    <row r="89" spans="2:88" x14ac:dyDescent="0.3">
      <c r="B89" s="156"/>
      <c r="D89" s="155"/>
      <c r="E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</row>
    <row r="90" spans="2:88" x14ac:dyDescent="0.3">
      <c r="B90" s="153"/>
    </row>
    <row r="91" spans="2:88" x14ac:dyDescent="0.3">
      <c r="B91" s="153"/>
    </row>
    <row r="92" spans="2:88" x14ac:dyDescent="0.3">
      <c r="B92" s="153"/>
    </row>
    <row r="93" spans="2:88" x14ac:dyDescent="0.3">
      <c r="B93" s="153"/>
    </row>
    <row r="94" spans="2:88" x14ac:dyDescent="0.3">
      <c r="B94" s="153"/>
    </row>
    <row r="95" spans="2:88" x14ac:dyDescent="0.3">
      <c r="B95" s="153"/>
    </row>
    <row r="96" spans="2:88" x14ac:dyDescent="0.3">
      <c r="B96" s="153"/>
    </row>
    <row r="97" spans="2:2" x14ac:dyDescent="0.3">
      <c r="B97" s="153"/>
    </row>
    <row r="98" spans="2:2" x14ac:dyDescent="0.3">
      <c r="B98" s="153"/>
    </row>
    <row r="99" spans="2:2" x14ac:dyDescent="0.3">
      <c r="B99" s="156"/>
    </row>
    <row r="100" spans="2:2" x14ac:dyDescent="0.3">
      <c r="B100" s="153"/>
    </row>
    <row r="101" spans="2:2" x14ac:dyDescent="0.3">
      <c r="B101" s="153"/>
    </row>
    <row r="102" spans="2:2" x14ac:dyDescent="0.3">
      <c r="B102" s="153"/>
    </row>
    <row r="103" spans="2:2" x14ac:dyDescent="0.3">
      <c r="B103" s="153"/>
    </row>
    <row r="104" spans="2:2" x14ac:dyDescent="0.3">
      <c r="B104" s="153"/>
    </row>
    <row r="105" spans="2:2" x14ac:dyDescent="0.3">
      <c r="B105" s="156"/>
    </row>
    <row r="106" spans="2:2" x14ac:dyDescent="0.3">
      <c r="B106" s="153"/>
    </row>
    <row r="107" spans="2:2" x14ac:dyDescent="0.3">
      <c r="B107" s="156"/>
    </row>
    <row r="108" spans="2:2" x14ac:dyDescent="0.3">
      <c r="B108" s="156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I28" s="63"/>
      <c r="K28" s="62"/>
      <c r="L28" s="62"/>
    </row>
    <row r="29" spans="7:12" x14ac:dyDescent="0.3">
      <c r="G29" s="167" t="s">
        <v>962</v>
      </c>
      <c r="I29" s="64" t="b">
        <f>MasterCheck</f>
        <v>1</v>
      </c>
    </row>
    <row r="30" spans="7:12" ht="15" x14ac:dyDescent="0.4">
      <c r="G30" s="65" t="s">
        <v>941</v>
      </c>
      <c r="I30" s="64" t="b">
        <v>1</v>
      </c>
    </row>
    <row r="31" spans="7:12" x14ac:dyDescent="0.3">
      <c r="G31" s="167" t="s">
        <v>955</v>
      </c>
    </row>
    <row r="32" spans="7:12" x14ac:dyDescent="0.3">
      <c r="G32" s="167" t="s">
        <v>912</v>
      </c>
      <c r="I32" s="66"/>
    </row>
    <row r="33" spans="7:12" x14ac:dyDescent="0.3">
      <c r="G33" s="167" t="s">
        <v>911</v>
      </c>
      <c r="I33" s="66"/>
    </row>
    <row r="34" spans="7:12" x14ac:dyDescent="0.3">
      <c r="I34" s="66"/>
    </row>
    <row r="35" spans="7:12" x14ac:dyDescent="0.3">
      <c r="I35" s="66"/>
    </row>
    <row r="36" spans="7:12" x14ac:dyDescent="0.3">
      <c r="I36" s="66"/>
      <c r="J36" s="67"/>
    </row>
    <row r="37" spans="7:12" x14ac:dyDescent="0.3">
      <c r="I37" s="66"/>
    </row>
    <row r="38" spans="7:12" x14ac:dyDescent="0.3">
      <c r="I38" s="66"/>
      <c r="J38" s="63"/>
    </row>
    <row r="39" spans="7:12" x14ac:dyDescent="0.3">
      <c r="I39" s="66"/>
      <c r="J39" s="63"/>
      <c r="L39" s="68"/>
    </row>
  </sheetData>
  <conditionalFormatting sqref="I30">
    <cfRule type="expression" dxfId="24" priority="2">
      <formula>IFERROR(NOT(I30),TRUE)</formula>
    </cfRule>
  </conditionalFormatting>
  <conditionalFormatting sqref="I29">
    <cfRule type="expression" dxfId="2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>
      <selection activeCell="AG22" sqref="AG22"/>
    </sheetView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</row>
    <row r="2" spans="1:50" s="111" customFormat="1" x14ac:dyDescent="0.3">
      <c r="A2" s="119" t="s">
        <v>950</v>
      </c>
      <c r="AQ2" s="112"/>
      <c r="AR2" s="112"/>
      <c r="AW2" s="112"/>
      <c r="AX2" s="112"/>
    </row>
    <row r="3" spans="1:50" outlineLevel="1" x14ac:dyDescent="0.3">
      <c r="A3" t="s">
        <v>947</v>
      </c>
    </row>
    <row r="4" spans="1:50" ht="18.75" outlineLevel="1" x14ac:dyDescent="0.3">
      <c r="C4" s="48" t="s">
        <v>0</v>
      </c>
      <c r="D4" s="32" t="s">
        <v>908</v>
      </c>
      <c r="E4" s="33"/>
      <c r="F4" s="33"/>
      <c r="G4" s="33"/>
      <c r="H4" s="33"/>
      <c r="I4" s="33"/>
      <c r="J4" s="33"/>
      <c r="K4" s="81" t="s">
        <v>1</v>
      </c>
      <c r="L4" s="85" t="s">
        <v>909</v>
      </c>
      <c r="M4" s="33"/>
      <c r="N4" s="33"/>
      <c r="O4" s="33"/>
      <c r="P4" s="33"/>
      <c r="Q4" s="33"/>
      <c r="R4" s="33"/>
      <c r="S4" s="90" t="s">
        <v>2</v>
      </c>
      <c r="T4" s="92"/>
      <c r="U4" s="93"/>
      <c r="V4" s="93"/>
      <c r="W4" s="93"/>
      <c r="X4" s="93"/>
      <c r="Y4" s="93"/>
      <c r="Z4" s="93"/>
      <c r="AA4" s="93"/>
      <c r="AB4" s="93"/>
      <c r="AC4" s="93"/>
      <c r="AD4" s="49" t="s">
        <v>945</v>
      </c>
      <c r="AE4" s="49" t="s">
        <v>946</v>
      </c>
    </row>
    <row r="5" spans="1:50" outlineLevel="1" x14ac:dyDescent="0.3">
      <c r="C5" s="48">
        <v>0</v>
      </c>
      <c r="D5" s="77">
        <f>'Sprite (load)'!B4</f>
        <v>0</v>
      </c>
      <c r="E5" s="78">
        <f>'Sprite (load)'!C4</f>
        <v>0</v>
      </c>
      <c r="F5" s="78">
        <f>'Sprite (load)'!D4</f>
        <v>0</v>
      </c>
      <c r="G5" s="78">
        <f>'Sprite (load)'!E4</f>
        <v>0</v>
      </c>
      <c r="H5" s="78">
        <f>'Sprite (load)'!F4</f>
        <v>1</v>
      </c>
      <c r="I5" s="78">
        <f>'Sprite (load)'!G4</f>
        <v>0</v>
      </c>
      <c r="J5" s="78">
        <f>'Sprite (load)'!H4</f>
        <v>0</v>
      </c>
      <c r="K5" s="84">
        <f>'Sprite (load)'!I4</f>
        <v>1</v>
      </c>
      <c r="L5" s="89">
        <f>'Sprite (load)'!J4</f>
        <v>0</v>
      </c>
      <c r="M5" s="78">
        <f>'Sprite (load)'!K4</f>
        <v>0</v>
      </c>
      <c r="N5" s="78">
        <f>'Sprite (load)'!L4</f>
        <v>0</v>
      </c>
      <c r="O5" s="78">
        <f>'Sprite (load)'!M4</f>
        <v>0</v>
      </c>
      <c r="P5" s="78">
        <f>'Sprite (load)'!N4</f>
        <v>0</v>
      </c>
      <c r="Q5" s="78">
        <f>'Sprite (load)'!O4</f>
        <v>0</v>
      </c>
      <c r="R5" s="78">
        <f>'Sprite (load)'!P4</f>
        <v>0</v>
      </c>
      <c r="S5" s="91">
        <f>'Sprite (load)'!Q4</f>
        <v>1</v>
      </c>
      <c r="T5" s="94"/>
      <c r="U5" s="95"/>
      <c r="V5" s="95"/>
      <c r="W5" s="95"/>
      <c r="X5" s="95"/>
      <c r="Y5" s="95"/>
      <c r="Z5" s="95"/>
      <c r="AA5" s="95"/>
      <c r="AB5" s="95"/>
      <c r="AC5" s="95"/>
      <c r="AD5" s="83" t="str">
        <f>'Sprite (load)'!W4</f>
        <v>10</v>
      </c>
      <c r="AE5" s="83" t="str">
        <f>'Sprite (load)'!X4</f>
        <v>00</v>
      </c>
    </row>
    <row r="6" spans="1:50" outlineLevel="1" x14ac:dyDescent="0.3">
      <c r="C6" s="48">
        <v>1</v>
      </c>
      <c r="D6" s="77">
        <f>'Sprite (load)'!B5</f>
        <v>0</v>
      </c>
      <c r="E6" s="78">
        <f>'Sprite (load)'!C5</f>
        <v>0</v>
      </c>
      <c r="F6" s="78">
        <f>'Sprite (load)'!D5</f>
        <v>0</v>
      </c>
      <c r="G6" s="78">
        <f>'Sprite (load)'!E5</f>
        <v>1</v>
      </c>
      <c r="H6" s="78">
        <f>'Sprite (load)'!F5</f>
        <v>0</v>
      </c>
      <c r="I6" s="78">
        <f>'Sprite (load)'!G5</f>
        <v>1</v>
      </c>
      <c r="J6" s="78">
        <f>'Sprite (load)'!H5</f>
        <v>0</v>
      </c>
      <c r="K6" s="84">
        <f>'Sprite (load)'!I5</f>
        <v>1</v>
      </c>
      <c r="L6" s="89">
        <f>'Sprite (load)'!J5</f>
        <v>0</v>
      </c>
      <c r="M6" s="78">
        <f>'Sprite (load)'!K5</f>
        <v>0</v>
      </c>
      <c r="N6" s="78">
        <f>'Sprite (load)'!L5</f>
        <v>0</v>
      </c>
      <c r="O6" s="78">
        <f>'Sprite (load)'!M5</f>
        <v>0</v>
      </c>
      <c r="P6" s="78">
        <f>'Sprite (load)'!N5</f>
        <v>0</v>
      </c>
      <c r="Q6" s="78">
        <f>'Sprite (load)'!O5</f>
        <v>0</v>
      </c>
      <c r="R6" s="78">
        <f>'Sprite (load)'!P5</f>
        <v>0</v>
      </c>
      <c r="S6" s="91">
        <f>'Sprite (load)'!Q5</f>
        <v>1</v>
      </c>
      <c r="T6" s="94"/>
      <c r="U6" s="95"/>
      <c r="V6" s="95"/>
      <c r="W6" s="95"/>
      <c r="X6" s="95"/>
      <c r="Y6" s="95"/>
      <c r="Z6" s="95"/>
      <c r="AA6" s="95"/>
      <c r="AB6" s="95"/>
      <c r="AC6" s="95"/>
      <c r="AD6" s="83" t="str">
        <f>'Sprite (load)'!W5</f>
        <v>28</v>
      </c>
      <c r="AE6" s="83" t="str">
        <f>'Sprite (load)'!X5</f>
        <v>00</v>
      </c>
    </row>
    <row r="7" spans="1:50" outlineLevel="1" x14ac:dyDescent="0.3">
      <c r="B7" s="95"/>
      <c r="C7" s="48">
        <v>2</v>
      </c>
      <c r="D7" s="77">
        <f>'Sprite (load)'!B6</f>
        <v>0</v>
      </c>
      <c r="E7" s="78">
        <f>'Sprite (load)'!C6</f>
        <v>0</v>
      </c>
      <c r="F7" s="78">
        <f>'Sprite (load)'!D6</f>
        <v>0</v>
      </c>
      <c r="G7" s="78">
        <f>'Sprite (load)'!E6</f>
        <v>1</v>
      </c>
      <c r="H7" s="78">
        <f>'Sprite (load)'!F6</f>
        <v>0</v>
      </c>
      <c r="I7" s="78">
        <f>1</f>
        <v>1</v>
      </c>
      <c r="J7" s="78">
        <f>'Sprite (load)'!H6</f>
        <v>0</v>
      </c>
      <c r="K7" s="84">
        <f>'Sprite (load)'!I6</f>
        <v>1</v>
      </c>
      <c r="L7" s="89">
        <f>'Sprite (load)'!J6</f>
        <v>0</v>
      </c>
      <c r="M7" s="78">
        <f>'Sprite (load)'!K6</f>
        <v>0</v>
      </c>
      <c r="N7" s="78">
        <f>'Sprite (load)'!L6</f>
        <v>0</v>
      </c>
      <c r="O7" s="78">
        <f>'Sprite (load)'!M6</f>
        <v>0</v>
      </c>
      <c r="P7" s="78">
        <f>'Sprite (load)'!N6</f>
        <v>0</v>
      </c>
      <c r="Q7" s="78">
        <f>'Sprite (load)'!O6</f>
        <v>0</v>
      </c>
      <c r="R7" s="78">
        <f>'Sprite (load)'!P6</f>
        <v>0</v>
      </c>
      <c r="S7" s="91">
        <f>'Sprite (load)'!Q6</f>
        <v>1</v>
      </c>
      <c r="T7" s="94"/>
      <c r="U7" s="95"/>
      <c r="W7" s="95"/>
      <c r="X7" s="95"/>
      <c r="Y7" s="95"/>
      <c r="Z7" s="95"/>
      <c r="AA7" s="95"/>
      <c r="AB7" s="95"/>
      <c r="AC7" s="95"/>
      <c r="AD7" s="83" t="str">
        <f>'Sprite (load)'!W6</f>
        <v>28</v>
      </c>
      <c r="AE7" s="83" t="str">
        <f>'Sprite (load)'!X6</f>
        <v>00</v>
      </c>
    </row>
    <row r="8" spans="1:50" outlineLevel="1" x14ac:dyDescent="0.3">
      <c r="C8" s="48">
        <v>3</v>
      </c>
      <c r="D8" s="77">
        <f>'Sprite (load)'!B7</f>
        <v>0</v>
      </c>
      <c r="E8" s="78">
        <f>'Sprite (load)'!C7</f>
        <v>0</v>
      </c>
      <c r="F8" s="78">
        <f>'Sprite (load)'!D7</f>
        <v>0</v>
      </c>
      <c r="G8" s="78">
        <f>'Sprite (load)'!E7</f>
        <v>0</v>
      </c>
      <c r="H8" s="78">
        <f>'Sprite (load)'!F7</f>
        <v>0</v>
      </c>
      <c r="I8" s="78">
        <f>'Sprite (load)'!G7</f>
        <v>1</v>
      </c>
      <c r="J8" s="78">
        <f>'Sprite (load)'!H7</f>
        <v>0</v>
      </c>
      <c r="K8" s="84">
        <f>'Sprite (load)'!I7</f>
        <v>1</v>
      </c>
      <c r="L8" s="89">
        <f>'Sprite (load)'!J7</f>
        <v>0</v>
      </c>
      <c r="M8" s="78">
        <f>'Sprite (load)'!K7</f>
        <v>0</v>
      </c>
      <c r="N8" s="78">
        <f>'Sprite (load)'!L7</f>
        <v>0</v>
      </c>
      <c r="O8" s="78">
        <f>'Sprite (load)'!M7</f>
        <v>0</v>
      </c>
      <c r="P8" s="78">
        <f>'Sprite (load)'!N7</f>
        <v>0</v>
      </c>
      <c r="Q8" s="78">
        <f>'Sprite (load)'!O7</f>
        <v>0</v>
      </c>
      <c r="R8" s="78">
        <f>'Sprite (load)'!P7</f>
        <v>0</v>
      </c>
      <c r="S8" s="91">
        <f>'Sprite (load)'!Q7</f>
        <v>1</v>
      </c>
      <c r="T8" s="94"/>
      <c r="U8" s="95"/>
      <c r="V8" s="95"/>
      <c r="W8" s="95"/>
      <c r="X8" s="95"/>
      <c r="Y8" s="95"/>
      <c r="Z8" s="95"/>
      <c r="AA8" s="95"/>
      <c r="AB8" s="95"/>
      <c r="AC8" s="95"/>
      <c r="AD8" s="83" t="str">
        <f>'Sprite (load)'!W7</f>
        <v>20</v>
      </c>
      <c r="AE8" s="83" t="str">
        <f>'Sprite (load)'!X7</f>
        <v>00</v>
      </c>
    </row>
    <row r="9" spans="1:50" outlineLevel="1" x14ac:dyDescent="0.3">
      <c r="C9" s="48">
        <v>4</v>
      </c>
      <c r="D9" s="77">
        <f>'Sprite (load)'!B8</f>
        <v>0</v>
      </c>
      <c r="E9" s="78">
        <f>'Sprite (load)'!C8</f>
        <v>0</v>
      </c>
      <c r="F9" s="78">
        <f>'Sprite (load)'!D8</f>
        <v>0</v>
      </c>
      <c r="G9" s="78">
        <f>'Sprite (load)'!E8</f>
        <v>1</v>
      </c>
      <c r="H9" s="78">
        <f>'Sprite (load)'!F8</f>
        <v>0</v>
      </c>
      <c r="I9" s="78">
        <f>'Sprite (load)'!G8</f>
        <v>1</v>
      </c>
      <c r="J9" s="78">
        <f>'Sprite (load)'!H8</f>
        <v>0</v>
      </c>
      <c r="K9" s="84">
        <f>'Sprite (load)'!I8</f>
        <v>1</v>
      </c>
      <c r="L9" s="89">
        <f>'Sprite (load)'!J8</f>
        <v>1</v>
      </c>
      <c r="M9" s="78">
        <f>'Sprite (load)'!K8</f>
        <v>0</v>
      </c>
      <c r="N9" s="78">
        <f>'Sprite (load)'!L8</f>
        <v>0</v>
      </c>
      <c r="O9" s="78">
        <f>'Sprite (load)'!M8</f>
        <v>0</v>
      </c>
      <c r="P9" s="78">
        <f>'Sprite (load)'!N8</f>
        <v>0</v>
      </c>
      <c r="Q9" s="78">
        <f>'Sprite (load)'!O8</f>
        <v>0</v>
      </c>
      <c r="R9" s="78">
        <f>'Sprite (load)'!P8</f>
        <v>0</v>
      </c>
      <c r="S9" s="91">
        <f>'Sprite (load)'!Q8</f>
        <v>1</v>
      </c>
      <c r="T9" s="94"/>
      <c r="U9" s="95"/>
      <c r="V9" s="95"/>
      <c r="W9" s="95"/>
      <c r="X9" s="95"/>
      <c r="Y9" s="95"/>
      <c r="Z9" s="95"/>
      <c r="AA9" s="95"/>
      <c r="AB9" s="95"/>
      <c r="AC9" s="95"/>
      <c r="AD9" s="83" t="str">
        <f>'Sprite (load)'!W8</f>
        <v>28</v>
      </c>
      <c r="AE9" s="83" t="str">
        <f>'Sprite (load)'!X8</f>
        <v>01</v>
      </c>
    </row>
    <row r="10" spans="1:50" outlineLevel="1" x14ac:dyDescent="0.3">
      <c r="C10" s="48">
        <v>5</v>
      </c>
      <c r="D10" s="77">
        <f>'Sprite (load)'!B9</f>
        <v>0</v>
      </c>
      <c r="E10" s="78">
        <f>'Sprite (load)'!C9</f>
        <v>1</v>
      </c>
      <c r="F10" s="78">
        <f>'Sprite (load)'!D9</f>
        <v>0</v>
      </c>
      <c r="G10" s="78">
        <f>'Sprite (load)'!E9</f>
        <v>0</v>
      </c>
      <c r="H10" s="78">
        <f>'Sprite (load)'!F9</f>
        <v>0</v>
      </c>
      <c r="I10" s="78">
        <f>'Sprite (load)'!G9</f>
        <v>1</v>
      </c>
      <c r="J10" s="78">
        <f>'Sprite (load)'!H9</f>
        <v>0</v>
      </c>
      <c r="K10" s="84">
        <f>'Sprite (load)'!I9</f>
        <v>1</v>
      </c>
      <c r="L10" s="89">
        <f>'Sprite (load)'!J9</f>
        <v>0</v>
      </c>
      <c r="M10" s="78">
        <f>'Sprite (load)'!K9</f>
        <v>0</v>
      </c>
      <c r="N10" s="78">
        <f>'Sprite (load)'!L9</f>
        <v>1</v>
      </c>
      <c r="O10" s="78">
        <f>'Sprite (load)'!M9</f>
        <v>0</v>
      </c>
      <c r="P10" s="78">
        <f>'Sprite (load)'!N9</f>
        <v>0</v>
      </c>
      <c r="Q10" s="78">
        <f>'Sprite (load)'!O9</f>
        <v>0</v>
      </c>
      <c r="R10" s="78">
        <f>'Sprite (load)'!P9</f>
        <v>0</v>
      </c>
      <c r="S10" s="91">
        <f>'Sprite (load)'!Q9</f>
        <v>1</v>
      </c>
      <c r="T10" s="94"/>
      <c r="U10" s="95"/>
      <c r="V10" s="95"/>
      <c r="W10" s="95"/>
      <c r="X10" s="95"/>
      <c r="Y10" s="95"/>
      <c r="Z10" s="95"/>
      <c r="AA10" s="95"/>
      <c r="AB10" s="95"/>
      <c r="AC10" s="95"/>
      <c r="AD10" s="83" t="str">
        <f>'Sprite (load)'!W9</f>
        <v>22</v>
      </c>
      <c r="AE10" s="83" t="str">
        <f>'Sprite (load)'!X9</f>
        <v>04</v>
      </c>
    </row>
    <row r="11" spans="1:50" outlineLevel="1" x14ac:dyDescent="0.3">
      <c r="C11" s="48">
        <v>6</v>
      </c>
      <c r="D11" s="77">
        <f>'Sprite (load)'!B10</f>
        <v>0</v>
      </c>
      <c r="E11" s="78">
        <f>'Sprite (load)'!C10</f>
        <v>0</v>
      </c>
      <c r="F11" s="78">
        <f>'Sprite (load)'!D10</f>
        <v>0</v>
      </c>
      <c r="G11" s="78">
        <f>'Sprite (load)'!E10</f>
        <v>0</v>
      </c>
      <c r="H11" s="78">
        <f>'Sprite (load)'!F10</f>
        <v>0</v>
      </c>
      <c r="I11" s="78">
        <f>'Sprite (load)'!G10</f>
        <v>1</v>
      </c>
      <c r="J11" s="78">
        <f>'Sprite (load)'!H10</f>
        <v>1</v>
      </c>
      <c r="K11" s="84">
        <f>'Sprite (load)'!I10</f>
        <v>1</v>
      </c>
      <c r="L11" s="89">
        <f>'Sprite (load)'!J10</f>
        <v>0</v>
      </c>
      <c r="M11" s="78">
        <f>'Sprite (load)'!K10</f>
        <v>0</v>
      </c>
      <c r="N11" s="78">
        <f>'Sprite (load)'!L10</f>
        <v>0</v>
      </c>
      <c r="O11" s="78">
        <f>'Sprite (load)'!M10</f>
        <v>0</v>
      </c>
      <c r="P11" s="78">
        <f>'Sprite (load)'!N10</f>
        <v>0</v>
      </c>
      <c r="Q11" s="78">
        <f>'Sprite (load)'!O10</f>
        <v>0</v>
      </c>
      <c r="R11" s="78">
        <f>'Sprite (load)'!P10</f>
        <v>0</v>
      </c>
      <c r="S11" s="91">
        <f>'Sprite (load)'!Q10</f>
        <v>1</v>
      </c>
      <c r="T11" s="94"/>
      <c r="U11" s="95"/>
      <c r="V11" s="95"/>
      <c r="W11" s="95"/>
      <c r="X11" s="95"/>
      <c r="Y11" s="95"/>
      <c r="Z11" s="95"/>
      <c r="AA11" s="95"/>
      <c r="AB11" s="95"/>
      <c r="AC11" s="95"/>
      <c r="AD11" s="83" t="str">
        <f>'Sprite (load)'!W10</f>
        <v>60</v>
      </c>
      <c r="AE11" s="83" t="str">
        <f>'Sprite (load)'!X10</f>
        <v>00</v>
      </c>
    </row>
    <row r="12" spans="1:50" outlineLevel="1" x14ac:dyDescent="0.3">
      <c r="C12" s="48">
        <v>7</v>
      </c>
      <c r="D12" s="77">
        <f>'Sprite (load)'!B11</f>
        <v>0</v>
      </c>
      <c r="E12" s="78">
        <f>'Sprite (load)'!C11</f>
        <v>0</v>
      </c>
      <c r="F12" s="78">
        <f>'Sprite (load)'!D11</f>
        <v>0</v>
      </c>
      <c r="G12" s="78">
        <f>'Sprite (load)'!E11</f>
        <v>0</v>
      </c>
      <c r="H12" s="78">
        <f>'Sprite (load)'!F11</f>
        <v>1</v>
      </c>
      <c r="I12" s="78">
        <f>'Sprite (load)'!G11</f>
        <v>1</v>
      </c>
      <c r="J12" s="78">
        <f>'Sprite (load)'!H11</f>
        <v>1</v>
      </c>
      <c r="K12" s="84">
        <f>'Sprite (load)'!I11</f>
        <v>1</v>
      </c>
      <c r="L12" s="89">
        <f>'Sprite (load)'!J11</f>
        <v>0</v>
      </c>
      <c r="M12" s="78">
        <f>'Sprite (load)'!K11</f>
        <v>0</v>
      </c>
      <c r="N12" s="78">
        <f>'Sprite (load)'!L11</f>
        <v>0</v>
      </c>
      <c r="O12" s="78">
        <f>'Sprite (load)'!M11</f>
        <v>0</v>
      </c>
      <c r="P12" s="78">
        <f>'Sprite (load)'!N11</f>
        <v>0</v>
      </c>
      <c r="Q12" s="78">
        <f>'Sprite (load)'!O11</f>
        <v>0</v>
      </c>
      <c r="R12" s="78">
        <f>'Sprite (load)'!P11</f>
        <v>0</v>
      </c>
      <c r="S12" s="91">
        <f>'Sprite (load)'!Q11</f>
        <v>1</v>
      </c>
      <c r="T12" s="94"/>
      <c r="U12" s="95"/>
      <c r="V12" s="95"/>
      <c r="W12" s="95"/>
      <c r="X12" s="95"/>
      <c r="Y12" s="95"/>
      <c r="Z12" s="95"/>
      <c r="AA12" s="95"/>
      <c r="AB12" s="95"/>
      <c r="AC12" s="95"/>
      <c r="AD12" s="83" t="str">
        <f>'Sprite (load)'!W11</f>
        <v>70</v>
      </c>
      <c r="AE12" s="83" t="str">
        <f>'Sprite (load)'!X11</f>
        <v>00</v>
      </c>
    </row>
    <row r="13" spans="1:50" outlineLevel="1" x14ac:dyDescent="0.3">
      <c r="C13" s="48">
        <v>8</v>
      </c>
      <c r="D13" s="77">
        <f>'Sprite (load)'!B12</f>
        <v>0</v>
      </c>
      <c r="E13" s="78">
        <f>'Sprite (load)'!C12</f>
        <v>0</v>
      </c>
      <c r="F13" s="78">
        <f>'Sprite (load)'!D12</f>
        <v>0</v>
      </c>
      <c r="G13" s="78">
        <f>'Sprite (load)'!E12</f>
        <v>1</v>
      </c>
      <c r="H13" s="78">
        <f>'Sprite (load)'!F12</f>
        <v>1</v>
      </c>
      <c r="I13" s="78">
        <f>'Sprite (load)'!G12</f>
        <v>0</v>
      </c>
      <c r="J13" s="78">
        <f>'Sprite (load)'!H12</f>
        <v>1</v>
      </c>
      <c r="K13" s="84">
        <f>'Sprite (load)'!I12</f>
        <v>1</v>
      </c>
      <c r="L13" s="89">
        <f>'Sprite (load)'!J12</f>
        <v>1</v>
      </c>
      <c r="M13" s="78">
        <f>'Sprite (load)'!K12</f>
        <v>1</v>
      </c>
      <c r="N13" s="78">
        <f>'Sprite (load)'!L12</f>
        <v>1</v>
      </c>
      <c r="O13" s="78">
        <f>'Sprite (load)'!M12</f>
        <v>0</v>
      </c>
      <c r="P13" s="78">
        <f>'Sprite (load)'!N12</f>
        <v>0</v>
      </c>
      <c r="Q13" s="78">
        <f>'Sprite (load)'!O12</f>
        <v>0</v>
      </c>
      <c r="R13" s="78">
        <f>'Sprite (load)'!P12</f>
        <v>0</v>
      </c>
      <c r="S13" s="91">
        <f>'Sprite (load)'!Q12</f>
        <v>1</v>
      </c>
      <c r="T13" s="94"/>
      <c r="U13" s="95"/>
      <c r="V13" s="95"/>
      <c r="W13" s="95"/>
      <c r="X13" s="95"/>
      <c r="Y13" s="95"/>
      <c r="Z13" s="95"/>
      <c r="AA13" s="95"/>
      <c r="AB13" s="95"/>
      <c r="AC13" s="95"/>
      <c r="AD13" s="83" t="str">
        <f>'Sprite (load)'!W12</f>
        <v>58</v>
      </c>
      <c r="AE13" s="83" t="str">
        <f>'Sprite (load)'!X12</f>
        <v>07</v>
      </c>
    </row>
    <row r="14" spans="1:50" outlineLevel="1" x14ac:dyDescent="0.3">
      <c r="C14" s="48">
        <v>9</v>
      </c>
      <c r="D14" s="77">
        <f>'Sprite (load)'!B13</f>
        <v>0</v>
      </c>
      <c r="E14" s="78">
        <f>'Sprite (load)'!C13</f>
        <v>0</v>
      </c>
      <c r="F14" s="78">
        <f>'Sprite (load)'!D13</f>
        <v>0</v>
      </c>
      <c r="G14" s="78">
        <f>'Sprite (load)'!E13</f>
        <v>1</v>
      </c>
      <c r="H14" s="78">
        <f>'Sprite (load)'!F13</f>
        <v>1</v>
      </c>
      <c r="I14" s="78">
        <f>'Sprite (load)'!G13</f>
        <v>0</v>
      </c>
      <c r="J14" s="78">
        <f>'Sprite (load)'!H13</f>
        <v>0</v>
      </c>
      <c r="K14" s="84">
        <f>'Sprite (load)'!I13</f>
        <v>1</v>
      </c>
      <c r="L14" s="89">
        <f>'Sprite (load)'!J13</f>
        <v>0</v>
      </c>
      <c r="M14" s="78">
        <f>'Sprite (load)'!K13</f>
        <v>0</v>
      </c>
      <c r="N14" s="78">
        <f>'Sprite (load)'!L13</f>
        <v>0</v>
      </c>
      <c r="O14" s="78">
        <f>'Sprite (load)'!M13</f>
        <v>0</v>
      </c>
      <c r="P14" s="78">
        <f>'Sprite (load)'!N13</f>
        <v>0</v>
      </c>
      <c r="Q14" s="78">
        <f>'Sprite (load)'!O13</f>
        <v>0</v>
      </c>
      <c r="R14" s="78">
        <f>'Sprite (load)'!P13</f>
        <v>0</v>
      </c>
      <c r="S14" s="91">
        <f>'Sprite (load)'!Q13</f>
        <v>1</v>
      </c>
      <c r="T14" s="94"/>
      <c r="U14" s="95"/>
      <c r="V14" s="95"/>
      <c r="W14" s="95"/>
      <c r="X14" s="95"/>
      <c r="Y14" s="95"/>
      <c r="Z14" s="95"/>
      <c r="AA14" s="95"/>
      <c r="AB14" s="95"/>
      <c r="AC14" s="95"/>
      <c r="AD14" s="83" t="str">
        <f>'Sprite (load)'!W13</f>
        <v>18</v>
      </c>
      <c r="AE14" s="83" t="str">
        <f>'Sprite (load)'!X13</f>
        <v>00</v>
      </c>
    </row>
    <row r="15" spans="1:50" outlineLevel="1" x14ac:dyDescent="0.3">
      <c r="C15" s="48">
        <v>10</v>
      </c>
      <c r="D15" s="77">
        <f>'Sprite (load)'!B14</f>
        <v>0</v>
      </c>
      <c r="E15" s="78">
        <f>'Sprite (load)'!C14</f>
        <v>0</v>
      </c>
      <c r="F15" s="78">
        <f>'Sprite (load)'!D14</f>
        <v>0</v>
      </c>
      <c r="G15" s="78">
        <f>'Sprite (load)'!E14</f>
        <v>1</v>
      </c>
      <c r="H15" s="78">
        <f>'Sprite (load)'!F14</f>
        <v>1</v>
      </c>
      <c r="I15" s="78">
        <f>'Sprite (load)'!G14</f>
        <v>0</v>
      </c>
      <c r="J15" s="78">
        <f>'Sprite (load)'!H14</f>
        <v>0</v>
      </c>
      <c r="K15" s="84">
        <f>'Sprite (load)'!I14</f>
        <v>1</v>
      </c>
      <c r="L15" s="89">
        <f>'Sprite (load)'!J14</f>
        <v>0</v>
      </c>
      <c r="M15" s="78">
        <f>'Sprite (load)'!K14</f>
        <v>0</v>
      </c>
      <c r="N15" s="78">
        <f>'Sprite (load)'!L14</f>
        <v>0</v>
      </c>
      <c r="O15" s="78">
        <f>'Sprite (load)'!M14</f>
        <v>0</v>
      </c>
      <c r="P15" s="78">
        <f>'Sprite (load)'!N14</f>
        <v>0</v>
      </c>
      <c r="Q15" s="78">
        <f>'Sprite (load)'!O14</f>
        <v>0</v>
      </c>
      <c r="R15" s="78">
        <f>'Sprite (load)'!P14</f>
        <v>0</v>
      </c>
      <c r="S15" s="91">
        <f>'Sprite (load)'!Q14</f>
        <v>1</v>
      </c>
      <c r="T15" s="94"/>
      <c r="U15" s="95"/>
      <c r="V15" s="95"/>
      <c r="W15" s="95"/>
      <c r="X15" s="95"/>
      <c r="Y15" s="95"/>
      <c r="Z15" s="95"/>
      <c r="AA15" s="95"/>
      <c r="AB15" s="95"/>
      <c r="AC15" s="95"/>
      <c r="AD15" s="83" t="str">
        <f>'Sprite (load)'!W14</f>
        <v>18</v>
      </c>
      <c r="AE15" s="83" t="str">
        <f>'Sprite (load)'!X14</f>
        <v>00</v>
      </c>
    </row>
    <row r="16" spans="1:50" outlineLevel="1" x14ac:dyDescent="0.3"/>
    <row r="17" spans="1:53" outlineLevel="1" x14ac:dyDescent="0.3"/>
    <row r="18" spans="1:53" s="111" customFormat="1" x14ac:dyDescent="0.3">
      <c r="A18" s="119" t="s">
        <v>951</v>
      </c>
      <c r="AQ18" s="112"/>
      <c r="AR18" s="112"/>
      <c r="AW18" s="112"/>
      <c r="AX18" s="112"/>
    </row>
    <row r="19" spans="1:53" outlineLevel="1" x14ac:dyDescent="0.3">
      <c r="A19" t="s">
        <v>947</v>
      </c>
    </row>
    <row r="20" spans="1:53" ht="39.75" outlineLevel="1" x14ac:dyDescent="0.3">
      <c r="AG20" s="121" t="s">
        <v>893</v>
      </c>
      <c r="AH20" s="121" t="s">
        <v>894</v>
      </c>
      <c r="AI20" s="121" t="s">
        <v>895</v>
      </c>
      <c r="AJ20" s="122" t="s">
        <v>933</v>
      </c>
      <c r="AK20" s="121" t="s">
        <v>896</v>
      </c>
      <c r="AL20" s="122" t="s">
        <v>934</v>
      </c>
      <c r="AM20" s="121" t="s">
        <v>898</v>
      </c>
      <c r="AN20" s="121" t="s">
        <v>897</v>
      </c>
      <c r="AO20" s="121" t="s">
        <v>900</v>
      </c>
      <c r="AP20" s="121" t="s">
        <v>899</v>
      </c>
      <c r="AQ20" s="123" t="s">
        <v>904</v>
      </c>
      <c r="AR20" s="124" t="s">
        <v>904</v>
      </c>
      <c r="AS20" s="121" t="s">
        <v>906</v>
      </c>
      <c r="AT20" s="122" t="s">
        <v>935</v>
      </c>
      <c r="AU20" s="121" t="s">
        <v>903</v>
      </c>
      <c r="AV20" s="121" t="s">
        <v>902</v>
      </c>
      <c r="AW20" s="123" t="s">
        <v>905</v>
      </c>
      <c r="AX20" s="124" t="s">
        <v>905</v>
      </c>
      <c r="AY20" s="121" t="s">
        <v>907</v>
      </c>
      <c r="AZ20" s="122" t="s">
        <v>936</v>
      </c>
      <c r="BA20" s="121" t="s">
        <v>901</v>
      </c>
    </row>
    <row r="21" spans="1:53" ht="18.75" outlineLevel="1" x14ac:dyDescent="0.3">
      <c r="B21" s="48" t="s">
        <v>889</v>
      </c>
      <c r="C21" s="48" t="s">
        <v>0</v>
      </c>
      <c r="D21" s="32" t="s">
        <v>908</v>
      </c>
      <c r="E21" s="33"/>
      <c r="F21" s="33"/>
      <c r="G21" s="33"/>
      <c r="H21" s="33"/>
      <c r="I21" s="33"/>
      <c r="J21" s="33"/>
      <c r="K21" s="90" t="s">
        <v>1</v>
      </c>
      <c r="L21" s="120"/>
      <c r="AD21" s="49" t="s">
        <v>945</v>
      </c>
      <c r="AQ21" s="6"/>
      <c r="AR21" s="7"/>
      <c r="AW21" s="6"/>
      <c r="AX21" s="7"/>
    </row>
    <row r="22" spans="1:53" outlineLevel="1" x14ac:dyDescent="0.3">
      <c r="B22" s="31">
        <v>5</v>
      </c>
      <c r="C22" s="48">
        <v>0</v>
      </c>
      <c r="D22" s="77">
        <f>D5</f>
        <v>0</v>
      </c>
      <c r="E22" s="78">
        <f t="shared" ref="E22:K22" si="0">E5</f>
        <v>0</v>
      </c>
      <c r="F22" s="78">
        <f t="shared" si="0"/>
        <v>0</v>
      </c>
      <c r="G22" s="78">
        <f t="shared" si="0"/>
        <v>0</v>
      </c>
      <c r="H22" s="78">
        <f t="shared" si="0"/>
        <v>1</v>
      </c>
      <c r="I22" s="78">
        <f t="shared" si="0"/>
        <v>0</v>
      </c>
      <c r="J22" s="78">
        <f t="shared" si="0"/>
        <v>0</v>
      </c>
      <c r="K22" s="91">
        <f t="shared" si="0"/>
        <v>1</v>
      </c>
      <c r="L22" s="120"/>
      <c r="AD22" s="83" t="str">
        <f t="shared" ref="AD22:AD32" si="1">AD5</f>
        <v>10</v>
      </c>
      <c r="AG22" s="168" t="str" cm="1">
        <f t="array" ref="AG22">INDEX(PixelShiftPages,$B22+1)</f>
        <v>A7</v>
      </c>
      <c r="AH22" t="str">
        <f t="shared" ref="AH22:AH32" si="2">AG22&amp;AD22</f>
        <v>A710</v>
      </c>
      <c r="AI22" s="37" t="str">
        <f>pixel_shift_table.asm!$B$3</f>
        <v>A200</v>
      </c>
      <c r="AJ22">
        <f t="shared" ref="AJ22" si="3">HEX2DEC(AH22)-HEX2DEC(AI22)</f>
        <v>1296</v>
      </c>
      <c r="AK22" s="36" t="str" cm="1">
        <f t="array" ref="AK22">INDEX(_xlfn.TOROW(PixelShiftTable),AJ22+1)</f>
        <v>40</v>
      </c>
      <c r="AL22">
        <f t="shared" ref="AL22" si="4">AJ22+128</f>
        <v>1424</v>
      </c>
      <c r="AM22" s="36" t="str" cm="1">
        <f t="array" ref="AM22">INDEX(_xlfn.TOROW(PixelShiftTable),AL22+1)</f>
        <v>A9</v>
      </c>
      <c r="AN22" t="str">
        <f t="shared" ref="AN22" si="5">AM22&amp;AK22</f>
        <v>A940</v>
      </c>
      <c r="AO22" t="str">
        <f>pixel_pattern_table.asm!$B$2</f>
        <v>A900</v>
      </c>
      <c r="AP22">
        <f t="shared" ref="AP22" si="6">HEX2DEC(AN22)-HEX2DEC(AO22)</f>
        <v>64</v>
      </c>
      <c r="AQ22" s="107" t="str" cm="1">
        <f t="array" ref="AQ22">INDEX(_xlfn.TOROW(PixelPatternTable),AP22+1)</f>
        <v>80</v>
      </c>
      <c r="AR22" s="108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65</v>
      </c>
      <c r="AW22" s="107" t="str" cm="1">
        <f t="array" ref="AW22">INDEX(_xlfn.TOROW(PixelPatternTable),AV22+1)</f>
        <v>84</v>
      </c>
      <c r="AX22" s="108"/>
      <c r="AY22" t="str">
        <f t="shared" ref="AY22" si="10">HEX2BIN(AW22,8)</f>
        <v>10000100</v>
      </c>
      <c r="AZ22" t="str">
        <f t="shared" ref="AZ22" si="11">RIGHT(AY22,7)</f>
        <v>0000100</v>
      </c>
      <c r="BA22" t="str" cm="1">
        <f t="array" ref="BA22">ReverseString(AZ22)</f>
        <v>0010000</v>
      </c>
    </row>
    <row r="23" spans="1:53" outlineLevel="1" x14ac:dyDescent="0.3">
      <c r="B23" s="100">
        <f>B22</f>
        <v>5</v>
      </c>
      <c r="C23" s="48">
        <v>1</v>
      </c>
      <c r="D23" s="77">
        <f t="shared" ref="D23:K23" si="12">D6</f>
        <v>0</v>
      </c>
      <c r="E23" s="78">
        <f t="shared" si="12"/>
        <v>0</v>
      </c>
      <c r="F23" s="78">
        <f t="shared" si="12"/>
        <v>0</v>
      </c>
      <c r="G23" s="78">
        <f t="shared" si="12"/>
        <v>1</v>
      </c>
      <c r="H23" s="78">
        <f t="shared" si="12"/>
        <v>0</v>
      </c>
      <c r="I23" s="78">
        <f t="shared" si="12"/>
        <v>1</v>
      </c>
      <c r="J23" s="78">
        <f t="shared" si="12"/>
        <v>0</v>
      </c>
      <c r="K23" s="91">
        <f t="shared" si="12"/>
        <v>1</v>
      </c>
      <c r="L23" s="120"/>
      <c r="AD23" s="83" t="str">
        <f t="shared" si="1"/>
        <v>28</v>
      </c>
      <c r="AG23" s="168" t="str" cm="1">
        <f t="array" ref="AG23">INDEX(PixelShiftPages,$B23+1)</f>
        <v>A7</v>
      </c>
      <c r="AH23" t="str">
        <f t="shared" si="2"/>
        <v>A728</v>
      </c>
      <c r="AI23" s="37" t="str">
        <f>pixel_shift_table.asm!$B$3</f>
        <v>A200</v>
      </c>
      <c r="AJ23">
        <f t="shared" ref="AJ23:AJ32" si="13">HEX2DEC(AH23)-HEX2DEC(AI23)</f>
        <v>1320</v>
      </c>
      <c r="AK23" s="36" t="str" cm="1">
        <f t="array" ref="AK23">INDEX(_xlfn.TOROW(PixelShiftTable),AJ23+1)</f>
        <v>A0</v>
      </c>
      <c r="AL23">
        <f t="shared" ref="AL23:AL32" si="14">AJ23+128</f>
        <v>1448</v>
      </c>
      <c r="AM23" s="36" t="str" cm="1">
        <f t="array" ref="AM23">INDEX(_xlfn.TOROW(PixelShiftTable),AL23+1)</f>
        <v>A9</v>
      </c>
      <c r="AN23" t="str">
        <f t="shared" ref="AN23:AN32" si="15">AM23&amp;AK23</f>
        <v>A9A0</v>
      </c>
      <c r="AO23" t="str">
        <f>pixel_pattern_table.asm!$B$2</f>
        <v>A900</v>
      </c>
      <c r="AP23">
        <f t="shared" ref="AP23:AP32" si="16">HEX2DEC(AN23)-HEX2DEC(AO23)</f>
        <v>160</v>
      </c>
      <c r="AQ23" s="107" t="str" cm="1">
        <f t="array" ref="AQ23">INDEX(_xlfn.TOROW(PixelPatternTable),AP23+1)</f>
        <v>80</v>
      </c>
      <c r="AR23" s="108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161</v>
      </c>
      <c r="AW23" s="107" t="str" cm="1">
        <f t="array" ref="AW23">INDEX(_xlfn.TOROW(PixelPatternTable),AV23+1)</f>
        <v>8A</v>
      </c>
      <c r="AX23" s="108"/>
      <c r="AY23" t="str">
        <f t="shared" ref="AY23:AY32" si="20">HEX2BIN(AW23,8)</f>
        <v>10001010</v>
      </c>
      <c r="AZ23" t="str">
        <f t="shared" ref="AZ23:AZ32" si="21">RIGHT(AY23,7)</f>
        <v>0001010</v>
      </c>
      <c r="BA23" t="str" cm="1">
        <f t="array" ref="BA23">ReverseString(AZ23)</f>
        <v>0101000</v>
      </c>
    </row>
    <row r="24" spans="1:53" outlineLevel="1" x14ac:dyDescent="0.3">
      <c r="B24" s="100">
        <f t="shared" ref="B24:B32" si="22">B23</f>
        <v>5</v>
      </c>
      <c r="C24" s="48">
        <v>2</v>
      </c>
      <c r="D24" s="77">
        <f t="shared" ref="D24:K24" si="23">D7</f>
        <v>0</v>
      </c>
      <c r="E24" s="78">
        <f t="shared" si="23"/>
        <v>0</v>
      </c>
      <c r="F24" s="78">
        <f t="shared" si="23"/>
        <v>0</v>
      </c>
      <c r="G24" s="78">
        <f t="shared" si="23"/>
        <v>1</v>
      </c>
      <c r="H24" s="78">
        <f t="shared" si="23"/>
        <v>0</v>
      </c>
      <c r="I24" s="78">
        <f t="shared" si="23"/>
        <v>1</v>
      </c>
      <c r="J24" s="78">
        <f t="shared" si="23"/>
        <v>0</v>
      </c>
      <c r="K24" s="91">
        <f t="shared" si="23"/>
        <v>1</v>
      </c>
      <c r="L24" s="120"/>
      <c r="AD24" s="83" t="str">
        <f t="shared" si="1"/>
        <v>28</v>
      </c>
      <c r="AG24" s="168" t="str" cm="1">
        <f t="array" ref="AG24">INDEX(PixelShiftPages,$B24+1)</f>
        <v>A7</v>
      </c>
      <c r="AH24" t="str">
        <f t="shared" si="2"/>
        <v>A728</v>
      </c>
      <c r="AI24" s="37" t="str">
        <f>pixel_shift_table.asm!$B$3</f>
        <v>A200</v>
      </c>
      <c r="AJ24">
        <f t="shared" si="13"/>
        <v>1320</v>
      </c>
      <c r="AK24" s="36" t="str" cm="1">
        <f t="array" ref="AK24">INDEX(_xlfn.TOROW(PixelShiftTable),AJ24+1)</f>
        <v>A0</v>
      </c>
      <c r="AL24">
        <f t="shared" si="14"/>
        <v>1448</v>
      </c>
      <c r="AM24" s="36" t="str" cm="1">
        <f t="array" ref="AM24">INDEX(_xlfn.TOROW(PixelShiftTable),AL24+1)</f>
        <v>A9</v>
      </c>
      <c r="AN24" t="str">
        <f t="shared" si="15"/>
        <v>A9A0</v>
      </c>
      <c r="AO24" t="str">
        <f>pixel_pattern_table.asm!$B$2</f>
        <v>A900</v>
      </c>
      <c r="AP24">
        <f t="shared" si="16"/>
        <v>160</v>
      </c>
      <c r="AQ24" s="107" t="str" cm="1">
        <f t="array" ref="AQ24">INDEX(_xlfn.TOROW(PixelPatternTable),AP24+1)</f>
        <v>80</v>
      </c>
      <c r="AR24" s="108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161</v>
      </c>
      <c r="AW24" s="107" t="str" cm="1">
        <f t="array" ref="AW24">INDEX(_xlfn.TOROW(PixelPatternTable),AV24+1)</f>
        <v>8A</v>
      </c>
      <c r="AX24" s="108"/>
      <c r="AY24" t="str">
        <f t="shared" si="20"/>
        <v>10001010</v>
      </c>
      <c r="AZ24" t="str">
        <f t="shared" si="21"/>
        <v>0001010</v>
      </c>
      <c r="BA24" t="str" cm="1">
        <f t="array" ref="BA24">ReverseString(AZ24)</f>
        <v>0101000</v>
      </c>
    </row>
    <row r="25" spans="1:53" outlineLevel="1" x14ac:dyDescent="0.3">
      <c r="B25" s="100">
        <f t="shared" si="22"/>
        <v>5</v>
      </c>
      <c r="C25" s="48">
        <v>3</v>
      </c>
      <c r="D25" s="77">
        <f t="shared" ref="D25:K25" si="24">D8</f>
        <v>0</v>
      </c>
      <c r="E25" s="78">
        <f t="shared" si="24"/>
        <v>0</v>
      </c>
      <c r="F25" s="78">
        <f t="shared" si="24"/>
        <v>0</v>
      </c>
      <c r="G25" s="78">
        <f t="shared" si="24"/>
        <v>0</v>
      </c>
      <c r="H25" s="78">
        <f t="shared" si="24"/>
        <v>0</v>
      </c>
      <c r="I25" s="78">
        <f t="shared" si="24"/>
        <v>1</v>
      </c>
      <c r="J25" s="78">
        <f t="shared" si="24"/>
        <v>0</v>
      </c>
      <c r="K25" s="91">
        <f t="shared" si="24"/>
        <v>1</v>
      </c>
      <c r="L25" s="120"/>
      <c r="AD25" s="83" t="str">
        <f t="shared" si="1"/>
        <v>20</v>
      </c>
      <c r="AG25" s="168" t="str" cm="1">
        <f t="array" ref="AG25">INDEX(PixelShiftPages,$B25+1)</f>
        <v>A7</v>
      </c>
      <c r="AH25" t="str">
        <f t="shared" si="2"/>
        <v>A720</v>
      </c>
      <c r="AI25" s="37" t="str">
        <f>pixel_shift_table.asm!$B$3</f>
        <v>A200</v>
      </c>
      <c r="AJ25">
        <f t="shared" si="13"/>
        <v>1312</v>
      </c>
      <c r="AK25" s="36" t="str" cm="1">
        <f t="array" ref="AK25">INDEX(_xlfn.TOROW(PixelShiftTable),AJ25+1)</f>
        <v>80</v>
      </c>
      <c r="AL25">
        <f t="shared" si="14"/>
        <v>1440</v>
      </c>
      <c r="AM25" s="36" t="str" cm="1">
        <f t="array" ref="AM25">INDEX(_xlfn.TOROW(PixelShiftTable),AL25+1)</f>
        <v>A9</v>
      </c>
      <c r="AN25" t="str">
        <f t="shared" si="15"/>
        <v>A980</v>
      </c>
      <c r="AO25" t="str">
        <f>pixel_pattern_table.asm!$B$2</f>
        <v>A900</v>
      </c>
      <c r="AP25">
        <f t="shared" si="16"/>
        <v>128</v>
      </c>
      <c r="AQ25" s="107" t="str" cm="1">
        <f t="array" ref="AQ25">INDEX(_xlfn.TOROW(PixelPatternTable),AP25+1)</f>
        <v>80</v>
      </c>
      <c r="AR25" s="108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129</v>
      </c>
      <c r="AW25" s="107" t="str" cm="1">
        <f t="array" ref="AW25">INDEX(_xlfn.TOROW(PixelPatternTable),AV25+1)</f>
        <v>88</v>
      </c>
      <c r="AX25" s="108"/>
      <c r="AY25" t="str">
        <f t="shared" si="20"/>
        <v>10001000</v>
      </c>
      <c r="AZ25" t="str">
        <f t="shared" si="21"/>
        <v>0001000</v>
      </c>
      <c r="BA25" t="str" cm="1">
        <f t="array" ref="BA25">ReverseString(AZ25)</f>
        <v>0001000</v>
      </c>
    </row>
    <row r="26" spans="1:53" outlineLevel="1" x14ac:dyDescent="0.3">
      <c r="B26" s="100">
        <f t="shared" si="22"/>
        <v>5</v>
      </c>
      <c r="C26" s="48">
        <v>4</v>
      </c>
      <c r="D26" s="77">
        <f t="shared" ref="D26:K26" si="25">D9</f>
        <v>0</v>
      </c>
      <c r="E26" s="78">
        <f t="shared" si="25"/>
        <v>0</v>
      </c>
      <c r="F26" s="78">
        <f t="shared" si="25"/>
        <v>0</v>
      </c>
      <c r="G26" s="78">
        <f t="shared" si="25"/>
        <v>1</v>
      </c>
      <c r="H26" s="78">
        <f t="shared" si="25"/>
        <v>0</v>
      </c>
      <c r="I26" s="78">
        <f t="shared" si="25"/>
        <v>1</v>
      </c>
      <c r="J26" s="78">
        <f t="shared" si="25"/>
        <v>0</v>
      </c>
      <c r="K26" s="91">
        <f t="shared" si="25"/>
        <v>1</v>
      </c>
      <c r="L26" s="120"/>
      <c r="AD26" s="83" t="str">
        <f t="shared" si="1"/>
        <v>28</v>
      </c>
      <c r="AG26" s="168" t="str" cm="1">
        <f t="array" ref="AG26">INDEX(PixelShiftPages,$B26+1)</f>
        <v>A7</v>
      </c>
      <c r="AH26" t="str">
        <f t="shared" si="2"/>
        <v>A728</v>
      </c>
      <c r="AI26" s="37" t="str">
        <f>pixel_shift_table.asm!$B$3</f>
        <v>A200</v>
      </c>
      <c r="AJ26">
        <f t="shared" si="13"/>
        <v>1320</v>
      </c>
      <c r="AK26" s="36" t="str" cm="1">
        <f t="array" ref="AK26">INDEX(_xlfn.TOROW(PixelShiftTable),AJ26+1)</f>
        <v>A0</v>
      </c>
      <c r="AL26">
        <f t="shared" si="14"/>
        <v>1448</v>
      </c>
      <c r="AM26" s="36" t="str" cm="1">
        <f t="array" ref="AM26">INDEX(_xlfn.TOROW(PixelShiftTable),AL26+1)</f>
        <v>A9</v>
      </c>
      <c r="AN26" t="str">
        <f t="shared" si="15"/>
        <v>A9A0</v>
      </c>
      <c r="AO26" t="str">
        <f>pixel_pattern_table.asm!$B$2</f>
        <v>A900</v>
      </c>
      <c r="AP26">
        <f t="shared" si="16"/>
        <v>160</v>
      </c>
      <c r="AQ26" s="107" t="str" cm="1">
        <f t="array" ref="AQ26">INDEX(_xlfn.TOROW(PixelPatternTable),AP26+1)</f>
        <v>80</v>
      </c>
      <c r="AR26" s="108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161</v>
      </c>
      <c r="AW26" s="107" t="str" cm="1">
        <f t="array" ref="AW26">INDEX(_xlfn.TOROW(PixelPatternTable),AV26+1)</f>
        <v>8A</v>
      </c>
      <c r="AX26" s="108"/>
      <c r="AY26" t="str">
        <f t="shared" si="20"/>
        <v>10001010</v>
      </c>
      <c r="AZ26" t="str">
        <f t="shared" si="21"/>
        <v>0001010</v>
      </c>
      <c r="BA26" t="str" cm="1">
        <f t="array" ref="BA26">ReverseString(AZ26)</f>
        <v>0101000</v>
      </c>
    </row>
    <row r="27" spans="1:53" outlineLevel="1" x14ac:dyDescent="0.3">
      <c r="B27" s="100">
        <f t="shared" si="22"/>
        <v>5</v>
      </c>
      <c r="C27" s="48">
        <v>5</v>
      </c>
      <c r="D27" s="77">
        <f t="shared" ref="D27:K27" si="26">D10</f>
        <v>0</v>
      </c>
      <c r="E27" s="78">
        <f t="shared" si="26"/>
        <v>1</v>
      </c>
      <c r="F27" s="78">
        <f t="shared" si="26"/>
        <v>0</v>
      </c>
      <c r="G27" s="78">
        <f t="shared" si="26"/>
        <v>0</v>
      </c>
      <c r="H27" s="78">
        <f t="shared" si="26"/>
        <v>0</v>
      </c>
      <c r="I27" s="78">
        <f t="shared" si="26"/>
        <v>1</v>
      </c>
      <c r="J27" s="78">
        <f t="shared" si="26"/>
        <v>0</v>
      </c>
      <c r="K27" s="91">
        <f t="shared" si="26"/>
        <v>1</v>
      </c>
      <c r="L27" s="120"/>
      <c r="AD27" s="83" t="str">
        <f t="shared" si="1"/>
        <v>22</v>
      </c>
      <c r="AG27" s="168" t="str" cm="1">
        <f t="array" ref="AG27">INDEX(PixelShiftPages,$B27+1)</f>
        <v>A7</v>
      </c>
      <c r="AH27" t="str">
        <f t="shared" si="2"/>
        <v>A722</v>
      </c>
      <c r="AI27" s="37" t="str">
        <f>pixel_shift_table.asm!$B$3</f>
        <v>A200</v>
      </c>
      <c r="AJ27">
        <f t="shared" si="13"/>
        <v>1314</v>
      </c>
      <c r="AK27" s="36" t="str" cm="1">
        <f t="array" ref="AK27">INDEX(_xlfn.TOROW(PixelShiftTable),AJ27+1)</f>
        <v>8E</v>
      </c>
      <c r="AL27">
        <f t="shared" si="14"/>
        <v>1442</v>
      </c>
      <c r="AM27" s="36" t="str" cm="1">
        <f t="array" ref="AM27">INDEX(_xlfn.TOROW(PixelShiftTable),AL27+1)</f>
        <v>A9</v>
      </c>
      <c r="AN27" t="str">
        <f t="shared" si="15"/>
        <v>A98E</v>
      </c>
      <c r="AO27" t="str">
        <f>pixel_pattern_table.asm!$B$2</f>
        <v>A900</v>
      </c>
      <c r="AP27">
        <f t="shared" si="16"/>
        <v>142</v>
      </c>
      <c r="AQ27" s="107" t="str" cm="1">
        <f t="array" ref="AQ27">INDEX(_xlfn.TOROW(PixelPatternTable),AP27+1)</f>
        <v>C0</v>
      </c>
      <c r="AR27" s="108"/>
      <c r="AS27" t="str">
        <f t="shared" si="17"/>
        <v>11000000</v>
      </c>
      <c r="AT27" t="str">
        <f t="shared" si="18"/>
        <v>1000000</v>
      </c>
      <c r="AU27" t="str" cm="1">
        <f t="array" ref="AU27">ReverseString(AT27)</f>
        <v>0000001</v>
      </c>
      <c r="AV27">
        <f t="shared" si="19"/>
        <v>143</v>
      </c>
      <c r="AW27" s="107" t="str" cm="1">
        <f t="array" ref="AW27">INDEX(_xlfn.TOROW(PixelPatternTable),AV27+1)</f>
        <v>88</v>
      </c>
      <c r="AX27" s="108"/>
      <c r="AY27" t="str">
        <f t="shared" si="20"/>
        <v>10001000</v>
      </c>
      <c r="AZ27" t="str">
        <f t="shared" si="21"/>
        <v>0001000</v>
      </c>
      <c r="BA27" t="str" cm="1">
        <f t="array" ref="BA27">ReverseString(AZ27)</f>
        <v>0001000</v>
      </c>
    </row>
    <row r="28" spans="1:53" outlineLevel="1" x14ac:dyDescent="0.3">
      <c r="B28" s="100">
        <f t="shared" si="22"/>
        <v>5</v>
      </c>
      <c r="C28" s="48">
        <v>6</v>
      </c>
      <c r="D28" s="77">
        <f t="shared" ref="D28:K28" si="27">D11</f>
        <v>0</v>
      </c>
      <c r="E28" s="78">
        <f t="shared" si="27"/>
        <v>0</v>
      </c>
      <c r="F28" s="78">
        <f t="shared" si="27"/>
        <v>0</v>
      </c>
      <c r="G28" s="78">
        <f t="shared" si="27"/>
        <v>0</v>
      </c>
      <c r="H28" s="78">
        <f t="shared" si="27"/>
        <v>0</v>
      </c>
      <c r="I28" s="78">
        <f t="shared" si="27"/>
        <v>1</v>
      </c>
      <c r="J28" s="78">
        <f t="shared" si="27"/>
        <v>1</v>
      </c>
      <c r="K28" s="91">
        <f t="shared" si="27"/>
        <v>1</v>
      </c>
      <c r="L28" s="120"/>
      <c r="AD28" s="83" t="str">
        <f t="shared" si="1"/>
        <v>60</v>
      </c>
      <c r="AG28" s="168" t="str" cm="1">
        <f t="array" ref="AG28">INDEX(PixelShiftPages,$B28+1)</f>
        <v>A7</v>
      </c>
      <c r="AH28" t="str">
        <f t="shared" si="2"/>
        <v>A760</v>
      </c>
      <c r="AI28" s="37" t="str">
        <f>pixel_shift_table.asm!$B$3</f>
        <v>A200</v>
      </c>
      <c r="AJ28">
        <f t="shared" si="13"/>
        <v>1376</v>
      </c>
      <c r="AK28" s="36" t="str" cm="1">
        <f t="array" ref="AK28">INDEX(_xlfn.TOROW(PixelShiftTable),AJ28+1)</f>
        <v>80</v>
      </c>
      <c r="AL28">
        <f t="shared" si="14"/>
        <v>1504</v>
      </c>
      <c r="AM28" s="36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7" t="str" cm="1">
        <f t="array" ref="AQ28">INDEX(_xlfn.TOROW(PixelPatternTable),AP28+1)</f>
        <v>80</v>
      </c>
      <c r="AR28" s="108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7" t="str" cm="1">
        <f t="array" ref="AW28">INDEX(_xlfn.TOROW(PixelPatternTable),AV28+1)</f>
        <v>98</v>
      </c>
      <c r="AX28" s="108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100">
        <f t="shared" si="22"/>
        <v>5</v>
      </c>
      <c r="C29" s="48">
        <v>7</v>
      </c>
      <c r="D29" s="77">
        <f t="shared" ref="D29:K29" si="28">D12</f>
        <v>0</v>
      </c>
      <c r="E29" s="78">
        <f t="shared" si="28"/>
        <v>0</v>
      </c>
      <c r="F29" s="78">
        <f t="shared" si="28"/>
        <v>0</v>
      </c>
      <c r="G29" s="78">
        <f t="shared" si="28"/>
        <v>0</v>
      </c>
      <c r="H29" s="78">
        <f t="shared" si="28"/>
        <v>1</v>
      </c>
      <c r="I29" s="78">
        <f t="shared" si="28"/>
        <v>1</v>
      </c>
      <c r="J29" s="78">
        <f t="shared" si="28"/>
        <v>1</v>
      </c>
      <c r="K29" s="91">
        <f t="shared" si="28"/>
        <v>1</v>
      </c>
      <c r="L29" s="120"/>
      <c r="AD29" s="83" t="str">
        <f t="shared" si="1"/>
        <v>70</v>
      </c>
      <c r="AG29" s="168" t="str" cm="1">
        <f t="array" ref="AG29">INDEX(PixelShiftPages,$B29+1)</f>
        <v>A7</v>
      </c>
      <c r="AH29" t="str">
        <f t="shared" si="2"/>
        <v>A770</v>
      </c>
      <c r="AI29" s="37" t="str">
        <f>pixel_shift_table.asm!$B$3</f>
        <v>A200</v>
      </c>
      <c r="AJ29">
        <f t="shared" si="13"/>
        <v>1392</v>
      </c>
      <c r="AK29" s="36" t="str" cm="1">
        <f t="array" ref="AK29">INDEX(_xlfn.TOROW(PixelShiftTable),AJ29+1)</f>
        <v>C0</v>
      </c>
      <c r="AL29">
        <f t="shared" si="14"/>
        <v>1520</v>
      </c>
      <c r="AM29" s="36" t="str" cm="1">
        <f t="array" ref="AM29">INDEX(_xlfn.TOROW(PixelShiftTable),AL29+1)</f>
        <v>AA</v>
      </c>
      <c r="AN29" t="str">
        <f t="shared" si="15"/>
        <v>AAC0</v>
      </c>
      <c r="AO29" t="str">
        <f>pixel_pattern_table.asm!$B$2</f>
        <v>A900</v>
      </c>
      <c r="AP29">
        <f t="shared" si="16"/>
        <v>448</v>
      </c>
      <c r="AQ29" s="107" t="str" cm="1">
        <f t="array" ref="AQ29">INDEX(_xlfn.TOROW(PixelPatternTable),AP29+1)</f>
        <v>80</v>
      </c>
      <c r="AR29" s="108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449</v>
      </c>
      <c r="AW29" s="107" t="str" cm="1">
        <f t="array" ref="AW29">INDEX(_xlfn.TOROW(PixelPatternTable),AV29+1)</f>
        <v>9C</v>
      </c>
      <c r="AX29" s="108"/>
      <c r="AY29" t="str">
        <f t="shared" si="20"/>
        <v>10011100</v>
      </c>
      <c r="AZ29" t="str">
        <f t="shared" si="21"/>
        <v>0011100</v>
      </c>
      <c r="BA29" t="str" cm="1">
        <f t="array" ref="BA29">ReverseString(AZ29)</f>
        <v>0011100</v>
      </c>
    </row>
    <row r="30" spans="1:53" outlineLevel="1" x14ac:dyDescent="0.3">
      <c r="B30" s="100">
        <f t="shared" si="22"/>
        <v>5</v>
      </c>
      <c r="C30" s="48">
        <v>8</v>
      </c>
      <c r="D30" s="77">
        <f t="shared" ref="D30:K30" si="29">D13</f>
        <v>0</v>
      </c>
      <c r="E30" s="78">
        <f t="shared" si="29"/>
        <v>0</v>
      </c>
      <c r="F30" s="78">
        <f t="shared" si="29"/>
        <v>0</v>
      </c>
      <c r="G30" s="78">
        <f t="shared" si="29"/>
        <v>1</v>
      </c>
      <c r="H30" s="78">
        <f t="shared" si="29"/>
        <v>1</v>
      </c>
      <c r="I30" s="78">
        <f t="shared" si="29"/>
        <v>0</v>
      </c>
      <c r="J30" s="78">
        <f t="shared" si="29"/>
        <v>1</v>
      </c>
      <c r="K30" s="91">
        <f t="shared" si="29"/>
        <v>1</v>
      </c>
      <c r="L30" s="120"/>
      <c r="AD30" s="83" t="str">
        <f t="shared" si="1"/>
        <v>58</v>
      </c>
      <c r="AG30" s="168" t="str" cm="1">
        <f t="array" ref="AG30">INDEX(PixelShiftPages,$B30+1)</f>
        <v>A7</v>
      </c>
      <c r="AH30" t="str">
        <f t="shared" si="2"/>
        <v>A758</v>
      </c>
      <c r="AI30" s="37" t="str">
        <f>pixel_shift_table.asm!$B$3</f>
        <v>A200</v>
      </c>
      <c r="AJ30">
        <f t="shared" si="13"/>
        <v>1368</v>
      </c>
      <c r="AK30" s="36" t="str" cm="1">
        <f t="array" ref="AK30">INDEX(_xlfn.TOROW(PixelShiftTable),AJ30+1)</f>
        <v>60</v>
      </c>
      <c r="AL30">
        <f t="shared" si="14"/>
        <v>1496</v>
      </c>
      <c r="AM30" s="36" t="str" cm="1">
        <f t="array" ref="AM30">INDEX(_xlfn.TOROW(PixelShiftTable),AL30+1)</f>
        <v>AA</v>
      </c>
      <c r="AN30" t="str">
        <f t="shared" si="15"/>
        <v>AA60</v>
      </c>
      <c r="AO30" t="str">
        <f>pixel_pattern_table.asm!$B$2</f>
        <v>A900</v>
      </c>
      <c r="AP30">
        <f t="shared" si="16"/>
        <v>352</v>
      </c>
      <c r="AQ30" s="107" t="str" cm="1">
        <f t="array" ref="AQ30">INDEX(_xlfn.TOROW(PixelPatternTable),AP30+1)</f>
        <v>80</v>
      </c>
      <c r="AR30" s="108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353</v>
      </c>
      <c r="AW30" s="107" t="str" cm="1">
        <f t="array" ref="AW30">INDEX(_xlfn.TOROW(PixelPatternTable),AV30+1)</f>
        <v>96</v>
      </c>
      <c r="AX30" s="108"/>
      <c r="AY30" t="str">
        <f t="shared" si="20"/>
        <v>10010110</v>
      </c>
      <c r="AZ30" t="str">
        <f t="shared" si="21"/>
        <v>0010110</v>
      </c>
      <c r="BA30" t="str" cm="1">
        <f t="array" ref="BA30">ReverseString(AZ30)</f>
        <v>0110100</v>
      </c>
    </row>
    <row r="31" spans="1:53" outlineLevel="1" x14ac:dyDescent="0.3">
      <c r="B31" s="100">
        <f t="shared" si="22"/>
        <v>5</v>
      </c>
      <c r="C31" s="48">
        <v>9</v>
      </c>
      <c r="D31" s="77">
        <f t="shared" ref="D31:K31" si="30">D14</f>
        <v>0</v>
      </c>
      <c r="E31" s="78">
        <f t="shared" si="30"/>
        <v>0</v>
      </c>
      <c r="F31" s="78">
        <f t="shared" si="30"/>
        <v>0</v>
      </c>
      <c r="G31" s="78">
        <f t="shared" si="30"/>
        <v>1</v>
      </c>
      <c r="H31" s="78">
        <f t="shared" si="30"/>
        <v>1</v>
      </c>
      <c r="I31" s="78">
        <f t="shared" si="30"/>
        <v>0</v>
      </c>
      <c r="J31" s="78">
        <f t="shared" si="30"/>
        <v>0</v>
      </c>
      <c r="K31" s="91">
        <f t="shared" si="30"/>
        <v>1</v>
      </c>
      <c r="L31" s="120"/>
      <c r="AD31" s="83" t="str">
        <f t="shared" si="1"/>
        <v>18</v>
      </c>
      <c r="AG31" s="168" t="str" cm="1">
        <f t="array" ref="AG31">INDEX(PixelShiftPages,$B31+1)</f>
        <v>A7</v>
      </c>
      <c r="AH31" t="str">
        <f t="shared" si="2"/>
        <v>A718</v>
      </c>
      <c r="AI31" s="37" t="str">
        <f>pixel_shift_table.asm!$B$3</f>
        <v>A200</v>
      </c>
      <c r="AJ31">
        <f t="shared" si="13"/>
        <v>1304</v>
      </c>
      <c r="AK31" s="36" t="str" cm="1">
        <f t="array" ref="AK31">INDEX(_xlfn.TOROW(PixelShiftTable),AJ31+1)</f>
        <v>60</v>
      </c>
      <c r="AL31">
        <f t="shared" si="14"/>
        <v>1432</v>
      </c>
      <c r="AM31" s="36" t="str" cm="1">
        <f t="array" ref="AM31">INDEX(_xlfn.TOROW(PixelShiftTable),AL31+1)</f>
        <v>A9</v>
      </c>
      <c r="AN31" t="str">
        <f t="shared" si="15"/>
        <v>A960</v>
      </c>
      <c r="AO31" t="str">
        <f>pixel_pattern_table.asm!$B$2</f>
        <v>A900</v>
      </c>
      <c r="AP31">
        <f t="shared" si="16"/>
        <v>96</v>
      </c>
      <c r="AQ31" s="107" t="str" cm="1">
        <f t="array" ref="AQ31">INDEX(_xlfn.TOROW(PixelPatternTable),AP31+1)</f>
        <v>80</v>
      </c>
      <c r="AR31" s="108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97</v>
      </c>
      <c r="AW31" s="107" t="str" cm="1">
        <f t="array" ref="AW31">INDEX(_xlfn.TOROW(PixelPatternTable),AV31+1)</f>
        <v>86</v>
      </c>
      <c r="AX31" s="108"/>
      <c r="AY31" t="str">
        <f t="shared" si="20"/>
        <v>10000110</v>
      </c>
      <c r="AZ31" t="str">
        <f t="shared" si="21"/>
        <v>0000110</v>
      </c>
      <c r="BA31" t="str" cm="1">
        <f t="array" ref="BA31">ReverseString(AZ31)</f>
        <v>0110000</v>
      </c>
    </row>
    <row r="32" spans="1:53" outlineLevel="1" x14ac:dyDescent="0.3">
      <c r="B32" s="100">
        <f t="shared" si="22"/>
        <v>5</v>
      </c>
      <c r="C32" s="48">
        <v>10</v>
      </c>
      <c r="D32" s="77">
        <f t="shared" ref="D32:K32" si="31">D15</f>
        <v>0</v>
      </c>
      <c r="E32" s="78">
        <f t="shared" si="31"/>
        <v>0</v>
      </c>
      <c r="F32" s="78">
        <f t="shared" si="31"/>
        <v>0</v>
      </c>
      <c r="G32" s="78">
        <f t="shared" si="31"/>
        <v>1</v>
      </c>
      <c r="H32" s="78">
        <f t="shared" si="31"/>
        <v>1</v>
      </c>
      <c r="I32" s="78">
        <f t="shared" si="31"/>
        <v>0</v>
      </c>
      <c r="J32" s="78">
        <f t="shared" si="31"/>
        <v>0</v>
      </c>
      <c r="K32" s="91">
        <f t="shared" si="31"/>
        <v>1</v>
      </c>
      <c r="L32" s="120"/>
      <c r="AD32" s="83" t="str">
        <f t="shared" si="1"/>
        <v>18</v>
      </c>
      <c r="AG32" s="168" t="str" cm="1">
        <f t="array" ref="AG32">INDEX(PixelShiftPages,$B32+1)</f>
        <v>A7</v>
      </c>
      <c r="AH32" t="str">
        <f t="shared" si="2"/>
        <v>A718</v>
      </c>
      <c r="AI32" s="37" t="str">
        <f>pixel_shift_table.asm!$B$3</f>
        <v>A200</v>
      </c>
      <c r="AJ32">
        <f t="shared" si="13"/>
        <v>1304</v>
      </c>
      <c r="AK32" s="36" t="str" cm="1">
        <f t="array" ref="AK32">INDEX(_xlfn.TOROW(PixelShiftTable),AJ32+1)</f>
        <v>60</v>
      </c>
      <c r="AL32">
        <f t="shared" si="14"/>
        <v>1432</v>
      </c>
      <c r="AM32" s="36" t="str" cm="1">
        <f t="array" ref="AM32">INDEX(_xlfn.TOROW(PixelShiftTable),AL32+1)</f>
        <v>A9</v>
      </c>
      <c r="AN32" t="str">
        <f t="shared" si="15"/>
        <v>A960</v>
      </c>
      <c r="AO32" t="str">
        <f>pixel_pattern_table.asm!$B$2</f>
        <v>A900</v>
      </c>
      <c r="AP32">
        <f t="shared" si="16"/>
        <v>96</v>
      </c>
      <c r="AQ32" s="107" t="str" cm="1">
        <f t="array" ref="AQ32">INDEX(_xlfn.TOROW(PixelPatternTable),AP32+1)</f>
        <v>80</v>
      </c>
      <c r="AR32" s="108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97</v>
      </c>
      <c r="AW32" s="107" t="str" cm="1">
        <f t="array" ref="AW32">INDEX(_xlfn.TOROW(PixelPatternTable),AV32+1)</f>
        <v>86</v>
      </c>
      <c r="AX32" s="108"/>
      <c r="AY32" t="str">
        <f t="shared" si="20"/>
        <v>10000110</v>
      </c>
      <c r="AZ32" t="str">
        <f t="shared" si="21"/>
        <v>0000110</v>
      </c>
      <c r="BA32" t="str" cm="1">
        <f t="array" ref="BA32">ReverseString(AZ32)</f>
        <v>0110000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5" t="s">
        <v>909</v>
      </c>
      <c r="M34" s="33"/>
      <c r="N34" s="33"/>
      <c r="O34" s="33"/>
      <c r="P34" s="33"/>
      <c r="Q34" s="33"/>
      <c r="R34" s="33"/>
      <c r="S34" s="90" t="s">
        <v>2</v>
      </c>
      <c r="T34" s="120"/>
      <c r="AE34" s="49" t="s">
        <v>946</v>
      </c>
      <c r="AF34" s="46"/>
      <c r="AQ34" s="6"/>
      <c r="AR34" s="7"/>
      <c r="AW34" s="6"/>
      <c r="AX34" s="7"/>
    </row>
    <row r="35" spans="1:53" outlineLevel="1" x14ac:dyDescent="0.3">
      <c r="B35" s="100">
        <f>B22</f>
        <v>5</v>
      </c>
      <c r="L35" s="89">
        <f>L5</f>
        <v>0</v>
      </c>
      <c r="M35" s="78">
        <f t="shared" ref="M35:S35" si="32">M5</f>
        <v>0</v>
      </c>
      <c r="N35" s="78">
        <f t="shared" si="32"/>
        <v>0</v>
      </c>
      <c r="O35" s="78">
        <f t="shared" si="32"/>
        <v>0</v>
      </c>
      <c r="P35" s="78">
        <f t="shared" si="32"/>
        <v>0</v>
      </c>
      <c r="Q35" s="78">
        <f t="shared" si="32"/>
        <v>0</v>
      </c>
      <c r="R35" s="78">
        <f t="shared" si="32"/>
        <v>0</v>
      </c>
      <c r="S35" s="91">
        <f t="shared" si="32"/>
        <v>1</v>
      </c>
      <c r="T35" s="120"/>
      <c r="AE35" s="83" t="str">
        <f t="shared" ref="AE35:AE45" si="33">AE5</f>
        <v>00</v>
      </c>
      <c r="AF35" s="128"/>
      <c r="AG35" s="168" t="str" cm="1">
        <f t="array" ref="AG35">INDEX(PixelShiftPages,$B35+1)</f>
        <v>A7</v>
      </c>
      <c r="AH35" t="str">
        <f t="shared" ref="AH35:AH45" si="34">AG35&amp;AE35</f>
        <v>A700</v>
      </c>
      <c r="AI35" s="37" t="str">
        <f>pixel_shift_table.asm!$B$3</f>
        <v>A200</v>
      </c>
      <c r="AJ35">
        <f t="shared" ref="AJ35" si="35">HEX2DEC(AH35)-HEX2DEC(AI35)</f>
        <v>1280</v>
      </c>
      <c r="AK35" s="36" t="str" cm="1">
        <f t="array" ref="AK35">INDEX(_xlfn.TOROW(PixelShiftTable),AJ35+1)</f>
        <v>00</v>
      </c>
      <c r="AL35">
        <f t="shared" ref="AL35" si="36">AJ35+128</f>
        <v>1408</v>
      </c>
      <c r="AM35" s="36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8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8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100">
        <f t="shared" ref="B36:B45" si="44">B23</f>
        <v>5</v>
      </c>
      <c r="L36" s="89">
        <f t="shared" ref="L36:S36" si="45">L6</f>
        <v>0</v>
      </c>
      <c r="M36" s="78">
        <f t="shared" si="45"/>
        <v>0</v>
      </c>
      <c r="N36" s="78">
        <f t="shared" si="45"/>
        <v>0</v>
      </c>
      <c r="O36" s="78">
        <f t="shared" si="45"/>
        <v>0</v>
      </c>
      <c r="P36" s="78">
        <f t="shared" si="45"/>
        <v>0</v>
      </c>
      <c r="Q36" s="78">
        <f t="shared" si="45"/>
        <v>0</v>
      </c>
      <c r="R36" s="78">
        <f t="shared" si="45"/>
        <v>0</v>
      </c>
      <c r="S36" s="91">
        <f t="shared" si="45"/>
        <v>1</v>
      </c>
      <c r="T36" s="120"/>
      <c r="AE36" s="83" t="str">
        <f t="shared" si="33"/>
        <v>00</v>
      </c>
      <c r="AF36" s="128"/>
      <c r="AG36" s="168" t="str" cm="1">
        <f t="array" ref="AG36">INDEX(PixelShiftPages,$B36+1)</f>
        <v>A7</v>
      </c>
      <c r="AH36" t="str">
        <f t="shared" si="34"/>
        <v>A700</v>
      </c>
      <c r="AI36" s="37" t="str">
        <f>pixel_shift_table.asm!$B$3</f>
        <v>A200</v>
      </c>
      <c r="AJ36">
        <f t="shared" ref="AJ36:AJ45" si="46">HEX2DEC(AH36)-HEX2DEC(AI36)</f>
        <v>1280</v>
      </c>
      <c r="AK36" s="36" t="str" cm="1">
        <f t="array" ref="AK36">INDEX(_xlfn.TOROW(PixelShiftTable),AJ36+1)</f>
        <v>00</v>
      </c>
      <c r="AL36">
        <f t="shared" ref="AL36:AL45" si="47">AJ36+128</f>
        <v>1408</v>
      </c>
      <c r="AM36" s="36" t="str" cm="1">
        <f t="array" ref="AM36">INDEX(_xlfn.TOROW(PixelShiftTable),AL36+1)</f>
        <v>A9</v>
      </c>
      <c r="AN36" t="str">
        <f t="shared" ref="AN36:AN45" si="48">AM36&amp;AK36</f>
        <v>A900</v>
      </c>
      <c r="AO36" t="str">
        <f>pixel_pattern_table.asm!$B$2</f>
        <v>A900</v>
      </c>
      <c r="AP36">
        <f t="shared" ref="AP36:AP45" si="49">HEX2DEC(AN36)-HEX2DEC(AO36)</f>
        <v>0</v>
      </c>
      <c r="AQ36" s="6"/>
      <c r="AR36" s="108" t="str" cm="1">
        <f t="array" ref="AR36">INDEX(_xlfn.TOROW(PixelPatternTable),AP36+1)</f>
        <v>80</v>
      </c>
      <c r="AS36" t="str">
        <f t="shared" si="39"/>
        <v>10000000</v>
      </c>
      <c r="AT36" t="str">
        <f t="shared" ref="AT36:AT45" si="50">RIGHT(AS36,7)</f>
        <v>0000000</v>
      </c>
      <c r="AU36" t="str" cm="1">
        <f t="array" ref="AU36">ReverseString(AT36)</f>
        <v>0000000</v>
      </c>
      <c r="AV36">
        <f t="shared" ref="AV36:AV45" si="51">AP36+1</f>
        <v>1</v>
      </c>
      <c r="AW36" s="6"/>
      <c r="AX36" s="108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100">
        <f t="shared" si="44"/>
        <v>5</v>
      </c>
      <c r="L37" s="89">
        <f t="shared" ref="L37:S37" si="53">L7</f>
        <v>0</v>
      </c>
      <c r="M37" s="78">
        <f t="shared" si="53"/>
        <v>0</v>
      </c>
      <c r="N37" s="78">
        <f t="shared" si="53"/>
        <v>0</v>
      </c>
      <c r="O37" s="78">
        <f t="shared" si="53"/>
        <v>0</v>
      </c>
      <c r="P37" s="78">
        <f t="shared" si="53"/>
        <v>0</v>
      </c>
      <c r="Q37" s="78">
        <f t="shared" si="53"/>
        <v>0</v>
      </c>
      <c r="R37" s="78">
        <f t="shared" si="53"/>
        <v>0</v>
      </c>
      <c r="S37" s="91">
        <f t="shared" si="53"/>
        <v>1</v>
      </c>
      <c r="T37" s="120"/>
      <c r="AE37" s="83" t="str">
        <f t="shared" si="33"/>
        <v>00</v>
      </c>
      <c r="AF37" s="128"/>
      <c r="AG37" s="168" t="str" cm="1">
        <f t="array" ref="AG37">INDEX(PixelShiftPages,$B37+1)</f>
        <v>A7</v>
      </c>
      <c r="AH37" t="str">
        <f t="shared" si="34"/>
        <v>A700</v>
      </c>
      <c r="AI37" s="37" t="str">
        <f>pixel_shift_table.asm!$B$3</f>
        <v>A200</v>
      </c>
      <c r="AJ37">
        <f t="shared" si="46"/>
        <v>1280</v>
      </c>
      <c r="AK37" s="36" t="str" cm="1">
        <f t="array" ref="AK37">INDEX(_xlfn.TOROW(PixelShiftTable),AJ37+1)</f>
        <v>00</v>
      </c>
      <c r="AL37">
        <f t="shared" si="47"/>
        <v>1408</v>
      </c>
      <c r="AM37" s="36" t="str" cm="1">
        <f t="array" ref="AM37">INDEX(_xlfn.TOROW(PixelShiftTable),AL37+1)</f>
        <v>A9</v>
      </c>
      <c r="AN37" t="str">
        <f t="shared" si="48"/>
        <v>A900</v>
      </c>
      <c r="AO37" t="str">
        <f>pixel_pattern_table.asm!$B$2</f>
        <v>A900</v>
      </c>
      <c r="AP37">
        <f t="shared" si="49"/>
        <v>0</v>
      </c>
      <c r="AQ37" s="6"/>
      <c r="AR37" s="108" t="str" cm="1">
        <f t="array" ref="AR37">INDEX(_xlfn.TOROW(PixelPatternTable),AP37+1)</f>
        <v>80</v>
      </c>
      <c r="AS37" t="str">
        <f t="shared" si="39"/>
        <v>10000000</v>
      </c>
      <c r="AT37" t="str">
        <f t="shared" si="50"/>
        <v>0000000</v>
      </c>
      <c r="AU37" t="str" cm="1">
        <f t="array" ref="AU37">ReverseString(AT37)</f>
        <v>0000000</v>
      </c>
      <c r="AV37">
        <f t="shared" si="51"/>
        <v>1</v>
      </c>
      <c r="AW37" s="6"/>
      <c r="AX37" s="108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100">
        <f t="shared" si="44"/>
        <v>5</v>
      </c>
      <c r="L38" s="89">
        <f t="shared" ref="L38:S38" si="54">L8</f>
        <v>0</v>
      </c>
      <c r="M38" s="78">
        <f t="shared" si="54"/>
        <v>0</v>
      </c>
      <c r="N38" s="78">
        <f t="shared" si="54"/>
        <v>0</v>
      </c>
      <c r="O38" s="78">
        <f t="shared" si="54"/>
        <v>0</v>
      </c>
      <c r="P38" s="78">
        <f t="shared" si="54"/>
        <v>0</v>
      </c>
      <c r="Q38" s="78">
        <f t="shared" si="54"/>
        <v>0</v>
      </c>
      <c r="R38" s="78">
        <f t="shared" si="54"/>
        <v>0</v>
      </c>
      <c r="S38" s="91">
        <f t="shared" si="54"/>
        <v>1</v>
      </c>
      <c r="T38" s="120"/>
      <c r="AE38" s="83" t="str">
        <f t="shared" si="33"/>
        <v>00</v>
      </c>
      <c r="AF38" s="128"/>
      <c r="AG38" s="168" t="str" cm="1">
        <f t="array" ref="AG38">INDEX(PixelShiftPages,$B38+1)</f>
        <v>A7</v>
      </c>
      <c r="AH38" t="str">
        <f t="shared" si="34"/>
        <v>A700</v>
      </c>
      <c r="AI38" s="37" t="str">
        <f>pixel_shift_table.asm!$B$3</f>
        <v>A200</v>
      </c>
      <c r="AJ38">
        <f t="shared" si="46"/>
        <v>1280</v>
      </c>
      <c r="AK38" s="36" t="str" cm="1">
        <f t="array" ref="AK38">INDEX(_xlfn.TOROW(PixelShiftTable),AJ38+1)</f>
        <v>00</v>
      </c>
      <c r="AL38">
        <f t="shared" si="47"/>
        <v>1408</v>
      </c>
      <c r="AM38" s="36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8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8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100">
        <f t="shared" si="44"/>
        <v>5</v>
      </c>
      <c r="L39" s="89">
        <f t="shared" ref="L39:S39" si="55">L9</f>
        <v>1</v>
      </c>
      <c r="M39" s="78">
        <f t="shared" si="55"/>
        <v>0</v>
      </c>
      <c r="N39" s="78">
        <f t="shared" si="55"/>
        <v>0</v>
      </c>
      <c r="O39" s="78">
        <f t="shared" si="55"/>
        <v>0</v>
      </c>
      <c r="P39" s="78">
        <f t="shared" si="55"/>
        <v>0</v>
      </c>
      <c r="Q39" s="78">
        <f t="shared" si="55"/>
        <v>0</v>
      </c>
      <c r="R39" s="78">
        <f t="shared" si="55"/>
        <v>0</v>
      </c>
      <c r="S39" s="91">
        <f t="shared" si="55"/>
        <v>1</v>
      </c>
      <c r="T39" s="120"/>
      <c r="AE39" s="83" t="str">
        <f t="shared" si="33"/>
        <v>01</v>
      </c>
      <c r="AF39" s="128"/>
      <c r="AG39" s="168" t="str" cm="1">
        <f t="array" ref="AG39">INDEX(PixelShiftPages,$B39+1)</f>
        <v>A7</v>
      </c>
      <c r="AH39" t="str">
        <f t="shared" si="34"/>
        <v>A701</v>
      </c>
      <c r="AI39" s="37" t="str">
        <f>pixel_shift_table.asm!$B$3</f>
        <v>A200</v>
      </c>
      <c r="AJ39">
        <f t="shared" si="46"/>
        <v>1281</v>
      </c>
      <c r="AK39" s="36" t="str" cm="1">
        <f t="array" ref="AK39">INDEX(_xlfn.TOROW(PixelShiftTable),AJ39+1)</f>
        <v>0C</v>
      </c>
      <c r="AL39">
        <f t="shared" si="47"/>
        <v>1409</v>
      </c>
      <c r="AM39" s="36" t="str" cm="1">
        <f t="array" ref="AM39">INDEX(_xlfn.TOROW(PixelShiftTable),AL39+1)</f>
        <v>A9</v>
      </c>
      <c r="AN39" t="str">
        <f t="shared" si="48"/>
        <v>A90C</v>
      </c>
      <c r="AO39" t="str">
        <f>pixel_pattern_table.asm!$B$2</f>
        <v>A900</v>
      </c>
      <c r="AP39">
        <f t="shared" si="49"/>
        <v>12</v>
      </c>
      <c r="AQ39" s="6"/>
      <c r="AR39" s="108" t="str" cm="1">
        <f t="array" ref="AR39">INDEX(_xlfn.TOROW(PixelPatternTable),AP39+1)</f>
        <v>A0</v>
      </c>
      <c r="AS39" t="str">
        <f t="shared" si="39"/>
        <v>10100000</v>
      </c>
      <c r="AT39" t="str">
        <f t="shared" si="50"/>
        <v>0100000</v>
      </c>
      <c r="AU39" t="str" cm="1">
        <f t="array" ref="AU39">ReverseString(AT39)</f>
        <v>0000010</v>
      </c>
      <c r="AV39">
        <f t="shared" si="51"/>
        <v>13</v>
      </c>
      <c r="AW39" s="6"/>
      <c r="AX39" s="108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100">
        <f t="shared" si="44"/>
        <v>5</v>
      </c>
      <c r="L40" s="89">
        <f t="shared" ref="L40:S40" si="56">L10</f>
        <v>0</v>
      </c>
      <c r="M40" s="78">
        <f t="shared" si="56"/>
        <v>0</v>
      </c>
      <c r="N40" s="78">
        <f t="shared" si="56"/>
        <v>1</v>
      </c>
      <c r="O40" s="78">
        <f t="shared" si="56"/>
        <v>0</v>
      </c>
      <c r="P40" s="78">
        <f t="shared" si="56"/>
        <v>0</v>
      </c>
      <c r="Q40" s="78">
        <f t="shared" si="56"/>
        <v>0</v>
      </c>
      <c r="R40" s="78">
        <f t="shared" si="56"/>
        <v>0</v>
      </c>
      <c r="S40" s="91">
        <f t="shared" si="56"/>
        <v>1</v>
      </c>
      <c r="T40" s="120"/>
      <c r="AE40" s="83" t="str">
        <f t="shared" si="33"/>
        <v>04</v>
      </c>
      <c r="AF40" s="128"/>
      <c r="AG40" s="168" t="str" cm="1">
        <f t="array" ref="AG40">INDEX(PixelShiftPages,$B40+1)</f>
        <v>A7</v>
      </c>
      <c r="AH40" t="str">
        <f t="shared" si="34"/>
        <v>A704</v>
      </c>
      <c r="AI40" s="37" t="str">
        <f>pixel_shift_table.asm!$B$3</f>
        <v>A200</v>
      </c>
      <c r="AJ40">
        <f t="shared" si="46"/>
        <v>1284</v>
      </c>
      <c r="AK40" s="36" t="str" cm="1">
        <f t="array" ref="AK40">INDEX(_xlfn.TOROW(PixelShiftTable),AJ40+1)</f>
        <v>10</v>
      </c>
      <c r="AL40">
        <f t="shared" si="47"/>
        <v>1412</v>
      </c>
      <c r="AM40" s="36" t="str" cm="1">
        <f t="array" ref="AM40">INDEX(_xlfn.TOROW(PixelShiftTable),AL40+1)</f>
        <v>A9</v>
      </c>
      <c r="AN40" t="str">
        <f t="shared" si="48"/>
        <v>A910</v>
      </c>
      <c r="AO40" t="str">
        <f>pixel_pattern_table.asm!$B$2</f>
        <v>A900</v>
      </c>
      <c r="AP40">
        <f t="shared" si="49"/>
        <v>16</v>
      </c>
      <c r="AQ40" s="6"/>
      <c r="AR40" s="108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17</v>
      </c>
      <c r="AW40" s="6"/>
      <c r="AX40" s="108" t="str" cm="1">
        <f t="array" ref="AX40">INDEX(_xlfn.TOROW(PixelPatternTable),AV40+1)</f>
        <v>81</v>
      </c>
      <c r="AY40" t="str">
        <f t="shared" si="42"/>
        <v>10000001</v>
      </c>
      <c r="AZ40" t="str">
        <f t="shared" si="52"/>
        <v>0000001</v>
      </c>
      <c r="BA40" t="str" cm="1">
        <f t="array" ref="BA40">ReverseString(AZ40)</f>
        <v>1000000</v>
      </c>
    </row>
    <row r="41" spans="1:53" outlineLevel="1" x14ac:dyDescent="0.3">
      <c r="B41" s="100">
        <f t="shared" si="44"/>
        <v>5</v>
      </c>
      <c r="L41" s="89">
        <f t="shared" ref="L41:S41" si="57">L11</f>
        <v>0</v>
      </c>
      <c r="M41" s="78">
        <f t="shared" si="57"/>
        <v>0</v>
      </c>
      <c r="N41" s="78">
        <f t="shared" si="57"/>
        <v>0</v>
      </c>
      <c r="O41" s="78">
        <f t="shared" si="57"/>
        <v>0</v>
      </c>
      <c r="P41" s="78">
        <f t="shared" si="57"/>
        <v>0</v>
      </c>
      <c r="Q41" s="78">
        <f t="shared" si="57"/>
        <v>0</v>
      </c>
      <c r="R41" s="78">
        <f t="shared" si="57"/>
        <v>0</v>
      </c>
      <c r="S41" s="91">
        <f t="shared" si="57"/>
        <v>1</v>
      </c>
      <c r="T41" s="120"/>
      <c r="AE41" s="83" t="str">
        <f t="shared" si="33"/>
        <v>00</v>
      </c>
      <c r="AF41" s="128"/>
      <c r="AG41" s="168" t="str" cm="1">
        <f t="array" ref="AG41">INDEX(PixelShiftPages,$B41+1)</f>
        <v>A7</v>
      </c>
      <c r="AH41" t="str">
        <f t="shared" si="34"/>
        <v>A700</v>
      </c>
      <c r="AI41" s="37" t="str">
        <f>pixel_shift_table.asm!$B$3</f>
        <v>A200</v>
      </c>
      <c r="AJ41">
        <f t="shared" si="46"/>
        <v>1280</v>
      </c>
      <c r="AK41" s="36" t="str" cm="1">
        <f t="array" ref="AK41">INDEX(_xlfn.TOROW(PixelShiftTable),AJ41+1)</f>
        <v>00</v>
      </c>
      <c r="AL41">
        <f t="shared" si="47"/>
        <v>1408</v>
      </c>
      <c r="AM41" s="36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8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8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100">
        <f t="shared" si="44"/>
        <v>5</v>
      </c>
      <c r="L42" s="89">
        <f t="shared" ref="L42:S42" si="58">L12</f>
        <v>0</v>
      </c>
      <c r="M42" s="78">
        <f t="shared" si="58"/>
        <v>0</v>
      </c>
      <c r="N42" s="78">
        <f t="shared" si="58"/>
        <v>0</v>
      </c>
      <c r="O42" s="78">
        <f t="shared" si="58"/>
        <v>0</v>
      </c>
      <c r="P42" s="78">
        <f t="shared" si="58"/>
        <v>0</v>
      </c>
      <c r="Q42" s="78">
        <f t="shared" si="58"/>
        <v>0</v>
      </c>
      <c r="R42" s="78">
        <f t="shared" si="58"/>
        <v>0</v>
      </c>
      <c r="S42" s="91">
        <f t="shared" si="58"/>
        <v>1</v>
      </c>
      <c r="T42" s="120"/>
      <c r="AE42" s="83" t="str">
        <f t="shared" si="33"/>
        <v>00</v>
      </c>
      <c r="AF42" s="128"/>
      <c r="AG42" s="168" t="str" cm="1">
        <f t="array" ref="AG42">INDEX(PixelShiftPages,$B42+1)</f>
        <v>A7</v>
      </c>
      <c r="AH42" t="str">
        <f t="shared" si="34"/>
        <v>A700</v>
      </c>
      <c r="AI42" s="37" t="str">
        <f>pixel_shift_table.asm!$B$3</f>
        <v>A200</v>
      </c>
      <c r="AJ42">
        <f t="shared" si="46"/>
        <v>1280</v>
      </c>
      <c r="AK42" s="36" t="str" cm="1">
        <f t="array" ref="AK42">INDEX(_xlfn.TOROW(PixelShiftTable),AJ42+1)</f>
        <v>00</v>
      </c>
      <c r="AL42">
        <f t="shared" si="47"/>
        <v>1408</v>
      </c>
      <c r="AM42" s="36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8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8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100">
        <f t="shared" si="44"/>
        <v>5</v>
      </c>
      <c r="L43" s="89">
        <f t="shared" ref="L43:S43" si="59">L13</f>
        <v>1</v>
      </c>
      <c r="M43" s="78">
        <f t="shared" si="59"/>
        <v>1</v>
      </c>
      <c r="N43" s="78">
        <f t="shared" si="59"/>
        <v>1</v>
      </c>
      <c r="O43" s="78">
        <f t="shared" si="59"/>
        <v>0</v>
      </c>
      <c r="P43" s="78">
        <f t="shared" si="59"/>
        <v>0</v>
      </c>
      <c r="Q43" s="78">
        <f t="shared" si="59"/>
        <v>0</v>
      </c>
      <c r="R43" s="78">
        <f t="shared" si="59"/>
        <v>0</v>
      </c>
      <c r="S43" s="91">
        <f t="shared" si="59"/>
        <v>1</v>
      </c>
      <c r="T43" s="120"/>
      <c r="AE43" s="83" t="str">
        <f t="shared" si="33"/>
        <v>07</v>
      </c>
      <c r="AF43" s="128"/>
      <c r="AG43" s="168" t="str" cm="1">
        <f t="array" ref="AG43">INDEX(PixelShiftPages,$B43+1)</f>
        <v>A7</v>
      </c>
      <c r="AH43" t="str">
        <f t="shared" si="34"/>
        <v>A707</v>
      </c>
      <c r="AI43" s="37" t="str">
        <f>pixel_shift_table.asm!$B$3</f>
        <v>A200</v>
      </c>
      <c r="AJ43">
        <f t="shared" si="46"/>
        <v>1287</v>
      </c>
      <c r="AK43" s="36" t="str" cm="1">
        <f t="array" ref="AK43">INDEX(_xlfn.TOROW(PixelShiftTable),AJ43+1)</f>
        <v>3C</v>
      </c>
      <c r="AL43">
        <f t="shared" si="47"/>
        <v>1415</v>
      </c>
      <c r="AM43" s="36" t="str" cm="1">
        <f t="array" ref="AM43">INDEX(_xlfn.TOROW(PixelShiftTable),AL43+1)</f>
        <v>A9</v>
      </c>
      <c r="AN43" t="str">
        <f t="shared" si="48"/>
        <v>A93C</v>
      </c>
      <c r="AO43" t="str">
        <f>pixel_pattern_table.asm!$B$2</f>
        <v>A900</v>
      </c>
      <c r="AP43">
        <f t="shared" si="49"/>
        <v>60</v>
      </c>
      <c r="AQ43" s="6"/>
      <c r="AR43" s="108" t="str" cm="1">
        <f t="array" ref="AR43">INDEX(_xlfn.TOROW(PixelPatternTable),AP43+1)</f>
        <v>E0</v>
      </c>
      <c r="AS43" t="str">
        <f t="shared" si="39"/>
        <v>11100000</v>
      </c>
      <c r="AT43" t="str">
        <f t="shared" si="50"/>
        <v>1100000</v>
      </c>
      <c r="AU43" t="str" cm="1">
        <f t="array" ref="AU43">ReverseString(AT43)</f>
        <v>0000011</v>
      </c>
      <c r="AV43">
        <f t="shared" si="51"/>
        <v>61</v>
      </c>
      <c r="AW43" s="6"/>
      <c r="AX43" s="108" t="str" cm="1">
        <f t="array" ref="AX43">INDEX(_xlfn.TOROW(PixelPatternTable),AV43+1)</f>
        <v>81</v>
      </c>
      <c r="AY43" t="str">
        <f t="shared" si="42"/>
        <v>10000001</v>
      </c>
      <c r="AZ43" t="str">
        <f t="shared" si="52"/>
        <v>0000001</v>
      </c>
      <c r="BA43" t="str" cm="1">
        <f t="array" ref="BA43">ReverseString(AZ43)</f>
        <v>1000000</v>
      </c>
    </row>
    <row r="44" spans="1:53" outlineLevel="1" x14ac:dyDescent="0.3">
      <c r="B44" s="100">
        <f t="shared" si="44"/>
        <v>5</v>
      </c>
      <c r="L44" s="89">
        <f t="shared" ref="L44:S44" si="60">L14</f>
        <v>0</v>
      </c>
      <c r="M44" s="78">
        <f t="shared" si="60"/>
        <v>0</v>
      </c>
      <c r="N44" s="78">
        <f t="shared" si="60"/>
        <v>0</v>
      </c>
      <c r="O44" s="78">
        <f t="shared" si="60"/>
        <v>0</v>
      </c>
      <c r="P44" s="78">
        <f t="shared" si="60"/>
        <v>0</v>
      </c>
      <c r="Q44" s="78">
        <f t="shared" si="60"/>
        <v>0</v>
      </c>
      <c r="R44" s="78">
        <f t="shared" si="60"/>
        <v>0</v>
      </c>
      <c r="S44" s="91">
        <f t="shared" si="60"/>
        <v>1</v>
      </c>
      <c r="T44" s="120"/>
      <c r="AE44" s="83" t="str">
        <f t="shared" si="33"/>
        <v>00</v>
      </c>
      <c r="AF44" s="128"/>
      <c r="AG44" s="168" t="str" cm="1">
        <f t="array" ref="AG44">INDEX(PixelShiftPages,$B44+1)</f>
        <v>A7</v>
      </c>
      <c r="AH44" t="str">
        <f t="shared" si="34"/>
        <v>A700</v>
      </c>
      <c r="AI44" s="37" t="str">
        <f>pixel_shift_table.asm!$B$3</f>
        <v>A200</v>
      </c>
      <c r="AJ44">
        <f t="shared" si="46"/>
        <v>1280</v>
      </c>
      <c r="AK44" s="36" t="str" cm="1">
        <f t="array" ref="AK44">INDEX(_xlfn.TOROW(PixelShiftTable),AJ44+1)</f>
        <v>00</v>
      </c>
      <c r="AL44">
        <f t="shared" si="47"/>
        <v>1408</v>
      </c>
      <c r="AM44" s="36" t="str" cm="1">
        <f t="array" ref="AM44">INDEX(_xlfn.TOROW(PixelShiftTable),AL44+1)</f>
        <v>A9</v>
      </c>
      <c r="AN44" t="str">
        <f t="shared" si="48"/>
        <v>A900</v>
      </c>
      <c r="AO44" t="str">
        <f>pixel_pattern_table.asm!$B$2</f>
        <v>A900</v>
      </c>
      <c r="AP44">
        <f t="shared" si="49"/>
        <v>0</v>
      </c>
      <c r="AQ44" s="6"/>
      <c r="AR44" s="108" t="str" cm="1">
        <f t="array" ref="AR44">INDEX(_xlfn.TOROW(PixelPatternTable),AP44+1)</f>
        <v>80</v>
      </c>
      <c r="AS44" t="str">
        <f t="shared" si="39"/>
        <v>10000000</v>
      </c>
      <c r="AT44" t="str">
        <f t="shared" si="50"/>
        <v>0000000</v>
      </c>
      <c r="AU44" t="str" cm="1">
        <f t="array" ref="AU44">ReverseString(AT44)</f>
        <v>0000000</v>
      </c>
      <c r="AV44">
        <f t="shared" si="51"/>
        <v>1</v>
      </c>
      <c r="AW44" s="6"/>
      <c r="AX44" s="108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100">
        <f t="shared" si="44"/>
        <v>5</v>
      </c>
      <c r="L45" s="89">
        <f t="shared" ref="L45:S45" si="61">L15</f>
        <v>0</v>
      </c>
      <c r="M45" s="78">
        <f t="shared" si="61"/>
        <v>0</v>
      </c>
      <c r="N45" s="78">
        <f t="shared" si="61"/>
        <v>0</v>
      </c>
      <c r="O45" s="78">
        <f t="shared" si="61"/>
        <v>0</v>
      </c>
      <c r="P45" s="78">
        <f t="shared" si="61"/>
        <v>0</v>
      </c>
      <c r="Q45" s="78">
        <f t="shared" si="61"/>
        <v>0</v>
      </c>
      <c r="R45" s="78">
        <f t="shared" si="61"/>
        <v>0</v>
      </c>
      <c r="S45" s="91">
        <f t="shared" si="61"/>
        <v>1</v>
      </c>
      <c r="T45" s="120"/>
      <c r="AE45" s="83" t="str">
        <f t="shared" si="33"/>
        <v>00</v>
      </c>
      <c r="AF45" s="128"/>
      <c r="AG45" s="168" t="str" cm="1">
        <f t="array" ref="AG45">INDEX(PixelShiftPages,$B45+1)</f>
        <v>A7</v>
      </c>
      <c r="AH45" t="str">
        <f t="shared" si="34"/>
        <v>A700</v>
      </c>
      <c r="AI45" s="37" t="str">
        <f>pixel_shift_table.asm!$B$3</f>
        <v>A200</v>
      </c>
      <c r="AJ45">
        <f t="shared" si="46"/>
        <v>1280</v>
      </c>
      <c r="AK45" s="36" t="str" cm="1">
        <f t="array" ref="AK45">INDEX(_xlfn.TOROW(PixelShiftTable),AJ45+1)</f>
        <v>00</v>
      </c>
      <c r="AL45">
        <f t="shared" si="47"/>
        <v>1408</v>
      </c>
      <c r="AM45" s="36" t="str" cm="1">
        <f t="array" ref="AM45">INDEX(_xlfn.TOROW(PixelShiftTable),AL45+1)</f>
        <v>A9</v>
      </c>
      <c r="AN45" t="str">
        <f t="shared" si="48"/>
        <v>A900</v>
      </c>
      <c r="AO45" t="str">
        <f>pixel_pattern_table.asm!$B$2</f>
        <v>A900</v>
      </c>
      <c r="AP45">
        <f t="shared" si="49"/>
        <v>0</v>
      </c>
      <c r="AQ45" s="6"/>
      <c r="AR45" s="108" t="str" cm="1">
        <f t="array" ref="AR45">INDEX(_xlfn.TOROW(PixelPatternTable),AP45+1)</f>
        <v>80</v>
      </c>
      <c r="AS45" t="str">
        <f t="shared" si="39"/>
        <v>10000000</v>
      </c>
      <c r="AT45" t="str">
        <f t="shared" si="50"/>
        <v>0000000</v>
      </c>
      <c r="AU45" t="str" cm="1">
        <f t="array" ref="AU45">ReverseString(AT45)</f>
        <v>0000000</v>
      </c>
      <c r="AV45">
        <f t="shared" si="51"/>
        <v>1</v>
      </c>
      <c r="AW45" s="6"/>
      <c r="AX45" s="108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11" customFormat="1" x14ac:dyDescent="0.3">
      <c r="A48" s="119" t="s">
        <v>952</v>
      </c>
      <c r="AQ48" s="113"/>
      <c r="AR48" s="114"/>
      <c r="AW48" s="113"/>
      <c r="AX48" s="114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5" t="s">
        <v>890</v>
      </c>
      <c r="BG50" s="43"/>
      <c r="BH50" s="116"/>
      <c r="BI50" s="115" t="s">
        <v>948</v>
      </c>
      <c r="BJ50" s="43"/>
      <c r="BK50" s="116"/>
      <c r="BL50" s="115" t="s">
        <v>892</v>
      </c>
      <c r="BM50" s="43"/>
      <c r="BN50" s="116"/>
    </row>
    <row r="51" spans="1:66" ht="18.75" outlineLevel="1" x14ac:dyDescent="0.3">
      <c r="C51" s="48" t="s">
        <v>0</v>
      </c>
      <c r="D51" s="32" t="s">
        <v>908</v>
      </c>
      <c r="E51" s="33"/>
      <c r="F51" s="33"/>
      <c r="G51" s="33"/>
      <c r="H51" s="33"/>
      <c r="I51" s="33"/>
      <c r="J51" s="33"/>
      <c r="K51" s="81" t="s">
        <v>1</v>
      </c>
      <c r="L51" s="85" t="s">
        <v>909</v>
      </c>
      <c r="M51" s="33"/>
      <c r="N51" s="33"/>
      <c r="O51" s="33"/>
      <c r="P51" s="33"/>
      <c r="Q51" s="33"/>
      <c r="R51" s="33"/>
      <c r="S51" s="90" t="s">
        <v>2</v>
      </c>
      <c r="T51" s="85" t="s">
        <v>954</v>
      </c>
      <c r="U51" s="33"/>
      <c r="V51" s="33"/>
      <c r="W51" s="33"/>
      <c r="X51" s="33"/>
      <c r="Y51" s="33"/>
      <c r="Z51" s="33"/>
      <c r="AA51" s="90" t="s">
        <v>942</v>
      </c>
      <c r="AB51" s="120"/>
      <c r="AC51" s="93"/>
      <c r="AQ51" s="6"/>
      <c r="AR51" s="7"/>
      <c r="AW51" s="6"/>
      <c r="AX51" s="7"/>
      <c r="BF51" s="127" t="s">
        <v>944</v>
      </c>
      <c r="BG51" s="125" t="s">
        <v>943</v>
      </c>
      <c r="BH51" s="126" t="s">
        <v>949</v>
      </c>
      <c r="BI51" s="127" t="s">
        <v>944</v>
      </c>
      <c r="BJ51" s="125" t="s">
        <v>943</v>
      </c>
      <c r="BK51" s="126" t="s">
        <v>949</v>
      </c>
      <c r="BL51" s="127" t="s">
        <v>944</v>
      </c>
      <c r="BM51" s="125" t="s">
        <v>943</v>
      </c>
      <c r="BN51" s="126" t="s">
        <v>949</v>
      </c>
    </row>
    <row r="52" spans="1:66" outlineLevel="1" x14ac:dyDescent="0.3">
      <c r="C52" s="48">
        <v>0</v>
      </c>
      <c r="D52" s="105" t="str">
        <f t="shared" ref="D52:J62" si="62">MID($BL52,D$50+1,1)</f>
        <v>0</v>
      </c>
      <c r="E52" s="106" t="str">
        <f t="shared" si="62"/>
        <v>0</v>
      </c>
      <c r="F52" s="106" t="str">
        <f t="shared" si="62"/>
        <v>0</v>
      </c>
      <c r="G52" s="106" t="str">
        <f t="shared" si="62"/>
        <v>0</v>
      </c>
      <c r="H52" s="106" t="str">
        <f t="shared" si="62"/>
        <v>0</v>
      </c>
      <c r="I52" s="106" t="str">
        <f t="shared" si="62"/>
        <v>0</v>
      </c>
      <c r="J52" s="106" t="str">
        <f t="shared" si="62"/>
        <v>0</v>
      </c>
      <c r="K52" s="103">
        <v>1</v>
      </c>
      <c r="L52" s="105" t="str">
        <f t="shared" ref="L52:R62" si="63">MID($BM52,L$50+1,1)</f>
        <v>0</v>
      </c>
      <c r="M52" s="106" t="str">
        <f t="shared" si="63"/>
        <v>0</v>
      </c>
      <c r="N52" s="106" t="str">
        <f t="shared" si="63"/>
        <v>1</v>
      </c>
      <c r="O52" s="106" t="str">
        <f t="shared" si="63"/>
        <v>0</v>
      </c>
      <c r="P52" s="106" t="str">
        <f t="shared" si="63"/>
        <v>0</v>
      </c>
      <c r="Q52" s="106" t="str">
        <f t="shared" si="63"/>
        <v>0</v>
      </c>
      <c r="R52" s="106" t="str">
        <f t="shared" si="63"/>
        <v>0</v>
      </c>
      <c r="S52" s="103">
        <v>1</v>
      </c>
      <c r="T52" s="105" t="str">
        <f t="shared" ref="T52:Z62" si="64">MID($BN52,T$50+1,1)</f>
        <v>0</v>
      </c>
      <c r="U52" s="106" t="str">
        <f t="shared" si="64"/>
        <v>0</v>
      </c>
      <c r="V52" s="106" t="str">
        <f t="shared" si="64"/>
        <v>0</v>
      </c>
      <c r="W52" s="106" t="str">
        <f t="shared" si="64"/>
        <v>0</v>
      </c>
      <c r="X52" s="106" t="str">
        <f t="shared" si="64"/>
        <v>0</v>
      </c>
      <c r="Y52" s="106" t="str">
        <f t="shared" si="64"/>
        <v>0</v>
      </c>
      <c r="Z52" s="106" t="str">
        <f t="shared" si="64"/>
        <v>0</v>
      </c>
      <c r="AA52" s="104">
        <v>1</v>
      </c>
      <c r="AB52" s="120"/>
      <c r="AQ52" s="109" t="str">
        <f t="shared" ref="AQ52:AQ62" si="65">AQ22</f>
        <v>80</v>
      </c>
      <c r="AR52" s="110" t="str">
        <f t="shared" ref="AR52:AR62" si="66">AR35</f>
        <v>80</v>
      </c>
      <c r="AW52" s="109" t="str">
        <f t="shared" ref="AW52:AW62" si="67">AW22</f>
        <v>84</v>
      </c>
      <c r="AX52" s="110" t="str">
        <f t="shared" ref="AX52:AX62" si="68">AX35</f>
        <v>80</v>
      </c>
      <c r="BC52" s="96" t="str">
        <f t="shared" ref="BC52:BC62" si="69">AQ52</f>
        <v>80</v>
      </c>
      <c r="BD52" t="str">
        <f t="shared" ref="BD52:BD62" si="70">DEC2HEX(_xlfn.BITOR(HEX2DEC(AW52),HEX2DEC(AR52)),2)</f>
        <v>84</v>
      </c>
      <c r="BE52" s="96" t="str">
        <f t="shared" ref="BE52:BE62" si="71">AX52</f>
        <v>80</v>
      </c>
      <c r="BF52" s="101" t="str">
        <f t="shared" ref="BF52:BF62" si="72">HEX2BIN(BC52,8)</f>
        <v>10000000</v>
      </c>
      <c r="BG52" t="str">
        <f t="shared" ref="BG52:BG62" si="73">HEX2BIN(BD52,8)</f>
        <v>10000100</v>
      </c>
      <c r="BH52" s="102" t="str">
        <f t="shared" ref="BH52:BH62" si="74">HEX2BIN(BE52,8)</f>
        <v>10000000</v>
      </c>
      <c r="BI52" s="101" t="str">
        <f t="shared" ref="BI52:BI62" si="75">RIGHT(BF52,7)</f>
        <v>0000000</v>
      </c>
      <c r="BJ52" t="str">
        <f t="shared" ref="BJ52:BJ62" si="76">RIGHT(BG52,7)</f>
        <v>0000100</v>
      </c>
      <c r="BK52" s="102" t="str">
        <f t="shared" ref="BK52:BK62" si="77">RIGHT(BH52,7)</f>
        <v>0000000</v>
      </c>
      <c r="BL52" s="101" t="str" cm="1">
        <f t="array" ref="BL52">ReverseString(BI52)</f>
        <v>0000000</v>
      </c>
      <c r="BM52" t="str" cm="1">
        <f t="array" ref="BM52">ReverseString(BJ52)</f>
        <v>0010000</v>
      </c>
      <c r="BN52" s="102" t="str" cm="1">
        <f t="array" ref="BN52">ReverseString(BK52)</f>
        <v>0000000</v>
      </c>
    </row>
    <row r="53" spans="1:66" outlineLevel="1" x14ac:dyDescent="0.3">
      <c r="C53" s="48">
        <v>1</v>
      </c>
      <c r="D53" s="105" t="str">
        <f t="shared" si="62"/>
        <v>0</v>
      </c>
      <c r="E53" s="106" t="str">
        <f t="shared" si="62"/>
        <v>0</v>
      </c>
      <c r="F53" s="106" t="str">
        <f t="shared" si="62"/>
        <v>0</v>
      </c>
      <c r="G53" s="106" t="str">
        <f t="shared" si="62"/>
        <v>0</v>
      </c>
      <c r="H53" s="106" t="str">
        <f t="shared" si="62"/>
        <v>0</v>
      </c>
      <c r="I53" s="106" t="str">
        <f t="shared" si="62"/>
        <v>0</v>
      </c>
      <c r="J53" s="106" t="str">
        <f t="shared" si="62"/>
        <v>0</v>
      </c>
      <c r="K53" s="103">
        <v>1</v>
      </c>
      <c r="L53" s="105" t="str">
        <f t="shared" si="63"/>
        <v>0</v>
      </c>
      <c r="M53" s="106" t="str">
        <f t="shared" si="63"/>
        <v>1</v>
      </c>
      <c r="N53" s="106" t="str">
        <f t="shared" si="63"/>
        <v>0</v>
      </c>
      <c r="O53" s="106" t="str">
        <f t="shared" si="63"/>
        <v>1</v>
      </c>
      <c r="P53" s="106" t="str">
        <f t="shared" si="63"/>
        <v>0</v>
      </c>
      <c r="Q53" s="106" t="str">
        <f t="shared" si="63"/>
        <v>0</v>
      </c>
      <c r="R53" s="106" t="str">
        <f t="shared" si="63"/>
        <v>0</v>
      </c>
      <c r="S53" s="103">
        <v>1</v>
      </c>
      <c r="T53" s="105" t="str">
        <f t="shared" si="64"/>
        <v>0</v>
      </c>
      <c r="U53" s="106" t="str">
        <f t="shared" si="64"/>
        <v>0</v>
      </c>
      <c r="V53" s="106" t="str">
        <f t="shared" si="64"/>
        <v>0</v>
      </c>
      <c r="W53" s="106" t="str">
        <f t="shared" si="64"/>
        <v>0</v>
      </c>
      <c r="X53" s="106" t="str">
        <f t="shared" si="64"/>
        <v>0</v>
      </c>
      <c r="Y53" s="106" t="str">
        <f t="shared" si="64"/>
        <v>0</v>
      </c>
      <c r="Z53" s="106" t="str">
        <f t="shared" si="64"/>
        <v>0</v>
      </c>
      <c r="AA53" s="104">
        <v>1</v>
      </c>
      <c r="AB53" s="120"/>
      <c r="AG53" s="30"/>
      <c r="AH53" s="30"/>
      <c r="AI53" s="30"/>
      <c r="AJ53" s="76"/>
      <c r="AK53" s="30"/>
      <c r="AL53" s="76"/>
      <c r="AM53" s="30"/>
      <c r="AN53" s="30"/>
      <c r="AO53" s="30"/>
      <c r="AP53" s="30"/>
      <c r="AQ53" s="109" t="str">
        <f t="shared" si="65"/>
        <v>80</v>
      </c>
      <c r="AR53" s="110" t="str">
        <f t="shared" si="66"/>
        <v>80</v>
      </c>
      <c r="AW53" s="109" t="str">
        <f t="shared" si="67"/>
        <v>8A</v>
      </c>
      <c r="AX53" s="110" t="str">
        <f t="shared" si="68"/>
        <v>80</v>
      </c>
      <c r="BC53" s="96" t="str">
        <f t="shared" si="69"/>
        <v>80</v>
      </c>
      <c r="BD53" t="str">
        <f t="shared" si="70"/>
        <v>8A</v>
      </c>
      <c r="BE53" s="96" t="str">
        <f t="shared" si="71"/>
        <v>80</v>
      </c>
      <c r="BF53" s="101" t="str">
        <f t="shared" si="72"/>
        <v>10000000</v>
      </c>
      <c r="BG53" t="str">
        <f t="shared" si="73"/>
        <v>10001010</v>
      </c>
      <c r="BH53" s="102" t="str">
        <f t="shared" si="74"/>
        <v>10000000</v>
      </c>
      <c r="BI53" s="101" t="str">
        <f t="shared" si="75"/>
        <v>0000000</v>
      </c>
      <c r="BJ53" t="str">
        <f t="shared" si="76"/>
        <v>0001010</v>
      </c>
      <c r="BK53" s="102" t="str">
        <f t="shared" si="77"/>
        <v>0000000</v>
      </c>
      <c r="BL53" s="101" t="str" cm="1">
        <f t="array" ref="BL53">ReverseString(BI53)</f>
        <v>0000000</v>
      </c>
      <c r="BM53" t="str" cm="1">
        <f t="array" ref="BM53">ReverseString(BJ53)</f>
        <v>0101000</v>
      </c>
      <c r="BN53" s="102" t="str" cm="1">
        <f t="array" ref="BN53">ReverseString(BK53)</f>
        <v>0000000</v>
      </c>
    </row>
    <row r="54" spans="1:66" outlineLevel="1" x14ac:dyDescent="0.3">
      <c r="C54" s="48">
        <v>2</v>
      </c>
      <c r="D54" s="105" t="str">
        <f t="shared" si="62"/>
        <v>0</v>
      </c>
      <c r="E54" s="106" t="str">
        <f t="shared" si="62"/>
        <v>0</v>
      </c>
      <c r="F54" s="106" t="str">
        <f t="shared" si="62"/>
        <v>0</v>
      </c>
      <c r="G54" s="106" t="str">
        <f t="shared" si="62"/>
        <v>0</v>
      </c>
      <c r="H54" s="106" t="str">
        <f t="shared" si="62"/>
        <v>0</v>
      </c>
      <c r="I54" s="106" t="str">
        <f t="shared" si="62"/>
        <v>0</v>
      </c>
      <c r="J54" s="106" t="str">
        <f t="shared" si="62"/>
        <v>0</v>
      </c>
      <c r="K54" s="103">
        <v>1</v>
      </c>
      <c r="L54" s="105" t="str">
        <f t="shared" si="63"/>
        <v>0</v>
      </c>
      <c r="M54" s="106" t="str">
        <f t="shared" si="63"/>
        <v>1</v>
      </c>
      <c r="N54" s="106" t="str">
        <f t="shared" si="63"/>
        <v>0</v>
      </c>
      <c r="O54" s="106" t="str">
        <f t="shared" si="63"/>
        <v>1</v>
      </c>
      <c r="P54" s="106" t="str">
        <f t="shared" si="63"/>
        <v>0</v>
      </c>
      <c r="Q54" s="106" t="str">
        <f t="shared" si="63"/>
        <v>0</v>
      </c>
      <c r="R54" s="106" t="str">
        <f t="shared" si="63"/>
        <v>0</v>
      </c>
      <c r="S54" s="103">
        <v>1</v>
      </c>
      <c r="T54" s="105" t="str">
        <f t="shared" si="64"/>
        <v>0</v>
      </c>
      <c r="U54" s="106" t="str">
        <f t="shared" si="64"/>
        <v>0</v>
      </c>
      <c r="V54" s="106" t="str">
        <f t="shared" si="64"/>
        <v>0</v>
      </c>
      <c r="W54" s="106" t="str">
        <f t="shared" si="64"/>
        <v>0</v>
      </c>
      <c r="X54" s="106" t="str">
        <f t="shared" si="64"/>
        <v>0</v>
      </c>
      <c r="Y54" s="106" t="str">
        <f t="shared" si="64"/>
        <v>0</v>
      </c>
      <c r="Z54" s="106" t="str">
        <f t="shared" si="64"/>
        <v>0</v>
      </c>
      <c r="AA54" s="104">
        <v>1</v>
      </c>
      <c r="AB54" s="120"/>
      <c r="AQ54" s="109" t="str">
        <f t="shared" si="65"/>
        <v>80</v>
      </c>
      <c r="AR54" s="110" t="str">
        <f t="shared" si="66"/>
        <v>80</v>
      </c>
      <c r="AW54" s="109" t="str">
        <f t="shared" si="67"/>
        <v>8A</v>
      </c>
      <c r="AX54" s="110" t="str">
        <f t="shared" si="68"/>
        <v>80</v>
      </c>
      <c r="BC54" s="96" t="str">
        <f t="shared" si="69"/>
        <v>80</v>
      </c>
      <c r="BD54" t="str">
        <f t="shared" si="70"/>
        <v>8A</v>
      </c>
      <c r="BE54" s="96" t="str">
        <f t="shared" si="71"/>
        <v>80</v>
      </c>
      <c r="BF54" s="101" t="str">
        <f t="shared" si="72"/>
        <v>10000000</v>
      </c>
      <c r="BG54" t="str">
        <f t="shared" si="73"/>
        <v>10001010</v>
      </c>
      <c r="BH54" s="102" t="str">
        <f t="shared" si="74"/>
        <v>10000000</v>
      </c>
      <c r="BI54" s="101" t="str">
        <f t="shared" si="75"/>
        <v>0000000</v>
      </c>
      <c r="BJ54" t="str">
        <f t="shared" si="76"/>
        <v>0001010</v>
      </c>
      <c r="BK54" s="102" t="str">
        <f t="shared" si="77"/>
        <v>0000000</v>
      </c>
      <c r="BL54" s="101" t="str" cm="1">
        <f t="array" ref="BL54">ReverseString(BI54)</f>
        <v>0000000</v>
      </c>
      <c r="BM54" t="str" cm="1">
        <f t="array" ref="BM54">ReverseString(BJ54)</f>
        <v>0101000</v>
      </c>
      <c r="BN54" s="102" t="str" cm="1">
        <f t="array" ref="BN54">ReverseString(BK54)</f>
        <v>0000000</v>
      </c>
    </row>
    <row r="55" spans="1:66" outlineLevel="1" x14ac:dyDescent="0.3">
      <c r="C55" s="48">
        <v>3</v>
      </c>
      <c r="D55" s="105" t="str">
        <f t="shared" si="62"/>
        <v>0</v>
      </c>
      <c r="E55" s="106" t="str">
        <f t="shared" si="62"/>
        <v>0</v>
      </c>
      <c r="F55" s="106" t="str">
        <f t="shared" si="62"/>
        <v>0</v>
      </c>
      <c r="G55" s="106" t="str">
        <f t="shared" si="62"/>
        <v>0</v>
      </c>
      <c r="H55" s="106" t="str">
        <f t="shared" si="62"/>
        <v>0</v>
      </c>
      <c r="I55" s="106" t="str">
        <f t="shared" si="62"/>
        <v>0</v>
      </c>
      <c r="J55" s="106" t="str">
        <f t="shared" si="62"/>
        <v>0</v>
      </c>
      <c r="K55" s="103">
        <v>1</v>
      </c>
      <c r="L55" s="105" t="str">
        <f t="shared" si="63"/>
        <v>0</v>
      </c>
      <c r="M55" s="106" t="str">
        <f t="shared" si="63"/>
        <v>0</v>
      </c>
      <c r="N55" s="106" t="str">
        <f t="shared" si="63"/>
        <v>0</v>
      </c>
      <c r="O55" s="106" t="str">
        <f t="shared" si="63"/>
        <v>1</v>
      </c>
      <c r="P55" s="106" t="str">
        <f t="shared" si="63"/>
        <v>0</v>
      </c>
      <c r="Q55" s="106" t="str">
        <f t="shared" si="63"/>
        <v>0</v>
      </c>
      <c r="R55" s="106" t="str">
        <f t="shared" si="63"/>
        <v>0</v>
      </c>
      <c r="S55" s="103">
        <v>1</v>
      </c>
      <c r="T55" s="105" t="str">
        <f t="shared" si="64"/>
        <v>0</v>
      </c>
      <c r="U55" s="106" t="str">
        <f t="shared" si="64"/>
        <v>0</v>
      </c>
      <c r="V55" s="106" t="str">
        <f t="shared" si="64"/>
        <v>0</v>
      </c>
      <c r="W55" s="106" t="str">
        <f t="shared" si="64"/>
        <v>0</v>
      </c>
      <c r="X55" s="106" t="str">
        <f t="shared" si="64"/>
        <v>0</v>
      </c>
      <c r="Y55" s="106" t="str">
        <f t="shared" si="64"/>
        <v>0</v>
      </c>
      <c r="Z55" s="106" t="str">
        <f t="shared" si="64"/>
        <v>0</v>
      </c>
      <c r="AA55" s="104">
        <v>1</v>
      </c>
      <c r="AB55" s="120"/>
      <c r="AQ55" s="109" t="str">
        <f t="shared" si="65"/>
        <v>80</v>
      </c>
      <c r="AR55" s="110" t="str">
        <f t="shared" si="66"/>
        <v>80</v>
      </c>
      <c r="AW55" s="109" t="str">
        <f t="shared" si="67"/>
        <v>88</v>
      </c>
      <c r="AX55" s="110" t="str">
        <f t="shared" si="68"/>
        <v>80</v>
      </c>
      <c r="BC55" s="96" t="str">
        <f t="shared" si="69"/>
        <v>80</v>
      </c>
      <c r="BD55" t="str">
        <f t="shared" si="70"/>
        <v>88</v>
      </c>
      <c r="BE55" s="96" t="str">
        <f t="shared" si="71"/>
        <v>80</v>
      </c>
      <c r="BF55" s="101" t="str">
        <f t="shared" si="72"/>
        <v>10000000</v>
      </c>
      <c r="BG55" t="str">
        <f t="shared" si="73"/>
        <v>10001000</v>
      </c>
      <c r="BH55" s="102" t="str">
        <f t="shared" si="74"/>
        <v>10000000</v>
      </c>
      <c r="BI55" s="101" t="str">
        <f t="shared" si="75"/>
        <v>0000000</v>
      </c>
      <c r="BJ55" t="str">
        <f t="shared" si="76"/>
        <v>0001000</v>
      </c>
      <c r="BK55" s="102" t="str">
        <f t="shared" si="77"/>
        <v>0000000</v>
      </c>
      <c r="BL55" s="101" t="str" cm="1">
        <f t="array" ref="BL55">ReverseString(BI55)</f>
        <v>0000000</v>
      </c>
      <c r="BM55" t="str" cm="1">
        <f t="array" ref="BM55">ReverseString(BJ55)</f>
        <v>0001000</v>
      </c>
      <c r="BN55" s="102" t="str" cm="1">
        <f t="array" ref="BN55">ReverseString(BK55)</f>
        <v>0000000</v>
      </c>
    </row>
    <row r="56" spans="1:66" outlineLevel="1" x14ac:dyDescent="0.3">
      <c r="C56" s="48">
        <v>4</v>
      </c>
      <c r="D56" s="105" t="str">
        <f t="shared" si="62"/>
        <v>0</v>
      </c>
      <c r="E56" s="106" t="str">
        <f t="shared" si="62"/>
        <v>0</v>
      </c>
      <c r="F56" s="106" t="str">
        <f t="shared" si="62"/>
        <v>0</v>
      </c>
      <c r="G56" s="106" t="str">
        <f t="shared" si="62"/>
        <v>0</v>
      </c>
      <c r="H56" s="106" t="str">
        <f t="shared" si="62"/>
        <v>0</v>
      </c>
      <c r="I56" s="106" t="str">
        <f t="shared" si="62"/>
        <v>0</v>
      </c>
      <c r="J56" s="106" t="str">
        <f t="shared" si="62"/>
        <v>0</v>
      </c>
      <c r="K56" s="103">
        <v>1</v>
      </c>
      <c r="L56" s="105" t="str">
        <f t="shared" si="63"/>
        <v>0</v>
      </c>
      <c r="M56" s="106" t="str">
        <f t="shared" si="63"/>
        <v>1</v>
      </c>
      <c r="N56" s="106" t="str">
        <f t="shared" si="63"/>
        <v>0</v>
      </c>
      <c r="O56" s="106" t="str">
        <f t="shared" si="63"/>
        <v>1</v>
      </c>
      <c r="P56" s="106" t="str">
        <f t="shared" si="63"/>
        <v>0</v>
      </c>
      <c r="Q56" s="106" t="str">
        <f t="shared" si="63"/>
        <v>1</v>
      </c>
      <c r="R56" s="106" t="str">
        <f t="shared" si="63"/>
        <v>0</v>
      </c>
      <c r="S56" s="103">
        <v>1</v>
      </c>
      <c r="T56" s="105" t="str">
        <f t="shared" si="64"/>
        <v>0</v>
      </c>
      <c r="U56" s="106" t="str">
        <f t="shared" si="64"/>
        <v>0</v>
      </c>
      <c r="V56" s="106" t="str">
        <f t="shared" si="64"/>
        <v>0</v>
      </c>
      <c r="W56" s="106" t="str">
        <f t="shared" si="64"/>
        <v>0</v>
      </c>
      <c r="X56" s="106" t="str">
        <f t="shared" si="64"/>
        <v>0</v>
      </c>
      <c r="Y56" s="106" t="str">
        <f t="shared" si="64"/>
        <v>0</v>
      </c>
      <c r="Z56" s="106" t="str">
        <f t="shared" si="64"/>
        <v>0</v>
      </c>
      <c r="AA56" s="104">
        <v>1</v>
      </c>
      <c r="AB56" s="120"/>
      <c r="AQ56" s="109" t="str">
        <f t="shared" si="65"/>
        <v>80</v>
      </c>
      <c r="AR56" s="110" t="str">
        <f t="shared" si="66"/>
        <v>A0</v>
      </c>
      <c r="AW56" s="109" t="str">
        <f t="shared" si="67"/>
        <v>8A</v>
      </c>
      <c r="AX56" s="110" t="str">
        <f t="shared" si="68"/>
        <v>80</v>
      </c>
      <c r="BC56" s="96" t="str">
        <f t="shared" si="69"/>
        <v>80</v>
      </c>
      <c r="BD56" t="str">
        <f t="shared" si="70"/>
        <v>AA</v>
      </c>
      <c r="BE56" s="96" t="str">
        <f t="shared" si="71"/>
        <v>80</v>
      </c>
      <c r="BF56" s="101" t="str">
        <f t="shared" si="72"/>
        <v>10000000</v>
      </c>
      <c r="BG56" t="str">
        <f t="shared" si="73"/>
        <v>10101010</v>
      </c>
      <c r="BH56" s="102" t="str">
        <f t="shared" si="74"/>
        <v>10000000</v>
      </c>
      <c r="BI56" s="101" t="str">
        <f t="shared" si="75"/>
        <v>0000000</v>
      </c>
      <c r="BJ56" t="str">
        <f t="shared" si="76"/>
        <v>0101010</v>
      </c>
      <c r="BK56" s="102" t="str">
        <f t="shared" si="77"/>
        <v>0000000</v>
      </c>
      <c r="BL56" s="101" t="str" cm="1">
        <f t="array" ref="BL56">ReverseString(BI56)</f>
        <v>0000000</v>
      </c>
      <c r="BM56" t="str" cm="1">
        <f t="array" ref="BM56">ReverseString(BJ56)</f>
        <v>0101010</v>
      </c>
      <c r="BN56" s="102" t="str" cm="1">
        <f t="array" ref="BN56">ReverseString(BK56)</f>
        <v>0000000</v>
      </c>
    </row>
    <row r="57" spans="1:66" outlineLevel="1" x14ac:dyDescent="0.3">
      <c r="C57" s="48">
        <v>5</v>
      </c>
      <c r="D57" s="105" t="str">
        <f t="shared" si="62"/>
        <v>0</v>
      </c>
      <c r="E57" s="106" t="str">
        <f t="shared" si="62"/>
        <v>0</v>
      </c>
      <c r="F57" s="106" t="str">
        <f t="shared" si="62"/>
        <v>0</v>
      </c>
      <c r="G57" s="106" t="str">
        <f t="shared" si="62"/>
        <v>0</v>
      </c>
      <c r="H57" s="106" t="str">
        <f t="shared" si="62"/>
        <v>0</v>
      </c>
      <c r="I57" s="106" t="str">
        <f t="shared" si="62"/>
        <v>0</v>
      </c>
      <c r="J57" s="106" t="str">
        <f t="shared" si="62"/>
        <v>1</v>
      </c>
      <c r="K57" s="103">
        <v>1</v>
      </c>
      <c r="L57" s="105" t="str">
        <f t="shared" si="63"/>
        <v>0</v>
      </c>
      <c r="M57" s="106" t="str">
        <f t="shared" si="63"/>
        <v>0</v>
      </c>
      <c r="N57" s="106" t="str">
        <f t="shared" si="63"/>
        <v>0</v>
      </c>
      <c r="O57" s="106" t="str">
        <f t="shared" si="63"/>
        <v>1</v>
      </c>
      <c r="P57" s="106" t="str">
        <f t="shared" si="63"/>
        <v>0</v>
      </c>
      <c r="Q57" s="106" t="str">
        <f t="shared" si="63"/>
        <v>0</v>
      </c>
      <c r="R57" s="106" t="str">
        <f t="shared" si="63"/>
        <v>0</v>
      </c>
      <c r="S57" s="103">
        <v>1</v>
      </c>
      <c r="T57" s="105" t="str">
        <f t="shared" si="64"/>
        <v>1</v>
      </c>
      <c r="U57" s="106" t="str">
        <f t="shared" si="64"/>
        <v>0</v>
      </c>
      <c r="V57" s="106" t="str">
        <f t="shared" si="64"/>
        <v>0</v>
      </c>
      <c r="W57" s="106" t="str">
        <f t="shared" si="64"/>
        <v>0</v>
      </c>
      <c r="X57" s="106" t="str">
        <f t="shared" si="64"/>
        <v>0</v>
      </c>
      <c r="Y57" s="106" t="str">
        <f t="shared" si="64"/>
        <v>0</v>
      </c>
      <c r="Z57" s="106" t="str">
        <f t="shared" si="64"/>
        <v>0</v>
      </c>
      <c r="AA57" s="104">
        <v>1</v>
      </c>
      <c r="AB57" s="120"/>
      <c r="AQ57" s="109" t="str">
        <f t="shared" si="65"/>
        <v>C0</v>
      </c>
      <c r="AR57" s="110" t="str">
        <f t="shared" si="66"/>
        <v>80</v>
      </c>
      <c r="AW57" s="109" t="str">
        <f t="shared" si="67"/>
        <v>88</v>
      </c>
      <c r="AX57" s="110" t="str">
        <f t="shared" si="68"/>
        <v>81</v>
      </c>
      <c r="BC57" s="96" t="str">
        <f t="shared" si="69"/>
        <v>C0</v>
      </c>
      <c r="BD57" t="str">
        <f t="shared" si="70"/>
        <v>88</v>
      </c>
      <c r="BE57" s="96" t="str">
        <f t="shared" si="71"/>
        <v>81</v>
      </c>
      <c r="BF57" s="101" t="str">
        <f t="shared" si="72"/>
        <v>11000000</v>
      </c>
      <c r="BG57" t="str">
        <f t="shared" si="73"/>
        <v>10001000</v>
      </c>
      <c r="BH57" s="102" t="str">
        <f t="shared" si="74"/>
        <v>10000001</v>
      </c>
      <c r="BI57" s="101" t="str">
        <f t="shared" si="75"/>
        <v>1000000</v>
      </c>
      <c r="BJ57" t="str">
        <f t="shared" si="76"/>
        <v>0001000</v>
      </c>
      <c r="BK57" s="102" t="str">
        <f t="shared" si="77"/>
        <v>0000001</v>
      </c>
      <c r="BL57" s="101" t="str" cm="1">
        <f t="array" ref="BL57">ReverseString(BI57)</f>
        <v>0000001</v>
      </c>
      <c r="BM57" t="str" cm="1">
        <f t="array" ref="BM57">ReverseString(BJ57)</f>
        <v>0001000</v>
      </c>
      <c r="BN57" s="102" t="str" cm="1">
        <f t="array" ref="BN57">ReverseString(BK57)</f>
        <v>1000000</v>
      </c>
    </row>
    <row r="58" spans="1:66" outlineLevel="1" x14ac:dyDescent="0.3">
      <c r="C58" s="48">
        <v>6</v>
      </c>
      <c r="D58" s="105" t="str">
        <f t="shared" si="62"/>
        <v>0</v>
      </c>
      <c r="E58" s="106" t="str">
        <f t="shared" si="62"/>
        <v>0</v>
      </c>
      <c r="F58" s="106" t="str">
        <f t="shared" si="62"/>
        <v>0</v>
      </c>
      <c r="G58" s="106" t="str">
        <f t="shared" si="62"/>
        <v>0</v>
      </c>
      <c r="H58" s="106" t="str">
        <f t="shared" si="62"/>
        <v>0</v>
      </c>
      <c r="I58" s="106" t="str">
        <f t="shared" si="62"/>
        <v>0</v>
      </c>
      <c r="J58" s="106" t="str">
        <f t="shared" si="62"/>
        <v>0</v>
      </c>
      <c r="K58" s="103">
        <v>1</v>
      </c>
      <c r="L58" s="105" t="str">
        <f t="shared" si="63"/>
        <v>0</v>
      </c>
      <c r="M58" s="106" t="str">
        <f t="shared" si="63"/>
        <v>0</v>
      </c>
      <c r="N58" s="106" t="str">
        <f t="shared" si="63"/>
        <v>0</v>
      </c>
      <c r="O58" s="106" t="str">
        <f t="shared" si="63"/>
        <v>1</v>
      </c>
      <c r="P58" s="106" t="str">
        <f t="shared" si="63"/>
        <v>1</v>
      </c>
      <c r="Q58" s="106" t="str">
        <f t="shared" si="63"/>
        <v>0</v>
      </c>
      <c r="R58" s="106" t="str">
        <f t="shared" si="63"/>
        <v>0</v>
      </c>
      <c r="S58" s="103">
        <v>1</v>
      </c>
      <c r="T58" s="105" t="str">
        <f t="shared" si="64"/>
        <v>0</v>
      </c>
      <c r="U58" s="106" t="str">
        <f t="shared" si="64"/>
        <v>0</v>
      </c>
      <c r="V58" s="106" t="str">
        <f t="shared" si="64"/>
        <v>0</v>
      </c>
      <c r="W58" s="106" t="str">
        <f t="shared" si="64"/>
        <v>0</v>
      </c>
      <c r="X58" s="106" t="str">
        <f t="shared" si="64"/>
        <v>0</v>
      </c>
      <c r="Y58" s="106" t="str">
        <f t="shared" si="64"/>
        <v>0</v>
      </c>
      <c r="Z58" s="106" t="str">
        <f t="shared" si="64"/>
        <v>0</v>
      </c>
      <c r="AA58" s="104">
        <v>1</v>
      </c>
      <c r="AB58" s="120"/>
      <c r="AQ58" s="109" t="str">
        <f t="shared" si="65"/>
        <v>80</v>
      </c>
      <c r="AR58" s="110" t="str">
        <f t="shared" si="66"/>
        <v>80</v>
      </c>
      <c r="AW58" s="109" t="str">
        <f t="shared" si="67"/>
        <v>98</v>
      </c>
      <c r="AX58" s="110" t="str">
        <f t="shared" si="68"/>
        <v>80</v>
      </c>
      <c r="BC58" s="96" t="str">
        <f t="shared" si="69"/>
        <v>80</v>
      </c>
      <c r="BD58" t="str">
        <f t="shared" si="70"/>
        <v>98</v>
      </c>
      <c r="BE58" s="96" t="str">
        <f t="shared" si="71"/>
        <v>80</v>
      </c>
      <c r="BF58" s="101" t="str">
        <f t="shared" si="72"/>
        <v>10000000</v>
      </c>
      <c r="BG58" t="str">
        <f t="shared" si="73"/>
        <v>10011000</v>
      </c>
      <c r="BH58" s="102" t="str">
        <f t="shared" si="74"/>
        <v>10000000</v>
      </c>
      <c r="BI58" s="101" t="str">
        <f t="shared" si="75"/>
        <v>0000000</v>
      </c>
      <c r="BJ58" t="str">
        <f t="shared" si="76"/>
        <v>0011000</v>
      </c>
      <c r="BK58" s="102" t="str">
        <f t="shared" si="77"/>
        <v>0000000</v>
      </c>
      <c r="BL58" s="101" t="str" cm="1">
        <f t="array" ref="BL58">ReverseString(BI58)</f>
        <v>0000000</v>
      </c>
      <c r="BM58" t="str" cm="1">
        <f t="array" ref="BM58">ReverseString(BJ58)</f>
        <v>0001100</v>
      </c>
      <c r="BN58" s="102" t="str" cm="1">
        <f t="array" ref="BN58">ReverseString(BK58)</f>
        <v>0000000</v>
      </c>
    </row>
    <row r="59" spans="1:66" outlineLevel="1" x14ac:dyDescent="0.3">
      <c r="C59" s="48">
        <v>7</v>
      </c>
      <c r="D59" s="105" t="str">
        <f t="shared" si="62"/>
        <v>0</v>
      </c>
      <c r="E59" s="106" t="str">
        <f t="shared" si="62"/>
        <v>0</v>
      </c>
      <c r="F59" s="106" t="str">
        <f t="shared" si="62"/>
        <v>0</v>
      </c>
      <c r="G59" s="106" t="str">
        <f t="shared" si="62"/>
        <v>0</v>
      </c>
      <c r="H59" s="106" t="str">
        <f t="shared" si="62"/>
        <v>0</v>
      </c>
      <c r="I59" s="106" t="str">
        <f t="shared" si="62"/>
        <v>0</v>
      </c>
      <c r="J59" s="106" t="str">
        <f t="shared" si="62"/>
        <v>0</v>
      </c>
      <c r="K59" s="103">
        <v>1</v>
      </c>
      <c r="L59" s="105" t="str">
        <f t="shared" si="63"/>
        <v>0</v>
      </c>
      <c r="M59" s="106" t="str">
        <f t="shared" si="63"/>
        <v>0</v>
      </c>
      <c r="N59" s="106" t="str">
        <f t="shared" si="63"/>
        <v>1</v>
      </c>
      <c r="O59" s="106" t="str">
        <f t="shared" si="63"/>
        <v>1</v>
      </c>
      <c r="P59" s="106" t="str">
        <f t="shared" si="63"/>
        <v>1</v>
      </c>
      <c r="Q59" s="106" t="str">
        <f t="shared" si="63"/>
        <v>0</v>
      </c>
      <c r="R59" s="106" t="str">
        <f t="shared" si="63"/>
        <v>0</v>
      </c>
      <c r="S59" s="103">
        <v>1</v>
      </c>
      <c r="T59" s="105" t="str">
        <f t="shared" si="64"/>
        <v>0</v>
      </c>
      <c r="U59" s="106" t="str">
        <f t="shared" si="64"/>
        <v>0</v>
      </c>
      <c r="V59" s="106" t="str">
        <f t="shared" si="64"/>
        <v>0</v>
      </c>
      <c r="W59" s="106" t="str">
        <f t="shared" si="64"/>
        <v>0</v>
      </c>
      <c r="X59" s="106" t="str">
        <f t="shared" si="64"/>
        <v>0</v>
      </c>
      <c r="Y59" s="106" t="str">
        <f t="shared" si="64"/>
        <v>0</v>
      </c>
      <c r="Z59" s="106" t="str">
        <f t="shared" si="64"/>
        <v>0</v>
      </c>
      <c r="AA59" s="104">
        <v>1</v>
      </c>
      <c r="AB59" s="120"/>
      <c r="AQ59" s="109" t="str">
        <f t="shared" si="65"/>
        <v>80</v>
      </c>
      <c r="AR59" s="110" t="str">
        <f t="shared" si="66"/>
        <v>80</v>
      </c>
      <c r="AW59" s="109" t="str">
        <f t="shared" si="67"/>
        <v>9C</v>
      </c>
      <c r="AX59" s="110" t="str">
        <f t="shared" si="68"/>
        <v>80</v>
      </c>
      <c r="BC59" s="96" t="str">
        <f t="shared" si="69"/>
        <v>80</v>
      </c>
      <c r="BD59" t="str">
        <f t="shared" si="70"/>
        <v>9C</v>
      </c>
      <c r="BE59" s="96" t="str">
        <f t="shared" si="71"/>
        <v>80</v>
      </c>
      <c r="BF59" s="101" t="str">
        <f t="shared" si="72"/>
        <v>10000000</v>
      </c>
      <c r="BG59" t="str">
        <f t="shared" si="73"/>
        <v>10011100</v>
      </c>
      <c r="BH59" s="102" t="str">
        <f t="shared" si="74"/>
        <v>10000000</v>
      </c>
      <c r="BI59" s="101" t="str">
        <f t="shared" si="75"/>
        <v>0000000</v>
      </c>
      <c r="BJ59" t="str">
        <f t="shared" si="76"/>
        <v>0011100</v>
      </c>
      <c r="BK59" s="102" t="str">
        <f t="shared" si="77"/>
        <v>0000000</v>
      </c>
      <c r="BL59" s="101" t="str" cm="1">
        <f t="array" ref="BL59">ReverseString(BI59)</f>
        <v>0000000</v>
      </c>
      <c r="BM59" t="str" cm="1">
        <f t="array" ref="BM59">ReverseString(BJ59)</f>
        <v>0011100</v>
      </c>
      <c r="BN59" s="102" t="str" cm="1">
        <f t="array" ref="BN59">ReverseString(BK59)</f>
        <v>0000000</v>
      </c>
    </row>
    <row r="60" spans="1:66" outlineLevel="1" x14ac:dyDescent="0.3">
      <c r="C60" s="48">
        <v>8</v>
      </c>
      <c r="D60" s="105" t="str">
        <f t="shared" si="62"/>
        <v>0</v>
      </c>
      <c r="E60" s="106" t="str">
        <f t="shared" si="62"/>
        <v>0</v>
      </c>
      <c r="F60" s="106" t="str">
        <f t="shared" si="62"/>
        <v>0</v>
      </c>
      <c r="G60" s="106" t="str">
        <f t="shared" si="62"/>
        <v>0</v>
      </c>
      <c r="H60" s="106" t="str">
        <f t="shared" si="62"/>
        <v>0</v>
      </c>
      <c r="I60" s="106" t="str">
        <f t="shared" si="62"/>
        <v>0</v>
      </c>
      <c r="J60" s="106" t="str">
        <f t="shared" si="62"/>
        <v>0</v>
      </c>
      <c r="K60" s="103">
        <v>1</v>
      </c>
      <c r="L60" s="105" t="str">
        <f t="shared" si="63"/>
        <v>0</v>
      </c>
      <c r="M60" s="106" t="str">
        <f t="shared" si="63"/>
        <v>1</v>
      </c>
      <c r="N60" s="106" t="str">
        <f t="shared" si="63"/>
        <v>1</v>
      </c>
      <c r="O60" s="106" t="str">
        <f t="shared" si="63"/>
        <v>0</v>
      </c>
      <c r="P60" s="106" t="str">
        <f t="shared" si="63"/>
        <v>1</v>
      </c>
      <c r="Q60" s="106" t="str">
        <f t="shared" si="63"/>
        <v>1</v>
      </c>
      <c r="R60" s="106" t="str">
        <f t="shared" si="63"/>
        <v>1</v>
      </c>
      <c r="S60" s="103">
        <v>1</v>
      </c>
      <c r="T60" s="105" t="str">
        <f t="shared" si="64"/>
        <v>1</v>
      </c>
      <c r="U60" s="106" t="str">
        <f t="shared" si="64"/>
        <v>0</v>
      </c>
      <c r="V60" s="106" t="str">
        <f t="shared" si="64"/>
        <v>0</v>
      </c>
      <c r="W60" s="106" t="str">
        <f t="shared" si="64"/>
        <v>0</v>
      </c>
      <c r="X60" s="106" t="str">
        <f t="shared" si="64"/>
        <v>0</v>
      </c>
      <c r="Y60" s="106" t="str">
        <f t="shared" si="64"/>
        <v>0</v>
      </c>
      <c r="Z60" s="106" t="str">
        <f t="shared" si="64"/>
        <v>0</v>
      </c>
      <c r="AA60" s="104">
        <v>1</v>
      </c>
      <c r="AB60" s="120"/>
      <c r="AQ60" s="109" t="str">
        <f t="shared" si="65"/>
        <v>80</v>
      </c>
      <c r="AR60" s="110" t="str">
        <f t="shared" si="66"/>
        <v>E0</v>
      </c>
      <c r="AW60" s="109" t="str">
        <f t="shared" si="67"/>
        <v>96</v>
      </c>
      <c r="AX60" s="110" t="str">
        <f t="shared" si="68"/>
        <v>81</v>
      </c>
      <c r="BC60" s="96" t="str">
        <f t="shared" si="69"/>
        <v>80</v>
      </c>
      <c r="BD60" t="str">
        <f t="shared" si="70"/>
        <v>F6</v>
      </c>
      <c r="BE60" s="96" t="str">
        <f t="shared" si="71"/>
        <v>81</v>
      </c>
      <c r="BF60" s="101" t="str">
        <f t="shared" si="72"/>
        <v>10000000</v>
      </c>
      <c r="BG60" t="str">
        <f t="shared" si="73"/>
        <v>11110110</v>
      </c>
      <c r="BH60" s="102" t="str">
        <f t="shared" si="74"/>
        <v>10000001</v>
      </c>
      <c r="BI60" s="101" t="str">
        <f t="shared" si="75"/>
        <v>0000000</v>
      </c>
      <c r="BJ60" t="str">
        <f t="shared" si="76"/>
        <v>1110110</v>
      </c>
      <c r="BK60" s="102" t="str">
        <f t="shared" si="77"/>
        <v>0000001</v>
      </c>
      <c r="BL60" s="101" t="str" cm="1">
        <f t="array" ref="BL60">ReverseString(BI60)</f>
        <v>0000000</v>
      </c>
      <c r="BM60" t="str" cm="1">
        <f t="array" ref="BM60">ReverseString(BJ60)</f>
        <v>0110111</v>
      </c>
      <c r="BN60" s="102" t="str" cm="1">
        <f t="array" ref="BN60">ReverseString(BK60)</f>
        <v>1000000</v>
      </c>
    </row>
    <row r="61" spans="1:66" outlineLevel="1" x14ac:dyDescent="0.3">
      <c r="C61" s="48">
        <v>9</v>
      </c>
      <c r="D61" s="105" t="str">
        <f t="shared" si="62"/>
        <v>0</v>
      </c>
      <c r="E61" s="106" t="str">
        <f t="shared" si="62"/>
        <v>0</v>
      </c>
      <c r="F61" s="106" t="str">
        <f t="shared" si="62"/>
        <v>0</v>
      </c>
      <c r="G61" s="106" t="str">
        <f t="shared" si="62"/>
        <v>0</v>
      </c>
      <c r="H61" s="106" t="str">
        <f t="shared" si="62"/>
        <v>0</v>
      </c>
      <c r="I61" s="106" t="str">
        <f t="shared" si="62"/>
        <v>0</v>
      </c>
      <c r="J61" s="106" t="str">
        <f t="shared" si="62"/>
        <v>0</v>
      </c>
      <c r="K61" s="103">
        <v>1</v>
      </c>
      <c r="L61" s="105" t="str">
        <f t="shared" si="63"/>
        <v>0</v>
      </c>
      <c r="M61" s="106" t="str">
        <f t="shared" si="63"/>
        <v>1</v>
      </c>
      <c r="N61" s="106" t="str">
        <f t="shared" si="63"/>
        <v>1</v>
      </c>
      <c r="O61" s="106" t="str">
        <f t="shared" si="63"/>
        <v>0</v>
      </c>
      <c r="P61" s="106" t="str">
        <f t="shared" si="63"/>
        <v>0</v>
      </c>
      <c r="Q61" s="106" t="str">
        <f t="shared" si="63"/>
        <v>0</v>
      </c>
      <c r="R61" s="106" t="str">
        <f t="shared" si="63"/>
        <v>0</v>
      </c>
      <c r="S61" s="103">
        <v>1</v>
      </c>
      <c r="T61" s="105" t="str">
        <f t="shared" si="64"/>
        <v>0</v>
      </c>
      <c r="U61" s="106" t="str">
        <f t="shared" si="64"/>
        <v>0</v>
      </c>
      <c r="V61" s="106" t="str">
        <f t="shared" si="64"/>
        <v>0</v>
      </c>
      <c r="W61" s="106" t="str">
        <f t="shared" si="64"/>
        <v>0</v>
      </c>
      <c r="X61" s="106" t="str">
        <f t="shared" si="64"/>
        <v>0</v>
      </c>
      <c r="Y61" s="106" t="str">
        <f t="shared" si="64"/>
        <v>0</v>
      </c>
      <c r="Z61" s="106" t="str">
        <f t="shared" si="64"/>
        <v>0</v>
      </c>
      <c r="AA61" s="104">
        <v>1</v>
      </c>
      <c r="AB61" s="120"/>
      <c r="AQ61" s="109" t="str">
        <f t="shared" si="65"/>
        <v>80</v>
      </c>
      <c r="AR61" s="110" t="str">
        <f t="shared" si="66"/>
        <v>80</v>
      </c>
      <c r="AW61" s="109" t="str">
        <f t="shared" si="67"/>
        <v>86</v>
      </c>
      <c r="AX61" s="110" t="str">
        <f t="shared" si="68"/>
        <v>80</v>
      </c>
      <c r="BC61" s="96" t="str">
        <f t="shared" si="69"/>
        <v>80</v>
      </c>
      <c r="BD61" t="str">
        <f t="shared" si="70"/>
        <v>86</v>
      </c>
      <c r="BE61" s="96" t="str">
        <f t="shared" si="71"/>
        <v>80</v>
      </c>
      <c r="BF61" s="101" t="str">
        <f t="shared" si="72"/>
        <v>10000000</v>
      </c>
      <c r="BG61" t="str">
        <f t="shared" si="73"/>
        <v>10000110</v>
      </c>
      <c r="BH61" s="102" t="str">
        <f t="shared" si="74"/>
        <v>10000000</v>
      </c>
      <c r="BI61" s="101" t="str">
        <f t="shared" si="75"/>
        <v>0000000</v>
      </c>
      <c r="BJ61" t="str">
        <f t="shared" si="76"/>
        <v>0000110</v>
      </c>
      <c r="BK61" s="102" t="str">
        <f t="shared" si="77"/>
        <v>0000000</v>
      </c>
      <c r="BL61" s="101" t="str" cm="1">
        <f t="array" ref="BL61">ReverseString(BI61)</f>
        <v>0000000</v>
      </c>
      <c r="BM61" t="str" cm="1">
        <f t="array" ref="BM61">ReverseString(BJ61)</f>
        <v>0110000</v>
      </c>
      <c r="BN61" s="102" t="str" cm="1">
        <f t="array" ref="BN61">ReverseString(BK61)</f>
        <v>0000000</v>
      </c>
    </row>
    <row r="62" spans="1:66" outlineLevel="1" x14ac:dyDescent="0.3">
      <c r="C62" s="48">
        <v>10</v>
      </c>
      <c r="D62" s="105" t="str">
        <f t="shared" si="62"/>
        <v>0</v>
      </c>
      <c r="E62" s="106" t="str">
        <f t="shared" si="62"/>
        <v>0</v>
      </c>
      <c r="F62" s="106" t="str">
        <f t="shared" si="62"/>
        <v>0</v>
      </c>
      <c r="G62" s="106" t="str">
        <f t="shared" si="62"/>
        <v>0</v>
      </c>
      <c r="H62" s="106" t="str">
        <f t="shared" si="62"/>
        <v>0</v>
      </c>
      <c r="I62" s="106" t="str">
        <f t="shared" si="62"/>
        <v>0</v>
      </c>
      <c r="J62" s="106" t="str">
        <f t="shared" si="62"/>
        <v>0</v>
      </c>
      <c r="K62" s="103">
        <v>1</v>
      </c>
      <c r="L62" s="105" t="str">
        <f t="shared" si="63"/>
        <v>0</v>
      </c>
      <c r="M62" s="106" t="str">
        <f t="shared" si="63"/>
        <v>1</v>
      </c>
      <c r="N62" s="106" t="str">
        <f t="shared" si="63"/>
        <v>1</v>
      </c>
      <c r="O62" s="106" t="str">
        <f t="shared" si="63"/>
        <v>0</v>
      </c>
      <c r="P62" s="106" t="str">
        <f t="shared" si="63"/>
        <v>0</v>
      </c>
      <c r="Q62" s="106" t="str">
        <f t="shared" si="63"/>
        <v>0</v>
      </c>
      <c r="R62" s="106" t="str">
        <f t="shared" si="63"/>
        <v>0</v>
      </c>
      <c r="S62" s="103">
        <v>1</v>
      </c>
      <c r="T62" s="105" t="str">
        <f t="shared" si="64"/>
        <v>0</v>
      </c>
      <c r="U62" s="106" t="str">
        <f t="shared" si="64"/>
        <v>0</v>
      </c>
      <c r="V62" s="106" t="str">
        <f t="shared" si="64"/>
        <v>0</v>
      </c>
      <c r="W62" s="106" t="str">
        <f t="shared" si="64"/>
        <v>0</v>
      </c>
      <c r="X62" s="106" t="str">
        <f t="shared" si="64"/>
        <v>0</v>
      </c>
      <c r="Y62" s="106" t="str">
        <f t="shared" si="64"/>
        <v>0</v>
      </c>
      <c r="Z62" s="106" t="str">
        <f t="shared" si="64"/>
        <v>0</v>
      </c>
      <c r="AA62" s="104">
        <v>1</v>
      </c>
      <c r="AB62" s="120"/>
      <c r="AQ62" s="109" t="str">
        <f t="shared" si="65"/>
        <v>80</v>
      </c>
      <c r="AR62" s="110" t="str">
        <f t="shared" si="66"/>
        <v>80</v>
      </c>
      <c r="AW62" s="109" t="str">
        <f t="shared" si="67"/>
        <v>86</v>
      </c>
      <c r="AX62" s="110" t="str">
        <f t="shared" si="68"/>
        <v>80</v>
      </c>
      <c r="BC62" s="96" t="str">
        <f t="shared" si="69"/>
        <v>80</v>
      </c>
      <c r="BD62" t="str">
        <f t="shared" si="70"/>
        <v>86</v>
      </c>
      <c r="BE62" s="96" t="str">
        <f t="shared" si="71"/>
        <v>80</v>
      </c>
      <c r="BF62" s="101" t="str">
        <f t="shared" si="72"/>
        <v>10000000</v>
      </c>
      <c r="BG62" t="str">
        <f t="shared" si="73"/>
        <v>10000110</v>
      </c>
      <c r="BH62" s="102" t="str">
        <f t="shared" si="74"/>
        <v>10000000</v>
      </c>
      <c r="BI62" s="101" t="str">
        <f t="shared" si="75"/>
        <v>0000000</v>
      </c>
      <c r="BJ62" t="str">
        <f t="shared" si="76"/>
        <v>0000110</v>
      </c>
      <c r="BK62" s="102" t="str">
        <f t="shared" si="77"/>
        <v>0000000</v>
      </c>
      <c r="BL62" s="101" t="str" cm="1">
        <f t="array" ref="BL62">ReverseString(BI62)</f>
        <v>0000000</v>
      </c>
      <c r="BM62" t="str" cm="1">
        <f t="array" ref="BM62">ReverseString(BJ62)</f>
        <v>0110000</v>
      </c>
      <c r="BN62" s="102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11" customFormat="1" x14ac:dyDescent="0.3">
      <c r="A65" s="119"/>
    </row>
  </sheetData>
  <conditionalFormatting sqref="D52:J62 L52:R62 T52:Z62">
    <cfRule type="expression" dxfId="22" priority="4">
      <formula>D52="1"</formula>
    </cfRule>
  </conditionalFormatting>
  <conditionalFormatting sqref="D5:J15 L5:R15">
    <cfRule type="expression" dxfId="21" priority="3">
      <formula>D5=1</formula>
    </cfRule>
  </conditionalFormatting>
  <conditionalFormatting sqref="D22:J32">
    <cfRule type="expression" dxfId="20" priority="2">
      <formula>D22=1</formula>
    </cfRule>
  </conditionalFormatting>
  <conditionalFormatting sqref="L35:R45">
    <cfRule type="expression" dxfId="19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W1" s="117" t="s">
        <v>168</v>
      </c>
      <c r="X1" s="118">
        <v>8</v>
      </c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1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956</v>
      </c>
      <c r="S4" s="79" t="s">
        <v>8</v>
      </c>
      <c r="T4" s="80" t="str">
        <f>hextobits(R4)</f>
        <v>0010000</v>
      </c>
      <c r="U4" s="80" t="str">
        <f t="shared" ref="U4:U14" si="0">hextobits(S4)</f>
        <v>0000000</v>
      </c>
      <c r="W4" s="79" t="str" cm="1">
        <f t="array" ref="W4">ByteToHex(_xlfn.BITAND(HexToByte(R4),127))</f>
        <v>10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1</v>
      </c>
      <c r="F5" s="35">
        <v>0</v>
      </c>
      <c r="G5" s="35">
        <v>1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881</v>
      </c>
      <c r="S5" s="79" t="s">
        <v>8</v>
      </c>
      <c r="T5" s="80" t="str">
        <f t="shared" ref="T5:T14" si="1">hextobits(R5)</f>
        <v>0101000</v>
      </c>
      <c r="U5" s="80" t="str">
        <f t="shared" si="0"/>
        <v>0000000</v>
      </c>
      <c r="W5" s="79" t="str" cm="1">
        <f t="array" ref="W5">ByteToHex(_xlfn.BITAND(HexToByte(R5),127))</f>
        <v>28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1</v>
      </c>
      <c r="F6" s="35">
        <v>0</v>
      </c>
      <c r="G6" s="35">
        <v>1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881</v>
      </c>
      <c r="S6" s="79" t="s">
        <v>8</v>
      </c>
      <c r="T6" s="80" t="str">
        <f t="shared" si="1"/>
        <v>0101000</v>
      </c>
      <c r="U6" s="80" t="str">
        <f t="shared" si="0"/>
        <v>0000000</v>
      </c>
      <c r="W6" s="79" t="str" cm="1">
        <f t="array" ref="W6">ByteToHex(_xlfn.BITAND(HexToByte(R6),127))</f>
        <v>28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1</v>
      </c>
      <c r="H7" s="35">
        <v>0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957</v>
      </c>
      <c r="S7" s="79" t="s">
        <v>8</v>
      </c>
      <c r="T7" s="80" t="str">
        <f t="shared" si="1"/>
        <v>0100000</v>
      </c>
      <c r="U7" s="80" t="str">
        <f t="shared" si="0"/>
        <v>0000000</v>
      </c>
      <c r="W7" s="79" t="str" cm="1">
        <f t="array" ref="W7">ByteToHex(_xlfn.BITAND(HexToByte(R7),127))</f>
        <v>20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1</v>
      </c>
      <c r="F8" s="35">
        <v>0</v>
      </c>
      <c r="G8" s="35">
        <v>1</v>
      </c>
      <c r="H8" s="35">
        <v>0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881</v>
      </c>
      <c r="S8" s="79" t="s">
        <v>11</v>
      </c>
      <c r="T8" s="80" t="str">
        <f t="shared" si="1"/>
        <v>0101000</v>
      </c>
      <c r="U8" s="80" t="str">
        <f t="shared" si="0"/>
        <v>0000001</v>
      </c>
      <c r="W8" s="79" t="str" cm="1">
        <f t="array" ref="W8">ByteToHex(_xlfn.BITAND(HexToByte(R8),127))</f>
        <v>28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0</v>
      </c>
      <c r="E9" s="35">
        <v>0</v>
      </c>
      <c r="F9" s="35">
        <v>0</v>
      </c>
      <c r="G9" s="35">
        <v>1</v>
      </c>
      <c r="H9" s="35">
        <v>0</v>
      </c>
      <c r="I9" s="82">
        <v>1</v>
      </c>
      <c r="J9" s="86">
        <v>0</v>
      </c>
      <c r="K9" s="35">
        <v>0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879</v>
      </c>
      <c r="S9" s="79" t="s">
        <v>958</v>
      </c>
      <c r="T9" s="80" t="str">
        <f t="shared" si="1"/>
        <v>0100010</v>
      </c>
      <c r="U9" s="80" t="str">
        <f t="shared" si="0"/>
        <v>0000100</v>
      </c>
      <c r="W9" s="79" t="str" cm="1">
        <f t="array" ref="W9">ByteToHex(_xlfn.BITAND(HexToByte(R9),127))</f>
        <v>22</v>
      </c>
      <c r="X9" s="79" t="str" cm="1">
        <f t="array" ref="X9">ByteToHex(_xlfn.BITAND(HexToByte(S9),127))</f>
        <v>04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1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21</v>
      </c>
      <c r="S10" s="79" t="s">
        <v>8</v>
      </c>
      <c r="T10" s="80" t="str">
        <f t="shared" si="1"/>
        <v>1100000</v>
      </c>
      <c r="U10" s="80" t="str">
        <f t="shared" si="0"/>
        <v>0000000</v>
      </c>
      <c r="W10" s="79" t="str" cm="1">
        <f t="array" ref="W10">ByteToHex(_xlfn.BITAND(HexToByte(R10),127))</f>
        <v>60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1</v>
      </c>
      <c r="L12" s="35">
        <v>1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961</v>
      </c>
      <c r="S12" s="79" t="s">
        <v>960</v>
      </c>
      <c r="T12" s="80" t="str">
        <f t="shared" si="1"/>
        <v>1011000</v>
      </c>
      <c r="U12" s="80" t="str">
        <f t="shared" si="0"/>
        <v>0000111</v>
      </c>
      <c r="W12" s="79" t="str" cm="1">
        <f t="array" ref="W12">ByteToHex(_xlfn.BITAND(HexToByte(R12),127))</f>
        <v>58</v>
      </c>
      <c r="X12" s="79" t="str" cm="1">
        <f t="array" ref="X12">ByteToHex(_xlfn.BITAND(HexToByte(S12),127))</f>
        <v>07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1</v>
      </c>
      <c r="F13" s="35">
        <v>1</v>
      </c>
      <c r="G13" s="35">
        <v>0</v>
      </c>
      <c r="H13" s="35">
        <v>0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959</v>
      </c>
      <c r="S13" s="79" t="s">
        <v>8</v>
      </c>
      <c r="T13" s="80" t="str">
        <f t="shared" si="1"/>
        <v>0011000</v>
      </c>
      <c r="U13" s="80" t="str">
        <f t="shared" si="0"/>
        <v>0000000</v>
      </c>
      <c r="W13" s="79" t="str" cm="1">
        <f t="array" ref="W13">ByteToHex(_xlfn.BITAND(HexToByte(R13),127))</f>
        <v>18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1</v>
      </c>
      <c r="F14" s="35">
        <v>1</v>
      </c>
      <c r="G14" s="35">
        <v>0</v>
      </c>
      <c r="H14" s="35">
        <v>0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959</v>
      </c>
      <c r="S14" s="79" t="s">
        <v>8</v>
      </c>
      <c r="T14" s="80" t="str">
        <f t="shared" si="1"/>
        <v>0011000</v>
      </c>
      <c r="U14" s="80" t="str">
        <f t="shared" si="0"/>
        <v>0000000</v>
      </c>
      <c r="W14" s="79" t="str" cm="1">
        <f t="array" ref="W14">ByteToHex(_xlfn.BITAND(HexToByte(R14),127))</f>
        <v>18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1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4"/>
      <c r="F18" s="54"/>
      <c r="G18" s="54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4"/>
      <c r="F19" s="54"/>
      <c r="G19" s="54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4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4"/>
      <c r="F21" s="54"/>
      <c r="G21" s="54"/>
      <c r="H21" s="54"/>
      <c r="J21" s="54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4"/>
      <c r="D22" s="50"/>
      <c r="E22" s="50"/>
      <c r="F22" s="50"/>
      <c r="G22" s="54"/>
      <c r="H22" s="50"/>
      <c r="J22" s="50"/>
      <c r="K22" s="50"/>
      <c r="L22" s="54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3"/>
      <c r="H23" s="53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3"/>
      <c r="F25" s="53"/>
      <c r="G25" s="51"/>
      <c r="H25" s="53"/>
      <c r="J25" s="53"/>
      <c r="K25" s="53"/>
      <c r="L25" s="53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3"/>
      <c r="F26" s="53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3"/>
      <c r="F27" s="53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G28" s="167" t="s">
        <v>962</v>
      </c>
      <c r="I28" s="63"/>
      <c r="K28" s="62"/>
      <c r="L28" s="62"/>
    </row>
    <row r="29" spans="7:12" x14ac:dyDescent="0.3">
      <c r="G29" s="167" t="s">
        <v>941</v>
      </c>
      <c r="I29" s="64" t="b">
        <f>MasterCheck</f>
        <v>1</v>
      </c>
    </row>
    <row r="30" spans="7:12" ht="15" x14ac:dyDescent="0.4">
      <c r="G30" s="65" t="s">
        <v>955</v>
      </c>
      <c r="I30" s="64" t="b">
        <v>1</v>
      </c>
    </row>
    <row r="31" spans="7:12" x14ac:dyDescent="0.3">
      <c r="G31" s="167" t="s">
        <v>912</v>
      </c>
    </row>
    <row r="32" spans="7:12" x14ac:dyDescent="0.3">
      <c r="G32" s="167" t="s">
        <v>911</v>
      </c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8" priority="3">
      <formula>IFERROR(NOT(I30),TRUE)</formula>
    </cfRule>
  </conditionalFormatting>
  <conditionalFormatting sqref="I29">
    <cfRule type="expression" dxfId="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V19" sqref="V1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11" customFormat="1" x14ac:dyDescent="0.3">
      <c r="A2" s="119" t="s">
        <v>953</v>
      </c>
    </row>
    <row r="3" spans="1:40" outlineLevel="1" x14ac:dyDescent="0.3"/>
    <row r="4" spans="1:40" ht="23.25" outlineLevel="1" x14ac:dyDescent="0.3">
      <c r="R4" s="30" t="s">
        <v>892</v>
      </c>
      <c r="S4" s="30" t="s">
        <v>890</v>
      </c>
      <c r="T4" s="30" t="s">
        <v>891</v>
      </c>
      <c r="U4" s="30"/>
    </row>
    <row r="5" spans="1:40" outlineLevel="1" x14ac:dyDescent="0.3">
      <c r="C5" s="32" t="s">
        <v>910</v>
      </c>
      <c r="D5" s="33"/>
      <c r="E5" s="33"/>
      <c r="F5" s="33"/>
      <c r="G5" s="33"/>
      <c r="H5" s="33"/>
      <c r="I5" s="33"/>
    </row>
    <row r="6" spans="1:40" outlineLevel="1" x14ac:dyDescent="0.3">
      <c r="C6" s="34">
        <v>0</v>
      </c>
      <c r="D6" s="35">
        <v>1</v>
      </c>
      <c r="E6" s="35">
        <v>1</v>
      </c>
      <c r="F6" s="35">
        <v>0</v>
      </c>
      <c r="G6" s="35">
        <v>1</v>
      </c>
      <c r="H6" s="35">
        <v>0</v>
      </c>
      <c r="I6" s="35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11" customFormat="1" x14ac:dyDescent="0.3">
      <c r="A9" s="119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30" t="s">
        <v>893</v>
      </c>
      <c r="W11" s="30" t="s">
        <v>894</v>
      </c>
      <c r="X11" s="30" t="s">
        <v>895</v>
      </c>
      <c r="Y11" s="76" t="s">
        <v>933</v>
      </c>
      <c r="Z11" s="30" t="s">
        <v>896</v>
      </c>
      <c r="AA11" s="76" t="s">
        <v>934</v>
      </c>
      <c r="AB11" s="30" t="s">
        <v>898</v>
      </c>
      <c r="AC11" s="30" t="s">
        <v>897</v>
      </c>
      <c r="AD11" s="30" t="s">
        <v>900</v>
      </c>
      <c r="AE11" s="30" t="s">
        <v>899</v>
      </c>
      <c r="AF11" s="30" t="s">
        <v>904</v>
      </c>
      <c r="AG11" s="30" t="s">
        <v>906</v>
      </c>
      <c r="AH11" s="76" t="s">
        <v>935</v>
      </c>
      <c r="AI11" s="30" t="s">
        <v>903</v>
      </c>
      <c r="AJ11" s="30" t="s">
        <v>902</v>
      </c>
      <c r="AK11" s="30" t="s">
        <v>905</v>
      </c>
      <c r="AL11" s="30" t="s">
        <v>907</v>
      </c>
      <c r="AM11" s="76" t="s">
        <v>936</v>
      </c>
      <c r="AN11" s="30" t="s">
        <v>901</v>
      </c>
    </row>
    <row r="12" spans="1:40" outlineLevel="1" x14ac:dyDescent="0.3">
      <c r="B12" s="5" t="s">
        <v>889</v>
      </c>
      <c r="C12" s="32" t="s">
        <v>888</v>
      </c>
      <c r="D12" s="33"/>
      <c r="E12" s="33"/>
      <c r="F12" s="33"/>
      <c r="G12" s="33"/>
      <c r="H12" s="33"/>
      <c r="I12" s="33"/>
      <c r="J12" s="32" t="s">
        <v>887</v>
      </c>
      <c r="K12" s="33"/>
      <c r="L12" s="33"/>
      <c r="M12" s="33"/>
      <c r="N12" s="33"/>
      <c r="O12" s="33"/>
      <c r="P12" s="33"/>
    </row>
    <row r="13" spans="1:40" outlineLevel="1" x14ac:dyDescent="0.3">
      <c r="B13" s="31">
        <v>0</v>
      </c>
      <c r="C13" s="34" t="str">
        <f t="shared" ref="C13:I19" si="0">MID($AI13,C$11+1,1)</f>
        <v>0</v>
      </c>
      <c r="D13" s="35" t="str">
        <f t="shared" si="0"/>
        <v>1</v>
      </c>
      <c r="E13" s="35" t="str">
        <f t="shared" si="0"/>
        <v>1</v>
      </c>
      <c r="F13" s="35" t="str">
        <f t="shared" si="0"/>
        <v>0</v>
      </c>
      <c r="G13" s="35" t="str">
        <f t="shared" si="0"/>
        <v>1</v>
      </c>
      <c r="H13" s="35" t="str">
        <f t="shared" si="0"/>
        <v>0</v>
      </c>
      <c r="I13" s="35" t="str">
        <f t="shared" si="0"/>
        <v>0</v>
      </c>
      <c r="J13" s="34" t="str">
        <f t="shared" ref="J13:P19" si="1">MID($AN13,J$11+1,1)</f>
        <v>0</v>
      </c>
      <c r="K13" s="35" t="str">
        <f t="shared" si="1"/>
        <v>0</v>
      </c>
      <c r="L13" s="35" t="str">
        <f t="shared" si="1"/>
        <v>0</v>
      </c>
      <c r="M13" s="35" t="str">
        <f t="shared" si="1"/>
        <v>0</v>
      </c>
      <c r="N13" s="35" t="str">
        <f t="shared" si="1"/>
        <v>0</v>
      </c>
      <c r="O13" s="35" t="str">
        <f t="shared" si="1"/>
        <v>0</v>
      </c>
      <c r="P13" s="35" t="str">
        <f t="shared" si="1"/>
        <v>0</v>
      </c>
      <c r="T13" s="96" t="str">
        <f>T$6</f>
        <v>16</v>
      </c>
      <c r="U13" s="96"/>
      <c r="V13" s="98" t="str" cm="1">
        <f t="array" ref="V13">INDEX(PixelShiftPages,$B13+1)</f>
        <v>A2</v>
      </c>
      <c r="W13" t="str">
        <f>V13&amp;T13</f>
        <v>A216</v>
      </c>
      <c r="X13" s="97" t="str">
        <f>pixel_shift_table.asm!$B$3</f>
        <v>A200</v>
      </c>
      <c r="Y13">
        <f t="shared" ref="Y13:Y19" si="2">HEX2DEC(W13)-HEX2DEC(X13)</f>
        <v>22</v>
      </c>
      <c r="Z13" s="98" t="str" cm="1">
        <f t="array" ref="Z13">INDEX(_xlfn.TOROW(PixelShiftTable),Y13+1)</f>
        <v>54</v>
      </c>
      <c r="AA13">
        <f t="shared" ref="AA13:AA19" si="3">Y13+128</f>
        <v>150</v>
      </c>
      <c r="AB13" s="98" t="str" cm="1">
        <f t="array" ref="AB13">INDEX(_xlfn.TOROW(PixelShiftTable),AA13+1)</f>
        <v>A9</v>
      </c>
      <c r="AC13" t="str">
        <f t="shared" ref="AC13:AC19" si="4">AB13&amp;Z13</f>
        <v>A954</v>
      </c>
      <c r="AD13" s="97" t="str">
        <f>pixel_pattern_table.asm!$B$2</f>
        <v>A900</v>
      </c>
      <c r="AE13">
        <f t="shared" ref="AE13:AE19" si="5">HEX2DEC(AC13)-HEX2DEC(AD13)</f>
        <v>84</v>
      </c>
      <c r="AF13" s="99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9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31">
        <v>1</v>
      </c>
      <c r="C14" s="34" t="str">
        <f t="shared" si="0"/>
        <v>0</v>
      </c>
      <c r="D14" s="35" t="str">
        <f t="shared" si="0"/>
        <v>0</v>
      </c>
      <c r="E14" s="35" t="str">
        <f t="shared" si="0"/>
        <v>1</v>
      </c>
      <c r="F14" s="35" t="str">
        <f t="shared" si="0"/>
        <v>1</v>
      </c>
      <c r="G14" s="35" t="str">
        <f t="shared" si="0"/>
        <v>0</v>
      </c>
      <c r="H14" s="35" t="str">
        <f t="shared" si="0"/>
        <v>1</v>
      </c>
      <c r="I14" s="35" t="str">
        <f t="shared" si="0"/>
        <v>0</v>
      </c>
      <c r="J14" s="34" t="str">
        <f t="shared" si="1"/>
        <v>0</v>
      </c>
      <c r="K14" s="35" t="str">
        <f t="shared" si="1"/>
        <v>0</v>
      </c>
      <c r="L14" s="35" t="str">
        <f t="shared" si="1"/>
        <v>0</v>
      </c>
      <c r="M14" s="35" t="str">
        <f t="shared" si="1"/>
        <v>0</v>
      </c>
      <c r="N14" s="35" t="str">
        <f t="shared" si="1"/>
        <v>0</v>
      </c>
      <c r="O14" s="35" t="str">
        <f t="shared" si="1"/>
        <v>0</v>
      </c>
      <c r="P14" s="35" t="str">
        <f t="shared" si="1"/>
        <v>0</v>
      </c>
      <c r="T14" s="96" t="str">
        <f t="shared" ref="T14:T19" si="11">T$6</f>
        <v>16</v>
      </c>
      <c r="U14" s="96"/>
      <c r="V14" s="98" t="str" cm="1">
        <f t="array" ref="V14">INDEX(PixelShiftPages,$B14+1)</f>
        <v>A3</v>
      </c>
      <c r="W14" t="str">
        <f t="shared" ref="W14:W19" si="12">V14&amp;T14</f>
        <v>A316</v>
      </c>
      <c r="X14" s="97" t="str">
        <f>pixel_shift_table.asm!$B$3</f>
        <v>A200</v>
      </c>
      <c r="Y14">
        <f t="shared" si="2"/>
        <v>278</v>
      </c>
      <c r="Z14" s="98" t="str" cm="1">
        <f t="array" ref="Z14">INDEX(_xlfn.TOROW(PixelShiftTable),Y14+1)</f>
        <v>56</v>
      </c>
      <c r="AA14">
        <f t="shared" si="3"/>
        <v>406</v>
      </c>
      <c r="AB14" s="98" t="str" cm="1">
        <f t="array" ref="AB14">INDEX(_xlfn.TOROW(PixelShiftTable),AA14+1)</f>
        <v>A9</v>
      </c>
      <c r="AC14" t="str">
        <f t="shared" si="4"/>
        <v>A956</v>
      </c>
      <c r="AD14" s="97" t="str">
        <f>pixel_pattern_table.asm!$B$2</f>
        <v>A900</v>
      </c>
      <c r="AE14">
        <f t="shared" si="5"/>
        <v>86</v>
      </c>
      <c r="AF14" s="99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9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31">
        <v>2</v>
      </c>
      <c r="C15" s="34" t="str">
        <f t="shared" si="0"/>
        <v>0</v>
      </c>
      <c r="D15" s="35" t="str">
        <f t="shared" si="0"/>
        <v>0</v>
      </c>
      <c r="E15" s="35" t="str">
        <f t="shared" si="0"/>
        <v>0</v>
      </c>
      <c r="F15" s="35" t="str">
        <f t="shared" si="0"/>
        <v>1</v>
      </c>
      <c r="G15" s="35" t="str">
        <f t="shared" si="0"/>
        <v>1</v>
      </c>
      <c r="H15" s="35" t="str">
        <f t="shared" si="0"/>
        <v>0</v>
      </c>
      <c r="I15" s="35" t="str">
        <f t="shared" si="0"/>
        <v>1</v>
      </c>
      <c r="J15" s="34" t="str">
        <f t="shared" si="1"/>
        <v>0</v>
      </c>
      <c r="K15" s="35" t="str">
        <f t="shared" si="1"/>
        <v>0</v>
      </c>
      <c r="L15" s="35" t="str">
        <f t="shared" si="1"/>
        <v>0</v>
      </c>
      <c r="M15" s="35" t="str">
        <f t="shared" si="1"/>
        <v>0</v>
      </c>
      <c r="N15" s="35" t="str">
        <f t="shared" si="1"/>
        <v>0</v>
      </c>
      <c r="O15" s="35" t="str">
        <f t="shared" si="1"/>
        <v>0</v>
      </c>
      <c r="P15" s="35" t="str">
        <f t="shared" si="1"/>
        <v>0</v>
      </c>
      <c r="T15" s="96" t="str">
        <f t="shared" si="11"/>
        <v>16</v>
      </c>
      <c r="U15" s="96"/>
      <c r="V15" s="98" t="str" cm="1">
        <f t="array" ref="V15">INDEX(PixelShiftPages,$B15+1)</f>
        <v>A4</v>
      </c>
      <c r="W15" t="str">
        <f t="shared" si="12"/>
        <v>A416</v>
      </c>
      <c r="X15" s="97" t="str">
        <f>pixel_shift_table.asm!$B$3</f>
        <v>A200</v>
      </c>
      <c r="Y15">
        <f t="shared" si="2"/>
        <v>534</v>
      </c>
      <c r="Z15" s="98" t="str" cm="1">
        <f t="array" ref="Z15">INDEX(_xlfn.TOROW(PixelShiftTable),Y15+1)</f>
        <v>58</v>
      </c>
      <c r="AA15">
        <f t="shared" si="3"/>
        <v>662</v>
      </c>
      <c r="AB15" s="98" t="str" cm="1">
        <f t="array" ref="AB15">INDEX(_xlfn.TOROW(PixelShiftTable),AA15+1)</f>
        <v>A9</v>
      </c>
      <c r="AC15" t="str">
        <f t="shared" si="4"/>
        <v>A958</v>
      </c>
      <c r="AD15" s="97" t="str">
        <f>pixel_pattern_table.asm!$B$2</f>
        <v>A900</v>
      </c>
      <c r="AE15">
        <f t="shared" si="5"/>
        <v>88</v>
      </c>
      <c r="AF15" s="99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9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31">
        <v>3</v>
      </c>
      <c r="C16" s="34" t="str">
        <f t="shared" si="0"/>
        <v>0</v>
      </c>
      <c r="D16" s="35" t="str">
        <f t="shared" si="0"/>
        <v>0</v>
      </c>
      <c r="E16" s="35" t="str">
        <f t="shared" si="0"/>
        <v>0</v>
      </c>
      <c r="F16" s="35" t="str">
        <f t="shared" si="0"/>
        <v>0</v>
      </c>
      <c r="G16" s="35" t="str">
        <f t="shared" si="0"/>
        <v>1</v>
      </c>
      <c r="H16" s="35" t="str">
        <f t="shared" si="0"/>
        <v>1</v>
      </c>
      <c r="I16" s="35" t="str">
        <f t="shared" si="0"/>
        <v>0</v>
      </c>
      <c r="J16" s="34" t="str">
        <f t="shared" si="1"/>
        <v>1</v>
      </c>
      <c r="K16" s="35" t="str">
        <f t="shared" si="1"/>
        <v>0</v>
      </c>
      <c r="L16" s="35" t="str">
        <f t="shared" si="1"/>
        <v>0</v>
      </c>
      <c r="M16" s="35" t="str">
        <f t="shared" si="1"/>
        <v>0</v>
      </c>
      <c r="N16" s="35" t="str">
        <f t="shared" si="1"/>
        <v>0</v>
      </c>
      <c r="O16" s="35" t="str">
        <f t="shared" si="1"/>
        <v>0</v>
      </c>
      <c r="P16" s="35" t="str">
        <f t="shared" si="1"/>
        <v>0</v>
      </c>
      <c r="T16" s="96" t="str">
        <f t="shared" si="11"/>
        <v>16</v>
      </c>
      <c r="U16" s="96"/>
      <c r="V16" s="98" t="str" cm="1">
        <f t="array" ref="V16">INDEX(PixelShiftPages,$B16+1)</f>
        <v>A5</v>
      </c>
      <c r="W16" t="str">
        <f t="shared" si="12"/>
        <v>A516</v>
      </c>
      <c r="X16" s="97" t="str">
        <f>pixel_shift_table.asm!$B$3</f>
        <v>A200</v>
      </c>
      <c r="Y16">
        <f t="shared" si="2"/>
        <v>790</v>
      </c>
      <c r="Z16" s="98" t="str" cm="1">
        <f t="array" ref="Z16">INDEX(_xlfn.TOROW(PixelShiftTable),Y16+1)</f>
        <v>5A</v>
      </c>
      <c r="AA16">
        <f t="shared" si="3"/>
        <v>918</v>
      </c>
      <c r="AB16" s="98" t="str" cm="1">
        <f t="array" ref="AB16">INDEX(_xlfn.TOROW(PixelShiftTable),AA16+1)</f>
        <v>A9</v>
      </c>
      <c r="AC16" t="str">
        <f t="shared" si="4"/>
        <v>A95A</v>
      </c>
      <c r="AD16" s="97" t="str">
        <f>pixel_pattern_table.asm!$B$2</f>
        <v>A900</v>
      </c>
      <c r="AE16">
        <f t="shared" si="5"/>
        <v>90</v>
      </c>
      <c r="AF16" s="99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9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31">
        <v>4</v>
      </c>
      <c r="C17" s="34" t="str">
        <f t="shared" si="0"/>
        <v>0</v>
      </c>
      <c r="D17" s="35" t="str">
        <f t="shared" si="0"/>
        <v>0</v>
      </c>
      <c r="E17" s="35" t="str">
        <f t="shared" si="0"/>
        <v>0</v>
      </c>
      <c r="F17" s="35" t="str">
        <f t="shared" si="0"/>
        <v>0</v>
      </c>
      <c r="G17" s="35" t="str">
        <f t="shared" si="0"/>
        <v>0</v>
      </c>
      <c r="H17" s="35" t="str">
        <f t="shared" si="0"/>
        <v>1</v>
      </c>
      <c r="I17" s="35" t="str">
        <f t="shared" si="0"/>
        <v>1</v>
      </c>
      <c r="J17" s="34" t="str">
        <f t="shared" si="1"/>
        <v>0</v>
      </c>
      <c r="K17" s="35" t="str">
        <f t="shared" si="1"/>
        <v>1</v>
      </c>
      <c r="L17" s="35" t="str">
        <f t="shared" si="1"/>
        <v>0</v>
      </c>
      <c r="M17" s="35" t="str">
        <f t="shared" si="1"/>
        <v>0</v>
      </c>
      <c r="N17" s="35" t="str">
        <f t="shared" si="1"/>
        <v>0</v>
      </c>
      <c r="O17" s="35" t="str">
        <f t="shared" si="1"/>
        <v>0</v>
      </c>
      <c r="P17" s="35" t="str">
        <f t="shared" si="1"/>
        <v>0</v>
      </c>
      <c r="T17" s="96" t="str">
        <f t="shared" si="11"/>
        <v>16</v>
      </c>
      <c r="U17" s="96"/>
      <c r="V17" s="98" t="str" cm="1">
        <f t="array" ref="V17">INDEX(PixelShiftPages,$B17+1)</f>
        <v>A6</v>
      </c>
      <c r="W17" t="str">
        <f t="shared" si="12"/>
        <v>A616</v>
      </c>
      <c r="X17" s="97" t="str">
        <f>pixel_shift_table.asm!$B$3</f>
        <v>A200</v>
      </c>
      <c r="Y17">
        <f t="shared" si="2"/>
        <v>1046</v>
      </c>
      <c r="Z17" s="98" t="str" cm="1">
        <f t="array" ref="Z17">INDEX(_xlfn.TOROW(PixelShiftTable),Y17+1)</f>
        <v>5C</v>
      </c>
      <c r="AA17">
        <f t="shared" si="3"/>
        <v>1174</v>
      </c>
      <c r="AB17" s="98" t="str" cm="1">
        <f t="array" ref="AB17">INDEX(_xlfn.TOROW(PixelShiftTable),AA17+1)</f>
        <v>A9</v>
      </c>
      <c r="AC17" t="str">
        <f t="shared" si="4"/>
        <v>A95C</v>
      </c>
      <c r="AD17" s="97" t="str">
        <f>pixel_pattern_table.asm!$B$2</f>
        <v>A900</v>
      </c>
      <c r="AE17">
        <f t="shared" si="5"/>
        <v>92</v>
      </c>
      <c r="AF17" s="99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9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31">
        <v>5</v>
      </c>
      <c r="C18" s="34" t="str">
        <f t="shared" si="0"/>
        <v>0</v>
      </c>
      <c r="D18" s="35" t="str">
        <f t="shared" si="0"/>
        <v>0</v>
      </c>
      <c r="E18" s="35" t="str">
        <f t="shared" si="0"/>
        <v>0</v>
      </c>
      <c r="F18" s="35" t="str">
        <f t="shared" si="0"/>
        <v>0</v>
      </c>
      <c r="G18" s="35" t="str">
        <f t="shared" si="0"/>
        <v>0</v>
      </c>
      <c r="H18" s="35" t="str">
        <f t="shared" si="0"/>
        <v>0</v>
      </c>
      <c r="I18" s="35" t="str">
        <f t="shared" si="0"/>
        <v>1</v>
      </c>
      <c r="J18" s="34" t="str">
        <f t="shared" si="1"/>
        <v>1</v>
      </c>
      <c r="K18" s="35" t="str">
        <f t="shared" si="1"/>
        <v>0</v>
      </c>
      <c r="L18" s="35" t="str">
        <f t="shared" si="1"/>
        <v>1</v>
      </c>
      <c r="M18" s="35" t="str">
        <f t="shared" si="1"/>
        <v>0</v>
      </c>
      <c r="N18" s="35" t="str">
        <f t="shared" si="1"/>
        <v>0</v>
      </c>
      <c r="O18" s="35" t="str">
        <f t="shared" si="1"/>
        <v>0</v>
      </c>
      <c r="P18" s="35" t="str">
        <f t="shared" si="1"/>
        <v>0</v>
      </c>
      <c r="T18" s="96" t="str">
        <f t="shared" si="11"/>
        <v>16</v>
      </c>
      <c r="U18" s="96"/>
      <c r="V18" s="98" t="str" cm="1">
        <f t="array" ref="V18">INDEX(PixelShiftPages,$B18+1)</f>
        <v>A7</v>
      </c>
      <c r="W18" t="str">
        <f t="shared" si="12"/>
        <v>A716</v>
      </c>
      <c r="X18" s="97" t="str">
        <f>pixel_shift_table.asm!$B$3</f>
        <v>A200</v>
      </c>
      <c r="Y18">
        <f t="shared" si="2"/>
        <v>1302</v>
      </c>
      <c r="Z18" s="98" t="str" cm="1">
        <f t="array" ref="Z18">INDEX(_xlfn.TOROW(PixelShiftTable),Y18+1)</f>
        <v>5E</v>
      </c>
      <c r="AA18">
        <f t="shared" si="3"/>
        <v>1430</v>
      </c>
      <c r="AB18" s="98" t="str" cm="1">
        <f t="array" ref="AB18">INDEX(_xlfn.TOROW(PixelShiftTable),AA18+1)</f>
        <v>A9</v>
      </c>
      <c r="AC18" t="str">
        <f t="shared" si="4"/>
        <v>A95E</v>
      </c>
      <c r="AD18" s="97" t="str">
        <f>pixel_pattern_table.asm!$B$2</f>
        <v>A900</v>
      </c>
      <c r="AE18">
        <f t="shared" si="5"/>
        <v>94</v>
      </c>
      <c r="AF18" s="99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9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31">
        <v>6</v>
      </c>
      <c r="C19" s="34" t="str">
        <f t="shared" si="0"/>
        <v>0</v>
      </c>
      <c r="D19" s="35" t="str">
        <f t="shared" si="0"/>
        <v>0</v>
      </c>
      <c r="E19" s="35" t="str">
        <f t="shared" si="0"/>
        <v>0</v>
      </c>
      <c r="F19" s="35" t="str">
        <f t="shared" si="0"/>
        <v>0</v>
      </c>
      <c r="G19" s="35" t="str">
        <f t="shared" si="0"/>
        <v>0</v>
      </c>
      <c r="H19" s="35" t="str">
        <f t="shared" si="0"/>
        <v>0</v>
      </c>
      <c r="I19" s="35" t="str">
        <f t="shared" si="0"/>
        <v>0</v>
      </c>
      <c r="J19" s="34" t="str">
        <f t="shared" si="1"/>
        <v>1</v>
      </c>
      <c r="K19" s="35" t="str">
        <f t="shared" si="1"/>
        <v>1</v>
      </c>
      <c r="L19" s="35" t="str">
        <f t="shared" si="1"/>
        <v>0</v>
      </c>
      <c r="M19" s="35" t="str">
        <f t="shared" si="1"/>
        <v>1</v>
      </c>
      <c r="N19" s="35" t="str">
        <f t="shared" si="1"/>
        <v>0</v>
      </c>
      <c r="O19" s="35" t="str">
        <f t="shared" si="1"/>
        <v>0</v>
      </c>
      <c r="P19" s="35" t="str">
        <f t="shared" si="1"/>
        <v>0</v>
      </c>
      <c r="T19" s="96" t="str">
        <f t="shared" si="11"/>
        <v>16</v>
      </c>
      <c r="U19" s="96"/>
      <c r="V19" s="98" t="str" cm="1">
        <f t="array" ref="V19">INDEX(PixelShiftPages,$B19+1)</f>
        <v>A8</v>
      </c>
      <c r="W19" t="str">
        <f t="shared" si="12"/>
        <v>A816</v>
      </c>
      <c r="X19" s="97" t="str">
        <f>pixel_shift_table.asm!$B$3</f>
        <v>A200</v>
      </c>
      <c r="Y19">
        <f t="shared" si="2"/>
        <v>1558</v>
      </c>
      <c r="Z19" s="98" t="str" cm="1">
        <f t="array" ref="Z19">INDEX(_xlfn.TOROW(PixelShiftTable),Y19+1)</f>
        <v>B0</v>
      </c>
      <c r="AA19">
        <f t="shared" si="3"/>
        <v>1686</v>
      </c>
      <c r="AB19" s="98" t="str" cm="1">
        <f t="array" ref="AB19">INDEX(_xlfn.TOROW(PixelShiftTable),AA19+1)</f>
        <v>A9</v>
      </c>
      <c r="AC19" t="str">
        <f t="shared" si="4"/>
        <v>A9B0</v>
      </c>
      <c r="AD19" s="97" t="str">
        <f>pixel_pattern_table.asm!$B$2</f>
        <v>A900</v>
      </c>
      <c r="AE19">
        <f t="shared" si="5"/>
        <v>176</v>
      </c>
      <c r="AF19" s="99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9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11" customFormat="1" x14ac:dyDescent="0.3">
      <c r="A22" s="119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30" t="s">
        <v>893</v>
      </c>
      <c r="W24" s="30" t="s">
        <v>894</v>
      </c>
      <c r="X24" s="30" t="s">
        <v>895</v>
      </c>
      <c r="Y24" s="76" t="s">
        <v>933</v>
      </c>
      <c r="Z24" s="30" t="s">
        <v>896</v>
      </c>
      <c r="AA24" s="76" t="s">
        <v>934</v>
      </c>
      <c r="AB24" s="30" t="s">
        <v>898</v>
      </c>
      <c r="AC24" s="30" t="s">
        <v>897</v>
      </c>
      <c r="AD24" s="30" t="s">
        <v>900</v>
      </c>
      <c r="AE24" s="30" t="s">
        <v>899</v>
      </c>
      <c r="AF24" s="30" t="s">
        <v>904</v>
      </c>
      <c r="AG24" s="30" t="s">
        <v>906</v>
      </c>
      <c r="AH24" s="76" t="s">
        <v>935</v>
      </c>
      <c r="AI24" s="30" t="s">
        <v>903</v>
      </c>
      <c r="AJ24" s="30" t="s">
        <v>902</v>
      </c>
      <c r="AK24" s="30" t="s">
        <v>905</v>
      </c>
      <c r="AL24" s="30" t="s">
        <v>907</v>
      </c>
      <c r="AM24" s="76" t="s">
        <v>936</v>
      </c>
      <c r="AN24" s="30" t="s">
        <v>901</v>
      </c>
    </row>
    <row r="25" spans="1:40" outlineLevel="1" x14ac:dyDescent="0.3">
      <c r="B25" s="5" t="s">
        <v>889</v>
      </c>
      <c r="C25" s="32" t="s">
        <v>888</v>
      </c>
      <c r="D25" s="33"/>
      <c r="E25" s="33"/>
      <c r="F25" s="33"/>
      <c r="G25" s="33"/>
      <c r="H25" s="33"/>
      <c r="I25" s="33"/>
      <c r="J25" s="32" t="s">
        <v>887</v>
      </c>
      <c r="K25" s="33"/>
      <c r="L25" s="33"/>
      <c r="M25" s="33"/>
      <c r="N25" s="33"/>
      <c r="O25" s="33"/>
      <c r="P25" s="33"/>
    </row>
    <row r="26" spans="1:40" outlineLevel="1" x14ac:dyDescent="0.3">
      <c r="B26" s="31">
        <v>0</v>
      </c>
      <c r="C26" s="34" t="str">
        <f t="shared" ref="C26:I32" si="13">MID($AI26,C$11+1,1)</f>
        <v>0</v>
      </c>
      <c r="D26" s="35" t="str">
        <f t="shared" si="13"/>
        <v>1</v>
      </c>
      <c r="E26" s="35" t="str">
        <f t="shared" si="13"/>
        <v>1</v>
      </c>
      <c r="F26" s="35" t="str">
        <f t="shared" si="13"/>
        <v>0</v>
      </c>
      <c r="G26" s="35" t="str">
        <f t="shared" si="13"/>
        <v>1</v>
      </c>
      <c r="H26" s="35" t="str">
        <f t="shared" si="13"/>
        <v>0</v>
      </c>
      <c r="I26" s="35" t="str">
        <f t="shared" si="13"/>
        <v>0</v>
      </c>
      <c r="J26" s="34" t="str">
        <f t="shared" ref="J26:P32" si="14">MID($AN26,J$11+1,1)</f>
        <v>0</v>
      </c>
      <c r="K26" s="35" t="str">
        <f t="shared" si="14"/>
        <v>0</v>
      </c>
      <c r="L26" s="35" t="str">
        <f t="shared" si="14"/>
        <v>0</v>
      </c>
      <c r="M26" s="35" t="str">
        <f t="shared" si="14"/>
        <v>0</v>
      </c>
      <c r="N26" s="35" t="str">
        <f t="shared" si="14"/>
        <v>0</v>
      </c>
      <c r="O26" s="35" t="str">
        <f t="shared" si="14"/>
        <v>0</v>
      </c>
      <c r="P26" s="35" t="str">
        <f t="shared" si="14"/>
        <v>0</v>
      </c>
      <c r="T26" s="96" t="str">
        <f>T$6</f>
        <v>16</v>
      </c>
      <c r="U26" s="96"/>
      <c r="V26" s="96" t="str">
        <f t="shared" ref="V26:Y32" si="15">V13</f>
        <v>A2</v>
      </c>
      <c r="W26" s="96" t="str">
        <f t="shared" si="15"/>
        <v>A216</v>
      </c>
      <c r="X26" s="96" t="str">
        <f t="shared" si="15"/>
        <v>A200</v>
      </c>
      <c r="Y26" s="96">
        <f t="shared" si="15"/>
        <v>22</v>
      </c>
      <c r="Z26" s="98" t="str" cm="1">
        <f t="array" ref="Z26">INDEX(PixelShiftTable,INT(Y26/COLUMNS(PixelShiftTable))+1,MOD(Y26,COLUMNS(PixelShiftTable))+1)</f>
        <v>54</v>
      </c>
      <c r="AA26" s="96">
        <f t="shared" ref="AA26:AA32" si="16">AA13</f>
        <v>150</v>
      </c>
      <c r="AB26" s="98" t="str" cm="1">
        <f t="array" ref="AB26">INDEX(PixelShiftTable,INT(AA26/COLUMNS(PixelShiftTable))+1,MOD(AA26,COLUMNS(PixelShiftTable))+1)</f>
        <v>A9</v>
      </c>
      <c r="AC26" s="96" t="str">
        <f t="shared" ref="AC26:AE32" si="17">AC13</f>
        <v>A954</v>
      </c>
      <c r="AD26" s="96" t="str">
        <f t="shared" si="17"/>
        <v>A900</v>
      </c>
      <c r="AE26" s="96">
        <f t="shared" si="17"/>
        <v>84</v>
      </c>
      <c r="AF26" s="99" t="str" cm="1">
        <f t="array" ref="AF26">INDEX(PixelPatternTable,INT(AE26/COLUMNS(PixelPatternTable))+1,MOD(AE26,COLUMNS(PixelPatternTable))+1)</f>
        <v>96</v>
      </c>
      <c r="AG26" s="96" t="str">
        <f t="shared" ref="AG26:AJ32" si="18">AG13</f>
        <v>10010110</v>
      </c>
      <c r="AH26" s="96" t="str">
        <f t="shared" si="18"/>
        <v>0010110</v>
      </c>
      <c r="AI26" s="96" t="str">
        <f t="shared" si="18"/>
        <v>0110100</v>
      </c>
      <c r="AJ26" s="96">
        <f t="shared" si="18"/>
        <v>85</v>
      </c>
      <c r="AK26" s="99" t="str" cm="1">
        <f t="array" ref="AK26">INDEX(PixelPatternTable,INT(AJ26/COLUMNS(PixelPatternTable))+1,MOD(AJ26,COLUMNS(PixelPatternTable))+1)</f>
        <v>80</v>
      </c>
      <c r="AL26" s="96" t="str">
        <f t="shared" ref="AL26:AN32" si="19">AL13</f>
        <v>10000000</v>
      </c>
      <c r="AM26" s="96" t="str">
        <f t="shared" si="19"/>
        <v>0000000</v>
      </c>
      <c r="AN26" s="96" t="str">
        <f t="shared" si="19"/>
        <v>0000000</v>
      </c>
    </row>
    <row r="27" spans="1:40" outlineLevel="1" x14ac:dyDescent="0.3">
      <c r="B27" s="31">
        <v>1</v>
      </c>
      <c r="C27" s="34" t="str">
        <f t="shared" si="13"/>
        <v>0</v>
      </c>
      <c r="D27" s="35" t="str">
        <f t="shared" si="13"/>
        <v>0</v>
      </c>
      <c r="E27" s="35" t="str">
        <f t="shared" si="13"/>
        <v>1</v>
      </c>
      <c r="F27" s="35" t="str">
        <f t="shared" si="13"/>
        <v>1</v>
      </c>
      <c r="G27" s="35" t="str">
        <f t="shared" si="13"/>
        <v>0</v>
      </c>
      <c r="H27" s="35" t="str">
        <f t="shared" si="13"/>
        <v>1</v>
      </c>
      <c r="I27" s="35" t="str">
        <f t="shared" si="13"/>
        <v>0</v>
      </c>
      <c r="J27" s="34" t="str">
        <f t="shared" si="14"/>
        <v>0</v>
      </c>
      <c r="K27" s="35" t="str">
        <f t="shared" si="14"/>
        <v>0</v>
      </c>
      <c r="L27" s="35" t="str">
        <f t="shared" si="14"/>
        <v>0</v>
      </c>
      <c r="M27" s="35" t="str">
        <f t="shared" si="14"/>
        <v>0</v>
      </c>
      <c r="N27" s="35" t="str">
        <f t="shared" si="14"/>
        <v>0</v>
      </c>
      <c r="O27" s="35" t="str">
        <f t="shared" si="14"/>
        <v>0</v>
      </c>
      <c r="P27" s="35" t="str">
        <f t="shared" si="14"/>
        <v>0</v>
      </c>
      <c r="T27" s="96" t="str">
        <f t="shared" ref="T27:T32" si="20">T$6</f>
        <v>16</v>
      </c>
      <c r="U27" s="96"/>
      <c r="V27" s="96" t="str">
        <f t="shared" si="15"/>
        <v>A3</v>
      </c>
      <c r="W27" s="96" t="str">
        <f t="shared" si="15"/>
        <v>A316</v>
      </c>
      <c r="X27" s="96" t="str">
        <f t="shared" si="15"/>
        <v>A200</v>
      </c>
      <c r="Y27" s="96">
        <f t="shared" si="15"/>
        <v>278</v>
      </c>
      <c r="Z27" s="98" t="str" cm="1">
        <f t="array" ref="Z27">INDEX(PixelShiftTable,INT(Y27/COLUMNS(PixelShiftTable))+1,MOD(Y27,COLUMNS(PixelShiftTable))+1)</f>
        <v>56</v>
      </c>
      <c r="AA27" s="96">
        <f t="shared" si="16"/>
        <v>406</v>
      </c>
      <c r="AB27" s="98" t="str" cm="1">
        <f t="array" ref="AB27">INDEX(PixelShiftTable,INT(AA27/COLUMNS(PixelShiftTable))+1,MOD(AA27,COLUMNS(PixelShiftTable))+1)</f>
        <v>A9</v>
      </c>
      <c r="AC27" s="96" t="str">
        <f t="shared" si="17"/>
        <v>A956</v>
      </c>
      <c r="AD27" s="96" t="str">
        <f t="shared" si="17"/>
        <v>A900</v>
      </c>
      <c r="AE27" s="96">
        <f t="shared" si="17"/>
        <v>86</v>
      </c>
      <c r="AF27" s="99" t="str" cm="1">
        <f t="array" ref="AF27">INDEX(PixelPatternTable,INT(AE27/COLUMNS(PixelPatternTable))+1,MOD(AE27,COLUMNS(PixelPatternTable))+1)</f>
        <v>AC</v>
      </c>
      <c r="AG27" s="96" t="str">
        <f t="shared" si="18"/>
        <v>10101100</v>
      </c>
      <c r="AH27" s="96" t="str">
        <f t="shared" si="18"/>
        <v>0101100</v>
      </c>
      <c r="AI27" s="96" t="str">
        <f t="shared" si="18"/>
        <v>0011010</v>
      </c>
      <c r="AJ27" s="96">
        <f t="shared" si="18"/>
        <v>87</v>
      </c>
      <c r="AK27" s="99" t="str" cm="1">
        <f t="array" ref="AK27">INDEX(PixelPatternTable,INT(AJ27/COLUMNS(PixelPatternTable))+1,MOD(AJ27,COLUMNS(PixelPatternTable))+1)</f>
        <v>80</v>
      </c>
      <c r="AL27" s="96" t="str">
        <f t="shared" si="19"/>
        <v>10000000</v>
      </c>
      <c r="AM27" s="96" t="str">
        <f t="shared" si="19"/>
        <v>0000000</v>
      </c>
      <c r="AN27" s="96" t="str">
        <f t="shared" si="19"/>
        <v>0000000</v>
      </c>
    </row>
    <row r="28" spans="1:40" outlineLevel="1" x14ac:dyDescent="0.3">
      <c r="B28" s="31">
        <v>2</v>
      </c>
      <c r="C28" s="34" t="str">
        <f t="shared" si="13"/>
        <v>0</v>
      </c>
      <c r="D28" s="35" t="str">
        <f t="shared" si="13"/>
        <v>0</v>
      </c>
      <c r="E28" s="35" t="str">
        <f t="shared" si="13"/>
        <v>0</v>
      </c>
      <c r="F28" s="35" t="str">
        <f t="shared" si="13"/>
        <v>1</v>
      </c>
      <c r="G28" s="35" t="str">
        <f t="shared" si="13"/>
        <v>1</v>
      </c>
      <c r="H28" s="35" t="str">
        <f t="shared" si="13"/>
        <v>0</v>
      </c>
      <c r="I28" s="35" t="str">
        <f t="shared" si="13"/>
        <v>1</v>
      </c>
      <c r="J28" s="34" t="str">
        <f t="shared" si="14"/>
        <v>0</v>
      </c>
      <c r="K28" s="35" t="str">
        <f t="shared" si="14"/>
        <v>0</v>
      </c>
      <c r="L28" s="35" t="str">
        <f t="shared" si="14"/>
        <v>0</v>
      </c>
      <c r="M28" s="35" t="str">
        <f t="shared" si="14"/>
        <v>0</v>
      </c>
      <c r="N28" s="35" t="str">
        <f t="shared" si="14"/>
        <v>0</v>
      </c>
      <c r="O28" s="35" t="str">
        <f t="shared" si="14"/>
        <v>0</v>
      </c>
      <c r="P28" s="35" t="str">
        <f t="shared" si="14"/>
        <v>0</v>
      </c>
      <c r="T28" s="96" t="str">
        <f t="shared" si="20"/>
        <v>16</v>
      </c>
      <c r="U28" s="96"/>
      <c r="V28" s="96" t="str">
        <f t="shared" si="15"/>
        <v>A4</v>
      </c>
      <c r="W28" s="96" t="str">
        <f t="shared" si="15"/>
        <v>A416</v>
      </c>
      <c r="X28" s="96" t="str">
        <f t="shared" si="15"/>
        <v>A200</v>
      </c>
      <c r="Y28" s="96">
        <f t="shared" si="15"/>
        <v>534</v>
      </c>
      <c r="Z28" s="98" t="str" cm="1">
        <f t="array" ref="Z28">INDEX(PixelShiftTable,INT(Y28/COLUMNS(PixelShiftTable))+1,MOD(Y28,COLUMNS(PixelShiftTable))+1)</f>
        <v>58</v>
      </c>
      <c r="AA28" s="96">
        <f t="shared" si="16"/>
        <v>662</v>
      </c>
      <c r="AB28" s="98" t="str" cm="1">
        <f t="array" ref="AB28">INDEX(PixelShiftTable,INT(AA28/COLUMNS(PixelShiftTable))+1,MOD(AA28,COLUMNS(PixelShiftTable))+1)</f>
        <v>A9</v>
      </c>
      <c r="AC28" s="96" t="str">
        <f t="shared" si="17"/>
        <v>A958</v>
      </c>
      <c r="AD28" s="96" t="str">
        <f t="shared" si="17"/>
        <v>A900</v>
      </c>
      <c r="AE28" s="96">
        <f t="shared" si="17"/>
        <v>88</v>
      </c>
      <c r="AF28" s="99" t="str" cm="1">
        <f t="array" ref="AF28">INDEX(PixelPatternTable,INT(AE28/COLUMNS(PixelPatternTable))+1,MOD(AE28,COLUMNS(PixelPatternTable))+1)</f>
        <v>D8</v>
      </c>
      <c r="AG28" s="96" t="str">
        <f t="shared" si="18"/>
        <v>11011000</v>
      </c>
      <c r="AH28" s="96" t="str">
        <f t="shared" si="18"/>
        <v>1011000</v>
      </c>
      <c r="AI28" s="96" t="str">
        <f t="shared" si="18"/>
        <v>0001101</v>
      </c>
      <c r="AJ28" s="96">
        <f t="shared" si="18"/>
        <v>89</v>
      </c>
      <c r="AK28" s="99" t="str" cm="1">
        <f t="array" ref="AK28">INDEX(PixelPatternTable,INT(AJ28/COLUMNS(PixelPatternTable))+1,MOD(AJ28,COLUMNS(PixelPatternTable))+1)</f>
        <v>80</v>
      </c>
      <c r="AL28" s="96" t="str">
        <f t="shared" si="19"/>
        <v>10000000</v>
      </c>
      <c r="AM28" s="96" t="str">
        <f t="shared" si="19"/>
        <v>0000000</v>
      </c>
      <c r="AN28" s="96" t="str">
        <f t="shared" si="19"/>
        <v>0000000</v>
      </c>
    </row>
    <row r="29" spans="1:40" outlineLevel="1" x14ac:dyDescent="0.3">
      <c r="B29" s="31">
        <v>3</v>
      </c>
      <c r="C29" s="34" t="str">
        <f t="shared" si="13"/>
        <v>0</v>
      </c>
      <c r="D29" s="35" t="str">
        <f t="shared" si="13"/>
        <v>0</v>
      </c>
      <c r="E29" s="35" t="str">
        <f t="shared" si="13"/>
        <v>0</v>
      </c>
      <c r="F29" s="35" t="str">
        <f t="shared" si="13"/>
        <v>0</v>
      </c>
      <c r="G29" s="35" t="str">
        <f t="shared" si="13"/>
        <v>1</v>
      </c>
      <c r="H29" s="35" t="str">
        <f t="shared" si="13"/>
        <v>1</v>
      </c>
      <c r="I29" s="35" t="str">
        <f t="shared" si="13"/>
        <v>0</v>
      </c>
      <c r="J29" s="34" t="str">
        <f t="shared" si="14"/>
        <v>1</v>
      </c>
      <c r="K29" s="35" t="str">
        <f t="shared" si="14"/>
        <v>0</v>
      </c>
      <c r="L29" s="35" t="str">
        <f t="shared" si="14"/>
        <v>0</v>
      </c>
      <c r="M29" s="35" t="str">
        <f t="shared" si="14"/>
        <v>0</v>
      </c>
      <c r="N29" s="35" t="str">
        <f t="shared" si="14"/>
        <v>0</v>
      </c>
      <c r="O29" s="35" t="str">
        <f t="shared" si="14"/>
        <v>0</v>
      </c>
      <c r="P29" s="35" t="str">
        <f t="shared" si="14"/>
        <v>0</v>
      </c>
      <c r="T29" s="96" t="str">
        <f t="shared" si="20"/>
        <v>16</v>
      </c>
      <c r="U29" s="96"/>
      <c r="V29" s="96" t="str">
        <f t="shared" si="15"/>
        <v>A5</v>
      </c>
      <c r="W29" s="96" t="str">
        <f t="shared" si="15"/>
        <v>A516</v>
      </c>
      <c r="X29" s="96" t="str">
        <f t="shared" si="15"/>
        <v>A200</v>
      </c>
      <c r="Y29" s="96">
        <f t="shared" si="15"/>
        <v>790</v>
      </c>
      <c r="Z29" s="98" t="str" cm="1">
        <f t="array" ref="Z29">INDEX(PixelShiftTable,INT(Y29/COLUMNS(PixelShiftTable))+1,MOD(Y29,COLUMNS(PixelShiftTable))+1)</f>
        <v>5A</v>
      </c>
      <c r="AA29" s="96">
        <f t="shared" si="16"/>
        <v>918</v>
      </c>
      <c r="AB29" s="98" t="str" cm="1">
        <f t="array" ref="AB29">INDEX(PixelShiftTable,INT(AA29/COLUMNS(PixelShiftTable))+1,MOD(AA29,COLUMNS(PixelShiftTable))+1)</f>
        <v>A9</v>
      </c>
      <c r="AC29" s="96" t="str">
        <f t="shared" si="17"/>
        <v>A95A</v>
      </c>
      <c r="AD29" s="96" t="str">
        <f t="shared" si="17"/>
        <v>A900</v>
      </c>
      <c r="AE29" s="96">
        <f t="shared" si="17"/>
        <v>90</v>
      </c>
      <c r="AF29" s="99" t="str" cm="1">
        <f t="array" ref="AF29">INDEX(PixelPatternTable,INT(AE29/COLUMNS(PixelPatternTable))+1,MOD(AE29,COLUMNS(PixelPatternTable))+1)</f>
        <v>B0</v>
      </c>
      <c r="AG29" s="96" t="str">
        <f t="shared" si="18"/>
        <v>10110000</v>
      </c>
      <c r="AH29" s="96" t="str">
        <f t="shared" si="18"/>
        <v>0110000</v>
      </c>
      <c r="AI29" s="96" t="str">
        <f t="shared" si="18"/>
        <v>0000110</v>
      </c>
      <c r="AJ29" s="96">
        <f t="shared" si="18"/>
        <v>91</v>
      </c>
      <c r="AK29" s="99" t="str" cm="1">
        <f t="array" ref="AK29">INDEX(PixelPatternTable,INT(AJ29/COLUMNS(PixelPatternTable))+1,MOD(AJ29,COLUMNS(PixelPatternTable))+1)</f>
        <v>81</v>
      </c>
      <c r="AL29" s="96" t="str">
        <f t="shared" si="19"/>
        <v>10000001</v>
      </c>
      <c r="AM29" s="96" t="str">
        <f t="shared" si="19"/>
        <v>0000001</v>
      </c>
      <c r="AN29" s="96" t="str">
        <f t="shared" si="19"/>
        <v>1000000</v>
      </c>
    </row>
    <row r="30" spans="1:40" outlineLevel="1" x14ac:dyDescent="0.3">
      <c r="B30" s="31">
        <v>4</v>
      </c>
      <c r="C30" s="34" t="str">
        <f t="shared" si="13"/>
        <v>0</v>
      </c>
      <c r="D30" s="35" t="str">
        <f t="shared" si="13"/>
        <v>0</v>
      </c>
      <c r="E30" s="35" t="str">
        <f t="shared" si="13"/>
        <v>0</v>
      </c>
      <c r="F30" s="35" t="str">
        <f t="shared" si="13"/>
        <v>0</v>
      </c>
      <c r="G30" s="35" t="str">
        <f t="shared" si="13"/>
        <v>0</v>
      </c>
      <c r="H30" s="35" t="str">
        <f t="shared" si="13"/>
        <v>1</v>
      </c>
      <c r="I30" s="35" t="str">
        <f t="shared" si="13"/>
        <v>1</v>
      </c>
      <c r="J30" s="34" t="str">
        <f t="shared" si="14"/>
        <v>0</v>
      </c>
      <c r="K30" s="35" t="str">
        <f t="shared" si="14"/>
        <v>1</v>
      </c>
      <c r="L30" s="35" t="str">
        <f t="shared" si="14"/>
        <v>0</v>
      </c>
      <c r="M30" s="35" t="str">
        <f t="shared" si="14"/>
        <v>0</v>
      </c>
      <c r="N30" s="35" t="str">
        <f t="shared" si="14"/>
        <v>0</v>
      </c>
      <c r="O30" s="35" t="str">
        <f t="shared" si="14"/>
        <v>0</v>
      </c>
      <c r="P30" s="35" t="str">
        <f t="shared" si="14"/>
        <v>0</v>
      </c>
      <c r="T30" s="96" t="str">
        <f t="shared" si="20"/>
        <v>16</v>
      </c>
      <c r="U30" s="96"/>
      <c r="V30" s="96" t="str">
        <f t="shared" si="15"/>
        <v>A6</v>
      </c>
      <c r="W30" s="96" t="str">
        <f t="shared" si="15"/>
        <v>A616</v>
      </c>
      <c r="X30" s="96" t="str">
        <f t="shared" si="15"/>
        <v>A200</v>
      </c>
      <c r="Y30" s="96">
        <f t="shared" si="15"/>
        <v>1046</v>
      </c>
      <c r="Z30" s="98" t="str" cm="1">
        <f t="array" ref="Z30">INDEX(PixelShiftTable,INT(Y30/COLUMNS(PixelShiftTable))+1,MOD(Y30,COLUMNS(PixelShiftTable))+1)</f>
        <v>5C</v>
      </c>
      <c r="AA30" s="96">
        <f t="shared" si="16"/>
        <v>1174</v>
      </c>
      <c r="AB30" s="98" t="str" cm="1">
        <f t="array" ref="AB30">INDEX(PixelShiftTable,INT(AA30/COLUMNS(PixelShiftTable))+1,MOD(AA30,COLUMNS(PixelShiftTable))+1)</f>
        <v>A9</v>
      </c>
      <c r="AC30" s="96" t="str">
        <f t="shared" si="17"/>
        <v>A95C</v>
      </c>
      <c r="AD30" s="96" t="str">
        <f t="shared" si="17"/>
        <v>A900</v>
      </c>
      <c r="AE30" s="96">
        <f t="shared" si="17"/>
        <v>92</v>
      </c>
      <c r="AF30" s="99" t="str" cm="1">
        <f t="array" ref="AF30">INDEX(PixelPatternTable,INT(AE30/COLUMNS(PixelPatternTable))+1,MOD(AE30,COLUMNS(PixelPatternTable))+1)</f>
        <v>E0</v>
      </c>
      <c r="AG30" s="96" t="str">
        <f t="shared" si="18"/>
        <v>11100000</v>
      </c>
      <c r="AH30" s="96" t="str">
        <f t="shared" si="18"/>
        <v>1100000</v>
      </c>
      <c r="AI30" s="96" t="str">
        <f t="shared" si="18"/>
        <v>0000011</v>
      </c>
      <c r="AJ30" s="96">
        <f t="shared" si="18"/>
        <v>93</v>
      </c>
      <c r="AK30" s="99" t="str" cm="1">
        <f t="array" ref="AK30">INDEX(PixelPatternTable,INT(AJ30/COLUMNS(PixelPatternTable))+1,MOD(AJ30,COLUMNS(PixelPatternTable))+1)</f>
        <v>82</v>
      </c>
      <c r="AL30" s="96" t="str">
        <f t="shared" si="19"/>
        <v>10000010</v>
      </c>
      <c r="AM30" s="96" t="str">
        <f t="shared" si="19"/>
        <v>0000010</v>
      </c>
      <c r="AN30" s="96" t="str">
        <f t="shared" si="19"/>
        <v>0100000</v>
      </c>
    </row>
    <row r="31" spans="1:40" outlineLevel="1" x14ac:dyDescent="0.3">
      <c r="B31" s="31">
        <v>5</v>
      </c>
      <c r="C31" s="34" t="str">
        <f t="shared" si="13"/>
        <v>0</v>
      </c>
      <c r="D31" s="35" t="str">
        <f t="shared" si="13"/>
        <v>0</v>
      </c>
      <c r="E31" s="35" t="str">
        <f t="shared" si="13"/>
        <v>0</v>
      </c>
      <c r="F31" s="35" t="str">
        <f t="shared" si="13"/>
        <v>0</v>
      </c>
      <c r="G31" s="35" t="str">
        <f t="shared" si="13"/>
        <v>0</v>
      </c>
      <c r="H31" s="35" t="str">
        <f t="shared" si="13"/>
        <v>0</v>
      </c>
      <c r="I31" s="35" t="str">
        <f t="shared" si="13"/>
        <v>1</v>
      </c>
      <c r="J31" s="34" t="str">
        <f t="shared" si="14"/>
        <v>1</v>
      </c>
      <c r="K31" s="35" t="str">
        <f t="shared" si="14"/>
        <v>0</v>
      </c>
      <c r="L31" s="35" t="str">
        <f t="shared" si="14"/>
        <v>1</v>
      </c>
      <c r="M31" s="35" t="str">
        <f t="shared" si="14"/>
        <v>0</v>
      </c>
      <c r="N31" s="35" t="str">
        <f t="shared" si="14"/>
        <v>0</v>
      </c>
      <c r="O31" s="35" t="str">
        <f t="shared" si="14"/>
        <v>0</v>
      </c>
      <c r="P31" s="35" t="str">
        <f t="shared" si="14"/>
        <v>0</v>
      </c>
      <c r="T31" s="96" t="str">
        <f t="shared" si="20"/>
        <v>16</v>
      </c>
      <c r="U31" s="96"/>
      <c r="V31" s="96" t="str">
        <f t="shared" si="15"/>
        <v>A7</v>
      </c>
      <c r="W31" s="96" t="str">
        <f t="shared" si="15"/>
        <v>A716</v>
      </c>
      <c r="X31" s="96" t="str">
        <f t="shared" si="15"/>
        <v>A200</v>
      </c>
      <c r="Y31" s="96">
        <f t="shared" si="15"/>
        <v>1302</v>
      </c>
      <c r="Z31" s="98" t="str" cm="1">
        <f t="array" ref="Z31">INDEX(PixelShiftTable,INT(Y31/COLUMNS(PixelShiftTable))+1,MOD(Y31,COLUMNS(PixelShiftTable))+1)</f>
        <v>5E</v>
      </c>
      <c r="AA31" s="96">
        <f t="shared" si="16"/>
        <v>1430</v>
      </c>
      <c r="AB31" s="98" t="str" cm="1">
        <f t="array" ref="AB31">INDEX(PixelShiftTable,INT(AA31/COLUMNS(PixelShiftTable))+1,MOD(AA31,COLUMNS(PixelShiftTable))+1)</f>
        <v>A9</v>
      </c>
      <c r="AC31" s="96" t="str">
        <f t="shared" si="17"/>
        <v>A95E</v>
      </c>
      <c r="AD31" s="96" t="str">
        <f t="shared" si="17"/>
        <v>A900</v>
      </c>
      <c r="AE31" s="96">
        <f t="shared" si="17"/>
        <v>94</v>
      </c>
      <c r="AF31" s="99" t="str" cm="1">
        <f t="array" ref="AF31">INDEX(PixelPatternTable,INT(AE31/COLUMNS(PixelPatternTable))+1,MOD(AE31,COLUMNS(PixelPatternTable))+1)</f>
        <v>C0</v>
      </c>
      <c r="AG31" s="96" t="str">
        <f t="shared" si="18"/>
        <v>11000000</v>
      </c>
      <c r="AH31" s="96" t="str">
        <f t="shared" si="18"/>
        <v>1000000</v>
      </c>
      <c r="AI31" s="96" t="str">
        <f t="shared" si="18"/>
        <v>0000001</v>
      </c>
      <c r="AJ31" s="96">
        <f t="shared" si="18"/>
        <v>95</v>
      </c>
      <c r="AK31" s="99" t="str" cm="1">
        <f t="array" ref="AK31">INDEX(PixelPatternTable,INT(AJ31/COLUMNS(PixelPatternTable))+1,MOD(AJ31,COLUMNS(PixelPatternTable))+1)</f>
        <v>85</v>
      </c>
      <c r="AL31" s="96" t="str">
        <f t="shared" si="19"/>
        <v>10000101</v>
      </c>
      <c r="AM31" s="96" t="str">
        <f t="shared" si="19"/>
        <v>0000101</v>
      </c>
      <c r="AN31" s="96" t="str">
        <f t="shared" si="19"/>
        <v>1010000</v>
      </c>
    </row>
    <row r="32" spans="1:40" outlineLevel="1" x14ac:dyDescent="0.3">
      <c r="B32" s="31">
        <v>6</v>
      </c>
      <c r="C32" s="34" t="str">
        <f t="shared" si="13"/>
        <v>0</v>
      </c>
      <c r="D32" s="35" t="str">
        <f t="shared" si="13"/>
        <v>0</v>
      </c>
      <c r="E32" s="35" t="str">
        <f t="shared" si="13"/>
        <v>0</v>
      </c>
      <c r="F32" s="35" t="str">
        <f t="shared" si="13"/>
        <v>0</v>
      </c>
      <c r="G32" s="35" t="str">
        <f t="shared" si="13"/>
        <v>0</v>
      </c>
      <c r="H32" s="35" t="str">
        <f t="shared" si="13"/>
        <v>0</v>
      </c>
      <c r="I32" s="35" t="str">
        <f t="shared" si="13"/>
        <v>0</v>
      </c>
      <c r="J32" s="34" t="str">
        <f t="shared" si="14"/>
        <v>1</v>
      </c>
      <c r="K32" s="35" t="str">
        <f t="shared" si="14"/>
        <v>1</v>
      </c>
      <c r="L32" s="35" t="str">
        <f t="shared" si="14"/>
        <v>0</v>
      </c>
      <c r="M32" s="35" t="str">
        <f t="shared" si="14"/>
        <v>1</v>
      </c>
      <c r="N32" s="35" t="str">
        <f t="shared" si="14"/>
        <v>0</v>
      </c>
      <c r="O32" s="35" t="str">
        <f t="shared" si="14"/>
        <v>0</v>
      </c>
      <c r="P32" s="35" t="str">
        <f t="shared" si="14"/>
        <v>0</v>
      </c>
      <c r="T32" s="96" t="str">
        <f t="shared" si="20"/>
        <v>16</v>
      </c>
      <c r="U32" s="96"/>
      <c r="V32" s="96" t="str">
        <f t="shared" si="15"/>
        <v>A8</v>
      </c>
      <c r="W32" s="96" t="str">
        <f t="shared" si="15"/>
        <v>A816</v>
      </c>
      <c r="X32" s="96" t="str">
        <f t="shared" si="15"/>
        <v>A200</v>
      </c>
      <c r="Y32" s="96">
        <f t="shared" si="15"/>
        <v>1558</v>
      </c>
      <c r="Z32" s="98" t="str" cm="1">
        <f t="array" ref="Z32">INDEX(PixelShiftTable,INT(Y32/COLUMNS(PixelShiftTable))+1,MOD(Y32,COLUMNS(PixelShiftTable))+1)</f>
        <v>B0</v>
      </c>
      <c r="AA32" s="96">
        <f t="shared" si="16"/>
        <v>1686</v>
      </c>
      <c r="AB32" s="98" t="str" cm="1">
        <f t="array" ref="AB32">INDEX(PixelShiftTable,INT(AA32/COLUMNS(PixelShiftTable))+1,MOD(AA32,COLUMNS(PixelShiftTable))+1)</f>
        <v>A9</v>
      </c>
      <c r="AC32" s="96" t="str">
        <f t="shared" si="17"/>
        <v>A9B0</v>
      </c>
      <c r="AD32" s="96" t="str">
        <f t="shared" si="17"/>
        <v>A900</v>
      </c>
      <c r="AE32" s="96">
        <f t="shared" si="17"/>
        <v>176</v>
      </c>
      <c r="AF32" s="99" t="str" cm="1">
        <f t="array" ref="AF32">INDEX(PixelPatternTable,INT(AE32/COLUMNS(PixelPatternTable))+1,MOD(AE32,COLUMNS(PixelPatternTable))+1)</f>
        <v>80</v>
      </c>
      <c r="AG32" s="96" t="str">
        <f t="shared" si="18"/>
        <v>10000000</v>
      </c>
      <c r="AH32" s="96" t="str">
        <f t="shared" si="18"/>
        <v>0000000</v>
      </c>
      <c r="AI32" s="96" t="str">
        <f t="shared" si="18"/>
        <v>0000000</v>
      </c>
      <c r="AJ32" s="96">
        <f t="shared" si="18"/>
        <v>177</v>
      </c>
      <c r="AK32" s="99" t="str" cm="1">
        <f t="array" ref="AK32">INDEX(PixelPatternTable,INT(AJ32/COLUMNS(PixelPatternTable))+1,MOD(AJ32,COLUMNS(PixelPatternTable))+1)</f>
        <v>8B</v>
      </c>
      <c r="AL32" s="96" t="str">
        <f t="shared" si="19"/>
        <v>10001011</v>
      </c>
      <c r="AM32" s="96" t="str">
        <f t="shared" si="19"/>
        <v>0001011</v>
      </c>
      <c r="AN32" s="96" t="str">
        <f t="shared" si="19"/>
        <v>1101000</v>
      </c>
    </row>
    <row r="33" spans="1:40" outlineLevel="1" x14ac:dyDescent="0.3"/>
    <row r="34" spans="1:40" outlineLevel="1" x14ac:dyDescent="0.3"/>
    <row r="35" spans="1:40" s="111" customFormat="1" x14ac:dyDescent="0.3">
      <c r="A35" s="119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30" t="s">
        <v>893</v>
      </c>
      <c r="W37" s="30" t="s">
        <v>929</v>
      </c>
      <c r="X37" s="30" t="s">
        <v>930</v>
      </c>
      <c r="Y37" s="76" t="s">
        <v>933</v>
      </c>
      <c r="Z37" s="30"/>
      <c r="AA37" s="76" t="s">
        <v>934</v>
      </c>
      <c r="AB37" s="30"/>
      <c r="AC37" s="30"/>
      <c r="AD37" s="30"/>
      <c r="AE37" s="30"/>
      <c r="AF37" s="30" t="s">
        <v>931</v>
      </c>
      <c r="AG37" s="30" t="s">
        <v>932</v>
      </c>
      <c r="AH37" s="76" t="s">
        <v>937</v>
      </c>
      <c r="AI37" s="30" t="s">
        <v>903</v>
      </c>
      <c r="AJ37" s="30" t="s">
        <v>902</v>
      </c>
      <c r="AK37" s="30" t="s">
        <v>905</v>
      </c>
      <c r="AL37" s="30" t="s">
        <v>907</v>
      </c>
      <c r="AM37" s="76" t="s">
        <v>936</v>
      </c>
      <c r="AN37" s="30" t="s">
        <v>901</v>
      </c>
    </row>
    <row r="38" spans="1:40" outlineLevel="1" x14ac:dyDescent="0.3">
      <c r="B38" s="5" t="s">
        <v>889</v>
      </c>
      <c r="C38" s="32" t="s">
        <v>888</v>
      </c>
      <c r="D38" s="33"/>
      <c r="E38" s="33"/>
      <c r="F38" s="33"/>
      <c r="G38" s="33"/>
      <c r="H38" s="33"/>
      <c r="I38" s="33"/>
      <c r="J38" s="32" t="s">
        <v>887</v>
      </c>
      <c r="K38" s="33"/>
      <c r="L38" s="33"/>
      <c r="M38" s="33"/>
      <c r="N38" s="33"/>
      <c r="O38" s="33"/>
      <c r="P38" s="33"/>
    </row>
    <row r="39" spans="1:40" outlineLevel="1" x14ac:dyDescent="0.3">
      <c r="B39" s="31">
        <v>0</v>
      </c>
      <c r="C39" s="34" t="str">
        <f t="shared" ref="C39:I45" si="21">MID($AI39,C$11+1,1)</f>
        <v>0</v>
      </c>
      <c r="D39" s="35" t="str">
        <f t="shared" si="21"/>
        <v>1</v>
      </c>
      <c r="E39" s="35" t="str">
        <f t="shared" si="21"/>
        <v>1</v>
      </c>
      <c r="F39" s="35" t="str">
        <f t="shared" si="21"/>
        <v>0</v>
      </c>
      <c r="G39" s="35" t="str">
        <f t="shared" si="21"/>
        <v>1</v>
      </c>
      <c r="H39" s="35" t="str">
        <f t="shared" si="21"/>
        <v>0</v>
      </c>
      <c r="I39" s="35" t="str">
        <f t="shared" si="21"/>
        <v>0</v>
      </c>
      <c r="J39" s="34" t="str">
        <f t="shared" ref="J39:P45" si="22">MID($AN39,J$11+1,1)</f>
        <v>0</v>
      </c>
      <c r="K39" s="35" t="str">
        <f t="shared" si="22"/>
        <v>0</v>
      </c>
      <c r="L39" s="35" t="str">
        <f t="shared" si="22"/>
        <v>0</v>
      </c>
      <c r="M39" s="35" t="str">
        <f t="shared" si="22"/>
        <v>0</v>
      </c>
      <c r="N39" s="35" t="str">
        <f t="shared" si="22"/>
        <v>0</v>
      </c>
      <c r="O39" s="35" t="str">
        <f t="shared" si="22"/>
        <v>0</v>
      </c>
      <c r="P39" s="35" t="str">
        <f t="shared" si="22"/>
        <v>0</v>
      </c>
      <c r="T39" s="96" t="str">
        <f>T$6</f>
        <v>16</v>
      </c>
      <c r="U39" s="96"/>
      <c r="V39" s="98" t="str" cm="1">
        <f t="array" ref="V39">INDEX(PixelShiftPages,$B39+1)</f>
        <v>A2</v>
      </c>
      <c r="W39" t="str">
        <f t="shared" ref="W39:W45" si="23">V39&amp;T39</f>
        <v>A216</v>
      </c>
      <c r="X39" s="97" t="str">
        <f>pixel_shift_table.asm!$B$3</f>
        <v>A200</v>
      </c>
      <c r="Y39">
        <f t="shared" ref="Y39:Y45" si="24">HEX2DEC(W39)-HEX2DEC(X39)</f>
        <v>22</v>
      </c>
      <c r="Z39" s="75"/>
      <c r="AA39">
        <f t="shared" ref="AA39:AA45" si="25">Y39+128</f>
        <v>150</v>
      </c>
      <c r="AB39" s="36"/>
      <c r="AF39" s="99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9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31">
        <v>1</v>
      </c>
      <c r="C40" s="34" t="str">
        <f t="shared" si="21"/>
        <v>0</v>
      </c>
      <c r="D40" s="35" t="str">
        <f t="shared" si="21"/>
        <v>0</v>
      </c>
      <c r="E40" s="35" t="str">
        <f t="shared" si="21"/>
        <v>1</v>
      </c>
      <c r="F40" s="35" t="str">
        <f t="shared" si="21"/>
        <v>1</v>
      </c>
      <c r="G40" s="35" t="str">
        <f t="shared" si="21"/>
        <v>0</v>
      </c>
      <c r="H40" s="35" t="str">
        <f t="shared" si="21"/>
        <v>1</v>
      </c>
      <c r="I40" s="35" t="str">
        <f t="shared" si="21"/>
        <v>0</v>
      </c>
      <c r="J40" s="34" t="str">
        <f t="shared" si="22"/>
        <v>0</v>
      </c>
      <c r="K40" s="35" t="str">
        <f t="shared" si="22"/>
        <v>0</v>
      </c>
      <c r="L40" s="35" t="str">
        <f t="shared" si="22"/>
        <v>0</v>
      </c>
      <c r="M40" s="35" t="str">
        <f t="shared" si="22"/>
        <v>0</v>
      </c>
      <c r="N40" s="35" t="str">
        <f t="shared" si="22"/>
        <v>0</v>
      </c>
      <c r="O40" s="35" t="str">
        <f t="shared" si="22"/>
        <v>0</v>
      </c>
      <c r="P40" s="35" t="str">
        <f t="shared" si="22"/>
        <v>0</v>
      </c>
      <c r="T40" s="96" t="str">
        <f t="shared" ref="T40:T45" si="30">T$6</f>
        <v>16</v>
      </c>
      <c r="U40" s="96"/>
      <c r="V40" s="98" t="str" cm="1">
        <f t="array" ref="V40">INDEX(PixelShiftPages,$B40+1)</f>
        <v>A3</v>
      </c>
      <c r="W40" t="str">
        <f t="shared" si="23"/>
        <v>A316</v>
      </c>
      <c r="X40" s="97" t="str">
        <f>pixel_shift_table.asm!$B$3</f>
        <v>A200</v>
      </c>
      <c r="Y40">
        <f t="shared" si="24"/>
        <v>278</v>
      </c>
      <c r="Z40" s="75"/>
      <c r="AA40">
        <f t="shared" si="25"/>
        <v>406</v>
      </c>
      <c r="AB40" s="36"/>
      <c r="AF40" s="99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9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31">
        <v>2</v>
      </c>
      <c r="C41" s="34" t="str">
        <f t="shared" si="21"/>
        <v>0</v>
      </c>
      <c r="D41" s="35" t="str">
        <f t="shared" si="21"/>
        <v>0</v>
      </c>
      <c r="E41" s="35" t="str">
        <f t="shared" si="21"/>
        <v>0</v>
      </c>
      <c r="F41" s="35" t="str">
        <f t="shared" si="21"/>
        <v>1</v>
      </c>
      <c r="G41" s="35" t="str">
        <f t="shared" si="21"/>
        <v>1</v>
      </c>
      <c r="H41" s="35" t="str">
        <f t="shared" si="21"/>
        <v>0</v>
      </c>
      <c r="I41" s="35" t="str">
        <f t="shared" si="21"/>
        <v>1</v>
      </c>
      <c r="J41" s="34" t="str">
        <f t="shared" si="22"/>
        <v>0</v>
      </c>
      <c r="K41" s="35" t="str">
        <f t="shared" si="22"/>
        <v>0</v>
      </c>
      <c r="L41" s="35" t="str">
        <f t="shared" si="22"/>
        <v>0</v>
      </c>
      <c r="M41" s="35" t="str">
        <f t="shared" si="22"/>
        <v>0</v>
      </c>
      <c r="N41" s="35" t="str">
        <f t="shared" si="22"/>
        <v>0</v>
      </c>
      <c r="O41" s="35" t="str">
        <f t="shared" si="22"/>
        <v>0</v>
      </c>
      <c r="P41" s="35" t="str">
        <f t="shared" si="22"/>
        <v>0</v>
      </c>
      <c r="T41" s="96" t="str">
        <f t="shared" si="30"/>
        <v>16</v>
      </c>
      <c r="U41" s="96"/>
      <c r="V41" s="98" t="str" cm="1">
        <f t="array" ref="V41">INDEX(PixelShiftPages,$B41+1)</f>
        <v>A4</v>
      </c>
      <c r="W41" t="str">
        <f t="shared" si="23"/>
        <v>A416</v>
      </c>
      <c r="X41" s="97" t="str">
        <f>pixel_shift_table.asm!$B$3</f>
        <v>A200</v>
      </c>
      <c r="Y41">
        <f t="shared" si="24"/>
        <v>534</v>
      </c>
      <c r="Z41" s="75"/>
      <c r="AA41">
        <f t="shared" si="25"/>
        <v>662</v>
      </c>
      <c r="AB41" s="36"/>
      <c r="AF41" s="99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9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31">
        <v>3</v>
      </c>
      <c r="C42" s="34" t="str">
        <f t="shared" si="21"/>
        <v>0</v>
      </c>
      <c r="D42" s="35" t="str">
        <f t="shared" si="21"/>
        <v>0</v>
      </c>
      <c r="E42" s="35" t="str">
        <f t="shared" si="21"/>
        <v>0</v>
      </c>
      <c r="F42" s="35" t="str">
        <f t="shared" si="21"/>
        <v>0</v>
      </c>
      <c r="G42" s="35" t="str">
        <f t="shared" si="21"/>
        <v>1</v>
      </c>
      <c r="H42" s="35" t="str">
        <f t="shared" si="21"/>
        <v>1</v>
      </c>
      <c r="I42" s="35" t="str">
        <f t="shared" si="21"/>
        <v>0</v>
      </c>
      <c r="J42" s="34" t="str">
        <f t="shared" si="22"/>
        <v>1</v>
      </c>
      <c r="K42" s="35" t="str">
        <f t="shared" si="22"/>
        <v>0</v>
      </c>
      <c r="L42" s="35" t="str">
        <f t="shared" si="22"/>
        <v>0</v>
      </c>
      <c r="M42" s="35" t="str">
        <f t="shared" si="22"/>
        <v>0</v>
      </c>
      <c r="N42" s="35" t="str">
        <f t="shared" si="22"/>
        <v>0</v>
      </c>
      <c r="O42" s="35" t="str">
        <f t="shared" si="22"/>
        <v>0</v>
      </c>
      <c r="P42" s="35" t="str">
        <f t="shared" si="22"/>
        <v>0</v>
      </c>
      <c r="T42" s="96" t="str">
        <f t="shared" si="30"/>
        <v>16</v>
      </c>
      <c r="U42" s="96"/>
      <c r="V42" s="98" t="str" cm="1">
        <f t="array" ref="V42">INDEX(PixelShiftPages,$B42+1)</f>
        <v>A5</v>
      </c>
      <c r="W42" t="str">
        <f t="shared" si="23"/>
        <v>A516</v>
      </c>
      <c r="X42" s="97" t="str">
        <f>pixel_shift_table.asm!$B$3</f>
        <v>A200</v>
      </c>
      <c r="Y42">
        <f t="shared" si="24"/>
        <v>790</v>
      </c>
      <c r="Z42" s="75"/>
      <c r="AA42">
        <f t="shared" si="25"/>
        <v>918</v>
      </c>
      <c r="AB42" s="36"/>
      <c r="AF42" s="99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9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31">
        <v>4</v>
      </c>
      <c r="C43" s="34" t="str">
        <f t="shared" si="21"/>
        <v>0</v>
      </c>
      <c r="D43" s="35" t="str">
        <f t="shared" si="21"/>
        <v>0</v>
      </c>
      <c r="E43" s="35" t="str">
        <f t="shared" si="21"/>
        <v>0</v>
      </c>
      <c r="F43" s="35" t="str">
        <f t="shared" si="21"/>
        <v>0</v>
      </c>
      <c r="G43" s="35" t="str">
        <f t="shared" si="21"/>
        <v>0</v>
      </c>
      <c r="H43" s="35" t="str">
        <f t="shared" si="21"/>
        <v>1</v>
      </c>
      <c r="I43" s="35" t="str">
        <f t="shared" si="21"/>
        <v>1</v>
      </c>
      <c r="J43" s="34" t="str">
        <f t="shared" si="22"/>
        <v>0</v>
      </c>
      <c r="K43" s="35" t="str">
        <f t="shared" si="22"/>
        <v>1</v>
      </c>
      <c r="L43" s="35" t="str">
        <f t="shared" si="22"/>
        <v>0</v>
      </c>
      <c r="M43" s="35" t="str">
        <f t="shared" si="22"/>
        <v>0</v>
      </c>
      <c r="N43" s="35" t="str">
        <f t="shared" si="22"/>
        <v>0</v>
      </c>
      <c r="O43" s="35" t="str">
        <f t="shared" si="22"/>
        <v>0</v>
      </c>
      <c r="P43" s="35" t="str">
        <f t="shared" si="22"/>
        <v>0</v>
      </c>
      <c r="T43" s="96" t="str">
        <f t="shared" si="30"/>
        <v>16</v>
      </c>
      <c r="U43" s="96"/>
      <c r="V43" s="98" t="str" cm="1">
        <f t="array" ref="V43">INDEX(PixelShiftPages,$B43+1)</f>
        <v>A6</v>
      </c>
      <c r="W43" t="str">
        <f t="shared" si="23"/>
        <v>A616</v>
      </c>
      <c r="X43" s="97" t="str">
        <f>pixel_shift_table.asm!$B$3</f>
        <v>A200</v>
      </c>
      <c r="Y43">
        <f t="shared" si="24"/>
        <v>1046</v>
      </c>
      <c r="Z43" s="75"/>
      <c r="AA43">
        <f t="shared" si="25"/>
        <v>1174</v>
      </c>
      <c r="AB43" s="36"/>
      <c r="AF43" s="99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9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31">
        <v>5</v>
      </c>
      <c r="C44" s="34" t="str">
        <f t="shared" si="21"/>
        <v>0</v>
      </c>
      <c r="D44" s="35" t="str">
        <f t="shared" si="21"/>
        <v>0</v>
      </c>
      <c r="E44" s="35" t="str">
        <f t="shared" si="21"/>
        <v>0</v>
      </c>
      <c r="F44" s="35" t="str">
        <f t="shared" si="21"/>
        <v>0</v>
      </c>
      <c r="G44" s="35" t="str">
        <f t="shared" si="21"/>
        <v>0</v>
      </c>
      <c r="H44" s="35" t="str">
        <f t="shared" si="21"/>
        <v>0</v>
      </c>
      <c r="I44" s="35" t="str">
        <f t="shared" si="21"/>
        <v>1</v>
      </c>
      <c r="J44" s="34" t="str">
        <f t="shared" si="22"/>
        <v>1</v>
      </c>
      <c r="K44" s="35" t="str">
        <f t="shared" si="22"/>
        <v>0</v>
      </c>
      <c r="L44" s="35" t="str">
        <f t="shared" si="22"/>
        <v>1</v>
      </c>
      <c r="M44" s="35" t="str">
        <f t="shared" si="22"/>
        <v>0</v>
      </c>
      <c r="N44" s="35" t="str">
        <f t="shared" si="22"/>
        <v>0</v>
      </c>
      <c r="O44" s="35" t="str">
        <f t="shared" si="22"/>
        <v>0</v>
      </c>
      <c r="P44" s="35" t="str">
        <f t="shared" si="22"/>
        <v>0</v>
      </c>
      <c r="T44" s="96" t="str">
        <f t="shared" si="30"/>
        <v>16</v>
      </c>
      <c r="U44" s="96"/>
      <c r="V44" s="98" t="str" cm="1">
        <f t="array" ref="V44">INDEX(PixelShiftPages,$B44+1)</f>
        <v>A7</v>
      </c>
      <c r="W44" t="str">
        <f t="shared" si="23"/>
        <v>A716</v>
      </c>
      <c r="X44" s="97" t="str">
        <f>pixel_shift_table.asm!$B$3</f>
        <v>A200</v>
      </c>
      <c r="Y44">
        <f t="shared" si="24"/>
        <v>1302</v>
      </c>
      <c r="Z44" s="75"/>
      <c r="AA44">
        <f t="shared" si="25"/>
        <v>1430</v>
      </c>
      <c r="AB44" s="36"/>
      <c r="AF44" s="99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9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31">
        <v>6</v>
      </c>
      <c r="C45" s="34" t="str">
        <f t="shared" si="21"/>
        <v>0</v>
      </c>
      <c r="D45" s="35" t="str">
        <f t="shared" si="21"/>
        <v>0</v>
      </c>
      <c r="E45" s="35" t="str">
        <f t="shared" si="21"/>
        <v>0</v>
      </c>
      <c r="F45" s="35" t="str">
        <f t="shared" si="21"/>
        <v>0</v>
      </c>
      <c r="G45" s="35" t="str">
        <f t="shared" si="21"/>
        <v>0</v>
      </c>
      <c r="H45" s="35" t="str">
        <f t="shared" si="21"/>
        <v>0</v>
      </c>
      <c r="I45" s="35" t="str">
        <f t="shared" si="21"/>
        <v>0</v>
      </c>
      <c r="J45" s="34" t="str">
        <f t="shared" si="22"/>
        <v>1</v>
      </c>
      <c r="K45" s="35" t="str">
        <f t="shared" si="22"/>
        <v>1</v>
      </c>
      <c r="L45" s="35" t="str">
        <f t="shared" si="22"/>
        <v>0</v>
      </c>
      <c r="M45" s="35" t="str">
        <f t="shared" si="22"/>
        <v>1</v>
      </c>
      <c r="N45" s="35" t="str">
        <f t="shared" si="22"/>
        <v>0</v>
      </c>
      <c r="O45" s="35" t="str">
        <f t="shared" si="22"/>
        <v>0</v>
      </c>
      <c r="P45" s="35" t="str">
        <f t="shared" si="22"/>
        <v>0</v>
      </c>
      <c r="T45" s="96" t="str">
        <f t="shared" si="30"/>
        <v>16</v>
      </c>
      <c r="U45" s="96"/>
      <c r="V45" s="98" t="str" cm="1">
        <f t="array" ref="V45">INDEX(PixelShiftPages,$B45+1)</f>
        <v>A8</v>
      </c>
      <c r="W45" t="str">
        <f t="shared" si="23"/>
        <v>A816</v>
      </c>
      <c r="X45" s="97" t="str">
        <f>pixel_shift_table.asm!$B$3</f>
        <v>A200</v>
      </c>
      <c r="Y45">
        <f t="shared" si="24"/>
        <v>1558</v>
      </c>
      <c r="Z45" s="75"/>
      <c r="AA45">
        <f t="shared" si="25"/>
        <v>1686</v>
      </c>
      <c r="AB45" s="36"/>
      <c r="AF45" s="99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9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11" customFormat="1" x14ac:dyDescent="0.3">
      <c r="A48" s="119"/>
    </row>
  </sheetData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40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9"/>
      <c r="B2" s="41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AK2" s="41" t="s">
        <v>913</v>
      </c>
      <c r="AL2" s="29" t="s">
        <v>914</v>
      </c>
      <c r="AM2" s="29" t="s">
        <v>915</v>
      </c>
      <c r="AN2" s="29" t="s">
        <v>916</v>
      </c>
      <c r="AO2" s="29" t="s">
        <v>917</v>
      </c>
      <c r="AP2" s="29" t="s">
        <v>918</v>
      </c>
      <c r="AQ2" s="29" t="s">
        <v>919</v>
      </c>
      <c r="AR2" s="29" t="s">
        <v>920</v>
      </c>
      <c r="AS2" s="29" t="s">
        <v>921</v>
      </c>
      <c r="AT2" s="29" t="s">
        <v>922</v>
      </c>
      <c r="AU2" s="29" t="s">
        <v>923</v>
      </c>
      <c r="AV2" s="29" t="s">
        <v>924</v>
      </c>
      <c r="AW2" s="29" t="s">
        <v>925</v>
      </c>
      <c r="AX2" s="29" t="s">
        <v>926</v>
      </c>
      <c r="AY2" s="29" t="s">
        <v>927</v>
      </c>
      <c r="AZ2" s="29" t="s">
        <v>928</v>
      </c>
    </row>
    <row r="3" spans="1:52" x14ac:dyDescent="0.3">
      <c r="A3" s="57" t="s">
        <v>878</v>
      </c>
      <c r="B3" s="69" t="str">
        <f>pixel_shift_table.asm!C3</f>
        <v>00</v>
      </c>
      <c r="C3" s="70" t="str">
        <f>pixel_shift_table.asm!D3</f>
        <v>02</v>
      </c>
      <c r="D3" s="70" t="str">
        <f>pixel_shift_table.asm!E3</f>
        <v>04</v>
      </c>
      <c r="E3" s="70" t="str">
        <f>pixel_shift_table.asm!F3</f>
        <v>12</v>
      </c>
      <c r="F3" s="70" t="str">
        <f>pixel_shift_table.asm!G3</f>
        <v>06</v>
      </c>
      <c r="G3" s="70" t="str">
        <f>pixel_shift_table.asm!H3</f>
        <v>22</v>
      </c>
      <c r="H3" s="70" t="str">
        <f>pixel_shift_table.asm!I3</f>
        <v>14</v>
      </c>
      <c r="I3" s="70" t="str">
        <f>pixel_shift_table.asm!J3</f>
        <v>32</v>
      </c>
      <c r="J3" s="70" t="str">
        <f>pixel_shift_table.asm!K3</f>
        <v>08</v>
      </c>
      <c r="K3" s="70" t="str">
        <f>pixel_shift_table.asm!L3</f>
        <v>42</v>
      </c>
      <c r="L3" s="70" t="str">
        <f>pixel_shift_table.asm!M3</f>
        <v>24</v>
      </c>
      <c r="M3" s="70" t="str">
        <f>pixel_shift_table.asm!N3</f>
        <v>52</v>
      </c>
      <c r="N3" s="70" t="str">
        <f>pixel_shift_table.asm!O3</f>
        <v>16</v>
      </c>
      <c r="O3" s="70" t="str">
        <f>pixel_shift_table.asm!P3</f>
        <v>62</v>
      </c>
      <c r="P3" s="70" t="str">
        <f>pixel_shift_table.asm!Q3</f>
        <v>34</v>
      </c>
      <c r="Q3" s="70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71" t="str">
        <f>pixel_shift_table.asm!C4</f>
        <v>0A</v>
      </c>
      <c r="C4" s="72" t="str">
        <f>pixel_shift_table.asm!D4</f>
        <v>82</v>
      </c>
      <c r="D4" s="72" t="str">
        <f>pixel_shift_table.asm!E4</f>
        <v>44</v>
      </c>
      <c r="E4" s="72" t="str">
        <f>pixel_shift_table.asm!F4</f>
        <v>92</v>
      </c>
      <c r="F4" s="72" t="str">
        <f>pixel_shift_table.asm!G4</f>
        <v>26</v>
      </c>
      <c r="G4" s="72" t="str">
        <f>pixel_shift_table.asm!H4</f>
        <v>A2</v>
      </c>
      <c r="H4" s="72" t="str">
        <f>pixel_shift_table.asm!I4</f>
        <v>54</v>
      </c>
      <c r="I4" s="72" t="str">
        <f>pixel_shift_table.asm!J4</f>
        <v>B2</v>
      </c>
      <c r="J4" s="72" t="str">
        <f>pixel_shift_table.asm!K4</f>
        <v>18</v>
      </c>
      <c r="K4" s="72" t="str">
        <f>pixel_shift_table.asm!L4</f>
        <v>C2</v>
      </c>
      <c r="L4" s="72" t="str">
        <f>pixel_shift_table.asm!M4</f>
        <v>64</v>
      </c>
      <c r="M4" s="72" t="str">
        <f>pixel_shift_table.asm!N4</f>
        <v>D2</v>
      </c>
      <c r="N4" s="72" t="str">
        <f>pixel_shift_table.asm!O4</f>
        <v>36</v>
      </c>
      <c r="O4" s="72" t="str">
        <f>pixel_shift_table.asm!P4</f>
        <v>E2</v>
      </c>
      <c r="P4" s="72" t="str">
        <f>pixel_shift_table.asm!Q4</f>
        <v>74</v>
      </c>
      <c r="Q4" s="72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71" t="str">
        <f>pixel_shift_table.asm!C5</f>
        <v>0C</v>
      </c>
      <c r="C5" s="72" t="str">
        <f>pixel_shift_table.asm!D5</f>
        <v>02</v>
      </c>
      <c r="D5" s="72" t="str">
        <f>pixel_shift_table.asm!E5</f>
        <v>84</v>
      </c>
      <c r="E5" s="72" t="str">
        <f>pixel_shift_table.asm!F5</f>
        <v>12</v>
      </c>
      <c r="F5" s="72" t="str">
        <f>pixel_shift_table.asm!G5</f>
        <v>46</v>
      </c>
      <c r="G5" s="72" t="str">
        <f>pixel_shift_table.asm!H5</f>
        <v>22</v>
      </c>
      <c r="H5" s="72" t="str">
        <f>pixel_shift_table.asm!I5</f>
        <v>94</v>
      </c>
      <c r="I5" s="72" t="str">
        <f>pixel_shift_table.asm!J5</f>
        <v>32</v>
      </c>
      <c r="J5" s="72" t="str">
        <f>pixel_shift_table.asm!K5</f>
        <v>28</v>
      </c>
      <c r="K5" s="72" t="str">
        <f>pixel_shift_table.asm!L5</f>
        <v>42</v>
      </c>
      <c r="L5" s="72" t="str">
        <f>pixel_shift_table.asm!M5</f>
        <v>A4</v>
      </c>
      <c r="M5" s="72" t="str">
        <f>pixel_shift_table.asm!N5</f>
        <v>52</v>
      </c>
      <c r="N5" s="72" t="str">
        <f>pixel_shift_table.asm!O5</f>
        <v>56</v>
      </c>
      <c r="O5" s="72" t="str">
        <f>pixel_shift_table.asm!P5</f>
        <v>62</v>
      </c>
      <c r="P5" s="72" t="str">
        <f>pixel_shift_table.asm!Q5</f>
        <v>B4</v>
      </c>
      <c r="Q5" s="72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71" t="str">
        <f>pixel_shift_table.asm!C6</f>
        <v>1A</v>
      </c>
      <c r="C6" s="72" t="str">
        <f>pixel_shift_table.asm!D6</f>
        <v>82</v>
      </c>
      <c r="D6" s="72" t="str">
        <f>pixel_shift_table.asm!E6</f>
        <v>C4</v>
      </c>
      <c r="E6" s="72" t="str">
        <f>pixel_shift_table.asm!F6</f>
        <v>92</v>
      </c>
      <c r="F6" s="72" t="str">
        <f>pixel_shift_table.asm!G6</f>
        <v>66</v>
      </c>
      <c r="G6" s="72" t="str">
        <f>pixel_shift_table.asm!H6</f>
        <v>A2</v>
      </c>
      <c r="H6" s="72" t="str">
        <f>pixel_shift_table.asm!I6</f>
        <v>D4</v>
      </c>
      <c r="I6" s="72" t="str">
        <f>pixel_shift_table.asm!J6</f>
        <v>B2</v>
      </c>
      <c r="J6" s="72" t="str">
        <f>pixel_shift_table.asm!K6</f>
        <v>38</v>
      </c>
      <c r="K6" s="72" t="str">
        <f>pixel_shift_table.asm!L6</f>
        <v>C2</v>
      </c>
      <c r="L6" s="72" t="str">
        <f>pixel_shift_table.asm!M6</f>
        <v>E4</v>
      </c>
      <c r="M6" s="72" t="str">
        <f>pixel_shift_table.asm!N6</f>
        <v>D2</v>
      </c>
      <c r="N6" s="72" t="str">
        <f>pixel_shift_table.asm!O6</f>
        <v>76</v>
      </c>
      <c r="O6" s="72" t="str">
        <f>pixel_shift_table.asm!P6</f>
        <v>E2</v>
      </c>
      <c r="P6" s="72" t="str">
        <f>pixel_shift_table.asm!Q6</f>
        <v>F4</v>
      </c>
      <c r="Q6" s="72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71" t="str">
        <f>pixel_shift_table.asm!C7</f>
        <v>0E</v>
      </c>
      <c r="C7" s="72" t="str">
        <f>pixel_shift_table.asm!D7</f>
        <v>02</v>
      </c>
      <c r="D7" s="72" t="str">
        <f>pixel_shift_table.asm!E7</f>
        <v>04</v>
      </c>
      <c r="E7" s="72" t="str">
        <f>pixel_shift_table.asm!F7</f>
        <v>12</v>
      </c>
      <c r="F7" s="72" t="str">
        <f>pixel_shift_table.asm!G7</f>
        <v>86</v>
      </c>
      <c r="G7" s="72" t="str">
        <f>pixel_shift_table.asm!H7</f>
        <v>22</v>
      </c>
      <c r="H7" s="72" t="str">
        <f>pixel_shift_table.asm!I7</f>
        <v>14</v>
      </c>
      <c r="I7" s="72" t="str">
        <f>pixel_shift_table.asm!J7</f>
        <v>32</v>
      </c>
      <c r="J7" s="72" t="str">
        <f>pixel_shift_table.asm!K7</f>
        <v>48</v>
      </c>
      <c r="K7" s="72" t="str">
        <f>pixel_shift_table.asm!L7</f>
        <v>42</v>
      </c>
      <c r="L7" s="72" t="str">
        <f>pixel_shift_table.asm!M7</f>
        <v>24</v>
      </c>
      <c r="M7" s="72" t="str">
        <f>pixel_shift_table.asm!N7</f>
        <v>52</v>
      </c>
      <c r="N7" s="72" t="str">
        <f>pixel_shift_table.asm!O7</f>
        <v>96</v>
      </c>
      <c r="O7" s="72" t="str">
        <f>pixel_shift_table.asm!P7</f>
        <v>62</v>
      </c>
      <c r="P7" s="72" t="str">
        <f>pixel_shift_table.asm!Q7</f>
        <v>34</v>
      </c>
      <c r="Q7" s="72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71" t="str">
        <f>pixel_shift_table.asm!C8</f>
        <v>2A</v>
      </c>
      <c r="C8" s="72" t="str">
        <f>pixel_shift_table.asm!D8</f>
        <v>82</v>
      </c>
      <c r="D8" s="72" t="str">
        <f>pixel_shift_table.asm!E8</f>
        <v>44</v>
      </c>
      <c r="E8" s="72" t="str">
        <f>pixel_shift_table.asm!F8</f>
        <v>92</v>
      </c>
      <c r="F8" s="72" t="str">
        <f>pixel_shift_table.asm!G8</f>
        <v>A6</v>
      </c>
      <c r="G8" s="72" t="str">
        <f>pixel_shift_table.asm!H8</f>
        <v>A2</v>
      </c>
      <c r="H8" s="72" t="str">
        <f>pixel_shift_table.asm!I8</f>
        <v>54</v>
      </c>
      <c r="I8" s="72" t="str">
        <f>pixel_shift_table.asm!J8</f>
        <v>B2</v>
      </c>
      <c r="J8" s="72" t="str">
        <f>pixel_shift_table.asm!K8</f>
        <v>58</v>
      </c>
      <c r="K8" s="72" t="str">
        <f>pixel_shift_table.asm!L8</f>
        <v>C2</v>
      </c>
      <c r="L8" s="72" t="str">
        <f>pixel_shift_table.asm!M8</f>
        <v>64</v>
      </c>
      <c r="M8" s="72" t="str">
        <f>pixel_shift_table.asm!N8</f>
        <v>D2</v>
      </c>
      <c r="N8" s="72" t="str">
        <f>pixel_shift_table.asm!O8</f>
        <v>B6</v>
      </c>
      <c r="O8" s="72" t="str">
        <f>pixel_shift_table.asm!P8</f>
        <v>E2</v>
      </c>
      <c r="P8" s="72" t="str">
        <f>pixel_shift_table.asm!Q8</f>
        <v>74</v>
      </c>
      <c r="Q8" s="72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71" t="str">
        <f>pixel_shift_table.asm!C9</f>
        <v>1C</v>
      </c>
      <c r="C9" s="72" t="str">
        <f>pixel_shift_table.asm!D9</f>
        <v>02</v>
      </c>
      <c r="D9" s="72" t="str">
        <f>pixel_shift_table.asm!E9</f>
        <v>84</v>
      </c>
      <c r="E9" s="72" t="str">
        <f>pixel_shift_table.asm!F9</f>
        <v>12</v>
      </c>
      <c r="F9" s="72" t="str">
        <f>pixel_shift_table.asm!G9</f>
        <v>C6</v>
      </c>
      <c r="G9" s="72" t="str">
        <f>pixel_shift_table.asm!H9</f>
        <v>22</v>
      </c>
      <c r="H9" s="72" t="str">
        <f>pixel_shift_table.asm!I9</f>
        <v>94</v>
      </c>
      <c r="I9" s="72" t="str">
        <f>pixel_shift_table.asm!J9</f>
        <v>32</v>
      </c>
      <c r="J9" s="72" t="str">
        <f>pixel_shift_table.asm!K9</f>
        <v>68</v>
      </c>
      <c r="K9" s="72" t="str">
        <f>pixel_shift_table.asm!L9</f>
        <v>42</v>
      </c>
      <c r="L9" s="72" t="str">
        <f>pixel_shift_table.asm!M9</f>
        <v>A4</v>
      </c>
      <c r="M9" s="72" t="str">
        <f>pixel_shift_table.asm!N9</f>
        <v>52</v>
      </c>
      <c r="N9" s="72" t="str">
        <f>pixel_shift_table.asm!O9</f>
        <v>D6</v>
      </c>
      <c r="O9" s="72" t="str">
        <f>pixel_shift_table.asm!P9</f>
        <v>62</v>
      </c>
      <c r="P9" s="72" t="str">
        <f>pixel_shift_table.asm!Q9</f>
        <v>B4</v>
      </c>
      <c r="Q9" s="72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8" t="str">
        <f t="shared" si="20"/>
        <v>A270</v>
      </c>
      <c r="B10" s="73" t="str">
        <f>pixel_shift_table.asm!C10</f>
        <v>3A</v>
      </c>
      <c r="C10" s="74" t="str">
        <f>pixel_shift_table.asm!D10</f>
        <v>82</v>
      </c>
      <c r="D10" s="74" t="str">
        <f>pixel_shift_table.asm!E10</f>
        <v>C4</v>
      </c>
      <c r="E10" s="74" t="str">
        <f>pixel_shift_table.asm!F10</f>
        <v>92</v>
      </c>
      <c r="F10" s="74" t="str">
        <f>pixel_shift_table.asm!G10</f>
        <v>E6</v>
      </c>
      <c r="G10" s="74" t="str">
        <f>pixel_shift_table.asm!H10</f>
        <v>A2</v>
      </c>
      <c r="H10" s="74" t="str">
        <f>pixel_shift_table.asm!I10</f>
        <v>D4</v>
      </c>
      <c r="I10" s="74" t="str">
        <f>pixel_shift_table.asm!J10</f>
        <v>B2</v>
      </c>
      <c r="J10" s="74" t="str">
        <f>pixel_shift_table.asm!K10</f>
        <v>78</v>
      </c>
      <c r="K10" s="74" t="str">
        <f>pixel_shift_table.asm!L10</f>
        <v>C2</v>
      </c>
      <c r="L10" s="74" t="str">
        <f>pixel_shift_table.asm!M10</f>
        <v>E4</v>
      </c>
      <c r="M10" s="74" t="str">
        <f>pixel_shift_table.asm!N10</f>
        <v>D2</v>
      </c>
      <c r="N10" s="74" t="str">
        <f>pixel_shift_table.asm!O10</f>
        <v>F6</v>
      </c>
      <c r="O10" s="74" t="str">
        <f>pixel_shift_table.asm!P10</f>
        <v>E2</v>
      </c>
      <c r="P10" s="74" t="str">
        <f>pixel_shift_table.asm!Q10</f>
        <v>F4</v>
      </c>
      <c r="Q10" s="74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71" t="str">
        <f>pixel_shift_table.asm!C11</f>
        <v>A9</v>
      </c>
      <c r="C11" s="72" t="str">
        <f>pixel_shift_table.asm!D11</f>
        <v>A9</v>
      </c>
      <c r="D11" s="72" t="str">
        <f>pixel_shift_table.asm!E11</f>
        <v>A9</v>
      </c>
      <c r="E11" s="72" t="str">
        <f>pixel_shift_table.asm!F11</f>
        <v>A9</v>
      </c>
      <c r="F11" s="72" t="str">
        <f>pixel_shift_table.asm!G11</f>
        <v>A9</v>
      </c>
      <c r="G11" s="72" t="str">
        <f>pixel_shift_table.asm!H11</f>
        <v>A9</v>
      </c>
      <c r="H11" s="72" t="str">
        <f>pixel_shift_table.asm!I11</f>
        <v>A9</v>
      </c>
      <c r="I11" s="72" t="str">
        <f>pixel_shift_table.asm!J11</f>
        <v>A9</v>
      </c>
      <c r="J11" s="72" t="str">
        <f>pixel_shift_table.asm!K11</f>
        <v>A9</v>
      </c>
      <c r="K11" s="72" t="str">
        <f>pixel_shift_table.asm!L11</f>
        <v>A9</v>
      </c>
      <c r="L11" s="72" t="str">
        <f>pixel_shift_table.asm!M11</f>
        <v>A9</v>
      </c>
      <c r="M11" s="72" t="str">
        <f>pixel_shift_table.asm!N11</f>
        <v>A9</v>
      </c>
      <c r="N11" s="72" t="str">
        <f>pixel_shift_table.asm!O11</f>
        <v>A9</v>
      </c>
      <c r="O11" s="72" t="str">
        <f>pixel_shift_table.asm!P11</f>
        <v>A9</v>
      </c>
      <c r="P11" s="72" t="str">
        <f>pixel_shift_table.asm!Q11</f>
        <v>A9</v>
      </c>
      <c r="Q11" s="72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71" t="str">
        <f>pixel_shift_table.asm!C12</f>
        <v>A9</v>
      </c>
      <c r="C12" s="72" t="str">
        <f>pixel_shift_table.asm!D12</f>
        <v>A9</v>
      </c>
      <c r="D12" s="72" t="str">
        <f>pixel_shift_table.asm!E12</f>
        <v>A9</v>
      </c>
      <c r="E12" s="72" t="str">
        <f>pixel_shift_table.asm!F12</f>
        <v>A9</v>
      </c>
      <c r="F12" s="72" t="str">
        <f>pixel_shift_table.asm!G12</f>
        <v>A9</v>
      </c>
      <c r="G12" s="72" t="str">
        <f>pixel_shift_table.asm!H12</f>
        <v>A9</v>
      </c>
      <c r="H12" s="72" t="str">
        <f>pixel_shift_table.asm!I12</f>
        <v>A9</v>
      </c>
      <c r="I12" s="72" t="str">
        <f>pixel_shift_table.asm!J12</f>
        <v>A9</v>
      </c>
      <c r="J12" s="72" t="str">
        <f>pixel_shift_table.asm!K12</f>
        <v>A9</v>
      </c>
      <c r="K12" s="72" t="str">
        <f>pixel_shift_table.asm!L12</f>
        <v>A9</v>
      </c>
      <c r="L12" s="72" t="str">
        <f>pixel_shift_table.asm!M12</f>
        <v>A9</v>
      </c>
      <c r="M12" s="72" t="str">
        <f>pixel_shift_table.asm!N12</f>
        <v>A9</v>
      </c>
      <c r="N12" s="72" t="str">
        <f>pixel_shift_table.asm!O12</f>
        <v>A9</v>
      </c>
      <c r="O12" s="72" t="str">
        <f>pixel_shift_table.asm!P12</f>
        <v>A9</v>
      </c>
      <c r="P12" s="72" t="str">
        <f>pixel_shift_table.asm!Q12</f>
        <v>A9</v>
      </c>
      <c r="Q12" s="72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71" t="str">
        <f>pixel_shift_table.asm!C13</f>
        <v>A9</v>
      </c>
      <c r="C13" s="72" t="str">
        <f>pixel_shift_table.asm!D13</f>
        <v>AA</v>
      </c>
      <c r="D13" s="72" t="str">
        <f>pixel_shift_table.asm!E13</f>
        <v>A9</v>
      </c>
      <c r="E13" s="72" t="str">
        <f>pixel_shift_table.asm!F13</f>
        <v>AA</v>
      </c>
      <c r="F13" s="72" t="str">
        <f>pixel_shift_table.asm!G13</f>
        <v>A9</v>
      </c>
      <c r="G13" s="72" t="str">
        <f>pixel_shift_table.asm!H13</f>
        <v>AA</v>
      </c>
      <c r="H13" s="72" t="str">
        <f>pixel_shift_table.asm!I13</f>
        <v>A9</v>
      </c>
      <c r="I13" s="72" t="str">
        <f>pixel_shift_table.asm!J13</f>
        <v>AA</v>
      </c>
      <c r="J13" s="72" t="str">
        <f>pixel_shift_table.asm!K13</f>
        <v>A9</v>
      </c>
      <c r="K13" s="72" t="str">
        <f>pixel_shift_table.asm!L13</f>
        <v>AA</v>
      </c>
      <c r="L13" s="72" t="str">
        <f>pixel_shift_table.asm!M13</f>
        <v>A9</v>
      </c>
      <c r="M13" s="72" t="str">
        <f>pixel_shift_table.asm!N13</f>
        <v>AA</v>
      </c>
      <c r="N13" s="72" t="str">
        <f>pixel_shift_table.asm!O13</f>
        <v>A9</v>
      </c>
      <c r="O13" s="72" t="str">
        <f>pixel_shift_table.asm!P13</f>
        <v>AA</v>
      </c>
      <c r="P13" s="72" t="str">
        <f>pixel_shift_table.asm!Q13</f>
        <v>A9</v>
      </c>
      <c r="Q13" s="72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71" t="str">
        <f>pixel_shift_table.asm!C14</f>
        <v>A9</v>
      </c>
      <c r="C14" s="72" t="str">
        <f>pixel_shift_table.asm!D14</f>
        <v>AA</v>
      </c>
      <c r="D14" s="72" t="str">
        <f>pixel_shift_table.asm!E14</f>
        <v>A9</v>
      </c>
      <c r="E14" s="72" t="str">
        <f>pixel_shift_table.asm!F14</f>
        <v>AA</v>
      </c>
      <c r="F14" s="72" t="str">
        <f>pixel_shift_table.asm!G14</f>
        <v>A9</v>
      </c>
      <c r="G14" s="72" t="str">
        <f>pixel_shift_table.asm!H14</f>
        <v>AA</v>
      </c>
      <c r="H14" s="72" t="str">
        <f>pixel_shift_table.asm!I14</f>
        <v>A9</v>
      </c>
      <c r="I14" s="72" t="str">
        <f>pixel_shift_table.asm!J14</f>
        <v>AA</v>
      </c>
      <c r="J14" s="72" t="str">
        <f>pixel_shift_table.asm!K14</f>
        <v>A9</v>
      </c>
      <c r="K14" s="72" t="str">
        <f>pixel_shift_table.asm!L14</f>
        <v>AA</v>
      </c>
      <c r="L14" s="72" t="str">
        <f>pixel_shift_table.asm!M14</f>
        <v>A9</v>
      </c>
      <c r="M14" s="72" t="str">
        <f>pixel_shift_table.asm!N14</f>
        <v>AA</v>
      </c>
      <c r="N14" s="72" t="str">
        <f>pixel_shift_table.asm!O14</f>
        <v>A9</v>
      </c>
      <c r="O14" s="72" t="str">
        <f>pixel_shift_table.asm!P14</f>
        <v>AA</v>
      </c>
      <c r="P14" s="72" t="str">
        <f>pixel_shift_table.asm!Q14</f>
        <v>A9</v>
      </c>
      <c r="Q14" s="72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71" t="str">
        <f>pixel_shift_table.asm!C15</f>
        <v>A9</v>
      </c>
      <c r="C15" s="72" t="str">
        <f>pixel_shift_table.asm!D15</f>
        <v>AB</v>
      </c>
      <c r="D15" s="72" t="str">
        <f>pixel_shift_table.asm!E15</f>
        <v>AA</v>
      </c>
      <c r="E15" s="72" t="str">
        <f>pixel_shift_table.asm!F15</f>
        <v>AB</v>
      </c>
      <c r="F15" s="72" t="str">
        <f>pixel_shift_table.asm!G15</f>
        <v>A9</v>
      </c>
      <c r="G15" s="72" t="str">
        <f>pixel_shift_table.asm!H15</f>
        <v>AB</v>
      </c>
      <c r="H15" s="72" t="str">
        <f>pixel_shift_table.asm!I15</f>
        <v>AA</v>
      </c>
      <c r="I15" s="72" t="str">
        <f>pixel_shift_table.asm!J15</f>
        <v>AB</v>
      </c>
      <c r="J15" s="72" t="str">
        <f>pixel_shift_table.asm!K15</f>
        <v>A9</v>
      </c>
      <c r="K15" s="72" t="str">
        <f>pixel_shift_table.asm!L15</f>
        <v>AB</v>
      </c>
      <c r="L15" s="72" t="str">
        <f>pixel_shift_table.asm!M15</f>
        <v>AA</v>
      </c>
      <c r="M15" s="72" t="str">
        <f>pixel_shift_table.asm!N15</f>
        <v>AB</v>
      </c>
      <c r="N15" s="72" t="str">
        <f>pixel_shift_table.asm!O15</f>
        <v>A9</v>
      </c>
      <c r="O15" s="72" t="str">
        <f>pixel_shift_table.asm!P15</f>
        <v>AB</v>
      </c>
      <c r="P15" s="72" t="str">
        <f>pixel_shift_table.asm!Q15</f>
        <v>AA</v>
      </c>
      <c r="Q15" s="72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71" t="str">
        <f>pixel_shift_table.asm!C16</f>
        <v>A9</v>
      </c>
      <c r="C16" s="72" t="str">
        <f>pixel_shift_table.asm!D16</f>
        <v>AB</v>
      </c>
      <c r="D16" s="72" t="str">
        <f>pixel_shift_table.asm!E16</f>
        <v>AA</v>
      </c>
      <c r="E16" s="72" t="str">
        <f>pixel_shift_table.asm!F16</f>
        <v>AB</v>
      </c>
      <c r="F16" s="72" t="str">
        <f>pixel_shift_table.asm!G16</f>
        <v>A9</v>
      </c>
      <c r="G16" s="72" t="str">
        <f>pixel_shift_table.asm!H16</f>
        <v>AB</v>
      </c>
      <c r="H16" s="72" t="str">
        <f>pixel_shift_table.asm!I16</f>
        <v>AA</v>
      </c>
      <c r="I16" s="72" t="str">
        <f>pixel_shift_table.asm!J16</f>
        <v>AB</v>
      </c>
      <c r="J16" s="72" t="str">
        <f>pixel_shift_table.asm!K16</f>
        <v>A9</v>
      </c>
      <c r="K16" s="72" t="str">
        <f>pixel_shift_table.asm!L16</f>
        <v>AB</v>
      </c>
      <c r="L16" s="72" t="str">
        <f>pixel_shift_table.asm!M16</f>
        <v>AA</v>
      </c>
      <c r="M16" s="72" t="str">
        <f>pixel_shift_table.asm!N16</f>
        <v>AB</v>
      </c>
      <c r="N16" s="72" t="str">
        <f>pixel_shift_table.asm!O16</f>
        <v>A9</v>
      </c>
      <c r="O16" s="72" t="str">
        <f>pixel_shift_table.asm!P16</f>
        <v>AB</v>
      </c>
      <c r="P16" s="72" t="str">
        <f>pixel_shift_table.asm!Q16</f>
        <v>AA</v>
      </c>
      <c r="Q16" s="72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71" t="str">
        <f>pixel_shift_table.asm!C17</f>
        <v>A9</v>
      </c>
      <c r="C17" s="72" t="str">
        <f>pixel_shift_table.asm!D17</f>
        <v>AC</v>
      </c>
      <c r="D17" s="72" t="str">
        <f>pixel_shift_table.asm!E17</f>
        <v>AA</v>
      </c>
      <c r="E17" s="72" t="str">
        <f>pixel_shift_table.asm!F17</f>
        <v>AC</v>
      </c>
      <c r="F17" s="72" t="str">
        <f>pixel_shift_table.asm!G17</f>
        <v>A9</v>
      </c>
      <c r="G17" s="72" t="str">
        <f>pixel_shift_table.asm!H17</f>
        <v>AC</v>
      </c>
      <c r="H17" s="72" t="str">
        <f>pixel_shift_table.asm!I17</f>
        <v>AA</v>
      </c>
      <c r="I17" s="72" t="str">
        <f>pixel_shift_table.asm!J17</f>
        <v>AC</v>
      </c>
      <c r="J17" s="72" t="str">
        <f>pixel_shift_table.asm!K17</f>
        <v>A9</v>
      </c>
      <c r="K17" s="72" t="str">
        <f>pixel_shift_table.asm!L17</f>
        <v>AC</v>
      </c>
      <c r="L17" s="72" t="str">
        <f>pixel_shift_table.asm!M17</f>
        <v>AA</v>
      </c>
      <c r="M17" s="72" t="str">
        <f>pixel_shift_table.asm!N17</f>
        <v>AC</v>
      </c>
      <c r="N17" s="72" t="str">
        <f>pixel_shift_table.asm!O17</f>
        <v>A9</v>
      </c>
      <c r="O17" s="72" t="str">
        <f>pixel_shift_table.asm!P17</f>
        <v>AC</v>
      </c>
      <c r="P17" s="72" t="str">
        <f>pixel_shift_table.asm!Q17</f>
        <v>AA</v>
      </c>
      <c r="Q17" s="72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8" t="str">
        <f t="shared" si="20"/>
        <v>A2F0</v>
      </c>
      <c r="B18" s="73" t="str">
        <f>pixel_shift_table.asm!C18</f>
        <v>A9</v>
      </c>
      <c r="C18" s="74" t="str">
        <f>pixel_shift_table.asm!D18</f>
        <v>AC</v>
      </c>
      <c r="D18" s="74" t="str">
        <f>pixel_shift_table.asm!E18</f>
        <v>AA</v>
      </c>
      <c r="E18" s="74" t="str">
        <f>pixel_shift_table.asm!F18</f>
        <v>AC</v>
      </c>
      <c r="F18" s="74" t="str">
        <f>pixel_shift_table.asm!G18</f>
        <v>A9</v>
      </c>
      <c r="G18" s="74" t="str">
        <f>pixel_shift_table.asm!H18</f>
        <v>AC</v>
      </c>
      <c r="H18" s="74" t="str">
        <f>pixel_shift_table.asm!I18</f>
        <v>AA</v>
      </c>
      <c r="I18" s="74" t="str">
        <f>pixel_shift_table.asm!J18</f>
        <v>AC</v>
      </c>
      <c r="J18" s="74" t="str">
        <f>pixel_shift_table.asm!K18</f>
        <v>A9</v>
      </c>
      <c r="K18" s="74" t="str">
        <f>pixel_shift_table.asm!L18</f>
        <v>AC</v>
      </c>
      <c r="L18" s="74" t="str">
        <f>pixel_shift_table.asm!M18</f>
        <v>AA</v>
      </c>
      <c r="M18" s="74" t="str">
        <f>pixel_shift_table.asm!N18</f>
        <v>AC</v>
      </c>
      <c r="N18" s="74" t="str">
        <f>pixel_shift_table.asm!O18</f>
        <v>A9</v>
      </c>
      <c r="O18" s="74" t="str">
        <f>pixel_shift_table.asm!P18</f>
        <v>AC</v>
      </c>
      <c r="P18" s="74" t="str">
        <f>pixel_shift_table.asm!Q18</f>
        <v>AA</v>
      </c>
      <c r="Q18" s="74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9" t="str">
        <f t="shared" si="20"/>
        <v>A300</v>
      </c>
      <c r="B19" s="69" t="str">
        <f>pixel_shift_table.asm!C19</f>
        <v>00</v>
      </c>
      <c r="C19" s="70" t="str">
        <f>pixel_shift_table.asm!D19</f>
        <v>04</v>
      </c>
      <c r="D19" s="70" t="str">
        <f>pixel_shift_table.asm!E19</f>
        <v>06</v>
      </c>
      <c r="E19" s="70" t="str">
        <f>pixel_shift_table.asm!F19</f>
        <v>14</v>
      </c>
      <c r="F19" s="70" t="str">
        <f>pixel_shift_table.asm!G19</f>
        <v>08</v>
      </c>
      <c r="G19" s="70" t="str">
        <f>pixel_shift_table.asm!H19</f>
        <v>24</v>
      </c>
      <c r="H19" s="70" t="str">
        <f>pixel_shift_table.asm!I19</f>
        <v>16</v>
      </c>
      <c r="I19" s="70" t="str">
        <f>pixel_shift_table.asm!J19</f>
        <v>34</v>
      </c>
      <c r="J19" s="70" t="str">
        <f>pixel_shift_table.asm!K19</f>
        <v>0A</v>
      </c>
      <c r="K19" s="70" t="str">
        <f>pixel_shift_table.asm!L19</f>
        <v>44</v>
      </c>
      <c r="L19" s="70" t="str">
        <f>pixel_shift_table.asm!M19</f>
        <v>26</v>
      </c>
      <c r="M19" s="70" t="str">
        <f>pixel_shift_table.asm!N19</f>
        <v>54</v>
      </c>
      <c r="N19" s="70" t="str">
        <f>pixel_shift_table.asm!O19</f>
        <v>18</v>
      </c>
      <c r="O19" s="70" t="str">
        <f>pixel_shift_table.asm!P19</f>
        <v>64</v>
      </c>
      <c r="P19" s="70" t="str">
        <f>pixel_shift_table.asm!Q19</f>
        <v>36</v>
      </c>
      <c r="Q19" s="70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71" t="str">
        <f>pixel_shift_table.asm!C20</f>
        <v>0C</v>
      </c>
      <c r="C20" s="72" t="str">
        <f>pixel_shift_table.asm!D20</f>
        <v>84</v>
      </c>
      <c r="D20" s="72" t="str">
        <f>pixel_shift_table.asm!E20</f>
        <v>46</v>
      </c>
      <c r="E20" s="72" t="str">
        <f>pixel_shift_table.asm!F20</f>
        <v>94</v>
      </c>
      <c r="F20" s="72" t="str">
        <f>pixel_shift_table.asm!G20</f>
        <v>28</v>
      </c>
      <c r="G20" s="72" t="str">
        <f>pixel_shift_table.asm!H20</f>
        <v>A4</v>
      </c>
      <c r="H20" s="72" t="str">
        <f>pixel_shift_table.asm!I20</f>
        <v>56</v>
      </c>
      <c r="I20" s="72" t="str">
        <f>pixel_shift_table.asm!J20</f>
        <v>B4</v>
      </c>
      <c r="J20" s="72" t="str">
        <f>pixel_shift_table.asm!K20</f>
        <v>1A</v>
      </c>
      <c r="K20" s="72" t="str">
        <f>pixel_shift_table.asm!L20</f>
        <v>C4</v>
      </c>
      <c r="L20" s="72" t="str">
        <f>pixel_shift_table.asm!M20</f>
        <v>66</v>
      </c>
      <c r="M20" s="72" t="str">
        <f>pixel_shift_table.asm!N20</f>
        <v>D4</v>
      </c>
      <c r="N20" s="72" t="str">
        <f>pixel_shift_table.asm!O20</f>
        <v>38</v>
      </c>
      <c r="O20" s="72" t="str">
        <f>pixel_shift_table.asm!P20</f>
        <v>E4</v>
      </c>
      <c r="P20" s="72" t="str">
        <f>pixel_shift_table.asm!Q20</f>
        <v>76</v>
      </c>
      <c r="Q20" s="72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71" t="str">
        <f>pixel_shift_table.asm!C21</f>
        <v>0E</v>
      </c>
      <c r="C21" s="72" t="str">
        <f>pixel_shift_table.asm!D21</f>
        <v>04</v>
      </c>
      <c r="D21" s="72" t="str">
        <f>pixel_shift_table.asm!E21</f>
        <v>86</v>
      </c>
      <c r="E21" s="72" t="str">
        <f>pixel_shift_table.asm!F21</f>
        <v>14</v>
      </c>
      <c r="F21" s="72" t="str">
        <f>pixel_shift_table.asm!G21</f>
        <v>48</v>
      </c>
      <c r="G21" s="72" t="str">
        <f>pixel_shift_table.asm!H21</f>
        <v>24</v>
      </c>
      <c r="H21" s="72" t="str">
        <f>pixel_shift_table.asm!I21</f>
        <v>96</v>
      </c>
      <c r="I21" s="72" t="str">
        <f>pixel_shift_table.asm!J21</f>
        <v>34</v>
      </c>
      <c r="J21" s="72" t="str">
        <f>pixel_shift_table.asm!K21</f>
        <v>2A</v>
      </c>
      <c r="K21" s="72" t="str">
        <f>pixel_shift_table.asm!L21</f>
        <v>44</v>
      </c>
      <c r="L21" s="72" t="str">
        <f>pixel_shift_table.asm!M21</f>
        <v>A6</v>
      </c>
      <c r="M21" s="72" t="str">
        <f>pixel_shift_table.asm!N21</f>
        <v>54</v>
      </c>
      <c r="N21" s="72" t="str">
        <f>pixel_shift_table.asm!O21</f>
        <v>58</v>
      </c>
      <c r="O21" s="72" t="str">
        <f>pixel_shift_table.asm!P21</f>
        <v>64</v>
      </c>
      <c r="P21" s="72" t="str">
        <f>pixel_shift_table.asm!Q21</f>
        <v>B6</v>
      </c>
      <c r="Q21" s="72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71" t="str">
        <f>pixel_shift_table.asm!C22</f>
        <v>1C</v>
      </c>
      <c r="C22" s="72" t="str">
        <f>pixel_shift_table.asm!D22</f>
        <v>84</v>
      </c>
      <c r="D22" s="72" t="str">
        <f>pixel_shift_table.asm!E22</f>
        <v>C6</v>
      </c>
      <c r="E22" s="72" t="str">
        <f>pixel_shift_table.asm!F22</f>
        <v>94</v>
      </c>
      <c r="F22" s="72" t="str">
        <f>pixel_shift_table.asm!G22</f>
        <v>68</v>
      </c>
      <c r="G22" s="72" t="str">
        <f>pixel_shift_table.asm!H22</f>
        <v>A4</v>
      </c>
      <c r="H22" s="72" t="str">
        <f>pixel_shift_table.asm!I22</f>
        <v>D6</v>
      </c>
      <c r="I22" s="72" t="str">
        <f>pixel_shift_table.asm!J22</f>
        <v>B4</v>
      </c>
      <c r="J22" s="72" t="str">
        <f>pixel_shift_table.asm!K22</f>
        <v>3A</v>
      </c>
      <c r="K22" s="72" t="str">
        <f>pixel_shift_table.asm!L22</f>
        <v>C4</v>
      </c>
      <c r="L22" s="72" t="str">
        <f>pixel_shift_table.asm!M22</f>
        <v>E6</v>
      </c>
      <c r="M22" s="72" t="str">
        <f>pixel_shift_table.asm!N22</f>
        <v>D4</v>
      </c>
      <c r="N22" s="72" t="str">
        <f>pixel_shift_table.asm!O22</f>
        <v>78</v>
      </c>
      <c r="O22" s="72" t="str">
        <f>pixel_shift_table.asm!P22</f>
        <v>E4</v>
      </c>
      <c r="P22" s="72" t="str">
        <f>pixel_shift_table.asm!Q22</f>
        <v>F6</v>
      </c>
      <c r="Q22" s="72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71" t="str">
        <f>pixel_shift_table.asm!C23</f>
        <v>10</v>
      </c>
      <c r="C23" s="72" t="str">
        <f>pixel_shift_table.asm!D23</f>
        <v>04</v>
      </c>
      <c r="D23" s="72" t="str">
        <f>pixel_shift_table.asm!E23</f>
        <v>06</v>
      </c>
      <c r="E23" s="72" t="str">
        <f>pixel_shift_table.asm!F23</f>
        <v>14</v>
      </c>
      <c r="F23" s="72" t="str">
        <f>pixel_shift_table.asm!G23</f>
        <v>88</v>
      </c>
      <c r="G23" s="72" t="str">
        <f>pixel_shift_table.asm!H23</f>
        <v>24</v>
      </c>
      <c r="H23" s="72" t="str">
        <f>pixel_shift_table.asm!I23</f>
        <v>16</v>
      </c>
      <c r="I23" s="72" t="str">
        <f>pixel_shift_table.asm!J23</f>
        <v>34</v>
      </c>
      <c r="J23" s="72" t="str">
        <f>pixel_shift_table.asm!K23</f>
        <v>4A</v>
      </c>
      <c r="K23" s="72" t="str">
        <f>pixel_shift_table.asm!L23</f>
        <v>44</v>
      </c>
      <c r="L23" s="72" t="str">
        <f>pixel_shift_table.asm!M23</f>
        <v>26</v>
      </c>
      <c r="M23" s="72" t="str">
        <f>pixel_shift_table.asm!N23</f>
        <v>54</v>
      </c>
      <c r="N23" s="72" t="str">
        <f>pixel_shift_table.asm!O23</f>
        <v>98</v>
      </c>
      <c r="O23" s="72" t="str">
        <f>pixel_shift_table.asm!P23</f>
        <v>64</v>
      </c>
      <c r="P23" s="72" t="str">
        <f>pixel_shift_table.asm!Q23</f>
        <v>36</v>
      </c>
      <c r="Q23" s="72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71" t="str">
        <f>pixel_shift_table.asm!C24</f>
        <v>2C</v>
      </c>
      <c r="C24" s="72" t="str">
        <f>pixel_shift_table.asm!D24</f>
        <v>84</v>
      </c>
      <c r="D24" s="72" t="str">
        <f>pixel_shift_table.asm!E24</f>
        <v>46</v>
      </c>
      <c r="E24" s="72" t="str">
        <f>pixel_shift_table.asm!F24</f>
        <v>94</v>
      </c>
      <c r="F24" s="72" t="str">
        <f>pixel_shift_table.asm!G24</f>
        <v>A8</v>
      </c>
      <c r="G24" s="72" t="str">
        <f>pixel_shift_table.asm!H24</f>
        <v>A4</v>
      </c>
      <c r="H24" s="72" t="str">
        <f>pixel_shift_table.asm!I24</f>
        <v>56</v>
      </c>
      <c r="I24" s="72" t="str">
        <f>pixel_shift_table.asm!J24</f>
        <v>B4</v>
      </c>
      <c r="J24" s="72" t="str">
        <f>pixel_shift_table.asm!K24</f>
        <v>5A</v>
      </c>
      <c r="K24" s="72" t="str">
        <f>pixel_shift_table.asm!L24</f>
        <v>C4</v>
      </c>
      <c r="L24" s="72" t="str">
        <f>pixel_shift_table.asm!M24</f>
        <v>66</v>
      </c>
      <c r="M24" s="72" t="str">
        <f>pixel_shift_table.asm!N24</f>
        <v>D4</v>
      </c>
      <c r="N24" s="72" t="str">
        <f>pixel_shift_table.asm!O24</f>
        <v>B8</v>
      </c>
      <c r="O24" s="72" t="str">
        <f>pixel_shift_table.asm!P24</f>
        <v>E4</v>
      </c>
      <c r="P24" s="72" t="str">
        <f>pixel_shift_table.asm!Q24</f>
        <v>76</v>
      </c>
      <c r="Q24" s="72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71" t="str">
        <f>pixel_shift_table.asm!C25</f>
        <v>1E</v>
      </c>
      <c r="C25" s="72" t="str">
        <f>pixel_shift_table.asm!D25</f>
        <v>04</v>
      </c>
      <c r="D25" s="72" t="str">
        <f>pixel_shift_table.asm!E25</f>
        <v>86</v>
      </c>
      <c r="E25" s="72" t="str">
        <f>pixel_shift_table.asm!F25</f>
        <v>14</v>
      </c>
      <c r="F25" s="72" t="str">
        <f>pixel_shift_table.asm!G25</f>
        <v>C8</v>
      </c>
      <c r="G25" s="72" t="str">
        <f>pixel_shift_table.asm!H25</f>
        <v>24</v>
      </c>
      <c r="H25" s="72" t="str">
        <f>pixel_shift_table.asm!I25</f>
        <v>96</v>
      </c>
      <c r="I25" s="72" t="str">
        <f>pixel_shift_table.asm!J25</f>
        <v>34</v>
      </c>
      <c r="J25" s="72" t="str">
        <f>pixel_shift_table.asm!K25</f>
        <v>6A</v>
      </c>
      <c r="K25" s="72" t="str">
        <f>pixel_shift_table.asm!L25</f>
        <v>44</v>
      </c>
      <c r="L25" s="72" t="str">
        <f>pixel_shift_table.asm!M25</f>
        <v>A6</v>
      </c>
      <c r="M25" s="72" t="str">
        <f>pixel_shift_table.asm!N25</f>
        <v>54</v>
      </c>
      <c r="N25" s="72" t="str">
        <f>pixel_shift_table.asm!O25</f>
        <v>D8</v>
      </c>
      <c r="O25" s="72" t="str">
        <f>pixel_shift_table.asm!P25</f>
        <v>64</v>
      </c>
      <c r="P25" s="72" t="str">
        <f>pixel_shift_table.asm!Q25</f>
        <v>B6</v>
      </c>
      <c r="Q25" s="72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8" t="str">
        <f t="shared" si="20"/>
        <v>A370</v>
      </c>
      <c r="B26" s="73" t="str">
        <f>pixel_shift_table.asm!C26</f>
        <v>3C</v>
      </c>
      <c r="C26" s="74" t="str">
        <f>pixel_shift_table.asm!D26</f>
        <v>84</v>
      </c>
      <c r="D26" s="74" t="str">
        <f>pixel_shift_table.asm!E26</f>
        <v>C6</v>
      </c>
      <c r="E26" s="74" t="str">
        <f>pixel_shift_table.asm!F26</f>
        <v>94</v>
      </c>
      <c r="F26" s="74" t="str">
        <f>pixel_shift_table.asm!G26</f>
        <v>E8</v>
      </c>
      <c r="G26" s="74" t="str">
        <f>pixel_shift_table.asm!H26</f>
        <v>A4</v>
      </c>
      <c r="H26" s="74" t="str">
        <f>pixel_shift_table.asm!I26</f>
        <v>D6</v>
      </c>
      <c r="I26" s="74" t="str">
        <f>pixel_shift_table.asm!J26</f>
        <v>B4</v>
      </c>
      <c r="J26" s="74" t="str">
        <f>pixel_shift_table.asm!K26</f>
        <v>7A</v>
      </c>
      <c r="K26" s="74" t="str">
        <f>pixel_shift_table.asm!L26</f>
        <v>C4</v>
      </c>
      <c r="L26" s="74" t="str">
        <f>pixel_shift_table.asm!M26</f>
        <v>E6</v>
      </c>
      <c r="M26" s="74" t="str">
        <f>pixel_shift_table.asm!N26</f>
        <v>D4</v>
      </c>
      <c r="N26" s="74" t="str">
        <f>pixel_shift_table.asm!O26</f>
        <v>F8</v>
      </c>
      <c r="O26" s="74" t="str">
        <f>pixel_shift_table.asm!P26</f>
        <v>E4</v>
      </c>
      <c r="P26" s="74" t="str">
        <f>pixel_shift_table.asm!Q26</f>
        <v>F6</v>
      </c>
      <c r="Q26" s="74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9" t="str">
        <f>pixel_shift_table.asm!C27</f>
        <v>A9</v>
      </c>
      <c r="C27" s="70" t="str">
        <f>pixel_shift_table.asm!D27</f>
        <v>A9</v>
      </c>
      <c r="D27" s="70" t="str">
        <f>pixel_shift_table.asm!E27</f>
        <v>A9</v>
      </c>
      <c r="E27" s="70" t="str">
        <f>pixel_shift_table.asm!F27</f>
        <v>A9</v>
      </c>
      <c r="F27" s="70" t="str">
        <f>pixel_shift_table.asm!G27</f>
        <v>A9</v>
      </c>
      <c r="G27" s="70" t="str">
        <f>pixel_shift_table.asm!H27</f>
        <v>A9</v>
      </c>
      <c r="H27" s="70" t="str">
        <f>pixel_shift_table.asm!I27</f>
        <v>A9</v>
      </c>
      <c r="I27" s="70" t="str">
        <f>pixel_shift_table.asm!J27</f>
        <v>A9</v>
      </c>
      <c r="J27" s="70" t="str">
        <f>pixel_shift_table.asm!K27</f>
        <v>A9</v>
      </c>
      <c r="K27" s="70" t="str">
        <f>pixel_shift_table.asm!L27</f>
        <v>A9</v>
      </c>
      <c r="L27" s="70" t="str">
        <f>pixel_shift_table.asm!M27</f>
        <v>A9</v>
      </c>
      <c r="M27" s="70" t="str">
        <f>pixel_shift_table.asm!N27</f>
        <v>A9</v>
      </c>
      <c r="N27" s="70" t="str">
        <f>pixel_shift_table.asm!O27</f>
        <v>A9</v>
      </c>
      <c r="O27" s="70" t="str">
        <f>pixel_shift_table.asm!P27</f>
        <v>A9</v>
      </c>
      <c r="P27" s="70" t="str">
        <f>pixel_shift_table.asm!Q27</f>
        <v>A9</v>
      </c>
      <c r="Q27" s="70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71" t="str">
        <f>pixel_shift_table.asm!C28</f>
        <v>A9</v>
      </c>
      <c r="C28" s="72" t="str">
        <f>pixel_shift_table.asm!D28</f>
        <v>A9</v>
      </c>
      <c r="D28" s="72" t="str">
        <f>pixel_shift_table.asm!E28</f>
        <v>A9</v>
      </c>
      <c r="E28" s="72" t="str">
        <f>pixel_shift_table.asm!F28</f>
        <v>A9</v>
      </c>
      <c r="F28" s="72" t="str">
        <f>pixel_shift_table.asm!G28</f>
        <v>A9</v>
      </c>
      <c r="G28" s="72" t="str">
        <f>pixel_shift_table.asm!H28</f>
        <v>A9</v>
      </c>
      <c r="H28" s="72" t="str">
        <f>pixel_shift_table.asm!I28</f>
        <v>A9</v>
      </c>
      <c r="I28" s="72" t="str">
        <f>pixel_shift_table.asm!J28</f>
        <v>A9</v>
      </c>
      <c r="J28" s="72" t="str">
        <f>pixel_shift_table.asm!K28</f>
        <v>A9</v>
      </c>
      <c r="K28" s="72" t="str">
        <f>pixel_shift_table.asm!L28</f>
        <v>A9</v>
      </c>
      <c r="L28" s="72" t="str">
        <f>pixel_shift_table.asm!M28</f>
        <v>A9</v>
      </c>
      <c r="M28" s="72" t="str">
        <f>pixel_shift_table.asm!N28</f>
        <v>A9</v>
      </c>
      <c r="N28" s="72" t="str">
        <f>pixel_shift_table.asm!O28</f>
        <v>A9</v>
      </c>
      <c r="O28" s="72" t="str">
        <f>pixel_shift_table.asm!P28</f>
        <v>A9</v>
      </c>
      <c r="P28" s="72" t="str">
        <f>pixel_shift_table.asm!Q28</f>
        <v>A9</v>
      </c>
      <c r="Q28" s="72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71" t="str">
        <f>pixel_shift_table.asm!C29</f>
        <v>A9</v>
      </c>
      <c r="C29" s="72" t="str">
        <f>pixel_shift_table.asm!D29</f>
        <v>AA</v>
      </c>
      <c r="D29" s="72" t="str">
        <f>pixel_shift_table.asm!E29</f>
        <v>A9</v>
      </c>
      <c r="E29" s="72" t="str">
        <f>pixel_shift_table.asm!F29</f>
        <v>AA</v>
      </c>
      <c r="F29" s="72" t="str">
        <f>pixel_shift_table.asm!G29</f>
        <v>A9</v>
      </c>
      <c r="G29" s="72" t="str">
        <f>pixel_shift_table.asm!H29</f>
        <v>AA</v>
      </c>
      <c r="H29" s="72" t="str">
        <f>pixel_shift_table.asm!I29</f>
        <v>A9</v>
      </c>
      <c r="I29" s="72" t="str">
        <f>pixel_shift_table.asm!J29</f>
        <v>AA</v>
      </c>
      <c r="J29" s="72" t="str">
        <f>pixel_shift_table.asm!K29</f>
        <v>A9</v>
      </c>
      <c r="K29" s="72" t="str">
        <f>pixel_shift_table.asm!L29</f>
        <v>AA</v>
      </c>
      <c r="L29" s="72" t="str">
        <f>pixel_shift_table.asm!M29</f>
        <v>A9</v>
      </c>
      <c r="M29" s="72" t="str">
        <f>pixel_shift_table.asm!N29</f>
        <v>AA</v>
      </c>
      <c r="N29" s="72" t="str">
        <f>pixel_shift_table.asm!O29</f>
        <v>A9</v>
      </c>
      <c r="O29" s="72" t="str">
        <f>pixel_shift_table.asm!P29</f>
        <v>AA</v>
      </c>
      <c r="P29" s="72" t="str">
        <f>pixel_shift_table.asm!Q29</f>
        <v>A9</v>
      </c>
      <c r="Q29" s="72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71" t="str">
        <f>pixel_shift_table.asm!C30</f>
        <v>A9</v>
      </c>
      <c r="C30" s="72" t="str">
        <f>pixel_shift_table.asm!D30</f>
        <v>AA</v>
      </c>
      <c r="D30" s="72" t="str">
        <f>pixel_shift_table.asm!E30</f>
        <v>A9</v>
      </c>
      <c r="E30" s="72" t="str">
        <f>pixel_shift_table.asm!F30</f>
        <v>AA</v>
      </c>
      <c r="F30" s="72" t="str">
        <f>pixel_shift_table.asm!G30</f>
        <v>A9</v>
      </c>
      <c r="G30" s="72" t="str">
        <f>pixel_shift_table.asm!H30</f>
        <v>AA</v>
      </c>
      <c r="H30" s="72" t="str">
        <f>pixel_shift_table.asm!I30</f>
        <v>A9</v>
      </c>
      <c r="I30" s="72" t="str">
        <f>pixel_shift_table.asm!J30</f>
        <v>AA</v>
      </c>
      <c r="J30" s="72" t="str">
        <f>pixel_shift_table.asm!K30</f>
        <v>A9</v>
      </c>
      <c r="K30" s="72" t="str">
        <f>pixel_shift_table.asm!L30</f>
        <v>AA</v>
      </c>
      <c r="L30" s="72" t="str">
        <f>pixel_shift_table.asm!M30</f>
        <v>A9</v>
      </c>
      <c r="M30" s="72" t="str">
        <f>pixel_shift_table.asm!N30</f>
        <v>AA</v>
      </c>
      <c r="N30" s="72" t="str">
        <f>pixel_shift_table.asm!O30</f>
        <v>A9</v>
      </c>
      <c r="O30" s="72" t="str">
        <f>pixel_shift_table.asm!P30</f>
        <v>AA</v>
      </c>
      <c r="P30" s="72" t="str">
        <f>pixel_shift_table.asm!Q30</f>
        <v>A9</v>
      </c>
      <c r="Q30" s="72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71" t="str">
        <f>pixel_shift_table.asm!C31</f>
        <v>A9</v>
      </c>
      <c r="C31" s="72" t="str">
        <f>pixel_shift_table.asm!D31</f>
        <v>AB</v>
      </c>
      <c r="D31" s="72" t="str">
        <f>pixel_shift_table.asm!E31</f>
        <v>AA</v>
      </c>
      <c r="E31" s="72" t="str">
        <f>pixel_shift_table.asm!F31</f>
        <v>AB</v>
      </c>
      <c r="F31" s="72" t="str">
        <f>pixel_shift_table.asm!G31</f>
        <v>A9</v>
      </c>
      <c r="G31" s="72" t="str">
        <f>pixel_shift_table.asm!H31</f>
        <v>AB</v>
      </c>
      <c r="H31" s="72" t="str">
        <f>pixel_shift_table.asm!I31</f>
        <v>AA</v>
      </c>
      <c r="I31" s="72" t="str">
        <f>pixel_shift_table.asm!J31</f>
        <v>AB</v>
      </c>
      <c r="J31" s="72" t="str">
        <f>pixel_shift_table.asm!K31</f>
        <v>A9</v>
      </c>
      <c r="K31" s="72" t="str">
        <f>pixel_shift_table.asm!L31</f>
        <v>AB</v>
      </c>
      <c r="L31" s="72" t="str">
        <f>pixel_shift_table.asm!M31</f>
        <v>AA</v>
      </c>
      <c r="M31" s="72" t="str">
        <f>pixel_shift_table.asm!N31</f>
        <v>AB</v>
      </c>
      <c r="N31" s="72" t="str">
        <f>pixel_shift_table.asm!O31</f>
        <v>A9</v>
      </c>
      <c r="O31" s="72" t="str">
        <f>pixel_shift_table.asm!P31</f>
        <v>AB</v>
      </c>
      <c r="P31" s="72" t="str">
        <f>pixel_shift_table.asm!Q31</f>
        <v>AA</v>
      </c>
      <c r="Q31" s="72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71" t="str">
        <f>pixel_shift_table.asm!C32</f>
        <v>A9</v>
      </c>
      <c r="C32" s="72" t="str">
        <f>pixel_shift_table.asm!D32</f>
        <v>AB</v>
      </c>
      <c r="D32" s="72" t="str">
        <f>pixel_shift_table.asm!E32</f>
        <v>AA</v>
      </c>
      <c r="E32" s="72" t="str">
        <f>pixel_shift_table.asm!F32</f>
        <v>AB</v>
      </c>
      <c r="F32" s="72" t="str">
        <f>pixel_shift_table.asm!G32</f>
        <v>A9</v>
      </c>
      <c r="G32" s="72" t="str">
        <f>pixel_shift_table.asm!H32</f>
        <v>AB</v>
      </c>
      <c r="H32" s="72" t="str">
        <f>pixel_shift_table.asm!I32</f>
        <v>AA</v>
      </c>
      <c r="I32" s="72" t="str">
        <f>pixel_shift_table.asm!J32</f>
        <v>AB</v>
      </c>
      <c r="J32" s="72" t="str">
        <f>pixel_shift_table.asm!K32</f>
        <v>A9</v>
      </c>
      <c r="K32" s="72" t="str">
        <f>pixel_shift_table.asm!L32</f>
        <v>AB</v>
      </c>
      <c r="L32" s="72" t="str">
        <f>pixel_shift_table.asm!M32</f>
        <v>AA</v>
      </c>
      <c r="M32" s="72" t="str">
        <f>pixel_shift_table.asm!N32</f>
        <v>AB</v>
      </c>
      <c r="N32" s="72" t="str">
        <f>pixel_shift_table.asm!O32</f>
        <v>A9</v>
      </c>
      <c r="O32" s="72" t="str">
        <f>pixel_shift_table.asm!P32</f>
        <v>AB</v>
      </c>
      <c r="P32" s="72" t="str">
        <f>pixel_shift_table.asm!Q32</f>
        <v>AA</v>
      </c>
      <c r="Q32" s="72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71" t="str">
        <f>pixel_shift_table.asm!C33</f>
        <v>A9</v>
      </c>
      <c r="C33" s="72" t="str">
        <f>pixel_shift_table.asm!D33</f>
        <v>AC</v>
      </c>
      <c r="D33" s="72" t="str">
        <f>pixel_shift_table.asm!E33</f>
        <v>AA</v>
      </c>
      <c r="E33" s="72" t="str">
        <f>pixel_shift_table.asm!F33</f>
        <v>AC</v>
      </c>
      <c r="F33" s="72" t="str">
        <f>pixel_shift_table.asm!G33</f>
        <v>A9</v>
      </c>
      <c r="G33" s="72" t="str">
        <f>pixel_shift_table.asm!H33</f>
        <v>AC</v>
      </c>
      <c r="H33" s="72" t="str">
        <f>pixel_shift_table.asm!I33</f>
        <v>AA</v>
      </c>
      <c r="I33" s="72" t="str">
        <f>pixel_shift_table.asm!J33</f>
        <v>AC</v>
      </c>
      <c r="J33" s="72" t="str">
        <f>pixel_shift_table.asm!K33</f>
        <v>A9</v>
      </c>
      <c r="K33" s="72" t="str">
        <f>pixel_shift_table.asm!L33</f>
        <v>AC</v>
      </c>
      <c r="L33" s="72" t="str">
        <f>pixel_shift_table.asm!M33</f>
        <v>AA</v>
      </c>
      <c r="M33" s="72" t="str">
        <f>pixel_shift_table.asm!N33</f>
        <v>AC</v>
      </c>
      <c r="N33" s="72" t="str">
        <f>pixel_shift_table.asm!O33</f>
        <v>A9</v>
      </c>
      <c r="O33" s="72" t="str">
        <f>pixel_shift_table.asm!P33</f>
        <v>AC</v>
      </c>
      <c r="P33" s="72" t="str">
        <f>pixel_shift_table.asm!Q33</f>
        <v>AA</v>
      </c>
      <c r="Q33" s="72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8" t="str">
        <f t="shared" si="20"/>
        <v>A3F0</v>
      </c>
      <c r="B34" s="73" t="str">
        <f>pixel_shift_table.asm!C34</f>
        <v>A9</v>
      </c>
      <c r="C34" s="74" t="str">
        <f>pixel_shift_table.asm!D34</f>
        <v>AC</v>
      </c>
      <c r="D34" s="74" t="str">
        <f>pixel_shift_table.asm!E34</f>
        <v>AA</v>
      </c>
      <c r="E34" s="74" t="str">
        <f>pixel_shift_table.asm!F34</f>
        <v>AC</v>
      </c>
      <c r="F34" s="74" t="str">
        <f>pixel_shift_table.asm!G34</f>
        <v>A9</v>
      </c>
      <c r="G34" s="74" t="str">
        <f>pixel_shift_table.asm!H34</f>
        <v>AC</v>
      </c>
      <c r="H34" s="74" t="str">
        <f>pixel_shift_table.asm!I34</f>
        <v>AA</v>
      </c>
      <c r="I34" s="74" t="str">
        <f>pixel_shift_table.asm!J34</f>
        <v>AC</v>
      </c>
      <c r="J34" s="74" t="str">
        <f>pixel_shift_table.asm!K34</f>
        <v>A9</v>
      </c>
      <c r="K34" s="74" t="str">
        <f>pixel_shift_table.asm!L34</f>
        <v>AC</v>
      </c>
      <c r="L34" s="74" t="str">
        <f>pixel_shift_table.asm!M34</f>
        <v>AA</v>
      </c>
      <c r="M34" s="74" t="str">
        <f>pixel_shift_table.asm!N34</f>
        <v>AC</v>
      </c>
      <c r="N34" s="74" t="str">
        <f>pixel_shift_table.asm!O34</f>
        <v>A9</v>
      </c>
      <c r="O34" s="74" t="str">
        <f>pixel_shift_table.asm!P34</f>
        <v>AC</v>
      </c>
      <c r="P34" s="74" t="str">
        <f>pixel_shift_table.asm!Q34</f>
        <v>AA</v>
      </c>
      <c r="Q34" s="74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9" t="str">
        <f t="shared" si="20"/>
        <v>A400</v>
      </c>
      <c r="B35" s="69" t="str">
        <f>pixel_shift_table.asm!C35</f>
        <v>00</v>
      </c>
      <c r="C35" s="70" t="str">
        <f>pixel_shift_table.asm!D35</f>
        <v>06</v>
      </c>
      <c r="D35" s="70" t="str">
        <f>pixel_shift_table.asm!E35</f>
        <v>08</v>
      </c>
      <c r="E35" s="70" t="str">
        <f>pixel_shift_table.asm!F35</f>
        <v>16</v>
      </c>
      <c r="F35" s="70" t="str">
        <f>pixel_shift_table.asm!G35</f>
        <v>0A</v>
      </c>
      <c r="G35" s="70" t="str">
        <f>pixel_shift_table.asm!H35</f>
        <v>26</v>
      </c>
      <c r="H35" s="70" t="str">
        <f>pixel_shift_table.asm!I35</f>
        <v>18</v>
      </c>
      <c r="I35" s="70" t="str">
        <f>pixel_shift_table.asm!J35</f>
        <v>36</v>
      </c>
      <c r="J35" s="70" t="str">
        <f>pixel_shift_table.asm!K35</f>
        <v>0C</v>
      </c>
      <c r="K35" s="70" t="str">
        <f>pixel_shift_table.asm!L35</f>
        <v>46</v>
      </c>
      <c r="L35" s="70" t="str">
        <f>pixel_shift_table.asm!M35</f>
        <v>28</v>
      </c>
      <c r="M35" s="70" t="str">
        <f>pixel_shift_table.asm!N35</f>
        <v>56</v>
      </c>
      <c r="N35" s="70" t="str">
        <f>pixel_shift_table.asm!O35</f>
        <v>1A</v>
      </c>
      <c r="O35" s="70" t="str">
        <f>pixel_shift_table.asm!P35</f>
        <v>66</v>
      </c>
      <c r="P35" s="70" t="str">
        <f>pixel_shift_table.asm!Q35</f>
        <v>38</v>
      </c>
      <c r="Q35" s="70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71" t="str">
        <f>pixel_shift_table.asm!C36</f>
        <v>0E</v>
      </c>
      <c r="C36" s="72" t="str">
        <f>pixel_shift_table.asm!D36</f>
        <v>86</v>
      </c>
      <c r="D36" s="72" t="str">
        <f>pixel_shift_table.asm!E36</f>
        <v>48</v>
      </c>
      <c r="E36" s="72" t="str">
        <f>pixel_shift_table.asm!F36</f>
        <v>96</v>
      </c>
      <c r="F36" s="72" t="str">
        <f>pixel_shift_table.asm!G36</f>
        <v>2A</v>
      </c>
      <c r="G36" s="72" t="str">
        <f>pixel_shift_table.asm!H36</f>
        <v>A6</v>
      </c>
      <c r="H36" s="72" t="str">
        <f>pixel_shift_table.asm!I36</f>
        <v>58</v>
      </c>
      <c r="I36" s="72" t="str">
        <f>pixel_shift_table.asm!J36</f>
        <v>B6</v>
      </c>
      <c r="J36" s="72" t="str">
        <f>pixel_shift_table.asm!K36</f>
        <v>1C</v>
      </c>
      <c r="K36" s="72" t="str">
        <f>pixel_shift_table.asm!L36</f>
        <v>C6</v>
      </c>
      <c r="L36" s="72" t="str">
        <f>pixel_shift_table.asm!M36</f>
        <v>68</v>
      </c>
      <c r="M36" s="72" t="str">
        <f>pixel_shift_table.asm!N36</f>
        <v>D6</v>
      </c>
      <c r="N36" s="72" t="str">
        <f>pixel_shift_table.asm!O36</f>
        <v>3A</v>
      </c>
      <c r="O36" s="72" t="str">
        <f>pixel_shift_table.asm!P36</f>
        <v>E6</v>
      </c>
      <c r="P36" s="72" t="str">
        <f>pixel_shift_table.asm!Q36</f>
        <v>78</v>
      </c>
      <c r="Q36" s="72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71" t="str">
        <f>pixel_shift_table.asm!C37</f>
        <v>10</v>
      </c>
      <c r="C37" s="72" t="str">
        <f>pixel_shift_table.asm!D37</f>
        <v>06</v>
      </c>
      <c r="D37" s="72" t="str">
        <f>pixel_shift_table.asm!E37</f>
        <v>88</v>
      </c>
      <c r="E37" s="72" t="str">
        <f>pixel_shift_table.asm!F37</f>
        <v>16</v>
      </c>
      <c r="F37" s="72" t="str">
        <f>pixel_shift_table.asm!G37</f>
        <v>4A</v>
      </c>
      <c r="G37" s="72" t="str">
        <f>pixel_shift_table.asm!H37</f>
        <v>26</v>
      </c>
      <c r="H37" s="72" t="str">
        <f>pixel_shift_table.asm!I37</f>
        <v>98</v>
      </c>
      <c r="I37" s="72" t="str">
        <f>pixel_shift_table.asm!J37</f>
        <v>36</v>
      </c>
      <c r="J37" s="72" t="str">
        <f>pixel_shift_table.asm!K37</f>
        <v>2C</v>
      </c>
      <c r="K37" s="72" t="str">
        <f>pixel_shift_table.asm!L37</f>
        <v>46</v>
      </c>
      <c r="L37" s="72" t="str">
        <f>pixel_shift_table.asm!M37</f>
        <v>A8</v>
      </c>
      <c r="M37" s="72" t="str">
        <f>pixel_shift_table.asm!N37</f>
        <v>56</v>
      </c>
      <c r="N37" s="72" t="str">
        <f>pixel_shift_table.asm!O37</f>
        <v>5A</v>
      </c>
      <c r="O37" s="72" t="str">
        <f>pixel_shift_table.asm!P37</f>
        <v>66</v>
      </c>
      <c r="P37" s="72" t="str">
        <f>pixel_shift_table.asm!Q37</f>
        <v>B8</v>
      </c>
      <c r="Q37" s="72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71" t="str">
        <f>pixel_shift_table.asm!C38</f>
        <v>1E</v>
      </c>
      <c r="C38" s="72" t="str">
        <f>pixel_shift_table.asm!D38</f>
        <v>86</v>
      </c>
      <c r="D38" s="72" t="str">
        <f>pixel_shift_table.asm!E38</f>
        <v>C8</v>
      </c>
      <c r="E38" s="72" t="str">
        <f>pixel_shift_table.asm!F38</f>
        <v>96</v>
      </c>
      <c r="F38" s="72" t="str">
        <f>pixel_shift_table.asm!G38</f>
        <v>6A</v>
      </c>
      <c r="G38" s="72" t="str">
        <f>pixel_shift_table.asm!H38</f>
        <v>A6</v>
      </c>
      <c r="H38" s="72" t="str">
        <f>pixel_shift_table.asm!I38</f>
        <v>D8</v>
      </c>
      <c r="I38" s="72" t="str">
        <f>pixel_shift_table.asm!J38</f>
        <v>B6</v>
      </c>
      <c r="J38" s="72" t="str">
        <f>pixel_shift_table.asm!K38</f>
        <v>3C</v>
      </c>
      <c r="K38" s="72" t="str">
        <f>pixel_shift_table.asm!L38</f>
        <v>C6</v>
      </c>
      <c r="L38" s="72" t="str">
        <f>pixel_shift_table.asm!M38</f>
        <v>E8</v>
      </c>
      <c r="M38" s="72" t="str">
        <f>pixel_shift_table.asm!N38</f>
        <v>D6</v>
      </c>
      <c r="N38" s="72" t="str">
        <f>pixel_shift_table.asm!O38</f>
        <v>7A</v>
      </c>
      <c r="O38" s="72" t="str">
        <f>pixel_shift_table.asm!P38</f>
        <v>E6</v>
      </c>
      <c r="P38" s="72" t="str">
        <f>pixel_shift_table.asm!Q38</f>
        <v>F8</v>
      </c>
      <c r="Q38" s="72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71" t="str">
        <f>pixel_shift_table.asm!C39</f>
        <v>20</v>
      </c>
      <c r="C39" s="72" t="str">
        <f>pixel_shift_table.asm!D39</f>
        <v>06</v>
      </c>
      <c r="D39" s="72" t="str">
        <f>pixel_shift_table.asm!E39</f>
        <v>08</v>
      </c>
      <c r="E39" s="72" t="str">
        <f>pixel_shift_table.asm!F39</f>
        <v>16</v>
      </c>
      <c r="F39" s="72" t="str">
        <f>pixel_shift_table.asm!G39</f>
        <v>8A</v>
      </c>
      <c r="G39" s="72" t="str">
        <f>pixel_shift_table.asm!H39</f>
        <v>26</v>
      </c>
      <c r="H39" s="72" t="str">
        <f>pixel_shift_table.asm!I39</f>
        <v>18</v>
      </c>
      <c r="I39" s="72" t="str">
        <f>pixel_shift_table.asm!J39</f>
        <v>36</v>
      </c>
      <c r="J39" s="72" t="str">
        <f>pixel_shift_table.asm!K39</f>
        <v>4C</v>
      </c>
      <c r="K39" s="72" t="str">
        <f>pixel_shift_table.asm!L39</f>
        <v>46</v>
      </c>
      <c r="L39" s="72" t="str">
        <f>pixel_shift_table.asm!M39</f>
        <v>28</v>
      </c>
      <c r="M39" s="72" t="str">
        <f>pixel_shift_table.asm!N39</f>
        <v>56</v>
      </c>
      <c r="N39" s="72" t="str">
        <f>pixel_shift_table.asm!O39</f>
        <v>9A</v>
      </c>
      <c r="O39" s="72" t="str">
        <f>pixel_shift_table.asm!P39</f>
        <v>66</v>
      </c>
      <c r="P39" s="72" t="str">
        <f>pixel_shift_table.asm!Q39</f>
        <v>38</v>
      </c>
      <c r="Q39" s="72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71" t="str">
        <f>pixel_shift_table.asm!C40</f>
        <v>2E</v>
      </c>
      <c r="C40" s="72" t="str">
        <f>pixel_shift_table.asm!D40</f>
        <v>86</v>
      </c>
      <c r="D40" s="72" t="str">
        <f>pixel_shift_table.asm!E40</f>
        <v>48</v>
      </c>
      <c r="E40" s="72" t="str">
        <f>pixel_shift_table.asm!F40</f>
        <v>96</v>
      </c>
      <c r="F40" s="72" t="str">
        <f>pixel_shift_table.asm!G40</f>
        <v>AA</v>
      </c>
      <c r="G40" s="72" t="str">
        <f>pixel_shift_table.asm!H40</f>
        <v>A6</v>
      </c>
      <c r="H40" s="72" t="str">
        <f>pixel_shift_table.asm!I40</f>
        <v>58</v>
      </c>
      <c r="I40" s="72" t="str">
        <f>pixel_shift_table.asm!J40</f>
        <v>B6</v>
      </c>
      <c r="J40" s="72" t="str">
        <f>pixel_shift_table.asm!K40</f>
        <v>5C</v>
      </c>
      <c r="K40" s="72" t="str">
        <f>pixel_shift_table.asm!L40</f>
        <v>C6</v>
      </c>
      <c r="L40" s="72" t="str">
        <f>pixel_shift_table.asm!M40</f>
        <v>68</v>
      </c>
      <c r="M40" s="72" t="str">
        <f>pixel_shift_table.asm!N40</f>
        <v>D6</v>
      </c>
      <c r="N40" s="72" t="str">
        <f>pixel_shift_table.asm!O40</f>
        <v>BA</v>
      </c>
      <c r="O40" s="72" t="str">
        <f>pixel_shift_table.asm!P40</f>
        <v>E6</v>
      </c>
      <c r="P40" s="72" t="str">
        <f>pixel_shift_table.asm!Q40</f>
        <v>78</v>
      </c>
      <c r="Q40" s="72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71" t="str">
        <f>pixel_shift_table.asm!C41</f>
        <v>30</v>
      </c>
      <c r="C41" s="72" t="str">
        <f>pixel_shift_table.asm!D41</f>
        <v>06</v>
      </c>
      <c r="D41" s="72" t="str">
        <f>pixel_shift_table.asm!E41</f>
        <v>88</v>
      </c>
      <c r="E41" s="72" t="str">
        <f>pixel_shift_table.asm!F41</f>
        <v>16</v>
      </c>
      <c r="F41" s="72" t="str">
        <f>pixel_shift_table.asm!G41</f>
        <v>CA</v>
      </c>
      <c r="G41" s="72" t="str">
        <f>pixel_shift_table.asm!H41</f>
        <v>26</v>
      </c>
      <c r="H41" s="72" t="str">
        <f>pixel_shift_table.asm!I41</f>
        <v>98</v>
      </c>
      <c r="I41" s="72" t="str">
        <f>pixel_shift_table.asm!J41</f>
        <v>36</v>
      </c>
      <c r="J41" s="72" t="str">
        <f>pixel_shift_table.asm!K41</f>
        <v>6C</v>
      </c>
      <c r="K41" s="72" t="str">
        <f>pixel_shift_table.asm!L41</f>
        <v>46</v>
      </c>
      <c r="L41" s="72" t="str">
        <f>pixel_shift_table.asm!M41</f>
        <v>A8</v>
      </c>
      <c r="M41" s="72" t="str">
        <f>pixel_shift_table.asm!N41</f>
        <v>56</v>
      </c>
      <c r="N41" s="72" t="str">
        <f>pixel_shift_table.asm!O41</f>
        <v>DA</v>
      </c>
      <c r="O41" s="72" t="str">
        <f>pixel_shift_table.asm!P41</f>
        <v>66</v>
      </c>
      <c r="P41" s="72" t="str">
        <f>pixel_shift_table.asm!Q41</f>
        <v>B8</v>
      </c>
      <c r="Q41" s="72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8" t="str">
        <f t="shared" si="20"/>
        <v>A470</v>
      </c>
      <c r="B42" s="73" t="str">
        <f>pixel_shift_table.asm!C42</f>
        <v>3E</v>
      </c>
      <c r="C42" s="74" t="str">
        <f>pixel_shift_table.asm!D42</f>
        <v>86</v>
      </c>
      <c r="D42" s="74" t="str">
        <f>pixel_shift_table.asm!E42</f>
        <v>C8</v>
      </c>
      <c r="E42" s="74" t="str">
        <f>pixel_shift_table.asm!F42</f>
        <v>96</v>
      </c>
      <c r="F42" s="74" t="str">
        <f>pixel_shift_table.asm!G42</f>
        <v>EA</v>
      </c>
      <c r="G42" s="74" t="str">
        <f>pixel_shift_table.asm!H42</f>
        <v>A6</v>
      </c>
      <c r="H42" s="74" t="str">
        <f>pixel_shift_table.asm!I42</f>
        <v>D8</v>
      </c>
      <c r="I42" s="74" t="str">
        <f>pixel_shift_table.asm!J42</f>
        <v>B6</v>
      </c>
      <c r="J42" s="74" t="str">
        <f>pixel_shift_table.asm!K42</f>
        <v>7C</v>
      </c>
      <c r="K42" s="74" t="str">
        <f>pixel_shift_table.asm!L42</f>
        <v>C6</v>
      </c>
      <c r="L42" s="74" t="str">
        <f>pixel_shift_table.asm!M42</f>
        <v>E8</v>
      </c>
      <c r="M42" s="74" t="str">
        <f>pixel_shift_table.asm!N42</f>
        <v>D6</v>
      </c>
      <c r="N42" s="74" t="str">
        <f>pixel_shift_table.asm!O42</f>
        <v>FA</v>
      </c>
      <c r="O42" s="74" t="str">
        <f>pixel_shift_table.asm!P42</f>
        <v>E6</v>
      </c>
      <c r="P42" s="74" t="str">
        <f>pixel_shift_table.asm!Q42</f>
        <v>F8</v>
      </c>
      <c r="Q42" s="74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9" t="str">
        <f>pixel_shift_table.asm!C43</f>
        <v>A9</v>
      </c>
      <c r="C43" s="70" t="str">
        <f>pixel_shift_table.asm!D43</f>
        <v>A9</v>
      </c>
      <c r="D43" s="70" t="str">
        <f>pixel_shift_table.asm!E43</f>
        <v>A9</v>
      </c>
      <c r="E43" s="70" t="str">
        <f>pixel_shift_table.asm!F43</f>
        <v>A9</v>
      </c>
      <c r="F43" s="70" t="str">
        <f>pixel_shift_table.asm!G43</f>
        <v>A9</v>
      </c>
      <c r="G43" s="70" t="str">
        <f>pixel_shift_table.asm!H43</f>
        <v>A9</v>
      </c>
      <c r="H43" s="70" t="str">
        <f>pixel_shift_table.asm!I43</f>
        <v>A9</v>
      </c>
      <c r="I43" s="70" t="str">
        <f>pixel_shift_table.asm!J43</f>
        <v>A9</v>
      </c>
      <c r="J43" s="70" t="str">
        <f>pixel_shift_table.asm!K43</f>
        <v>A9</v>
      </c>
      <c r="K43" s="70" t="str">
        <f>pixel_shift_table.asm!L43</f>
        <v>A9</v>
      </c>
      <c r="L43" s="70" t="str">
        <f>pixel_shift_table.asm!M43</f>
        <v>A9</v>
      </c>
      <c r="M43" s="70" t="str">
        <f>pixel_shift_table.asm!N43</f>
        <v>A9</v>
      </c>
      <c r="N43" s="70" t="str">
        <f>pixel_shift_table.asm!O43</f>
        <v>A9</v>
      </c>
      <c r="O43" s="70" t="str">
        <f>pixel_shift_table.asm!P43</f>
        <v>A9</v>
      </c>
      <c r="P43" s="70" t="str">
        <f>pixel_shift_table.asm!Q43</f>
        <v>A9</v>
      </c>
      <c r="Q43" s="70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71" t="str">
        <f>pixel_shift_table.asm!C44</f>
        <v>A9</v>
      </c>
      <c r="C44" s="72" t="str">
        <f>pixel_shift_table.asm!D44</f>
        <v>A9</v>
      </c>
      <c r="D44" s="72" t="str">
        <f>pixel_shift_table.asm!E44</f>
        <v>A9</v>
      </c>
      <c r="E44" s="72" t="str">
        <f>pixel_shift_table.asm!F44</f>
        <v>A9</v>
      </c>
      <c r="F44" s="72" t="str">
        <f>pixel_shift_table.asm!G44</f>
        <v>A9</v>
      </c>
      <c r="G44" s="72" t="str">
        <f>pixel_shift_table.asm!H44</f>
        <v>A9</v>
      </c>
      <c r="H44" s="72" t="str">
        <f>pixel_shift_table.asm!I44</f>
        <v>A9</v>
      </c>
      <c r="I44" s="72" t="str">
        <f>pixel_shift_table.asm!J44</f>
        <v>A9</v>
      </c>
      <c r="J44" s="72" t="str">
        <f>pixel_shift_table.asm!K44</f>
        <v>A9</v>
      </c>
      <c r="K44" s="72" t="str">
        <f>pixel_shift_table.asm!L44</f>
        <v>A9</v>
      </c>
      <c r="L44" s="72" t="str">
        <f>pixel_shift_table.asm!M44</f>
        <v>A9</v>
      </c>
      <c r="M44" s="72" t="str">
        <f>pixel_shift_table.asm!N44</f>
        <v>A9</v>
      </c>
      <c r="N44" s="72" t="str">
        <f>pixel_shift_table.asm!O44</f>
        <v>A9</v>
      </c>
      <c r="O44" s="72" t="str">
        <f>pixel_shift_table.asm!P44</f>
        <v>A9</v>
      </c>
      <c r="P44" s="72" t="str">
        <f>pixel_shift_table.asm!Q44</f>
        <v>A9</v>
      </c>
      <c r="Q44" s="72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71" t="str">
        <f>pixel_shift_table.asm!C45</f>
        <v>A9</v>
      </c>
      <c r="C45" s="72" t="str">
        <f>pixel_shift_table.asm!D45</f>
        <v>AA</v>
      </c>
      <c r="D45" s="72" t="str">
        <f>pixel_shift_table.asm!E45</f>
        <v>A9</v>
      </c>
      <c r="E45" s="72" t="str">
        <f>pixel_shift_table.asm!F45</f>
        <v>AA</v>
      </c>
      <c r="F45" s="72" t="str">
        <f>pixel_shift_table.asm!G45</f>
        <v>A9</v>
      </c>
      <c r="G45" s="72" t="str">
        <f>pixel_shift_table.asm!H45</f>
        <v>AA</v>
      </c>
      <c r="H45" s="72" t="str">
        <f>pixel_shift_table.asm!I45</f>
        <v>A9</v>
      </c>
      <c r="I45" s="72" t="str">
        <f>pixel_shift_table.asm!J45</f>
        <v>AA</v>
      </c>
      <c r="J45" s="72" t="str">
        <f>pixel_shift_table.asm!K45</f>
        <v>A9</v>
      </c>
      <c r="K45" s="72" t="str">
        <f>pixel_shift_table.asm!L45</f>
        <v>AA</v>
      </c>
      <c r="L45" s="72" t="str">
        <f>pixel_shift_table.asm!M45</f>
        <v>A9</v>
      </c>
      <c r="M45" s="72" t="str">
        <f>pixel_shift_table.asm!N45</f>
        <v>AA</v>
      </c>
      <c r="N45" s="72" t="str">
        <f>pixel_shift_table.asm!O45</f>
        <v>A9</v>
      </c>
      <c r="O45" s="72" t="str">
        <f>pixel_shift_table.asm!P45</f>
        <v>AA</v>
      </c>
      <c r="P45" s="72" t="str">
        <f>pixel_shift_table.asm!Q45</f>
        <v>A9</v>
      </c>
      <c r="Q45" s="72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71" t="str">
        <f>pixel_shift_table.asm!C46</f>
        <v>A9</v>
      </c>
      <c r="C46" s="72" t="str">
        <f>pixel_shift_table.asm!D46</f>
        <v>AA</v>
      </c>
      <c r="D46" s="72" t="str">
        <f>pixel_shift_table.asm!E46</f>
        <v>A9</v>
      </c>
      <c r="E46" s="72" t="str">
        <f>pixel_shift_table.asm!F46</f>
        <v>AA</v>
      </c>
      <c r="F46" s="72" t="str">
        <f>pixel_shift_table.asm!G46</f>
        <v>A9</v>
      </c>
      <c r="G46" s="72" t="str">
        <f>pixel_shift_table.asm!H46</f>
        <v>AA</v>
      </c>
      <c r="H46" s="72" t="str">
        <f>pixel_shift_table.asm!I46</f>
        <v>A9</v>
      </c>
      <c r="I46" s="72" t="str">
        <f>pixel_shift_table.asm!J46</f>
        <v>AA</v>
      </c>
      <c r="J46" s="72" t="str">
        <f>pixel_shift_table.asm!K46</f>
        <v>A9</v>
      </c>
      <c r="K46" s="72" t="str">
        <f>pixel_shift_table.asm!L46</f>
        <v>AA</v>
      </c>
      <c r="L46" s="72" t="str">
        <f>pixel_shift_table.asm!M46</f>
        <v>A9</v>
      </c>
      <c r="M46" s="72" t="str">
        <f>pixel_shift_table.asm!N46</f>
        <v>AA</v>
      </c>
      <c r="N46" s="72" t="str">
        <f>pixel_shift_table.asm!O46</f>
        <v>A9</v>
      </c>
      <c r="O46" s="72" t="str">
        <f>pixel_shift_table.asm!P46</f>
        <v>AA</v>
      </c>
      <c r="P46" s="72" t="str">
        <f>pixel_shift_table.asm!Q46</f>
        <v>A9</v>
      </c>
      <c r="Q46" s="72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71" t="str">
        <f>pixel_shift_table.asm!C47</f>
        <v>A9</v>
      </c>
      <c r="C47" s="72" t="str">
        <f>pixel_shift_table.asm!D47</f>
        <v>AB</v>
      </c>
      <c r="D47" s="72" t="str">
        <f>pixel_shift_table.asm!E47</f>
        <v>AA</v>
      </c>
      <c r="E47" s="72" t="str">
        <f>pixel_shift_table.asm!F47</f>
        <v>AB</v>
      </c>
      <c r="F47" s="72" t="str">
        <f>pixel_shift_table.asm!G47</f>
        <v>A9</v>
      </c>
      <c r="G47" s="72" t="str">
        <f>pixel_shift_table.asm!H47</f>
        <v>AB</v>
      </c>
      <c r="H47" s="72" t="str">
        <f>pixel_shift_table.asm!I47</f>
        <v>AA</v>
      </c>
      <c r="I47" s="72" t="str">
        <f>pixel_shift_table.asm!J47</f>
        <v>AB</v>
      </c>
      <c r="J47" s="72" t="str">
        <f>pixel_shift_table.asm!K47</f>
        <v>A9</v>
      </c>
      <c r="K47" s="72" t="str">
        <f>pixel_shift_table.asm!L47</f>
        <v>AB</v>
      </c>
      <c r="L47" s="72" t="str">
        <f>pixel_shift_table.asm!M47</f>
        <v>AA</v>
      </c>
      <c r="M47" s="72" t="str">
        <f>pixel_shift_table.asm!N47</f>
        <v>AB</v>
      </c>
      <c r="N47" s="72" t="str">
        <f>pixel_shift_table.asm!O47</f>
        <v>A9</v>
      </c>
      <c r="O47" s="72" t="str">
        <f>pixel_shift_table.asm!P47</f>
        <v>AB</v>
      </c>
      <c r="P47" s="72" t="str">
        <f>pixel_shift_table.asm!Q47</f>
        <v>AA</v>
      </c>
      <c r="Q47" s="72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71" t="str">
        <f>pixel_shift_table.asm!C48</f>
        <v>A9</v>
      </c>
      <c r="C48" s="72" t="str">
        <f>pixel_shift_table.asm!D48</f>
        <v>AB</v>
      </c>
      <c r="D48" s="72" t="str">
        <f>pixel_shift_table.asm!E48</f>
        <v>AA</v>
      </c>
      <c r="E48" s="72" t="str">
        <f>pixel_shift_table.asm!F48</f>
        <v>AB</v>
      </c>
      <c r="F48" s="72" t="str">
        <f>pixel_shift_table.asm!G48</f>
        <v>A9</v>
      </c>
      <c r="G48" s="72" t="str">
        <f>pixel_shift_table.asm!H48</f>
        <v>AB</v>
      </c>
      <c r="H48" s="72" t="str">
        <f>pixel_shift_table.asm!I48</f>
        <v>AA</v>
      </c>
      <c r="I48" s="72" t="str">
        <f>pixel_shift_table.asm!J48</f>
        <v>AB</v>
      </c>
      <c r="J48" s="72" t="str">
        <f>pixel_shift_table.asm!K48</f>
        <v>A9</v>
      </c>
      <c r="K48" s="72" t="str">
        <f>pixel_shift_table.asm!L48</f>
        <v>AB</v>
      </c>
      <c r="L48" s="72" t="str">
        <f>pixel_shift_table.asm!M48</f>
        <v>AA</v>
      </c>
      <c r="M48" s="72" t="str">
        <f>pixel_shift_table.asm!N48</f>
        <v>AB</v>
      </c>
      <c r="N48" s="72" t="str">
        <f>pixel_shift_table.asm!O48</f>
        <v>A9</v>
      </c>
      <c r="O48" s="72" t="str">
        <f>pixel_shift_table.asm!P48</f>
        <v>AB</v>
      </c>
      <c r="P48" s="72" t="str">
        <f>pixel_shift_table.asm!Q48</f>
        <v>AA</v>
      </c>
      <c r="Q48" s="72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71" t="str">
        <f>pixel_shift_table.asm!C49</f>
        <v>A9</v>
      </c>
      <c r="C49" s="72" t="str">
        <f>pixel_shift_table.asm!D49</f>
        <v>AC</v>
      </c>
      <c r="D49" s="72" t="str">
        <f>pixel_shift_table.asm!E49</f>
        <v>AA</v>
      </c>
      <c r="E49" s="72" t="str">
        <f>pixel_shift_table.asm!F49</f>
        <v>AC</v>
      </c>
      <c r="F49" s="72" t="str">
        <f>pixel_shift_table.asm!G49</f>
        <v>A9</v>
      </c>
      <c r="G49" s="72" t="str">
        <f>pixel_shift_table.asm!H49</f>
        <v>AC</v>
      </c>
      <c r="H49" s="72" t="str">
        <f>pixel_shift_table.asm!I49</f>
        <v>AA</v>
      </c>
      <c r="I49" s="72" t="str">
        <f>pixel_shift_table.asm!J49</f>
        <v>AC</v>
      </c>
      <c r="J49" s="72" t="str">
        <f>pixel_shift_table.asm!K49</f>
        <v>A9</v>
      </c>
      <c r="K49" s="72" t="str">
        <f>pixel_shift_table.asm!L49</f>
        <v>AC</v>
      </c>
      <c r="L49" s="72" t="str">
        <f>pixel_shift_table.asm!M49</f>
        <v>AA</v>
      </c>
      <c r="M49" s="72" t="str">
        <f>pixel_shift_table.asm!N49</f>
        <v>AC</v>
      </c>
      <c r="N49" s="72" t="str">
        <f>pixel_shift_table.asm!O49</f>
        <v>A9</v>
      </c>
      <c r="O49" s="72" t="str">
        <f>pixel_shift_table.asm!P49</f>
        <v>AC</v>
      </c>
      <c r="P49" s="72" t="str">
        <f>pixel_shift_table.asm!Q49</f>
        <v>AA</v>
      </c>
      <c r="Q49" s="72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8" t="str">
        <f t="shared" si="20"/>
        <v>A4F0</v>
      </c>
      <c r="B50" s="73" t="str">
        <f>pixel_shift_table.asm!C50</f>
        <v>A9</v>
      </c>
      <c r="C50" s="74" t="str">
        <f>pixel_shift_table.asm!D50</f>
        <v>AC</v>
      </c>
      <c r="D50" s="74" t="str">
        <f>pixel_shift_table.asm!E50</f>
        <v>AA</v>
      </c>
      <c r="E50" s="74" t="str">
        <f>pixel_shift_table.asm!F50</f>
        <v>AC</v>
      </c>
      <c r="F50" s="74" t="str">
        <f>pixel_shift_table.asm!G50</f>
        <v>A9</v>
      </c>
      <c r="G50" s="74" t="str">
        <f>pixel_shift_table.asm!H50</f>
        <v>AC</v>
      </c>
      <c r="H50" s="74" t="str">
        <f>pixel_shift_table.asm!I50</f>
        <v>AA</v>
      </c>
      <c r="I50" s="74" t="str">
        <f>pixel_shift_table.asm!J50</f>
        <v>AC</v>
      </c>
      <c r="J50" s="74" t="str">
        <f>pixel_shift_table.asm!K50</f>
        <v>A9</v>
      </c>
      <c r="K50" s="74" t="str">
        <f>pixel_shift_table.asm!L50</f>
        <v>AC</v>
      </c>
      <c r="L50" s="74" t="str">
        <f>pixel_shift_table.asm!M50</f>
        <v>AA</v>
      </c>
      <c r="M50" s="74" t="str">
        <f>pixel_shift_table.asm!N50</f>
        <v>AC</v>
      </c>
      <c r="N50" s="74" t="str">
        <f>pixel_shift_table.asm!O50</f>
        <v>A9</v>
      </c>
      <c r="O50" s="74" t="str">
        <f>pixel_shift_table.asm!P50</f>
        <v>AC</v>
      </c>
      <c r="P50" s="74" t="str">
        <f>pixel_shift_table.asm!Q50</f>
        <v>AA</v>
      </c>
      <c r="Q50" s="74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9" t="str">
        <f t="shared" si="20"/>
        <v>A500</v>
      </c>
      <c r="B51" s="69" t="str">
        <f>pixel_shift_table.asm!C51</f>
        <v>00</v>
      </c>
      <c r="C51" s="70" t="str">
        <f>pixel_shift_table.asm!D51</f>
        <v>08</v>
      </c>
      <c r="D51" s="70" t="str">
        <f>pixel_shift_table.asm!E51</f>
        <v>0A</v>
      </c>
      <c r="E51" s="70" t="str">
        <f>pixel_shift_table.asm!F51</f>
        <v>18</v>
      </c>
      <c r="F51" s="70" t="str">
        <f>pixel_shift_table.asm!G51</f>
        <v>0C</v>
      </c>
      <c r="G51" s="70" t="str">
        <f>pixel_shift_table.asm!H51</f>
        <v>28</v>
      </c>
      <c r="H51" s="70" t="str">
        <f>pixel_shift_table.asm!I51</f>
        <v>1A</v>
      </c>
      <c r="I51" s="70" t="str">
        <f>pixel_shift_table.asm!J51</f>
        <v>38</v>
      </c>
      <c r="J51" s="70" t="str">
        <f>pixel_shift_table.asm!K51</f>
        <v>0E</v>
      </c>
      <c r="K51" s="70" t="str">
        <f>pixel_shift_table.asm!L51</f>
        <v>48</v>
      </c>
      <c r="L51" s="70" t="str">
        <f>pixel_shift_table.asm!M51</f>
        <v>2A</v>
      </c>
      <c r="M51" s="70" t="str">
        <f>pixel_shift_table.asm!N51</f>
        <v>58</v>
      </c>
      <c r="N51" s="70" t="str">
        <f>pixel_shift_table.asm!O51</f>
        <v>1C</v>
      </c>
      <c r="O51" s="70" t="str">
        <f>pixel_shift_table.asm!P51</f>
        <v>68</v>
      </c>
      <c r="P51" s="70" t="str">
        <f>pixel_shift_table.asm!Q51</f>
        <v>3A</v>
      </c>
      <c r="Q51" s="70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71" t="str">
        <f>pixel_shift_table.asm!C52</f>
        <v>10</v>
      </c>
      <c r="C52" s="72" t="str">
        <f>pixel_shift_table.asm!D52</f>
        <v>88</v>
      </c>
      <c r="D52" s="72" t="str">
        <f>pixel_shift_table.asm!E52</f>
        <v>4A</v>
      </c>
      <c r="E52" s="72" t="str">
        <f>pixel_shift_table.asm!F52</f>
        <v>98</v>
      </c>
      <c r="F52" s="72" t="str">
        <f>pixel_shift_table.asm!G52</f>
        <v>2C</v>
      </c>
      <c r="G52" s="72" t="str">
        <f>pixel_shift_table.asm!H52</f>
        <v>A8</v>
      </c>
      <c r="H52" s="72" t="str">
        <f>pixel_shift_table.asm!I52</f>
        <v>5A</v>
      </c>
      <c r="I52" s="72" t="str">
        <f>pixel_shift_table.asm!J52</f>
        <v>B8</v>
      </c>
      <c r="J52" s="72" t="str">
        <f>pixel_shift_table.asm!K52</f>
        <v>1E</v>
      </c>
      <c r="K52" s="72" t="str">
        <f>pixel_shift_table.asm!L52</f>
        <v>C8</v>
      </c>
      <c r="L52" s="72" t="str">
        <f>pixel_shift_table.asm!M52</f>
        <v>6A</v>
      </c>
      <c r="M52" s="72" t="str">
        <f>pixel_shift_table.asm!N52</f>
        <v>D8</v>
      </c>
      <c r="N52" s="72" t="str">
        <f>pixel_shift_table.asm!O52</f>
        <v>3C</v>
      </c>
      <c r="O52" s="72" t="str">
        <f>pixel_shift_table.asm!P52</f>
        <v>E8</v>
      </c>
      <c r="P52" s="72" t="str">
        <f>pixel_shift_table.asm!Q52</f>
        <v>7A</v>
      </c>
      <c r="Q52" s="72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71" t="str">
        <f>pixel_shift_table.asm!C53</f>
        <v>20</v>
      </c>
      <c r="C53" s="72" t="str">
        <f>pixel_shift_table.asm!D53</f>
        <v>08</v>
      </c>
      <c r="D53" s="72" t="str">
        <f>pixel_shift_table.asm!E53</f>
        <v>8A</v>
      </c>
      <c r="E53" s="72" t="str">
        <f>pixel_shift_table.asm!F53</f>
        <v>18</v>
      </c>
      <c r="F53" s="72" t="str">
        <f>pixel_shift_table.asm!G53</f>
        <v>4C</v>
      </c>
      <c r="G53" s="72" t="str">
        <f>pixel_shift_table.asm!H53</f>
        <v>28</v>
      </c>
      <c r="H53" s="72" t="str">
        <f>pixel_shift_table.asm!I53</f>
        <v>9A</v>
      </c>
      <c r="I53" s="72" t="str">
        <f>pixel_shift_table.asm!J53</f>
        <v>38</v>
      </c>
      <c r="J53" s="72" t="str">
        <f>pixel_shift_table.asm!K53</f>
        <v>2E</v>
      </c>
      <c r="K53" s="72" t="str">
        <f>pixel_shift_table.asm!L53</f>
        <v>48</v>
      </c>
      <c r="L53" s="72" t="str">
        <f>pixel_shift_table.asm!M53</f>
        <v>AA</v>
      </c>
      <c r="M53" s="72" t="str">
        <f>pixel_shift_table.asm!N53</f>
        <v>58</v>
      </c>
      <c r="N53" s="72" t="str">
        <f>pixel_shift_table.asm!O53</f>
        <v>5C</v>
      </c>
      <c r="O53" s="72" t="str">
        <f>pixel_shift_table.asm!P53</f>
        <v>68</v>
      </c>
      <c r="P53" s="72" t="str">
        <f>pixel_shift_table.asm!Q53</f>
        <v>BA</v>
      </c>
      <c r="Q53" s="72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71" t="str">
        <f>pixel_shift_table.asm!C54</f>
        <v>30</v>
      </c>
      <c r="C54" s="72" t="str">
        <f>pixel_shift_table.asm!D54</f>
        <v>88</v>
      </c>
      <c r="D54" s="72" t="str">
        <f>pixel_shift_table.asm!E54</f>
        <v>CA</v>
      </c>
      <c r="E54" s="72" t="str">
        <f>pixel_shift_table.asm!F54</f>
        <v>98</v>
      </c>
      <c r="F54" s="72" t="str">
        <f>pixel_shift_table.asm!G54</f>
        <v>6C</v>
      </c>
      <c r="G54" s="72" t="str">
        <f>pixel_shift_table.asm!H54</f>
        <v>A8</v>
      </c>
      <c r="H54" s="72" t="str">
        <f>pixel_shift_table.asm!I54</f>
        <v>DA</v>
      </c>
      <c r="I54" s="72" t="str">
        <f>pixel_shift_table.asm!J54</f>
        <v>B8</v>
      </c>
      <c r="J54" s="72" t="str">
        <f>pixel_shift_table.asm!K54</f>
        <v>3E</v>
      </c>
      <c r="K54" s="72" t="str">
        <f>pixel_shift_table.asm!L54</f>
        <v>C8</v>
      </c>
      <c r="L54" s="72" t="str">
        <f>pixel_shift_table.asm!M54</f>
        <v>EA</v>
      </c>
      <c r="M54" s="72" t="str">
        <f>pixel_shift_table.asm!N54</f>
        <v>D8</v>
      </c>
      <c r="N54" s="72" t="str">
        <f>pixel_shift_table.asm!O54</f>
        <v>7C</v>
      </c>
      <c r="O54" s="72" t="str">
        <f>pixel_shift_table.asm!P54</f>
        <v>E8</v>
      </c>
      <c r="P54" s="72" t="str">
        <f>pixel_shift_table.asm!Q54</f>
        <v>FA</v>
      </c>
      <c r="Q54" s="72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71" t="str">
        <f>pixel_shift_table.asm!C55</f>
        <v>40</v>
      </c>
      <c r="C55" s="72" t="str">
        <f>pixel_shift_table.asm!D55</f>
        <v>08</v>
      </c>
      <c r="D55" s="72" t="str">
        <f>pixel_shift_table.asm!E55</f>
        <v>0A</v>
      </c>
      <c r="E55" s="72" t="str">
        <f>pixel_shift_table.asm!F55</f>
        <v>18</v>
      </c>
      <c r="F55" s="72" t="str">
        <f>pixel_shift_table.asm!G55</f>
        <v>8C</v>
      </c>
      <c r="G55" s="72" t="str">
        <f>pixel_shift_table.asm!H55</f>
        <v>28</v>
      </c>
      <c r="H55" s="72" t="str">
        <f>pixel_shift_table.asm!I55</f>
        <v>1A</v>
      </c>
      <c r="I55" s="72" t="str">
        <f>pixel_shift_table.asm!J55</f>
        <v>38</v>
      </c>
      <c r="J55" s="72" t="str">
        <f>pixel_shift_table.asm!K55</f>
        <v>4E</v>
      </c>
      <c r="K55" s="72" t="str">
        <f>pixel_shift_table.asm!L55</f>
        <v>48</v>
      </c>
      <c r="L55" s="72" t="str">
        <f>pixel_shift_table.asm!M55</f>
        <v>2A</v>
      </c>
      <c r="M55" s="72" t="str">
        <f>pixel_shift_table.asm!N55</f>
        <v>58</v>
      </c>
      <c r="N55" s="72" t="str">
        <f>pixel_shift_table.asm!O55</f>
        <v>9C</v>
      </c>
      <c r="O55" s="72" t="str">
        <f>pixel_shift_table.asm!P55</f>
        <v>68</v>
      </c>
      <c r="P55" s="72" t="str">
        <f>pixel_shift_table.asm!Q55</f>
        <v>3A</v>
      </c>
      <c r="Q55" s="72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71" t="str">
        <f>pixel_shift_table.asm!C56</f>
        <v>50</v>
      </c>
      <c r="C56" s="72" t="str">
        <f>pixel_shift_table.asm!D56</f>
        <v>88</v>
      </c>
      <c r="D56" s="72" t="str">
        <f>pixel_shift_table.asm!E56</f>
        <v>4A</v>
      </c>
      <c r="E56" s="72" t="str">
        <f>pixel_shift_table.asm!F56</f>
        <v>98</v>
      </c>
      <c r="F56" s="72" t="str">
        <f>pixel_shift_table.asm!G56</f>
        <v>AC</v>
      </c>
      <c r="G56" s="72" t="str">
        <f>pixel_shift_table.asm!H56</f>
        <v>A8</v>
      </c>
      <c r="H56" s="72" t="str">
        <f>pixel_shift_table.asm!I56</f>
        <v>5A</v>
      </c>
      <c r="I56" s="72" t="str">
        <f>pixel_shift_table.asm!J56</f>
        <v>B8</v>
      </c>
      <c r="J56" s="72" t="str">
        <f>pixel_shift_table.asm!K56</f>
        <v>5E</v>
      </c>
      <c r="K56" s="72" t="str">
        <f>pixel_shift_table.asm!L56</f>
        <v>C8</v>
      </c>
      <c r="L56" s="72" t="str">
        <f>pixel_shift_table.asm!M56</f>
        <v>6A</v>
      </c>
      <c r="M56" s="72" t="str">
        <f>pixel_shift_table.asm!N56</f>
        <v>D8</v>
      </c>
      <c r="N56" s="72" t="str">
        <f>pixel_shift_table.asm!O56</f>
        <v>BC</v>
      </c>
      <c r="O56" s="72" t="str">
        <f>pixel_shift_table.asm!P56</f>
        <v>E8</v>
      </c>
      <c r="P56" s="72" t="str">
        <f>pixel_shift_table.asm!Q56</f>
        <v>7A</v>
      </c>
      <c r="Q56" s="72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71" t="str">
        <f>pixel_shift_table.asm!C57</f>
        <v>60</v>
      </c>
      <c r="C57" s="72" t="str">
        <f>pixel_shift_table.asm!D57</f>
        <v>08</v>
      </c>
      <c r="D57" s="72" t="str">
        <f>pixel_shift_table.asm!E57</f>
        <v>8A</v>
      </c>
      <c r="E57" s="72" t="str">
        <f>pixel_shift_table.asm!F57</f>
        <v>18</v>
      </c>
      <c r="F57" s="72" t="str">
        <f>pixel_shift_table.asm!G57</f>
        <v>CC</v>
      </c>
      <c r="G57" s="72" t="str">
        <f>pixel_shift_table.asm!H57</f>
        <v>28</v>
      </c>
      <c r="H57" s="72" t="str">
        <f>pixel_shift_table.asm!I57</f>
        <v>9A</v>
      </c>
      <c r="I57" s="72" t="str">
        <f>pixel_shift_table.asm!J57</f>
        <v>38</v>
      </c>
      <c r="J57" s="72" t="str">
        <f>pixel_shift_table.asm!K57</f>
        <v>6E</v>
      </c>
      <c r="K57" s="72" t="str">
        <f>pixel_shift_table.asm!L57</f>
        <v>48</v>
      </c>
      <c r="L57" s="72" t="str">
        <f>pixel_shift_table.asm!M57</f>
        <v>AA</v>
      </c>
      <c r="M57" s="72" t="str">
        <f>pixel_shift_table.asm!N57</f>
        <v>58</v>
      </c>
      <c r="N57" s="72" t="str">
        <f>pixel_shift_table.asm!O57</f>
        <v>DC</v>
      </c>
      <c r="O57" s="72" t="str">
        <f>pixel_shift_table.asm!P57</f>
        <v>68</v>
      </c>
      <c r="P57" s="72" t="str">
        <f>pixel_shift_table.asm!Q57</f>
        <v>BA</v>
      </c>
      <c r="Q57" s="72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8" t="str">
        <f t="shared" si="20"/>
        <v>A570</v>
      </c>
      <c r="B58" s="73" t="str">
        <f>pixel_shift_table.asm!C58</f>
        <v>70</v>
      </c>
      <c r="C58" s="74" t="str">
        <f>pixel_shift_table.asm!D58</f>
        <v>88</v>
      </c>
      <c r="D58" s="74" t="str">
        <f>pixel_shift_table.asm!E58</f>
        <v>CA</v>
      </c>
      <c r="E58" s="74" t="str">
        <f>pixel_shift_table.asm!F58</f>
        <v>98</v>
      </c>
      <c r="F58" s="74" t="str">
        <f>pixel_shift_table.asm!G58</f>
        <v>EC</v>
      </c>
      <c r="G58" s="74" t="str">
        <f>pixel_shift_table.asm!H58</f>
        <v>A8</v>
      </c>
      <c r="H58" s="74" t="str">
        <f>pixel_shift_table.asm!I58</f>
        <v>DA</v>
      </c>
      <c r="I58" s="74" t="str">
        <f>pixel_shift_table.asm!J58</f>
        <v>B8</v>
      </c>
      <c r="J58" s="74" t="str">
        <f>pixel_shift_table.asm!K58</f>
        <v>7E</v>
      </c>
      <c r="K58" s="74" t="str">
        <f>pixel_shift_table.asm!L58</f>
        <v>C8</v>
      </c>
      <c r="L58" s="74" t="str">
        <f>pixel_shift_table.asm!M58</f>
        <v>EA</v>
      </c>
      <c r="M58" s="74" t="str">
        <f>pixel_shift_table.asm!N58</f>
        <v>D8</v>
      </c>
      <c r="N58" s="74" t="str">
        <f>pixel_shift_table.asm!O58</f>
        <v>FC</v>
      </c>
      <c r="O58" s="74" t="str">
        <f>pixel_shift_table.asm!P58</f>
        <v>E8</v>
      </c>
      <c r="P58" s="74" t="str">
        <f>pixel_shift_table.asm!Q58</f>
        <v>FA</v>
      </c>
      <c r="Q58" s="74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9" t="str">
        <f>pixel_shift_table.asm!C59</f>
        <v>A9</v>
      </c>
      <c r="C59" s="70" t="str">
        <f>pixel_shift_table.asm!D59</f>
        <v>A9</v>
      </c>
      <c r="D59" s="70" t="str">
        <f>pixel_shift_table.asm!E59</f>
        <v>A9</v>
      </c>
      <c r="E59" s="70" t="str">
        <f>pixel_shift_table.asm!F59</f>
        <v>A9</v>
      </c>
      <c r="F59" s="70" t="str">
        <f>pixel_shift_table.asm!G59</f>
        <v>A9</v>
      </c>
      <c r="G59" s="70" t="str">
        <f>pixel_shift_table.asm!H59</f>
        <v>A9</v>
      </c>
      <c r="H59" s="70" t="str">
        <f>pixel_shift_table.asm!I59</f>
        <v>A9</v>
      </c>
      <c r="I59" s="70" t="str">
        <f>pixel_shift_table.asm!J59</f>
        <v>A9</v>
      </c>
      <c r="J59" s="70" t="str">
        <f>pixel_shift_table.asm!K59</f>
        <v>A9</v>
      </c>
      <c r="K59" s="70" t="str">
        <f>pixel_shift_table.asm!L59</f>
        <v>A9</v>
      </c>
      <c r="L59" s="70" t="str">
        <f>pixel_shift_table.asm!M59</f>
        <v>A9</v>
      </c>
      <c r="M59" s="70" t="str">
        <f>pixel_shift_table.asm!N59</f>
        <v>A9</v>
      </c>
      <c r="N59" s="70" t="str">
        <f>pixel_shift_table.asm!O59</f>
        <v>A9</v>
      </c>
      <c r="O59" s="70" t="str">
        <f>pixel_shift_table.asm!P59</f>
        <v>A9</v>
      </c>
      <c r="P59" s="70" t="str">
        <f>pixel_shift_table.asm!Q59</f>
        <v>A9</v>
      </c>
      <c r="Q59" s="70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4" t="str">
        <f t="shared" si="20"/>
        <v>A590</v>
      </c>
      <c r="B60" s="71" t="str">
        <f>pixel_shift_table.asm!C60</f>
        <v>A9</v>
      </c>
      <c r="C60" s="72" t="str">
        <f>pixel_shift_table.asm!D60</f>
        <v>A9</v>
      </c>
      <c r="D60" s="72" t="str">
        <f>pixel_shift_table.asm!E60</f>
        <v>A9</v>
      </c>
      <c r="E60" s="72" t="str">
        <f>pixel_shift_table.asm!F60</f>
        <v>A9</v>
      </c>
      <c r="F60" s="72" t="str">
        <f>pixel_shift_table.asm!G60</f>
        <v>A9</v>
      </c>
      <c r="G60" s="72" t="str">
        <f>pixel_shift_table.asm!H60</f>
        <v>A9</v>
      </c>
      <c r="H60" s="72" t="str">
        <f>pixel_shift_table.asm!I60</f>
        <v>A9</v>
      </c>
      <c r="I60" s="72" t="str">
        <f>pixel_shift_table.asm!J60</f>
        <v>A9</v>
      </c>
      <c r="J60" s="72" t="str">
        <f>pixel_shift_table.asm!K60</f>
        <v>A9</v>
      </c>
      <c r="K60" s="72" t="str">
        <f>pixel_shift_table.asm!L60</f>
        <v>A9</v>
      </c>
      <c r="L60" s="72" t="str">
        <f>pixel_shift_table.asm!M60</f>
        <v>A9</v>
      </c>
      <c r="M60" s="72" t="str">
        <f>pixel_shift_table.asm!N60</f>
        <v>A9</v>
      </c>
      <c r="N60" s="72" t="str">
        <f>pixel_shift_table.asm!O60</f>
        <v>A9</v>
      </c>
      <c r="O60" s="72" t="str">
        <f>pixel_shift_table.asm!P60</f>
        <v>A9</v>
      </c>
      <c r="P60" s="72" t="str">
        <f>pixel_shift_table.asm!Q60</f>
        <v>A9</v>
      </c>
      <c r="Q60" s="72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71" t="str">
        <f>pixel_shift_table.asm!C61</f>
        <v>A9</v>
      </c>
      <c r="C61" s="72" t="str">
        <f>pixel_shift_table.asm!D61</f>
        <v>AA</v>
      </c>
      <c r="D61" s="72" t="str">
        <f>pixel_shift_table.asm!E61</f>
        <v>A9</v>
      </c>
      <c r="E61" s="72" t="str">
        <f>pixel_shift_table.asm!F61</f>
        <v>AA</v>
      </c>
      <c r="F61" s="72" t="str">
        <f>pixel_shift_table.asm!G61</f>
        <v>A9</v>
      </c>
      <c r="G61" s="72" t="str">
        <f>pixel_shift_table.asm!H61</f>
        <v>AA</v>
      </c>
      <c r="H61" s="72" t="str">
        <f>pixel_shift_table.asm!I61</f>
        <v>A9</v>
      </c>
      <c r="I61" s="72" t="str">
        <f>pixel_shift_table.asm!J61</f>
        <v>AA</v>
      </c>
      <c r="J61" s="72" t="str">
        <f>pixel_shift_table.asm!K61</f>
        <v>A9</v>
      </c>
      <c r="K61" s="72" t="str">
        <f>pixel_shift_table.asm!L61</f>
        <v>AA</v>
      </c>
      <c r="L61" s="72" t="str">
        <f>pixel_shift_table.asm!M61</f>
        <v>A9</v>
      </c>
      <c r="M61" s="72" t="str">
        <f>pixel_shift_table.asm!N61</f>
        <v>AA</v>
      </c>
      <c r="N61" s="72" t="str">
        <f>pixel_shift_table.asm!O61</f>
        <v>A9</v>
      </c>
      <c r="O61" s="72" t="str">
        <f>pixel_shift_table.asm!P61</f>
        <v>AA</v>
      </c>
      <c r="P61" s="72" t="str">
        <f>pixel_shift_table.asm!Q61</f>
        <v>A9</v>
      </c>
      <c r="Q61" s="72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71" t="str">
        <f>pixel_shift_table.asm!C62</f>
        <v>A9</v>
      </c>
      <c r="C62" s="72" t="str">
        <f>pixel_shift_table.asm!D62</f>
        <v>AA</v>
      </c>
      <c r="D62" s="72" t="str">
        <f>pixel_shift_table.asm!E62</f>
        <v>A9</v>
      </c>
      <c r="E62" s="72" t="str">
        <f>pixel_shift_table.asm!F62</f>
        <v>AA</v>
      </c>
      <c r="F62" s="72" t="str">
        <f>pixel_shift_table.asm!G62</f>
        <v>A9</v>
      </c>
      <c r="G62" s="72" t="str">
        <f>pixel_shift_table.asm!H62</f>
        <v>AA</v>
      </c>
      <c r="H62" s="72" t="str">
        <f>pixel_shift_table.asm!I62</f>
        <v>A9</v>
      </c>
      <c r="I62" s="72" t="str">
        <f>pixel_shift_table.asm!J62</f>
        <v>AA</v>
      </c>
      <c r="J62" s="72" t="str">
        <f>pixel_shift_table.asm!K62</f>
        <v>A9</v>
      </c>
      <c r="K62" s="72" t="str">
        <f>pixel_shift_table.asm!L62</f>
        <v>AA</v>
      </c>
      <c r="L62" s="72" t="str">
        <f>pixel_shift_table.asm!M62</f>
        <v>A9</v>
      </c>
      <c r="M62" s="72" t="str">
        <f>pixel_shift_table.asm!N62</f>
        <v>AA</v>
      </c>
      <c r="N62" s="72" t="str">
        <f>pixel_shift_table.asm!O62</f>
        <v>A9</v>
      </c>
      <c r="O62" s="72" t="str">
        <f>pixel_shift_table.asm!P62</f>
        <v>AA</v>
      </c>
      <c r="P62" s="72" t="str">
        <f>pixel_shift_table.asm!Q62</f>
        <v>A9</v>
      </c>
      <c r="Q62" s="72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71" t="str">
        <f>pixel_shift_table.asm!C63</f>
        <v>A9</v>
      </c>
      <c r="C63" s="72" t="str">
        <f>pixel_shift_table.asm!D63</f>
        <v>AB</v>
      </c>
      <c r="D63" s="72" t="str">
        <f>pixel_shift_table.asm!E63</f>
        <v>AA</v>
      </c>
      <c r="E63" s="72" t="str">
        <f>pixel_shift_table.asm!F63</f>
        <v>AB</v>
      </c>
      <c r="F63" s="72" t="str">
        <f>pixel_shift_table.asm!G63</f>
        <v>A9</v>
      </c>
      <c r="G63" s="72" t="str">
        <f>pixel_shift_table.asm!H63</f>
        <v>AB</v>
      </c>
      <c r="H63" s="72" t="str">
        <f>pixel_shift_table.asm!I63</f>
        <v>AA</v>
      </c>
      <c r="I63" s="72" t="str">
        <f>pixel_shift_table.asm!J63</f>
        <v>AB</v>
      </c>
      <c r="J63" s="72" t="str">
        <f>pixel_shift_table.asm!K63</f>
        <v>A9</v>
      </c>
      <c r="K63" s="72" t="str">
        <f>pixel_shift_table.asm!L63</f>
        <v>AB</v>
      </c>
      <c r="L63" s="72" t="str">
        <f>pixel_shift_table.asm!M63</f>
        <v>AA</v>
      </c>
      <c r="M63" s="72" t="str">
        <f>pixel_shift_table.asm!N63</f>
        <v>AB</v>
      </c>
      <c r="N63" s="72" t="str">
        <f>pixel_shift_table.asm!O63</f>
        <v>A9</v>
      </c>
      <c r="O63" s="72" t="str">
        <f>pixel_shift_table.asm!P63</f>
        <v>AB</v>
      </c>
      <c r="P63" s="72" t="str">
        <f>pixel_shift_table.asm!Q63</f>
        <v>AA</v>
      </c>
      <c r="Q63" s="72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71" t="str">
        <f>pixel_shift_table.asm!C64</f>
        <v>A9</v>
      </c>
      <c r="C64" s="72" t="str">
        <f>pixel_shift_table.asm!D64</f>
        <v>AB</v>
      </c>
      <c r="D64" s="72" t="str">
        <f>pixel_shift_table.asm!E64</f>
        <v>AA</v>
      </c>
      <c r="E64" s="72" t="str">
        <f>pixel_shift_table.asm!F64</f>
        <v>AB</v>
      </c>
      <c r="F64" s="72" t="str">
        <f>pixel_shift_table.asm!G64</f>
        <v>A9</v>
      </c>
      <c r="G64" s="72" t="str">
        <f>pixel_shift_table.asm!H64</f>
        <v>AB</v>
      </c>
      <c r="H64" s="72" t="str">
        <f>pixel_shift_table.asm!I64</f>
        <v>AA</v>
      </c>
      <c r="I64" s="72" t="str">
        <f>pixel_shift_table.asm!J64</f>
        <v>AB</v>
      </c>
      <c r="J64" s="72" t="str">
        <f>pixel_shift_table.asm!K64</f>
        <v>A9</v>
      </c>
      <c r="K64" s="72" t="str">
        <f>pixel_shift_table.asm!L64</f>
        <v>AB</v>
      </c>
      <c r="L64" s="72" t="str">
        <f>pixel_shift_table.asm!M64</f>
        <v>AA</v>
      </c>
      <c r="M64" s="72" t="str">
        <f>pixel_shift_table.asm!N64</f>
        <v>AB</v>
      </c>
      <c r="N64" s="72" t="str">
        <f>pixel_shift_table.asm!O64</f>
        <v>A9</v>
      </c>
      <c r="O64" s="72" t="str">
        <f>pixel_shift_table.asm!P64</f>
        <v>AB</v>
      </c>
      <c r="P64" s="72" t="str">
        <f>pixel_shift_table.asm!Q64</f>
        <v>AA</v>
      </c>
      <c r="Q64" s="72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71" t="str">
        <f>pixel_shift_table.asm!C65</f>
        <v>A9</v>
      </c>
      <c r="C65" s="72" t="str">
        <f>pixel_shift_table.asm!D65</f>
        <v>AC</v>
      </c>
      <c r="D65" s="72" t="str">
        <f>pixel_shift_table.asm!E65</f>
        <v>AA</v>
      </c>
      <c r="E65" s="72" t="str">
        <f>pixel_shift_table.asm!F65</f>
        <v>AC</v>
      </c>
      <c r="F65" s="72" t="str">
        <f>pixel_shift_table.asm!G65</f>
        <v>A9</v>
      </c>
      <c r="G65" s="72" t="str">
        <f>pixel_shift_table.asm!H65</f>
        <v>AC</v>
      </c>
      <c r="H65" s="72" t="str">
        <f>pixel_shift_table.asm!I65</f>
        <v>AA</v>
      </c>
      <c r="I65" s="72" t="str">
        <f>pixel_shift_table.asm!J65</f>
        <v>AC</v>
      </c>
      <c r="J65" s="72" t="str">
        <f>pixel_shift_table.asm!K65</f>
        <v>A9</v>
      </c>
      <c r="K65" s="72" t="str">
        <f>pixel_shift_table.asm!L65</f>
        <v>AC</v>
      </c>
      <c r="L65" s="72" t="str">
        <f>pixel_shift_table.asm!M65</f>
        <v>AA</v>
      </c>
      <c r="M65" s="72" t="str">
        <f>pixel_shift_table.asm!N65</f>
        <v>AC</v>
      </c>
      <c r="N65" s="72" t="str">
        <f>pixel_shift_table.asm!O65</f>
        <v>A9</v>
      </c>
      <c r="O65" s="72" t="str">
        <f>pixel_shift_table.asm!P65</f>
        <v>AC</v>
      </c>
      <c r="P65" s="72" t="str">
        <f>pixel_shift_table.asm!Q65</f>
        <v>AA</v>
      </c>
      <c r="Q65" s="72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8" t="str">
        <f t="shared" si="20"/>
        <v>A5F0</v>
      </c>
      <c r="B66" s="73" t="str">
        <f>pixel_shift_table.asm!C66</f>
        <v>A9</v>
      </c>
      <c r="C66" s="74" t="str">
        <f>pixel_shift_table.asm!D66</f>
        <v>AC</v>
      </c>
      <c r="D66" s="74" t="str">
        <f>pixel_shift_table.asm!E66</f>
        <v>AA</v>
      </c>
      <c r="E66" s="74" t="str">
        <f>pixel_shift_table.asm!F66</f>
        <v>AC</v>
      </c>
      <c r="F66" s="74" t="str">
        <f>pixel_shift_table.asm!G66</f>
        <v>A9</v>
      </c>
      <c r="G66" s="74" t="str">
        <f>pixel_shift_table.asm!H66</f>
        <v>AC</v>
      </c>
      <c r="H66" s="74" t="str">
        <f>pixel_shift_table.asm!I66</f>
        <v>AA</v>
      </c>
      <c r="I66" s="74" t="str">
        <f>pixel_shift_table.asm!J66</f>
        <v>AC</v>
      </c>
      <c r="J66" s="74" t="str">
        <f>pixel_shift_table.asm!K66</f>
        <v>A9</v>
      </c>
      <c r="K66" s="74" t="str">
        <f>pixel_shift_table.asm!L66</f>
        <v>AC</v>
      </c>
      <c r="L66" s="74" t="str">
        <f>pixel_shift_table.asm!M66</f>
        <v>AA</v>
      </c>
      <c r="M66" s="74" t="str">
        <f>pixel_shift_table.asm!N66</f>
        <v>AC</v>
      </c>
      <c r="N66" s="74" t="str">
        <f>pixel_shift_table.asm!O66</f>
        <v>A9</v>
      </c>
      <c r="O66" s="74" t="str">
        <f>pixel_shift_table.asm!P66</f>
        <v>AC</v>
      </c>
      <c r="P66" s="74" t="str">
        <f>pixel_shift_table.asm!Q66</f>
        <v>AA</v>
      </c>
      <c r="Q66" s="74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9" t="str">
        <f t="shared" si="20"/>
        <v>A600</v>
      </c>
      <c r="B67" s="69" t="str">
        <f>pixel_shift_table.asm!C67</f>
        <v>00</v>
      </c>
      <c r="C67" s="70" t="str">
        <f>pixel_shift_table.asm!D67</f>
        <v>0A</v>
      </c>
      <c r="D67" s="70" t="str">
        <f>pixel_shift_table.asm!E67</f>
        <v>0C</v>
      </c>
      <c r="E67" s="70" t="str">
        <f>pixel_shift_table.asm!F67</f>
        <v>1A</v>
      </c>
      <c r="F67" s="70" t="str">
        <f>pixel_shift_table.asm!G67</f>
        <v>0E</v>
      </c>
      <c r="G67" s="70" t="str">
        <f>pixel_shift_table.asm!H67</f>
        <v>2A</v>
      </c>
      <c r="H67" s="70" t="str">
        <f>pixel_shift_table.asm!I67</f>
        <v>1C</v>
      </c>
      <c r="I67" s="70" t="str">
        <f>pixel_shift_table.asm!J67</f>
        <v>3A</v>
      </c>
      <c r="J67" s="70" t="str">
        <f>pixel_shift_table.asm!K67</f>
        <v>10</v>
      </c>
      <c r="K67" s="70" t="str">
        <f>pixel_shift_table.asm!L67</f>
        <v>4A</v>
      </c>
      <c r="L67" s="70" t="str">
        <f>pixel_shift_table.asm!M67</f>
        <v>2C</v>
      </c>
      <c r="M67" s="70" t="str">
        <f>pixel_shift_table.asm!N67</f>
        <v>5A</v>
      </c>
      <c r="N67" s="70" t="str">
        <f>pixel_shift_table.asm!O67</f>
        <v>1E</v>
      </c>
      <c r="O67" s="70" t="str">
        <f>pixel_shift_table.asm!P67</f>
        <v>6A</v>
      </c>
      <c r="P67" s="70" t="str">
        <f>pixel_shift_table.asm!Q67</f>
        <v>3C</v>
      </c>
      <c r="Q67" s="70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71" t="str">
        <f>pixel_shift_table.asm!C68</f>
        <v>20</v>
      </c>
      <c r="C68" s="72" t="str">
        <f>pixel_shift_table.asm!D68</f>
        <v>8A</v>
      </c>
      <c r="D68" s="72" t="str">
        <f>pixel_shift_table.asm!E68</f>
        <v>4C</v>
      </c>
      <c r="E68" s="72" t="str">
        <f>pixel_shift_table.asm!F68</f>
        <v>9A</v>
      </c>
      <c r="F68" s="72" t="str">
        <f>pixel_shift_table.asm!G68</f>
        <v>2E</v>
      </c>
      <c r="G68" s="72" t="str">
        <f>pixel_shift_table.asm!H68</f>
        <v>AA</v>
      </c>
      <c r="H68" s="72" t="str">
        <f>pixel_shift_table.asm!I68</f>
        <v>5C</v>
      </c>
      <c r="I68" s="72" t="str">
        <f>pixel_shift_table.asm!J68</f>
        <v>BA</v>
      </c>
      <c r="J68" s="72" t="str">
        <f>pixel_shift_table.asm!K68</f>
        <v>30</v>
      </c>
      <c r="K68" s="72" t="str">
        <f>pixel_shift_table.asm!L68</f>
        <v>CA</v>
      </c>
      <c r="L68" s="72" t="str">
        <f>pixel_shift_table.asm!M68</f>
        <v>6C</v>
      </c>
      <c r="M68" s="72" t="str">
        <f>pixel_shift_table.asm!N68</f>
        <v>DA</v>
      </c>
      <c r="N68" s="72" t="str">
        <f>pixel_shift_table.asm!O68</f>
        <v>3E</v>
      </c>
      <c r="O68" s="72" t="str">
        <f>pixel_shift_table.asm!P68</f>
        <v>EA</v>
      </c>
      <c r="P68" s="72" t="str">
        <f>pixel_shift_table.asm!Q68</f>
        <v>7C</v>
      </c>
      <c r="Q68" s="72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71" t="str">
        <f>pixel_shift_table.asm!C69</f>
        <v>40</v>
      </c>
      <c r="C69" s="72" t="str">
        <f>pixel_shift_table.asm!D69</f>
        <v>0A</v>
      </c>
      <c r="D69" s="72" t="str">
        <f>pixel_shift_table.asm!E69</f>
        <v>8C</v>
      </c>
      <c r="E69" s="72" t="str">
        <f>pixel_shift_table.asm!F69</f>
        <v>1A</v>
      </c>
      <c r="F69" s="72" t="str">
        <f>pixel_shift_table.asm!G69</f>
        <v>4E</v>
      </c>
      <c r="G69" s="72" t="str">
        <f>pixel_shift_table.asm!H69</f>
        <v>2A</v>
      </c>
      <c r="H69" s="72" t="str">
        <f>pixel_shift_table.asm!I69</f>
        <v>9C</v>
      </c>
      <c r="I69" s="72" t="str">
        <f>pixel_shift_table.asm!J69</f>
        <v>3A</v>
      </c>
      <c r="J69" s="72" t="str">
        <f>pixel_shift_table.asm!K69</f>
        <v>50</v>
      </c>
      <c r="K69" s="72" t="str">
        <f>pixel_shift_table.asm!L69</f>
        <v>4A</v>
      </c>
      <c r="L69" s="72" t="str">
        <f>pixel_shift_table.asm!M69</f>
        <v>AC</v>
      </c>
      <c r="M69" s="72" t="str">
        <f>pixel_shift_table.asm!N69</f>
        <v>5A</v>
      </c>
      <c r="N69" s="72" t="str">
        <f>pixel_shift_table.asm!O69</f>
        <v>5E</v>
      </c>
      <c r="O69" s="72" t="str">
        <f>pixel_shift_table.asm!P69</f>
        <v>6A</v>
      </c>
      <c r="P69" s="72" t="str">
        <f>pixel_shift_table.asm!Q69</f>
        <v>BC</v>
      </c>
      <c r="Q69" s="72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71" t="str">
        <f>pixel_shift_table.asm!C70</f>
        <v>60</v>
      </c>
      <c r="C70" s="72" t="str">
        <f>pixel_shift_table.asm!D70</f>
        <v>8A</v>
      </c>
      <c r="D70" s="72" t="str">
        <f>pixel_shift_table.asm!E70</f>
        <v>CC</v>
      </c>
      <c r="E70" s="72" t="str">
        <f>pixel_shift_table.asm!F70</f>
        <v>9A</v>
      </c>
      <c r="F70" s="72" t="str">
        <f>pixel_shift_table.asm!G70</f>
        <v>6E</v>
      </c>
      <c r="G70" s="72" t="str">
        <f>pixel_shift_table.asm!H70</f>
        <v>AA</v>
      </c>
      <c r="H70" s="72" t="str">
        <f>pixel_shift_table.asm!I70</f>
        <v>DC</v>
      </c>
      <c r="I70" s="72" t="str">
        <f>pixel_shift_table.asm!J70</f>
        <v>BA</v>
      </c>
      <c r="J70" s="72" t="str">
        <f>pixel_shift_table.asm!K70</f>
        <v>70</v>
      </c>
      <c r="K70" s="72" t="str">
        <f>pixel_shift_table.asm!L70</f>
        <v>CA</v>
      </c>
      <c r="L70" s="72" t="str">
        <f>pixel_shift_table.asm!M70</f>
        <v>EC</v>
      </c>
      <c r="M70" s="72" t="str">
        <f>pixel_shift_table.asm!N70</f>
        <v>DA</v>
      </c>
      <c r="N70" s="72" t="str">
        <f>pixel_shift_table.asm!O70</f>
        <v>7E</v>
      </c>
      <c r="O70" s="72" t="str">
        <f>pixel_shift_table.asm!P70</f>
        <v>EA</v>
      </c>
      <c r="P70" s="72" t="str">
        <f>pixel_shift_table.asm!Q70</f>
        <v>FC</v>
      </c>
      <c r="Q70" s="72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71" t="str">
        <f>pixel_shift_table.asm!C71</f>
        <v>80</v>
      </c>
      <c r="C71" s="72" t="str">
        <f>pixel_shift_table.asm!D71</f>
        <v>0A</v>
      </c>
      <c r="D71" s="72" t="str">
        <f>pixel_shift_table.asm!E71</f>
        <v>0C</v>
      </c>
      <c r="E71" s="72" t="str">
        <f>pixel_shift_table.asm!F71</f>
        <v>1A</v>
      </c>
      <c r="F71" s="72" t="str">
        <f>pixel_shift_table.asm!G71</f>
        <v>8E</v>
      </c>
      <c r="G71" s="72" t="str">
        <f>pixel_shift_table.asm!H71</f>
        <v>2A</v>
      </c>
      <c r="H71" s="72" t="str">
        <f>pixel_shift_table.asm!I71</f>
        <v>1C</v>
      </c>
      <c r="I71" s="72" t="str">
        <f>pixel_shift_table.asm!J71</f>
        <v>3A</v>
      </c>
      <c r="J71" s="72" t="str">
        <f>pixel_shift_table.asm!K71</f>
        <v>90</v>
      </c>
      <c r="K71" s="72" t="str">
        <f>pixel_shift_table.asm!L71</f>
        <v>4A</v>
      </c>
      <c r="L71" s="72" t="str">
        <f>pixel_shift_table.asm!M71</f>
        <v>2C</v>
      </c>
      <c r="M71" s="72" t="str">
        <f>pixel_shift_table.asm!N71</f>
        <v>5A</v>
      </c>
      <c r="N71" s="72" t="str">
        <f>pixel_shift_table.asm!O71</f>
        <v>9E</v>
      </c>
      <c r="O71" s="72" t="str">
        <f>pixel_shift_table.asm!P71</f>
        <v>6A</v>
      </c>
      <c r="P71" s="72" t="str">
        <f>pixel_shift_table.asm!Q71</f>
        <v>3C</v>
      </c>
      <c r="Q71" s="72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71" t="str">
        <f>pixel_shift_table.asm!C72</f>
        <v>A0</v>
      </c>
      <c r="C72" s="72" t="str">
        <f>pixel_shift_table.asm!D72</f>
        <v>8A</v>
      </c>
      <c r="D72" s="72" t="str">
        <f>pixel_shift_table.asm!E72</f>
        <v>4C</v>
      </c>
      <c r="E72" s="72" t="str">
        <f>pixel_shift_table.asm!F72</f>
        <v>9A</v>
      </c>
      <c r="F72" s="72" t="str">
        <f>pixel_shift_table.asm!G72</f>
        <v>AE</v>
      </c>
      <c r="G72" s="72" t="str">
        <f>pixel_shift_table.asm!H72</f>
        <v>AA</v>
      </c>
      <c r="H72" s="72" t="str">
        <f>pixel_shift_table.asm!I72</f>
        <v>5C</v>
      </c>
      <c r="I72" s="72" t="str">
        <f>pixel_shift_table.asm!J72</f>
        <v>BA</v>
      </c>
      <c r="J72" s="72" t="str">
        <f>pixel_shift_table.asm!K72</f>
        <v>B0</v>
      </c>
      <c r="K72" s="72" t="str">
        <f>pixel_shift_table.asm!L72</f>
        <v>CA</v>
      </c>
      <c r="L72" s="72" t="str">
        <f>pixel_shift_table.asm!M72</f>
        <v>6C</v>
      </c>
      <c r="M72" s="72" t="str">
        <f>pixel_shift_table.asm!N72</f>
        <v>DA</v>
      </c>
      <c r="N72" s="72" t="str">
        <f>pixel_shift_table.asm!O72</f>
        <v>BE</v>
      </c>
      <c r="O72" s="72" t="str">
        <f>pixel_shift_table.asm!P72</f>
        <v>EA</v>
      </c>
      <c r="P72" s="72" t="str">
        <f>pixel_shift_table.asm!Q72</f>
        <v>7C</v>
      </c>
      <c r="Q72" s="72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71" t="str">
        <f>pixel_shift_table.asm!C73</f>
        <v>C0</v>
      </c>
      <c r="C73" s="72" t="str">
        <f>pixel_shift_table.asm!D73</f>
        <v>0A</v>
      </c>
      <c r="D73" s="72" t="str">
        <f>pixel_shift_table.asm!E73</f>
        <v>8C</v>
      </c>
      <c r="E73" s="72" t="str">
        <f>pixel_shift_table.asm!F73</f>
        <v>1A</v>
      </c>
      <c r="F73" s="72" t="str">
        <f>pixel_shift_table.asm!G73</f>
        <v>CE</v>
      </c>
      <c r="G73" s="72" t="str">
        <f>pixel_shift_table.asm!H73</f>
        <v>2A</v>
      </c>
      <c r="H73" s="72" t="str">
        <f>pixel_shift_table.asm!I73</f>
        <v>9C</v>
      </c>
      <c r="I73" s="72" t="str">
        <f>pixel_shift_table.asm!J73</f>
        <v>3A</v>
      </c>
      <c r="J73" s="72" t="str">
        <f>pixel_shift_table.asm!K73</f>
        <v>D0</v>
      </c>
      <c r="K73" s="72" t="str">
        <f>pixel_shift_table.asm!L73</f>
        <v>4A</v>
      </c>
      <c r="L73" s="72" t="str">
        <f>pixel_shift_table.asm!M73</f>
        <v>AC</v>
      </c>
      <c r="M73" s="72" t="str">
        <f>pixel_shift_table.asm!N73</f>
        <v>5A</v>
      </c>
      <c r="N73" s="72" t="str">
        <f>pixel_shift_table.asm!O73</f>
        <v>DE</v>
      </c>
      <c r="O73" s="72" t="str">
        <f>pixel_shift_table.asm!P73</f>
        <v>6A</v>
      </c>
      <c r="P73" s="72" t="str">
        <f>pixel_shift_table.asm!Q73</f>
        <v>BC</v>
      </c>
      <c r="Q73" s="72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8" t="str">
        <f t="shared" si="79"/>
        <v>A670</v>
      </c>
      <c r="B74" s="73" t="str">
        <f>pixel_shift_table.asm!C74</f>
        <v>E0</v>
      </c>
      <c r="C74" s="74" t="str">
        <f>pixel_shift_table.asm!D74</f>
        <v>8A</v>
      </c>
      <c r="D74" s="74" t="str">
        <f>pixel_shift_table.asm!E74</f>
        <v>CC</v>
      </c>
      <c r="E74" s="74" t="str">
        <f>pixel_shift_table.asm!F74</f>
        <v>9A</v>
      </c>
      <c r="F74" s="74" t="str">
        <f>pixel_shift_table.asm!G74</f>
        <v>EE</v>
      </c>
      <c r="G74" s="74" t="str">
        <f>pixel_shift_table.asm!H74</f>
        <v>AA</v>
      </c>
      <c r="H74" s="74" t="str">
        <f>pixel_shift_table.asm!I74</f>
        <v>DC</v>
      </c>
      <c r="I74" s="74" t="str">
        <f>pixel_shift_table.asm!J74</f>
        <v>BA</v>
      </c>
      <c r="J74" s="74" t="str">
        <f>pixel_shift_table.asm!K74</f>
        <v>F0</v>
      </c>
      <c r="K74" s="74" t="str">
        <f>pixel_shift_table.asm!L74</f>
        <v>CA</v>
      </c>
      <c r="L74" s="74" t="str">
        <f>pixel_shift_table.asm!M74</f>
        <v>EC</v>
      </c>
      <c r="M74" s="74" t="str">
        <f>pixel_shift_table.asm!N74</f>
        <v>DA</v>
      </c>
      <c r="N74" s="74" t="str">
        <f>pixel_shift_table.asm!O74</f>
        <v>FE</v>
      </c>
      <c r="O74" s="74" t="str">
        <f>pixel_shift_table.asm!P74</f>
        <v>EA</v>
      </c>
      <c r="P74" s="74" t="str">
        <f>pixel_shift_table.asm!Q74</f>
        <v>FC</v>
      </c>
      <c r="Q74" s="74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9" t="str">
        <f>pixel_shift_table.asm!C75</f>
        <v>A9</v>
      </c>
      <c r="C75" s="70" t="str">
        <f>pixel_shift_table.asm!D75</f>
        <v>A9</v>
      </c>
      <c r="D75" s="70" t="str">
        <f>pixel_shift_table.asm!E75</f>
        <v>A9</v>
      </c>
      <c r="E75" s="70" t="str">
        <f>pixel_shift_table.asm!F75</f>
        <v>A9</v>
      </c>
      <c r="F75" s="70" t="str">
        <f>pixel_shift_table.asm!G75</f>
        <v>A9</v>
      </c>
      <c r="G75" s="70" t="str">
        <f>pixel_shift_table.asm!H75</f>
        <v>A9</v>
      </c>
      <c r="H75" s="70" t="str">
        <f>pixel_shift_table.asm!I75</f>
        <v>A9</v>
      </c>
      <c r="I75" s="70" t="str">
        <f>pixel_shift_table.asm!J75</f>
        <v>A9</v>
      </c>
      <c r="J75" s="70" t="str">
        <f>pixel_shift_table.asm!K75</f>
        <v>A9</v>
      </c>
      <c r="K75" s="70" t="str">
        <f>pixel_shift_table.asm!L75</f>
        <v>A9</v>
      </c>
      <c r="L75" s="70" t="str">
        <f>pixel_shift_table.asm!M75</f>
        <v>A9</v>
      </c>
      <c r="M75" s="70" t="str">
        <f>pixel_shift_table.asm!N75</f>
        <v>A9</v>
      </c>
      <c r="N75" s="70" t="str">
        <f>pixel_shift_table.asm!O75</f>
        <v>A9</v>
      </c>
      <c r="O75" s="70" t="str">
        <f>pixel_shift_table.asm!P75</f>
        <v>A9</v>
      </c>
      <c r="P75" s="70" t="str">
        <f>pixel_shift_table.asm!Q75</f>
        <v>A9</v>
      </c>
      <c r="Q75" s="70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71" t="str">
        <f>pixel_shift_table.asm!C76</f>
        <v>A9</v>
      </c>
      <c r="C76" s="72" t="str">
        <f>pixel_shift_table.asm!D76</f>
        <v>A9</v>
      </c>
      <c r="D76" s="72" t="str">
        <f>pixel_shift_table.asm!E76</f>
        <v>A9</v>
      </c>
      <c r="E76" s="72" t="str">
        <f>pixel_shift_table.asm!F76</f>
        <v>A9</v>
      </c>
      <c r="F76" s="72" t="str">
        <f>pixel_shift_table.asm!G76</f>
        <v>A9</v>
      </c>
      <c r="G76" s="72" t="str">
        <f>pixel_shift_table.asm!H76</f>
        <v>A9</v>
      </c>
      <c r="H76" s="72" t="str">
        <f>pixel_shift_table.asm!I76</f>
        <v>A9</v>
      </c>
      <c r="I76" s="72" t="str">
        <f>pixel_shift_table.asm!J76</f>
        <v>A9</v>
      </c>
      <c r="J76" s="72" t="str">
        <f>pixel_shift_table.asm!K76</f>
        <v>A9</v>
      </c>
      <c r="K76" s="72" t="str">
        <f>pixel_shift_table.asm!L76</f>
        <v>A9</v>
      </c>
      <c r="L76" s="72" t="str">
        <f>pixel_shift_table.asm!M76</f>
        <v>A9</v>
      </c>
      <c r="M76" s="72" t="str">
        <f>pixel_shift_table.asm!N76</f>
        <v>A9</v>
      </c>
      <c r="N76" s="72" t="str">
        <f>pixel_shift_table.asm!O76</f>
        <v>A9</v>
      </c>
      <c r="O76" s="72" t="str">
        <f>pixel_shift_table.asm!P76</f>
        <v>A9</v>
      </c>
      <c r="P76" s="72" t="str">
        <f>pixel_shift_table.asm!Q76</f>
        <v>A9</v>
      </c>
      <c r="Q76" s="72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71" t="str">
        <f>pixel_shift_table.asm!C77</f>
        <v>A9</v>
      </c>
      <c r="C77" s="72" t="str">
        <f>pixel_shift_table.asm!D77</f>
        <v>AA</v>
      </c>
      <c r="D77" s="72" t="str">
        <f>pixel_shift_table.asm!E77</f>
        <v>A9</v>
      </c>
      <c r="E77" s="72" t="str">
        <f>pixel_shift_table.asm!F77</f>
        <v>AA</v>
      </c>
      <c r="F77" s="72" t="str">
        <f>pixel_shift_table.asm!G77</f>
        <v>A9</v>
      </c>
      <c r="G77" s="72" t="str">
        <f>pixel_shift_table.asm!H77</f>
        <v>AA</v>
      </c>
      <c r="H77" s="72" t="str">
        <f>pixel_shift_table.asm!I77</f>
        <v>A9</v>
      </c>
      <c r="I77" s="72" t="str">
        <f>pixel_shift_table.asm!J77</f>
        <v>AA</v>
      </c>
      <c r="J77" s="72" t="str">
        <f>pixel_shift_table.asm!K77</f>
        <v>A9</v>
      </c>
      <c r="K77" s="72" t="str">
        <f>pixel_shift_table.asm!L77</f>
        <v>AA</v>
      </c>
      <c r="L77" s="72" t="str">
        <f>pixel_shift_table.asm!M77</f>
        <v>A9</v>
      </c>
      <c r="M77" s="72" t="str">
        <f>pixel_shift_table.asm!N77</f>
        <v>AA</v>
      </c>
      <c r="N77" s="72" t="str">
        <f>pixel_shift_table.asm!O77</f>
        <v>A9</v>
      </c>
      <c r="O77" s="72" t="str">
        <f>pixel_shift_table.asm!P77</f>
        <v>AA</v>
      </c>
      <c r="P77" s="72" t="str">
        <f>pixel_shift_table.asm!Q77</f>
        <v>A9</v>
      </c>
      <c r="Q77" s="72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71" t="str">
        <f>pixel_shift_table.asm!C78</f>
        <v>A9</v>
      </c>
      <c r="C78" s="72" t="str">
        <f>pixel_shift_table.asm!D78</f>
        <v>AA</v>
      </c>
      <c r="D78" s="72" t="str">
        <f>pixel_shift_table.asm!E78</f>
        <v>A9</v>
      </c>
      <c r="E78" s="72" t="str">
        <f>pixel_shift_table.asm!F78</f>
        <v>AA</v>
      </c>
      <c r="F78" s="72" t="str">
        <f>pixel_shift_table.asm!G78</f>
        <v>A9</v>
      </c>
      <c r="G78" s="72" t="str">
        <f>pixel_shift_table.asm!H78</f>
        <v>AA</v>
      </c>
      <c r="H78" s="72" t="str">
        <f>pixel_shift_table.asm!I78</f>
        <v>A9</v>
      </c>
      <c r="I78" s="72" t="str">
        <f>pixel_shift_table.asm!J78</f>
        <v>AA</v>
      </c>
      <c r="J78" s="72" t="str">
        <f>pixel_shift_table.asm!K78</f>
        <v>A9</v>
      </c>
      <c r="K78" s="72" t="str">
        <f>pixel_shift_table.asm!L78</f>
        <v>AA</v>
      </c>
      <c r="L78" s="72" t="str">
        <f>pixel_shift_table.asm!M78</f>
        <v>A9</v>
      </c>
      <c r="M78" s="72" t="str">
        <f>pixel_shift_table.asm!N78</f>
        <v>AA</v>
      </c>
      <c r="N78" s="72" t="str">
        <f>pixel_shift_table.asm!O78</f>
        <v>A9</v>
      </c>
      <c r="O78" s="72" t="str">
        <f>pixel_shift_table.asm!P78</f>
        <v>AA</v>
      </c>
      <c r="P78" s="72" t="str">
        <f>pixel_shift_table.asm!Q78</f>
        <v>A9</v>
      </c>
      <c r="Q78" s="72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71" t="str">
        <f>pixel_shift_table.asm!C79</f>
        <v>A9</v>
      </c>
      <c r="C79" s="72" t="str">
        <f>pixel_shift_table.asm!D79</f>
        <v>AB</v>
      </c>
      <c r="D79" s="72" t="str">
        <f>pixel_shift_table.asm!E79</f>
        <v>AA</v>
      </c>
      <c r="E79" s="72" t="str">
        <f>pixel_shift_table.asm!F79</f>
        <v>AB</v>
      </c>
      <c r="F79" s="72" t="str">
        <f>pixel_shift_table.asm!G79</f>
        <v>A9</v>
      </c>
      <c r="G79" s="72" t="str">
        <f>pixel_shift_table.asm!H79</f>
        <v>AB</v>
      </c>
      <c r="H79" s="72" t="str">
        <f>pixel_shift_table.asm!I79</f>
        <v>AA</v>
      </c>
      <c r="I79" s="72" t="str">
        <f>pixel_shift_table.asm!J79</f>
        <v>AB</v>
      </c>
      <c r="J79" s="72" t="str">
        <f>pixel_shift_table.asm!K79</f>
        <v>A9</v>
      </c>
      <c r="K79" s="72" t="str">
        <f>pixel_shift_table.asm!L79</f>
        <v>AB</v>
      </c>
      <c r="L79" s="72" t="str">
        <f>pixel_shift_table.asm!M79</f>
        <v>AA</v>
      </c>
      <c r="M79" s="72" t="str">
        <f>pixel_shift_table.asm!N79</f>
        <v>AB</v>
      </c>
      <c r="N79" s="72" t="str">
        <f>pixel_shift_table.asm!O79</f>
        <v>A9</v>
      </c>
      <c r="O79" s="72" t="str">
        <f>pixel_shift_table.asm!P79</f>
        <v>AB</v>
      </c>
      <c r="P79" s="72" t="str">
        <f>pixel_shift_table.asm!Q79</f>
        <v>AA</v>
      </c>
      <c r="Q79" s="72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71" t="str">
        <f>pixel_shift_table.asm!C80</f>
        <v>A9</v>
      </c>
      <c r="C80" s="72" t="str">
        <f>pixel_shift_table.asm!D80</f>
        <v>AB</v>
      </c>
      <c r="D80" s="72" t="str">
        <f>pixel_shift_table.asm!E80</f>
        <v>AA</v>
      </c>
      <c r="E80" s="72" t="str">
        <f>pixel_shift_table.asm!F80</f>
        <v>AB</v>
      </c>
      <c r="F80" s="72" t="str">
        <f>pixel_shift_table.asm!G80</f>
        <v>A9</v>
      </c>
      <c r="G80" s="72" t="str">
        <f>pixel_shift_table.asm!H80</f>
        <v>AB</v>
      </c>
      <c r="H80" s="72" t="str">
        <f>pixel_shift_table.asm!I80</f>
        <v>AA</v>
      </c>
      <c r="I80" s="72" t="str">
        <f>pixel_shift_table.asm!J80</f>
        <v>AB</v>
      </c>
      <c r="J80" s="72" t="str">
        <f>pixel_shift_table.asm!K80</f>
        <v>A9</v>
      </c>
      <c r="K80" s="72" t="str">
        <f>pixel_shift_table.asm!L80</f>
        <v>AB</v>
      </c>
      <c r="L80" s="72" t="str">
        <f>pixel_shift_table.asm!M80</f>
        <v>AA</v>
      </c>
      <c r="M80" s="72" t="str">
        <f>pixel_shift_table.asm!N80</f>
        <v>AB</v>
      </c>
      <c r="N80" s="72" t="str">
        <f>pixel_shift_table.asm!O80</f>
        <v>A9</v>
      </c>
      <c r="O80" s="72" t="str">
        <f>pixel_shift_table.asm!P80</f>
        <v>AB</v>
      </c>
      <c r="P80" s="72" t="str">
        <f>pixel_shift_table.asm!Q80</f>
        <v>AA</v>
      </c>
      <c r="Q80" s="72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71" t="str">
        <f>pixel_shift_table.asm!C81</f>
        <v>A9</v>
      </c>
      <c r="C81" s="72" t="str">
        <f>pixel_shift_table.asm!D81</f>
        <v>AC</v>
      </c>
      <c r="D81" s="72" t="str">
        <f>pixel_shift_table.asm!E81</f>
        <v>AA</v>
      </c>
      <c r="E81" s="72" t="str">
        <f>pixel_shift_table.asm!F81</f>
        <v>AC</v>
      </c>
      <c r="F81" s="72" t="str">
        <f>pixel_shift_table.asm!G81</f>
        <v>A9</v>
      </c>
      <c r="G81" s="72" t="str">
        <f>pixel_shift_table.asm!H81</f>
        <v>AC</v>
      </c>
      <c r="H81" s="72" t="str">
        <f>pixel_shift_table.asm!I81</f>
        <v>AA</v>
      </c>
      <c r="I81" s="72" t="str">
        <f>pixel_shift_table.asm!J81</f>
        <v>AC</v>
      </c>
      <c r="J81" s="72" t="str">
        <f>pixel_shift_table.asm!K81</f>
        <v>A9</v>
      </c>
      <c r="K81" s="72" t="str">
        <f>pixel_shift_table.asm!L81</f>
        <v>AC</v>
      </c>
      <c r="L81" s="72" t="str">
        <f>pixel_shift_table.asm!M81</f>
        <v>AA</v>
      </c>
      <c r="M81" s="72" t="str">
        <f>pixel_shift_table.asm!N81</f>
        <v>AC</v>
      </c>
      <c r="N81" s="72" t="str">
        <f>pixel_shift_table.asm!O81</f>
        <v>A9</v>
      </c>
      <c r="O81" s="72" t="str">
        <f>pixel_shift_table.asm!P81</f>
        <v>AC</v>
      </c>
      <c r="P81" s="72" t="str">
        <f>pixel_shift_table.asm!Q81</f>
        <v>AA</v>
      </c>
      <c r="Q81" s="72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8" t="str">
        <f t="shared" si="79"/>
        <v>A6F0</v>
      </c>
      <c r="B82" s="73" t="str">
        <f>pixel_shift_table.asm!C82</f>
        <v>A9</v>
      </c>
      <c r="C82" s="74" t="str">
        <f>pixel_shift_table.asm!D82</f>
        <v>AC</v>
      </c>
      <c r="D82" s="74" t="str">
        <f>pixel_shift_table.asm!E82</f>
        <v>AA</v>
      </c>
      <c r="E82" s="74" t="str">
        <f>pixel_shift_table.asm!F82</f>
        <v>AC</v>
      </c>
      <c r="F82" s="74" t="str">
        <f>pixel_shift_table.asm!G82</f>
        <v>A9</v>
      </c>
      <c r="G82" s="74" t="str">
        <f>pixel_shift_table.asm!H82</f>
        <v>AC</v>
      </c>
      <c r="H82" s="74" t="str">
        <f>pixel_shift_table.asm!I82</f>
        <v>AA</v>
      </c>
      <c r="I82" s="74" t="str">
        <f>pixel_shift_table.asm!J82</f>
        <v>AC</v>
      </c>
      <c r="J82" s="74" t="str">
        <f>pixel_shift_table.asm!K82</f>
        <v>A9</v>
      </c>
      <c r="K82" s="74" t="str">
        <f>pixel_shift_table.asm!L82</f>
        <v>AC</v>
      </c>
      <c r="L82" s="74" t="str">
        <f>pixel_shift_table.asm!M82</f>
        <v>AA</v>
      </c>
      <c r="M82" s="74" t="str">
        <f>pixel_shift_table.asm!N82</f>
        <v>AC</v>
      </c>
      <c r="N82" s="74" t="str">
        <f>pixel_shift_table.asm!O82</f>
        <v>A9</v>
      </c>
      <c r="O82" s="74" t="str">
        <f>pixel_shift_table.asm!P82</f>
        <v>AC</v>
      </c>
      <c r="P82" s="74" t="str">
        <f>pixel_shift_table.asm!Q82</f>
        <v>AA</v>
      </c>
      <c r="Q82" s="74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9" t="str">
        <f t="shared" si="79"/>
        <v>A700</v>
      </c>
      <c r="B83" s="69" t="str">
        <f>pixel_shift_table.asm!C83</f>
        <v>00</v>
      </c>
      <c r="C83" s="70" t="str">
        <f>pixel_shift_table.asm!D83</f>
        <v>0C</v>
      </c>
      <c r="D83" s="70" t="str">
        <f>pixel_shift_table.asm!E83</f>
        <v>0E</v>
      </c>
      <c r="E83" s="70" t="str">
        <f>pixel_shift_table.asm!F83</f>
        <v>1C</v>
      </c>
      <c r="F83" s="70" t="str">
        <f>pixel_shift_table.asm!G83</f>
        <v>10</v>
      </c>
      <c r="G83" s="70" t="str">
        <f>pixel_shift_table.asm!H83</f>
        <v>2C</v>
      </c>
      <c r="H83" s="70" t="str">
        <f>pixel_shift_table.asm!I83</f>
        <v>1E</v>
      </c>
      <c r="I83" s="70" t="str">
        <f>pixel_shift_table.asm!J83</f>
        <v>3C</v>
      </c>
      <c r="J83" s="70" t="str">
        <f>pixel_shift_table.asm!K83</f>
        <v>20</v>
      </c>
      <c r="K83" s="70" t="str">
        <f>pixel_shift_table.asm!L83</f>
        <v>4C</v>
      </c>
      <c r="L83" s="70" t="str">
        <f>pixel_shift_table.asm!M83</f>
        <v>2E</v>
      </c>
      <c r="M83" s="70" t="str">
        <f>pixel_shift_table.asm!N83</f>
        <v>5C</v>
      </c>
      <c r="N83" s="70" t="str">
        <f>pixel_shift_table.asm!O83</f>
        <v>30</v>
      </c>
      <c r="O83" s="70" t="str">
        <f>pixel_shift_table.asm!P83</f>
        <v>6C</v>
      </c>
      <c r="P83" s="70" t="str">
        <f>pixel_shift_table.asm!Q83</f>
        <v>3E</v>
      </c>
      <c r="Q83" s="70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71" t="str">
        <f>pixel_shift_table.asm!C84</f>
        <v>40</v>
      </c>
      <c r="C84" s="72" t="str">
        <f>pixel_shift_table.asm!D84</f>
        <v>8C</v>
      </c>
      <c r="D84" s="72" t="str">
        <f>pixel_shift_table.asm!E84</f>
        <v>4E</v>
      </c>
      <c r="E84" s="72" t="str">
        <f>pixel_shift_table.asm!F84</f>
        <v>9C</v>
      </c>
      <c r="F84" s="72" t="str">
        <f>pixel_shift_table.asm!G84</f>
        <v>50</v>
      </c>
      <c r="G84" s="72" t="str">
        <f>pixel_shift_table.asm!H84</f>
        <v>AC</v>
      </c>
      <c r="H84" s="72" t="str">
        <f>pixel_shift_table.asm!I84</f>
        <v>5E</v>
      </c>
      <c r="I84" s="72" t="str">
        <f>pixel_shift_table.asm!J84</f>
        <v>BC</v>
      </c>
      <c r="J84" s="72" t="str">
        <f>pixel_shift_table.asm!K84</f>
        <v>60</v>
      </c>
      <c r="K84" s="72" t="str">
        <f>pixel_shift_table.asm!L84</f>
        <v>CC</v>
      </c>
      <c r="L84" s="72" t="str">
        <f>pixel_shift_table.asm!M84</f>
        <v>6E</v>
      </c>
      <c r="M84" s="72" t="str">
        <f>pixel_shift_table.asm!N84</f>
        <v>DC</v>
      </c>
      <c r="N84" s="72" t="str">
        <f>pixel_shift_table.asm!O84</f>
        <v>70</v>
      </c>
      <c r="O84" s="72" t="str">
        <f>pixel_shift_table.asm!P84</f>
        <v>EC</v>
      </c>
      <c r="P84" s="72" t="str">
        <f>pixel_shift_table.asm!Q84</f>
        <v>7E</v>
      </c>
      <c r="Q84" s="72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71" t="str">
        <f>pixel_shift_table.asm!C85</f>
        <v>80</v>
      </c>
      <c r="C85" s="72" t="str">
        <f>pixel_shift_table.asm!D85</f>
        <v>0C</v>
      </c>
      <c r="D85" s="72" t="str">
        <f>pixel_shift_table.asm!E85</f>
        <v>8E</v>
      </c>
      <c r="E85" s="72" t="str">
        <f>pixel_shift_table.asm!F85</f>
        <v>1C</v>
      </c>
      <c r="F85" s="72" t="str">
        <f>pixel_shift_table.asm!G85</f>
        <v>90</v>
      </c>
      <c r="G85" s="72" t="str">
        <f>pixel_shift_table.asm!H85</f>
        <v>2C</v>
      </c>
      <c r="H85" s="72" t="str">
        <f>pixel_shift_table.asm!I85</f>
        <v>9E</v>
      </c>
      <c r="I85" s="72" t="str">
        <f>pixel_shift_table.asm!J85</f>
        <v>3C</v>
      </c>
      <c r="J85" s="72" t="str">
        <f>pixel_shift_table.asm!K85</f>
        <v>A0</v>
      </c>
      <c r="K85" s="72" t="str">
        <f>pixel_shift_table.asm!L85</f>
        <v>4C</v>
      </c>
      <c r="L85" s="72" t="str">
        <f>pixel_shift_table.asm!M85</f>
        <v>AE</v>
      </c>
      <c r="M85" s="72" t="str">
        <f>pixel_shift_table.asm!N85</f>
        <v>5C</v>
      </c>
      <c r="N85" s="72" t="str">
        <f>pixel_shift_table.asm!O85</f>
        <v>B0</v>
      </c>
      <c r="O85" s="72" t="str">
        <f>pixel_shift_table.asm!P85</f>
        <v>6C</v>
      </c>
      <c r="P85" s="72" t="str">
        <f>pixel_shift_table.asm!Q85</f>
        <v>BE</v>
      </c>
      <c r="Q85" s="72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71" t="str">
        <f>pixel_shift_table.asm!C86</f>
        <v>C0</v>
      </c>
      <c r="C86" s="72" t="str">
        <f>pixel_shift_table.asm!D86</f>
        <v>8C</v>
      </c>
      <c r="D86" s="72" t="str">
        <f>pixel_shift_table.asm!E86</f>
        <v>CE</v>
      </c>
      <c r="E86" s="72" t="str">
        <f>pixel_shift_table.asm!F86</f>
        <v>9C</v>
      </c>
      <c r="F86" s="72" t="str">
        <f>pixel_shift_table.asm!G86</f>
        <v>D0</v>
      </c>
      <c r="G86" s="72" t="str">
        <f>pixel_shift_table.asm!H86</f>
        <v>AC</v>
      </c>
      <c r="H86" s="72" t="str">
        <f>pixel_shift_table.asm!I86</f>
        <v>DE</v>
      </c>
      <c r="I86" s="72" t="str">
        <f>pixel_shift_table.asm!J86</f>
        <v>BC</v>
      </c>
      <c r="J86" s="72" t="str">
        <f>pixel_shift_table.asm!K86</f>
        <v>E0</v>
      </c>
      <c r="K86" s="72" t="str">
        <f>pixel_shift_table.asm!L86</f>
        <v>CC</v>
      </c>
      <c r="L86" s="72" t="str">
        <f>pixel_shift_table.asm!M86</f>
        <v>EE</v>
      </c>
      <c r="M86" s="72" t="str">
        <f>pixel_shift_table.asm!N86</f>
        <v>DC</v>
      </c>
      <c r="N86" s="72" t="str">
        <f>pixel_shift_table.asm!O86</f>
        <v>F0</v>
      </c>
      <c r="O86" s="72" t="str">
        <f>pixel_shift_table.asm!P86</f>
        <v>EC</v>
      </c>
      <c r="P86" s="72" t="str">
        <f>pixel_shift_table.asm!Q86</f>
        <v>FE</v>
      </c>
      <c r="Q86" s="72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71" t="str">
        <f>pixel_shift_table.asm!C87</f>
        <v>00</v>
      </c>
      <c r="C87" s="72" t="str">
        <f>pixel_shift_table.asm!D87</f>
        <v>0C</v>
      </c>
      <c r="D87" s="72" t="str">
        <f>pixel_shift_table.asm!E87</f>
        <v>0E</v>
      </c>
      <c r="E87" s="72" t="str">
        <f>pixel_shift_table.asm!F87</f>
        <v>1C</v>
      </c>
      <c r="F87" s="72" t="str">
        <f>pixel_shift_table.asm!G87</f>
        <v>10</v>
      </c>
      <c r="G87" s="72" t="str">
        <f>pixel_shift_table.asm!H87</f>
        <v>2C</v>
      </c>
      <c r="H87" s="72" t="str">
        <f>pixel_shift_table.asm!I87</f>
        <v>1E</v>
      </c>
      <c r="I87" s="72" t="str">
        <f>pixel_shift_table.asm!J87</f>
        <v>3C</v>
      </c>
      <c r="J87" s="72" t="str">
        <f>pixel_shift_table.asm!K87</f>
        <v>20</v>
      </c>
      <c r="K87" s="72" t="str">
        <f>pixel_shift_table.asm!L87</f>
        <v>4C</v>
      </c>
      <c r="L87" s="72" t="str">
        <f>pixel_shift_table.asm!M87</f>
        <v>2E</v>
      </c>
      <c r="M87" s="72" t="str">
        <f>pixel_shift_table.asm!N87</f>
        <v>5C</v>
      </c>
      <c r="N87" s="72" t="str">
        <f>pixel_shift_table.asm!O87</f>
        <v>30</v>
      </c>
      <c r="O87" s="72" t="str">
        <f>pixel_shift_table.asm!P87</f>
        <v>6C</v>
      </c>
      <c r="P87" s="72" t="str">
        <f>pixel_shift_table.asm!Q87</f>
        <v>3E</v>
      </c>
      <c r="Q87" s="72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71" t="str">
        <f>pixel_shift_table.asm!C88</f>
        <v>40</v>
      </c>
      <c r="C88" s="72" t="str">
        <f>pixel_shift_table.asm!D88</f>
        <v>8C</v>
      </c>
      <c r="D88" s="72" t="str">
        <f>pixel_shift_table.asm!E88</f>
        <v>4E</v>
      </c>
      <c r="E88" s="72" t="str">
        <f>pixel_shift_table.asm!F88</f>
        <v>9C</v>
      </c>
      <c r="F88" s="72" t="str">
        <f>pixel_shift_table.asm!G88</f>
        <v>50</v>
      </c>
      <c r="G88" s="72" t="str">
        <f>pixel_shift_table.asm!H88</f>
        <v>AC</v>
      </c>
      <c r="H88" s="72" t="str">
        <f>pixel_shift_table.asm!I88</f>
        <v>5E</v>
      </c>
      <c r="I88" s="72" t="str">
        <f>pixel_shift_table.asm!J88</f>
        <v>BC</v>
      </c>
      <c r="J88" s="72" t="str">
        <f>pixel_shift_table.asm!K88</f>
        <v>60</v>
      </c>
      <c r="K88" s="72" t="str">
        <f>pixel_shift_table.asm!L88</f>
        <v>CC</v>
      </c>
      <c r="L88" s="72" t="str">
        <f>pixel_shift_table.asm!M88</f>
        <v>6E</v>
      </c>
      <c r="M88" s="72" t="str">
        <f>pixel_shift_table.asm!N88</f>
        <v>DC</v>
      </c>
      <c r="N88" s="72" t="str">
        <f>pixel_shift_table.asm!O88</f>
        <v>70</v>
      </c>
      <c r="O88" s="72" t="str">
        <f>pixel_shift_table.asm!P88</f>
        <v>EC</v>
      </c>
      <c r="P88" s="72" t="str">
        <f>pixel_shift_table.asm!Q88</f>
        <v>7E</v>
      </c>
      <c r="Q88" s="72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71" t="str">
        <f>pixel_shift_table.asm!C89</f>
        <v>80</v>
      </c>
      <c r="C89" s="72" t="str">
        <f>pixel_shift_table.asm!D89</f>
        <v>0C</v>
      </c>
      <c r="D89" s="72" t="str">
        <f>pixel_shift_table.asm!E89</f>
        <v>8E</v>
      </c>
      <c r="E89" s="72" t="str">
        <f>pixel_shift_table.asm!F89</f>
        <v>1C</v>
      </c>
      <c r="F89" s="72" t="str">
        <f>pixel_shift_table.asm!G89</f>
        <v>90</v>
      </c>
      <c r="G89" s="72" t="str">
        <f>pixel_shift_table.asm!H89</f>
        <v>2C</v>
      </c>
      <c r="H89" s="72" t="str">
        <f>pixel_shift_table.asm!I89</f>
        <v>9E</v>
      </c>
      <c r="I89" s="72" t="str">
        <f>pixel_shift_table.asm!J89</f>
        <v>3C</v>
      </c>
      <c r="J89" s="72" t="str">
        <f>pixel_shift_table.asm!K89</f>
        <v>A0</v>
      </c>
      <c r="K89" s="72" t="str">
        <f>pixel_shift_table.asm!L89</f>
        <v>4C</v>
      </c>
      <c r="L89" s="72" t="str">
        <f>pixel_shift_table.asm!M89</f>
        <v>AE</v>
      </c>
      <c r="M89" s="72" t="str">
        <f>pixel_shift_table.asm!N89</f>
        <v>5C</v>
      </c>
      <c r="N89" s="72" t="str">
        <f>pixel_shift_table.asm!O89</f>
        <v>B0</v>
      </c>
      <c r="O89" s="72" t="str">
        <f>pixel_shift_table.asm!P89</f>
        <v>6C</v>
      </c>
      <c r="P89" s="72" t="str">
        <f>pixel_shift_table.asm!Q89</f>
        <v>BE</v>
      </c>
      <c r="Q89" s="72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8" t="str">
        <f t="shared" si="79"/>
        <v>A770</v>
      </c>
      <c r="B90" s="73" t="str">
        <f>pixel_shift_table.asm!C90</f>
        <v>C0</v>
      </c>
      <c r="C90" s="74" t="str">
        <f>pixel_shift_table.asm!D90</f>
        <v>8C</v>
      </c>
      <c r="D90" s="74" t="str">
        <f>pixel_shift_table.asm!E90</f>
        <v>CE</v>
      </c>
      <c r="E90" s="74" t="str">
        <f>pixel_shift_table.asm!F90</f>
        <v>9C</v>
      </c>
      <c r="F90" s="74" t="str">
        <f>pixel_shift_table.asm!G90</f>
        <v>D0</v>
      </c>
      <c r="G90" s="74" t="str">
        <f>pixel_shift_table.asm!H90</f>
        <v>AC</v>
      </c>
      <c r="H90" s="74" t="str">
        <f>pixel_shift_table.asm!I90</f>
        <v>DE</v>
      </c>
      <c r="I90" s="74" t="str">
        <f>pixel_shift_table.asm!J90</f>
        <v>BC</v>
      </c>
      <c r="J90" s="74" t="str">
        <f>pixel_shift_table.asm!K90</f>
        <v>E0</v>
      </c>
      <c r="K90" s="74" t="str">
        <f>pixel_shift_table.asm!L90</f>
        <v>CC</v>
      </c>
      <c r="L90" s="74" t="str">
        <f>pixel_shift_table.asm!M90</f>
        <v>EE</v>
      </c>
      <c r="M90" s="74" t="str">
        <f>pixel_shift_table.asm!N90</f>
        <v>DC</v>
      </c>
      <c r="N90" s="74" t="str">
        <f>pixel_shift_table.asm!O90</f>
        <v>F0</v>
      </c>
      <c r="O90" s="74" t="str">
        <f>pixel_shift_table.asm!P90</f>
        <v>EC</v>
      </c>
      <c r="P90" s="74" t="str">
        <f>pixel_shift_table.asm!Q90</f>
        <v>FE</v>
      </c>
      <c r="Q90" s="74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9" t="str">
        <f>pixel_shift_table.asm!C91</f>
        <v>A9</v>
      </c>
      <c r="C91" s="70" t="str">
        <f>pixel_shift_table.asm!D91</f>
        <v>A9</v>
      </c>
      <c r="D91" s="70" t="str">
        <f>pixel_shift_table.asm!E91</f>
        <v>A9</v>
      </c>
      <c r="E91" s="70" t="str">
        <f>pixel_shift_table.asm!F91</f>
        <v>A9</v>
      </c>
      <c r="F91" s="70" t="str">
        <f>pixel_shift_table.asm!G91</f>
        <v>A9</v>
      </c>
      <c r="G91" s="70" t="str">
        <f>pixel_shift_table.asm!H91</f>
        <v>A9</v>
      </c>
      <c r="H91" s="70" t="str">
        <f>pixel_shift_table.asm!I91</f>
        <v>A9</v>
      </c>
      <c r="I91" s="70" t="str">
        <f>pixel_shift_table.asm!J91</f>
        <v>A9</v>
      </c>
      <c r="J91" s="70" t="str">
        <f>pixel_shift_table.asm!K91</f>
        <v>A9</v>
      </c>
      <c r="K91" s="70" t="str">
        <f>pixel_shift_table.asm!L91</f>
        <v>A9</v>
      </c>
      <c r="L91" s="70" t="str">
        <f>pixel_shift_table.asm!M91</f>
        <v>A9</v>
      </c>
      <c r="M91" s="70" t="str">
        <f>pixel_shift_table.asm!N91</f>
        <v>A9</v>
      </c>
      <c r="N91" s="70" t="str">
        <f>pixel_shift_table.asm!O91</f>
        <v>A9</v>
      </c>
      <c r="O91" s="70" t="str">
        <f>pixel_shift_table.asm!P91</f>
        <v>A9</v>
      </c>
      <c r="P91" s="70" t="str">
        <f>pixel_shift_table.asm!Q91</f>
        <v>A9</v>
      </c>
      <c r="Q91" s="70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71" t="str">
        <f>pixel_shift_table.asm!C92</f>
        <v>A9</v>
      </c>
      <c r="C92" s="72" t="str">
        <f>pixel_shift_table.asm!D92</f>
        <v>A9</v>
      </c>
      <c r="D92" s="72" t="str">
        <f>pixel_shift_table.asm!E92</f>
        <v>A9</v>
      </c>
      <c r="E92" s="72" t="str">
        <f>pixel_shift_table.asm!F92</f>
        <v>A9</v>
      </c>
      <c r="F92" s="72" t="str">
        <f>pixel_shift_table.asm!G92</f>
        <v>A9</v>
      </c>
      <c r="G92" s="72" t="str">
        <f>pixel_shift_table.asm!H92</f>
        <v>A9</v>
      </c>
      <c r="H92" s="72" t="str">
        <f>pixel_shift_table.asm!I92</f>
        <v>A9</v>
      </c>
      <c r="I92" s="72" t="str">
        <f>pixel_shift_table.asm!J92</f>
        <v>A9</v>
      </c>
      <c r="J92" s="72" t="str">
        <f>pixel_shift_table.asm!K92</f>
        <v>A9</v>
      </c>
      <c r="K92" s="72" t="str">
        <f>pixel_shift_table.asm!L92</f>
        <v>A9</v>
      </c>
      <c r="L92" s="72" t="str">
        <f>pixel_shift_table.asm!M92</f>
        <v>A9</v>
      </c>
      <c r="M92" s="72" t="str">
        <f>pixel_shift_table.asm!N92</f>
        <v>A9</v>
      </c>
      <c r="N92" s="72" t="str">
        <f>pixel_shift_table.asm!O92</f>
        <v>A9</v>
      </c>
      <c r="O92" s="72" t="str">
        <f>pixel_shift_table.asm!P92</f>
        <v>A9</v>
      </c>
      <c r="P92" s="72" t="str">
        <f>pixel_shift_table.asm!Q92</f>
        <v>A9</v>
      </c>
      <c r="Q92" s="72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71" t="str">
        <f>pixel_shift_table.asm!C93</f>
        <v>A9</v>
      </c>
      <c r="C93" s="72" t="str">
        <f>pixel_shift_table.asm!D93</f>
        <v>AA</v>
      </c>
      <c r="D93" s="72" t="str">
        <f>pixel_shift_table.asm!E93</f>
        <v>A9</v>
      </c>
      <c r="E93" s="72" t="str">
        <f>pixel_shift_table.asm!F93</f>
        <v>AA</v>
      </c>
      <c r="F93" s="72" t="str">
        <f>pixel_shift_table.asm!G93</f>
        <v>A9</v>
      </c>
      <c r="G93" s="72" t="str">
        <f>pixel_shift_table.asm!H93</f>
        <v>AA</v>
      </c>
      <c r="H93" s="72" t="str">
        <f>pixel_shift_table.asm!I93</f>
        <v>A9</v>
      </c>
      <c r="I93" s="72" t="str">
        <f>pixel_shift_table.asm!J93</f>
        <v>AA</v>
      </c>
      <c r="J93" s="72" t="str">
        <f>pixel_shift_table.asm!K93</f>
        <v>A9</v>
      </c>
      <c r="K93" s="72" t="str">
        <f>pixel_shift_table.asm!L93</f>
        <v>AA</v>
      </c>
      <c r="L93" s="72" t="str">
        <f>pixel_shift_table.asm!M93</f>
        <v>A9</v>
      </c>
      <c r="M93" s="72" t="str">
        <f>pixel_shift_table.asm!N93</f>
        <v>AA</v>
      </c>
      <c r="N93" s="72" t="str">
        <f>pixel_shift_table.asm!O93</f>
        <v>A9</v>
      </c>
      <c r="O93" s="72" t="str">
        <f>pixel_shift_table.asm!P93</f>
        <v>AA</v>
      </c>
      <c r="P93" s="72" t="str">
        <f>pixel_shift_table.asm!Q93</f>
        <v>A9</v>
      </c>
      <c r="Q93" s="72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71" t="str">
        <f>pixel_shift_table.asm!C94</f>
        <v>A9</v>
      </c>
      <c r="C94" s="72" t="str">
        <f>pixel_shift_table.asm!D94</f>
        <v>AA</v>
      </c>
      <c r="D94" s="72" t="str">
        <f>pixel_shift_table.asm!E94</f>
        <v>A9</v>
      </c>
      <c r="E94" s="72" t="str">
        <f>pixel_shift_table.asm!F94</f>
        <v>AA</v>
      </c>
      <c r="F94" s="72" t="str">
        <f>pixel_shift_table.asm!G94</f>
        <v>A9</v>
      </c>
      <c r="G94" s="72" t="str">
        <f>pixel_shift_table.asm!H94</f>
        <v>AA</v>
      </c>
      <c r="H94" s="72" t="str">
        <f>pixel_shift_table.asm!I94</f>
        <v>A9</v>
      </c>
      <c r="I94" s="72" t="str">
        <f>pixel_shift_table.asm!J94</f>
        <v>AA</v>
      </c>
      <c r="J94" s="72" t="str">
        <f>pixel_shift_table.asm!K94</f>
        <v>A9</v>
      </c>
      <c r="K94" s="72" t="str">
        <f>pixel_shift_table.asm!L94</f>
        <v>AA</v>
      </c>
      <c r="L94" s="72" t="str">
        <f>pixel_shift_table.asm!M94</f>
        <v>A9</v>
      </c>
      <c r="M94" s="72" t="str">
        <f>pixel_shift_table.asm!N94</f>
        <v>AA</v>
      </c>
      <c r="N94" s="72" t="str">
        <f>pixel_shift_table.asm!O94</f>
        <v>A9</v>
      </c>
      <c r="O94" s="72" t="str">
        <f>pixel_shift_table.asm!P94</f>
        <v>AA</v>
      </c>
      <c r="P94" s="72" t="str">
        <f>pixel_shift_table.asm!Q94</f>
        <v>A9</v>
      </c>
      <c r="Q94" s="72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71" t="str">
        <f>pixel_shift_table.asm!C95</f>
        <v>AA</v>
      </c>
      <c r="C95" s="72" t="str">
        <f>pixel_shift_table.asm!D95</f>
        <v>AB</v>
      </c>
      <c r="D95" s="72" t="str">
        <f>pixel_shift_table.asm!E95</f>
        <v>AA</v>
      </c>
      <c r="E95" s="72" t="str">
        <f>pixel_shift_table.asm!F95</f>
        <v>AB</v>
      </c>
      <c r="F95" s="72" t="str">
        <f>pixel_shift_table.asm!G95</f>
        <v>AA</v>
      </c>
      <c r="G95" s="72" t="str">
        <f>pixel_shift_table.asm!H95</f>
        <v>AB</v>
      </c>
      <c r="H95" s="72" t="str">
        <f>pixel_shift_table.asm!I95</f>
        <v>AA</v>
      </c>
      <c r="I95" s="72" t="str">
        <f>pixel_shift_table.asm!J95</f>
        <v>AB</v>
      </c>
      <c r="J95" s="72" t="str">
        <f>pixel_shift_table.asm!K95</f>
        <v>AA</v>
      </c>
      <c r="K95" s="72" t="str">
        <f>pixel_shift_table.asm!L95</f>
        <v>AB</v>
      </c>
      <c r="L95" s="72" t="str">
        <f>pixel_shift_table.asm!M95</f>
        <v>AA</v>
      </c>
      <c r="M95" s="72" t="str">
        <f>pixel_shift_table.asm!N95</f>
        <v>AB</v>
      </c>
      <c r="N95" s="72" t="str">
        <f>pixel_shift_table.asm!O95</f>
        <v>AA</v>
      </c>
      <c r="O95" s="72" t="str">
        <f>pixel_shift_table.asm!P95</f>
        <v>AB</v>
      </c>
      <c r="P95" s="72" t="str">
        <f>pixel_shift_table.asm!Q95</f>
        <v>AA</v>
      </c>
      <c r="Q95" s="72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71" t="str">
        <f>pixel_shift_table.asm!C96</f>
        <v>AA</v>
      </c>
      <c r="C96" s="72" t="str">
        <f>pixel_shift_table.asm!D96</f>
        <v>AB</v>
      </c>
      <c r="D96" s="72" t="str">
        <f>pixel_shift_table.asm!E96</f>
        <v>AA</v>
      </c>
      <c r="E96" s="72" t="str">
        <f>pixel_shift_table.asm!F96</f>
        <v>AB</v>
      </c>
      <c r="F96" s="72" t="str">
        <f>pixel_shift_table.asm!G96</f>
        <v>AA</v>
      </c>
      <c r="G96" s="72" t="str">
        <f>pixel_shift_table.asm!H96</f>
        <v>AB</v>
      </c>
      <c r="H96" s="72" t="str">
        <f>pixel_shift_table.asm!I96</f>
        <v>AA</v>
      </c>
      <c r="I96" s="72" t="str">
        <f>pixel_shift_table.asm!J96</f>
        <v>AB</v>
      </c>
      <c r="J96" s="72" t="str">
        <f>pixel_shift_table.asm!K96</f>
        <v>AA</v>
      </c>
      <c r="K96" s="72" t="str">
        <f>pixel_shift_table.asm!L96</f>
        <v>AB</v>
      </c>
      <c r="L96" s="72" t="str">
        <f>pixel_shift_table.asm!M96</f>
        <v>AA</v>
      </c>
      <c r="M96" s="72" t="str">
        <f>pixel_shift_table.asm!N96</f>
        <v>AB</v>
      </c>
      <c r="N96" s="72" t="str">
        <f>pixel_shift_table.asm!O96</f>
        <v>AA</v>
      </c>
      <c r="O96" s="72" t="str">
        <f>pixel_shift_table.asm!P96</f>
        <v>AB</v>
      </c>
      <c r="P96" s="72" t="str">
        <f>pixel_shift_table.asm!Q96</f>
        <v>AA</v>
      </c>
      <c r="Q96" s="72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71" t="str">
        <f>pixel_shift_table.asm!C97</f>
        <v>AA</v>
      </c>
      <c r="C97" s="72" t="str">
        <f>pixel_shift_table.asm!D97</f>
        <v>AC</v>
      </c>
      <c r="D97" s="72" t="str">
        <f>pixel_shift_table.asm!E97</f>
        <v>AA</v>
      </c>
      <c r="E97" s="72" t="str">
        <f>pixel_shift_table.asm!F97</f>
        <v>AC</v>
      </c>
      <c r="F97" s="72" t="str">
        <f>pixel_shift_table.asm!G97</f>
        <v>AA</v>
      </c>
      <c r="G97" s="72" t="str">
        <f>pixel_shift_table.asm!H97</f>
        <v>AC</v>
      </c>
      <c r="H97" s="72" t="str">
        <f>pixel_shift_table.asm!I97</f>
        <v>AA</v>
      </c>
      <c r="I97" s="72" t="str">
        <f>pixel_shift_table.asm!J97</f>
        <v>AC</v>
      </c>
      <c r="J97" s="72" t="str">
        <f>pixel_shift_table.asm!K97</f>
        <v>AA</v>
      </c>
      <c r="K97" s="72" t="str">
        <f>pixel_shift_table.asm!L97</f>
        <v>AC</v>
      </c>
      <c r="L97" s="72" t="str">
        <f>pixel_shift_table.asm!M97</f>
        <v>AA</v>
      </c>
      <c r="M97" s="72" t="str">
        <f>pixel_shift_table.asm!N97</f>
        <v>AC</v>
      </c>
      <c r="N97" s="72" t="str">
        <f>pixel_shift_table.asm!O97</f>
        <v>AA</v>
      </c>
      <c r="O97" s="72" t="str">
        <f>pixel_shift_table.asm!P97</f>
        <v>AC</v>
      </c>
      <c r="P97" s="72" t="str">
        <f>pixel_shift_table.asm!Q97</f>
        <v>AA</v>
      </c>
      <c r="Q97" s="72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8" t="str">
        <f t="shared" si="79"/>
        <v>A7F0</v>
      </c>
      <c r="B98" s="73" t="str">
        <f>pixel_shift_table.asm!C98</f>
        <v>AA</v>
      </c>
      <c r="C98" s="74" t="str">
        <f>pixel_shift_table.asm!D98</f>
        <v>AC</v>
      </c>
      <c r="D98" s="74" t="str">
        <f>pixel_shift_table.asm!E98</f>
        <v>AA</v>
      </c>
      <c r="E98" s="74" t="str">
        <f>pixel_shift_table.asm!F98</f>
        <v>AC</v>
      </c>
      <c r="F98" s="74" t="str">
        <f>pixel_shift_table.asm!G98</f>
        <v>AA</v>
      </c>
      <c r="G98" s="74" t="str">
        <f>pixel_shift_table.asm!H98</f>
        <v>AC</v>
      </c>
      <c r="H98" s="74" t="str">
        <f>pixel_shift_table.asm!I98</f>
        <v>AA</v>
      </c>
      <c r="I98" s="74" t="str">
        <f>pixel_shift_table.asm!J98</f>
        <v>AC</v>
      </c>
      <c r="J98" s="74" t="str">
        <f>pixel_shift_table.asm!K98</f>
        <v>AA</v>
      </c>
      <c r="K98" s="74" t="str">
        <f>pixel_shift_table.asm!L98</f>
        <v>AC</v>
      </c>
      <c r="L98" s="74" t="str">
        <f>pixel_shift_table.asm!M98</f>
        <v>AA</v>
      </c>
      <c r="M98" s="74" t="str">
        <f>pixel_shift_table.asm!N98</f>
        <v>AC</v>
      </c>
      <c r="N98" s="74" t="str">
        <f>pixel_shift_table.asm!O98</f>
        <v>AA</v>
      </c>
      <c r="O98" s="74" t="str">
        <f>pixel_shift_table.asm!P98</f>
        <v>AC</v>
      </c>
      <c r="P98" s="74" t="str">
        <f>pixel_shift_table.asm!Q98</f>
        <v>AA</v>
      </c>
      <c r="Q98" s="74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9" t="str">
        <f t="shared" si="79"/>
        <v>A800</v>
      </c>
      <c r="B99" s="69" t="str">
        <f>pixel_shift_table.asm!C99</f>
        <v>00</v>
      </c>
      <c r="C99" s="70" t="str">
        <f>pixel_shift_table.asm!D99</f>
        <v>0E</v>
      </c>
      <c r="D99" s="70" t="str">
        <f>pixel_shift_table.asm!E99</f>
        <v>10</v>
      </c>
      <c r="E99" s="70" t="str">
        <f>pixel_shift_table.asm!F99</f>
        <v>1E</v>
      </c>
      <c r="F99" s="70" t="str">
        <f>pixel_shift_table.asm!G99</f>
        <v>20</v>
      </c>
      <c r="G99" s="70" t="str">
        <f>pixel_shift_table.asm!H99</f>
        <v>2E</v>
      </c>
      <c r="H99" s="70" t="str">
        <f>pixel_shift_table.asm!I99</f>
        <v>30</v>
      </c>
      <c r="I99" s="70" t="str">
        <f>pixel_shift_table.asm!J99</f>
        <v>3E</v>
      </c>
      <c r="J99" s="70" t="str">
        <f>pixel_shift_table.asm!K99</f>
        <v>40</v>
      </c>
      <c r="K99" s="70" t="str">
        <f>pixel_shift_table.asm!L99</f>
        <v>4E</v>
      </c>
      <c r="L99" s="70" t="str">
        <f>pixel_shift_table.asm!M99</f>
        <v>50</v>
      </c>
      <c r="M99" s="70" t="str">
        <f>pixel_shift_table.asm!N99</f>
        <v>5E</v>
      </c>
      <c r="N99" s="70" t="str">
        <f>pixel_shift_table.asm!O99</f>
        <v>60</v>
      </c>
      <c r="O99" s="70" t="str">
        <f>pixel_shift_table.asm!P99</f>
        <v>6E</v>
      </c>
      <c r="P99" s="70" t="str">
        <f>pixel_shift_table.asm!Q99</f>
        <v>70</v>
      </c>
      <c r="Q99" s="70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71" t="str">
        <f>pixel_shift_table.asm!C100</f>
        <v>80</v>
      </c>
      <c r="C100" s="72" t="str">
        <f>pixel_shift_table.asm!D100</f>
        <v>8E</v>
      </c>
      <c r="D100" s="72" t="str">
        <f>pixel_shift_table.asm!E100</f>
        <v>90</v>
      </c>
      <c r="E100" s="72" t="str">
        <f>pixel_shift_table.asm!F100</f>
        <v>9E</v>
      </c>
      <c r="F100" s="72" t="str">
        <f>pixel_shift_table.asm!G100</f>
        <v>A0</v>
      </c>
      <c r="G100" s="72" t="str">
        <f>pixel_shift_table.asm!H100</f>
        <v>AE</v>
      </c>
      <c r="H100" s="72" t="str">
        <f>pixel_shift_table.asm!I100</f>
        <v>B0</v>
      </c>
      <c r="I100" s="72" t="str">
        <f>pixel_shift_table.asm!J100</f>
        <v>BE</v>
      </c>
      <c r="J100" s="72" t="str">
        <f>pixel_shift_table.asm!K100</f>
        <v>C0</v>
      </c>
      <c r="K100" s="72" t="str">
        <f>pixel_shift_table.asm!L100</f>
        <v>CE</v>
      </c>
      <c r="L100" s="72" t="str">
        <f>pixel_shift_table.asm!M100</f>
        <v>D0</v>
      </c>
      <c r="M100" s="72" t="str">
        <f>pixel_shift_table.asm!N100</f>
        <v>DE</v>
      </c>
      <c r="N100" s="72" t="str">
        <f>pixel_shift_table.asm!O100</f>
        <v>E0</v>
      </c>
      <c r="O100" s="72" t="str">
        <f>pixel_shift_table.asm!P100</f>
        <v>EE</v>
      </c>
      <c r="P100" s="72" t="str">
        <f>pixel_shift_table.asm!Q100</f>
        <v>F0</v>
      </c>
      <c r="Q100" s="72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71" t="str">
        <f>pixel_shift_table.asm!C101</f>
        <v>00</v>
      </c>
      <c r="C101" s="72" t="str">
        <f>pixel_shift_table.asm!D101</f>
        <v>0E</v>
      </c>
      <c r="D101" s="72" t="str">
        <f>pixel_shift_table.asm!E101</f>
        <v>10</v>
      </c>
      <c r="E101" s="72" t="str">
        <f>pixel_shift_table.asm!F101</f>
        <v>1E</v>
      </c>
      <c r="F101" s="72" t="str">
        <f>pixel_shift_table.asm!G101</f>
        <v>20</v>
      </c>
      <c r="G101" s="72" t="str">
        <f>pixel_shift_table.asm!H101</f>
        <v>2E</v>
      </c>
      <c r="H101" s="72" t="str">
        <f>pixel_shift_table.asm!I101</f>
        <v>30</v>
      </c>
      <c r="I101" s="72" t="str">
        <f>pixel_shift_table.asm!J101</f>
        <v>3E</v>
      </c>
      <c r="J101" s="72" t="str">
        <f>pixel_shift_table.asm!K101</f>
        <v>40</v>
      </c>
      <c r="K101" s="72" t="str">
        <f>pixel_shift_table.asm!L101</f>
        <v>4E</v>
      </c>
      <c r="L101" s="72" t="str">
        <f>pixel_shift_table.asm!M101</f>
        <v>50</v>
      </c>
      <c r="M101" s="72" t="str">
        <f>pixel_shift_table.asm!N101</f>
        <v>5E</v>
      </c>
      <c r="N101" s="72" t="str">
        <f>pixel_shift_table.asm!O101</f>
        <v>60</v>
      </c>
      <c r="O101" s="72" t="str">
        <f>pixel_shift_table.asm!P101</f>
        <v>6E</v>
      </c>
      <c r="P101" s="72" t="str">
        <f>pixel_shift_table.asm!Q101</f>
        <v>70</v>
      </c>
      <c r="Q101" s="72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71" t="str">
        <f>pixel_shift_table.asm!C102</f>
        <v>80</v>
      </c>
      <c r="C102" s="72" t="str">
        <f>pixel_shift_table.asm!D102</f>
        <v>8E</v>
      </c>
      <c r="D102" s="72" t="str">
        <f>pixel_shift_table.asm!E102</f>
        <v>90</v>
      </c>
      <c r="E102" s="72" t="str">
        <f>pixel_shift_table.asm!F102</f>
        <v>9E</v>
      </c>
      <c r="F102" s="72" t="str">
        <f>pixel_shift_table.asm!G102</f>
        <v>A0</v>
      </c>
      <c r="G102" s="72" t="str">
        <f>pixel_shift_table.asm!H102</f>
        <v>AE</v>
      </c>
      <c r="H102" s="72" t="str">
        <f>pixel_shift_table.asm!I102</f>
        <v>B0</v>
      </c>
      <c r="I102" s="72" t="str">
        <f>pixel_shift_table.asm!J102</f>
        <v>BE</v>
      </c>
      <c r="J102" s="72" t="str">
        <f>pixel_shift_table.asm!K102</f>
        <v>C0</v>
      </c>
      <c r="K102" s="72" t="str">
        <f>pixel_shift_table.asm!L102</f>
        <v>CE</v>
      </c>
      <c r="L102" s="72" t="str">
        <f>pixel_shift_table.asm!M102</f>
        <v>D0</v>
      </c>
      <c r="M102" s="72" t="str">
        <f>pixel_shift_table.asm!N102</f>
        <v>DE</v>
      </c>
      <c r="N102" s="72" t="str">
        <f>pixel_shift_table.asm!O102</f>
        <v>E0</v>
      </c>
      <c r="O102" s="72" t="str">
        <f>pixel_shift_table.asm!P102</f>
        <v>EE</v>
      </c>
      <c r="P102" s="72" t="str">
        <f>pixel_shift_table.asm!Q102</f>
        <v>F0</v>
      </c>
      <c r="Q102" s="72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71" t="str">
        <f>pixel_shift_table.asm!C103</f>
        <v>00</v>
      </c>
      <c r="C103" s="72" t="str">
        <f>pixel_shift_table.asm!D103</f>
        <v>0E</v>
      </c>
      <c r="D103" s="72" t="str">
        <f>pixel_shift_table.asm!E103</f>
        <v>10</v>
      </c>
      <c r="E103" s="72" t="str">
        <f>pixel_shift_table.asm!F103</f>
        <v>1E</v>
      </c>
      <c r="F103" s="72" t="str">
        <f>pixel_shift_table.asm!G103</f>
        <v>20</v>
      </c>
      <c r="G103" s="72" t="str">
        <f>pixel_shift_table.asm!H103</f>
        <v>2E</v>
      </c>
      <c r="H103" s="72" t="str">
        <f>pixel_shift_table.asm!I103</f>
        <v>30</v>
      </c>
      <c r="I103" s="72" t="str">
        <f>pixel_shift_table.asm!J103</f>
        <v>3E</v>
      </c>
      <c r="J103" s="72" t="str">
        <f>pixel_shift_table.asm!K103</f>
        <v>40</v>
      </c>
      <c r="K103" s="72" t="str">
        <f>pixel_shift_table.asm!L103</f>
        <v>4E</v>
      </c>
      <c r="L103" s="72" t="str">
        <f>pixel_shift_table.asm!M103</f>
        <v>50</v>
      </c>
      <c r="M103" s="72" t="str">
        <f>pixel_shift_table.asm!N103</f>
        <v>5E</v>
      </c>
      <c r="N103" s="72" t="str">
        <f>pixel_shift_table.asm!O103</f>
        <v>60</v>
      </c>
      <c r="O103" s="72" t="str">
        <f>pixel_shift_table.asm!P103</f>
        <v>6E</v>
      </c>
      <c r="P103" s="72" t="str">
        <f>pixel_shift_table.asm!Q103</f>
        <v>70</v>
      </c>
      <c r="Q103" s="72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71" t="str">
        <f>pixel_shift_table.asm!C104</f>
        <v>80</v>
      </c>
      <c r="C104" s="72" t="str">
        <f>pixel_shift_table.asm!D104</f>
        <v>8E</v>
      </c>
      <c r="D104" s="72" t="str">
        <f>pixel_shift_table.asm!E104</f>
        <v>90</v>
      </c>
      <c r="E104" s="72" t="str">
        <f>pixel_shift_table.asm!F104</f>
        <v>9E</v>
      </c>
      <c r="F104" s="72" t="str">
        <f>pixel_shift_table.asm!G104</f>
        <v>A0</v>
      </c>
      <c r="G104" s="72" t="str">
        <f>pixel_shift_table.asm!H104</f>
        <v>AE</v>
      </c>
      <c r="H104" s="72" t="str">
        <f>pixel_shift_table.asm!I104</f>
        <v>B0</v>
      </c>
      <c r="I104" s="72" t="str">
        <f>pixel_shift_table.asm!J104</f>
        <v>BE</v>
      </c>
      <c r="J104" s="72" t="str">
        <f>pixel_shift_table.asm!K104</f>
        <v>C0</v>
      </c>
      <c r="K104" s="72" t="str">
        <f>pixel_shift_table.asm!L104</f>
        <v>CE</v>
      </c>
      <c r="L104" s="72" t="str">
        <f>pixel_shift_table.asm!M104</f>
        <v>D0</v>
      </c>
      <c r="M104" s="72" t="str">
        <f>pixel_shift_table.asm!N104</f>
        <v>DE</v>
      </c>
      <c r="N104" s="72" t="str">
        <f>pixel_shift_table.asm!O104</f>
        <v>E0</v>
      </c>
      <c r="O104" s="72" t="str">
        <f>pixel_shift_table.asm!P104</f>
        <v>EE</v>
      </c>
      <c r="P104" s="72" t="str">
        <f>pixel_shift_table.asm!Q104</f>
        <v>F0</v>
      </c>
      <c r="Q104" s="72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71" t="str">
        <f>pixel_shift_table.asm!C105</f>
        <v>00</v>
      </c>
      <c r="C105" s="72" t="str">
        <f>pixel_shift_table.asm!D105</f>
        <v>0E</v>
      </c>
      <c r="D105" s="72" t="str">
        <f>pixel_shift_table.asm!E105</f>
        <v>10</v>
      </c>
      <c r="E105" s="72" t="str">
        <f>pixel_shift_table.asm!F105</f>
        <v>1E</v>
      </c>
      <c r="F105" s="72" t="str">
        <f>pixel_shift_table.asm!G105</f>
        <v>20</v>
      </c>
      <c r="G105" s="72" t="str">
        <f>pixel_shift_table.asm!H105</f>
        <v>2E</v>
      </c>
      <c r="H105" s="72" t="str">
        <f>pixel_shift_table.asm!I105</f>
        <v>30</v>
      </c>
      <c r="I105" s="72" t="str">
        <f>pixel_shift_table.asm!J105</f>
        <v>3E</v>
      </c>
      <c r="J105" s="72" t="str">
        <f>pixel_shift_table.asm!K105</f>
        <v>40</v>
      </c>
      <c r="K105" s="72" t="str">
        <f>pixel_shift_table.asm!L105</f>
        <v>4E</v>
      </c>
      <c r="L105" s="72" t="str">
        <f>pixel_shift_table.asm!M105</f>
        <v>50</v>
      </c>
      <c r="M105" s="72" t="str">
        <f>pixel_shift_table.asm!N105</f>
        <v>5E</v>
      </c>
      <c r="N105" s="72" t="str">
        <f>pixel_shift_table.asm!O105</f>
        <v>60</v>
      </c>
      <c r="O105" s="72" t="str">
        <f>pixel_shift_table.asm!P105</f>
        <v>6E</v>
      </c>
      <c r="P105" s="72" t="str">
        <f>pixel_shift_table.asm!Q105</f>
        <v>70</v>
      </c>
      <c r="Q105" s="72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8" t="str">
        <f t="shared" si="79"/>
        <v>A870</v>
      </c>
      <c r="B106" s="73" t="str">
        <f>pixel_shift_table.asm!C106</f>
        <v>80</v>
      </c>
      <c r="C106" s="74" t="str">
        <f>pixel_shift_table.asm!D106</f>
        <v>8E</v>
      </c>
      <c r="D106" s="74" t="str">
        <f>pixel_shift_table.asm!E106</f>
        <v>90</v>
      </c>
      <c r="E106" s="74" t="str">
        <f>pixel_shift_table.asm!F106</f>
        <v>9E</v>
      </c>
      <c r="F106" s="74" t="str">
        <f>pixel_shift_table.asm!G106</f>
        <v>A0</v>
      </c>
      <c r="G106" s="74" t="str">
        <f>pixel_shift_table.asm!H106</f>
        <v>AE</v>
      </c>
      <c r="H106" s="74" t="str">
        <f>pixel_shift_table.asm!I106</f>
        <v>B0</v>
      </c>
      <c r="I106" s="74" t="str">
        <f>pixel_shift_table.asm!J106</f>
        <v>BE</v>
      </c>
      <c r="J106" s="74" t="str">
        <f>pixel_shift_table.asm!K106</f>
        <v>C0</v>
      </c>
      <c r="K106" s="74" t="str">
        <f>pixel_shift_table.asm!L106</f>
        <v>CE</v>
      </c>
      <c r="L106" s="74" t="str">
        <f>pixel_shift_table.asm!M106</f>
        <v>D0</v>
      </c>
      <c r="M106" s="74" t="str">
        <f>pixel_shift_table.asm!N106</f>
        <v>DE</v>
      </c>
      <c r="N106" s="74" t="str">
        <f>pixel_shift_table.asm!O106</f>
        <v>E0</v>
      </c>
      <c r="O106" s="74" t="str">
        <f>pixel_shift_table.asm!P106</f>
        <v>EE</v>
      </c>
      <c r="P106" s="74" t="str">
        <f>pixel_shift_table.asm!Q106</f>
        <v>F0</v>
      </c>
      <c r="Q106" s="74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9" t="str">
        <f>pixel_shift_table.asm!C107</f>
        <v>A9</v>
      </c>
      <c r="C107" s="70" t="str">
        <f>pixel_shift_table.asm!D107</f>
        <v>A9</v>
      </c>
      <c r="D107" s="70" t="str">
        <f>pixel_shift_table.asm!E107</f>
        <v>A9</v>
      </c>
      <c r="E107" s="70" t="str">
        <f>pixel_shift_table.asm!F107</f>
        <v>A9</v>
      </c>
      <c r="F107" s="70" t="str">
        <f>pixel_shift_table.asm!G107</f>
        <v>A9</v>
      </c>
      <c r="G107" s="70" t="str">
        <f>pixel_shift_table.asm!H107</f>
        <v>A9</v>
      </c>
      <c r="H107" s="70" t="str">
        <f>pixel_shift_table.asm!I107</f>
        <v>A9</v>
      </c>
      <c r="I107" s="70" t="str">
        <f>pixel_shift_table.asm!J107</f>
        <v>A9</v>
      </c>
      <c r="J107" s="70" t="str">
        <f>pixel_shift_table.asm!K107</f>
        <v>A9</v>
      </c>
      <c r="K107" s="70" t="str">
        <f>pixel_shift_table.asm!L107</f>
        <v>A9</v>
      </c>
      <c r="L107" s="70" t="str">
        <f>pixel_shift_table.asm!M107</f>
        <v>A9</v>
      </c>
      <c r="M107" s="70" t="str">
        <f>pixel_shift_table.asm!N107</f>
        <v>A9</v>
      </c>
      <c r="N107" s="70" t="str">
        <f>pixel_shift_table.asm!O107</f>
        <v>A9</v>
      </c>
      <c r="O107" s="70" t="str">
        <f>pixel_shift_table.asm!P107</f>
        <v>A9</v>
      </c>
      <c r="P107" s="70" t="str">
        <f>pixel_shift_table.asm!Q107</f>
        <v>A9</v>
      </c>
      <c r="Q107" s="70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71" t="str">
        <f>pixel_shift_table.asm!C108</f>
        <v>A9</v>
      </c>
      <c r="C108" s="72" t="str">
        <f>pixel_shift_table.asm!D108</f>
        <v>A9</v>
      </c>
      <c r="D108" s="72" t="str">
        <f>pixel_shift_table.asm!E108</f>
        <v>A9</v>
      </c>
      <c r="E108" s="72" t="str">
        <f>pixel_shift_table.asm!F108</f>
        <v>A9</v>
      </c>
      <c r="F108" s="72" t="str">
        <f>pixel_shift_table.asm!G108</f>
        <v>A9</v>
      </c>
      <c r="G108" s="72" t="str">
        <f>pixel_shift_table.asm!H108</f>
        <v>A9</v>
      </c>
      <c r="H108" s="72" t="str">
        <f>pixel_shift_table.asm!I108</f>
        <v>A9</v>
      </c>
      <c r="I108" s="72" t="str">
        <f>pixel_shift_table.asm!J108</f>
        <v>A9</v>
      </c>
      <c r="J108" s="72" t="str">
        <f>pixel_shift_table.asm!K108</f>
        <v>A9</v>
      </c>
      <c r="K108" s="72" t="str">
        <f>pixel_shift_table.asm!L108</f>
        <v>A9</v>
      </c>
      <c r="L108" s="72" t="str">
        <f>pixel_shift_table.asm!M108</f>
        <v>A9</v>
      </c>
      <c r="M108" s="72" t="str">
        <f>pixel_shift_table.asm!N108</f>
        <v>A9</v>
      </c>
      <c r="N108" s="72" t="str">
        <f>pixel_shift_table.asm!O108</f>
        <v>A9</v>
      </c>
      <c r="O108" s="72" t="str">
        <f>pixel_shift_table.asm!P108</f>
        <v>A9</v>
      </c>
      <c r="P108" s="72" t="str">
        <f>pixel_shift_table.asm!Q108</f>
        <v>A9</v>
      </c>
      <c r="Q108" s="72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71" t="str">
        <f>pixel_shift_table.asm!C109</f>
        <v>AA</v>
      </c>
      <c r="C109" s="72" t="str">
        <f>pixel_shift_table.asm!D109</f>
        <v>AA</v>
      </c>
      <c r="D109" s="72" t="str">
        <f>pixel_shift_table.asm!E109</f>
        <v>AA</v>
      </c>
      <c r="E109" s="72" t="str">
        <f>pixel_shift_table.asm!F109</f>
        <v>AA</v>
      </c>
      <c r="F109" s="72" t="str">
        <f>pixel_shift_table.asm!G109</f>
        <v>AA</v>
      </c>
      <c r="G109" s="72" t="str">
        <f>pixel_shift_table.asm!H109</f>
        <v>AA</v>
      </c>
      <c r="H109" s="72" t="str">
        <f>pixel_shift_table.asm!I109</f>
        <v>AA</v>
      </c>
      <c r="I109" s="72" t="str">
        <f>pixel_shift_table.asm!J109</f>
        <v>AA</v>
      </c>
      <c r="J109" s="72" t="str">
        <f>pixel_shift_table.asm!K109</f>
        <v>AA</v>
      </c>
      <c r="K109" s="72" t="str">
        <f>pixel_shift_table.asm!L109</f>
        <v>AA</v>
      </c>
      <c r="L109" s="72" t="str">
        <f>pixel_shift_table.asm!M109</f>
        <v>AA</v>
      </c>
      <c r="M109" s="72" t="str">
        <f>pixel_shift_table.asm!N109</f>
        <v>AA</v>
      </c>
      <c r="N109" s="72" t="str">
        <f>pixel_shift_table.asm!O109</f>
        <v>AA</v>
      </c>
      <c r="O109" s="72" t="str">
        <f>pixel_shift_table.asm!P109</f>
        <v>AA</v>
      </c>
      <c r="P109" s="72" t="str">
        <f>pixel_shift_table.asm!Q109</f>
        <v>AA</v>
      </c>
      <c r="Q109" s="72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71" t="str">
        <f>pixel_shift_table.asm!C110</f>
        <v>AA</v>
      </c>
      <c r="C110" s="72" t="str">
        <f>pixel_shift_table.asm!D110</f>
        <v>AA</v>
      </c>
      <c r="D110" s="72" t="str">
        <f>pixel_shift_table.asm!E110</f>
        <v>AA</v>
      </c>
      <c r="E110" s="72" t="str">
        <f>pixel_shift_table.asm!F110</f>
        <v>AA</v>
      </c>
      <c r="F110" s="72" t="str">
        <f>pixel_shift_table.asm!G110</f>
        <v>AA</v>
      </c>
      <c r="G110" s="72" t="str">
        <f>pixel_shift_table.asm!H110</f>
        <v>AA</v>
      </c>
      <c r="H110" s="72" t="str">
        <f>pixel_shift_table.asm!I110</f>
        <v>AA</v>
      </c>
      <c r="I110" s="72" t="str">
        <f>pixel_shift_table.asm!J110</f>
        <v>AA</v>
      </c>
      <c r="J110" s="72" t="str">
        <f>pixel_shift_table.asm!K110</f>
        <v>AA</v>
      </c>
      <c r="K110" s="72" t="str">
        <f>pixel_shift_table.asm!L110</f>
        <v>AA</v>
      </c>
      <c r="L110" s="72" t="str">
        <f>pixel_shift_table.asm!M110</f>
        <v>AA</v>
      </c>
      <c r="M110" s="72" t="str">
        <f>pixel_shift_table.asm!N110</f>
        <v>AA</v>
      </c>
      <c r="N110" s="72" t="str">
        <f>pixel_shift_table.asm!O110</f>
        <v>AA</v>
      </c>
      <c r="O110" s="72" t="str">
        <f>pixel_shift_table.asm!P110</f>
        <v>AA</v>
      </c>
      <c r="P110" s="72" t="str">
        <f>pixel_shift_table.asm!Q110</f>
        <v>AA</v>
      </c>
      <c r="Q110" s="72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71" t="str">
        <f>pixel_shift_table.asm!C111</f>
        <v>AB</v>
      </c>
      <c r="C111" s="72" t="str">
        <f>pixel_shift_table.asm!D111</f>
        <v>AB</v>
      </c>
      <c r="D111" s="72" t="str">
        <f>pixel_shift_table.asm!E111</f>
        <v>AB</v>
      </c>
      <c r="E111" s="72" t="str">
        <f>pixel_shift_table.asm!F111</f>
        <v>AB</v>
      </c>
      <c r="F111" s="72" t="str">
        <f>pixel_shift_table.asm!G111</f>
        <v>AB</v>
      </c>
      <c r="G111" s="72" t="str">
        <f>pixel_shift_table.asm!H111</f>
        <v>AB</v>
      </c>
      <c r="H111" s="72" t="str">
        <f>pixel_shift_table.asm!I111</f>
        <v>AB</v>
      </c>
      <c r="I111" s="72" t="str">
        <f>pixel_shift_table.asm!J111</f>
        <v>AB</v>
      </c>
      <c r="J111" s="72" t="str">
        <f>pixel_shift_table.asm!K111</f>
        <v>AB</v>
      </c>
      <c r="K111" s="72" t="str">
        <f>pixel_shift_table.asm!L111</f>
        <v>AB</v>
      </c>
      <c r="L111" s="72" t="str">
        <f>pixel_shift_table.asm!M111</f>
        <v>AB</v>
      </c>
      <c r="M111" s="72" t="str">
        <f>pixel_shift_table.asm!N111</f>
        <v>AB</v>
      </c>
      <c r="N111" s="72" t="str">
        <f>pixel_shift_table.asm!O111</f>
        <v>AB</v>
      </c>
      <c r="O111" s="72" t="str">
        <f>pixel_shift_table.asm!P111</f>
        <v>AB</v>
      </c>
      <c r="P111" s="72" t="str">
        <f>pixel_shift_table.asm!Q111</f>
        <v>AB</v>
      </c>
      <c r="Q111" s="72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71" t="str">
        <f>pixel_shift_table.asm!C112</f>
        <v>AB</v>
      </c>
      <c r="C112" s="72" t="str">
        <f>pixel_shift_table.asm!D112</f>
        <v>AB</v>
      </c>
      <c r="D112" s="72" t="str">
        <f>pixel_shift_table.asm!E112</f>
        <v>AB</v>
      </c>
      <c r="E112" s="72" t="str">
        <f>pixel_shift_table.asm!F112</f>
        <v>AB</v>
      </c>
      <c r="F112" s="72" t="str">
        <f>pixel_shift_table.asm!G112</f>
        <v>AB</v>
      </c>
      <c r="G112" s="72" t="str">
        <f>pixel_shift_table.asm!H112</f>
        <v>AB</v>
      </c>
      <c r="H112" s="72" t="str">
        <f>pixel_shift_table.asm!I112</f>
        <v>AB</v>
      </c>
      <c r="I112" s="72" t="str">
        <f>pixel_shift_table.asm!J112</f>
        <v>AB</v>
      </c>
      <c r="J112" s="72" t="str">
        <f>pixel_shift_table.asm!K112</f>
        <v>AB</v>
      </c>
      <c r="K112" s="72" t="str">
        <f>pixel_shift_table.asm!L112</f>
        <v>AB</v>
      </c>
      <c r="L112" s="72" t="str">
        <f>pixel_shift_table.asm!M112</f>
        <v>AB</v>
      </c>
      <c r="M112" s="72" t="str">
        <f>pixel_shift_table.asm!N112</f>
        <v>AB</v>
      </c>
      <c r="N112" s="72" t="str">
        <f>pixel_shift_table.asm!O112</f>
        <v>AB</v>
      </c>
      <c r="O112" s="72" t="str">
        <f>pixel_shift_table.asm!P112</f>
        <v>AB</v>
      </c>
      <c r="P112" s="72" t="str">
        <f>pixel_shift_table.asm!Q112</f>
        <v>AB</v>
      </c>
      <c r="Q112" s="72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71" t="str">
        <f>pixel_shift_table.asm!C113</f>
        <v>AC</v>
      </c>
      <c r="C113" s="72" t="str">
        <f>pixel_shift_table.asm!D113</f>
        <v>AC</v>
      </c>
      <c r="D113" s="72" t="str">
        <f>pixel_shift_table.asm!E113</f>
        <v>AC</v>
      </c>
      <c r="E113" s="72" t="str">
        <f>pixel_shift_table.asm!F113</f>
        <v>AC</v>
      </c>
      <c r="F113" s="72" t="str">
        <f>pixel_shift_table.asm!G113</f>
        <v>AC</v>
      </c>
      <c r="G113" s="72" t="str">
        <f>pixel_shift_table.asm!H113</f>
        <v>AC</v>
      </c>
      <c r="H113" s="72" t="str">
        <f>pixel_shift_table.asm!I113</f>
        <v>AC</v>
      </c>
      <c r="I113" s="72" t="str">
        <f>pixel_shift_table.asm!J113</f>
        <v>AC</v>
      </c>
      <c r="J113" s="72" t="str">
        <f>pixel_shift_table.asm!K113</f>
        <v>AC</v>
      </c>
      <c r="K113" s="72" t="str">
        <f>pixel_shift_table.asm!L113</f>
        <v>AC</v>
      </c>
      <c r="L113" s="72" t="str">
        <f>pixel_shift_table.asm!M113</f>
        <v>AC</v>
      </c>
      <c r="M113" s="72" t="str">
        <f>pixel_shift_table.asm!N113</f>
        <v>AC</v>
      </c>
      <c r="N113" s="72" t="str">
        <f>pixel_shift_table.asm!O113</f>
        <v>AC</v>
      </c>
      <c r="O113" s="72" t="str">
        <f>pixel_shift_table.asm!P113</f>
        <v>AC</v>
      </c>
      <c r="P113" s="72" t="str">
        <f>pixel_shift_table.asm!Q113</f>
        <v>AC</v>
      </c>
      <c r="Q113" s="72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8" t="str">
        <f t="shared" si="79"/>
        <v>A8F0</v>
      </c>
      <c r="B114" s="73" t="str">
        <f>pixel_shift_table.asm!C114</f>
        <v>AC</v>
      </c>
      <c r="C114" s="74" t="str">
        <f>pixel_shift_table.asm!D114</f>
        <v>AC</v>
      </c>
      <c r="D114" s="74" t="str">
        <f>pixel_shift_table.asm!E114</f>
        <v>AC</v>
      </c>
      <c r="E114" s="74" t="str">
        <f>pixel_shift_table.asm!F114</f>
        <v>AC</v>
      </c>
      <c r="F114" s="74" t="str">
        <f>pixel_shift_table.asm!G114</f>
        <v>AC</v>
      </c>
      <c r="G114" s="74" t="str">
        <f>pixel_shift_table.asm!H114</f>
        <v>AC</v>
      </c>
      <c r="H114" s="74" t="str">
        <f>pixel_shift_table.asm!I114</f>
        <v>AC</v>
      </c>
      <c r="I114" s="74" t="str">
        <f>pixel_shift_table.asm!J114</f>
        <v>AC</v>
      </c>
      <c r="J114" s="74" t="str">
        <f>pixel_shift_table.asm!K114</f>
        <v>AC</v>
      </c>
      <c r="K114" s="74" t="str">
        <f>pixel_shift_table.asm!L114</f>
        <v>AC</v>
      </c>
      <c r="L114" s="74" t="str">
        <f>pixel_shift_table.asm!M114</f>
        <v>AC</v>
      </c>
      <c r="M114" s="74" t="str">
        <f>pixel_shift_table.asm!N114</f>
        <v>AC</v>
      </c>
      <c r="N114" s="74" t="str">
        <f>pixel_shift_table.asm!O114</f>
        <v>AC</v>
      </c>
      <c r="O114" s="74" t="str">
        <f>pixel_shift_table.asm!P114</f>
        <v>AC</v>
      </c>
      <c r="P114" s="74" t="str">
        <f>pixel_shift_table.asm!Q114</f>
        <v>AC</v>
      </c>
      <c r="Q114" s="74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9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3" customFormat="1" ht="43.9" x14ac:dyDescent="0.3">
      <c r="A4" s="13" t="s">
        <v>743</v>
      </c>
      <c r="B4" s="13" t="s">
        <v>744</v>
      </c>
      <c r="C4" s="15" t="s">
        <v>745</v>
      </c>
      <c r="D4" s="14" t="s">
        <v>746</v>
      </c>
      <c r="E4" s="15" t="s">
        <v>747</v>
      </c>
      <c r="F4" s="16" t="s">
        <v>748</v>
      </c>
      <c r="G4" s="14" t="s">
        <v>746</v>
      </c>
      <c r="H4" s="15" t="s">
        <v>747</v>
      </c>
      <c r="I4" s="16" t="s">
        <v>748</v>
      </c>
      <c r="J4" s="14" t="s">
        <v>746</v>
      </c>
      <c r="K4" s="15" t="s">
        <v>747</v>
      </c>
      <c r="L4" s="16" t="s">
        <v>748</v>
      </c>
      <c r="M4" s="14" t="s">
        <v>746</v>
      </c>
      <c r="N4" s="15" t="s">
        <v>747</v>
      </c>
      <c r="O4" s="16" t="s">
        <v>748</v>
      </c>
      <c r="P4" s="14" t="s">
        <v>746</v>
      </c>
      <c r="Q4" s="15" t="s">
        <v>747</v>
      </c>
      <c r="R4" s="16" t="s">
        <v>748</v>
      </c>
      <c r="S4" s="14" t="s">
        <v>746</v>
      </c>
      <c r="T4" s="15" t="s">
        <v>747</v>
      </c>
      <c r="U4" s="16" t="s">
        <v>748</v>
      </c>
      <c r="V4" s="14" t="s">
        <v>746</v>
      </c>
      <c r="W4" s="15" t="s">
        <v>747</v>
      </c>
      <c r="X4" s="16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22">
        <v>22</v>
      </c>
      <c r="B27" s="23">
        <v>101.1</v>
      </c>
      <c r="C27" s="24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5" t="str" cm="1">
        <f t="array" ref="M27">IF(ISBLANK(M$3),L27&amp;K27,INDEX(pixel_shift_table.asm!$C$3:$R$114, M$2*16 + M$3 + INT($A27/16) + 1, MOD($A27, 16) + 1))</f>
        <v>5A</v>
      </c>
      <c r="N27" s="24" t="str" cm="1">
        <f t="array" ref="N27">IF(ISBLANK(N$3),M27&amp;L27,INDEX(pixel_shift_table.asm!$C$3:$R$114, N$2*16 + N$3 + INT($A27/16) + 1, MOD($A27, 16) + 1))</f>
        <v>A9</v>
      </c>
      <c r="O27" s="26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169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8" t="s">
        <v>173</v>
      </c>
      <c r="B1" s="29"/>
      <c r="C1" s="40"/>
      <c r="E1" s="6"/>
      <c r="F1" s="7"/>
    </row>
    <row r="2" spans="1:6" x14ac:dyDescent="0.3">
      <c r="A2" s="39" t="s">
        <v>174</v>
      </c>
      <c r="B2" s="57" t="s">
        <v>880</v>
      </c>
      <c r="C2" s="40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9" t="s">
        <v>175</v>
      </c>
      <c r="B3" s="5" t="str">
        <f>DEC2HEX(HEX2DEC(B2)+2)</f>
        <v>A902</v>
      </c>
      <c r="C3" s="40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9" t="s">
        <v>176</v>
      </c>
      <c r="B4" s="5" t="str">
        <f t="shared" ref="B4:B67" si="4">DEC2HEX(HEX2DEC(B3)+2)</f>
        <v>A904</v>
      </c>
      <c r="C4" s="40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9" t="s">
        <v>177</v>
      </c>
      <c r="B5" s="5" t="str">
        <f t="shared" si="4"/>
        <v>A906</v>
      </c>
      <c r="C5" s="40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9" t="s">
        <v>178</v>
      </c>
      <c r="B6" s="5" t="str">
        <f t="shared" si="4"/>
        <v>A908</v>
      </c>
      <c r="C6" s="40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9" t="s">
        <v>179</v>
      </c>
      <c r="B7" s="5" t="str">
        <f t="shared" si="4"/>
        <v>A90A</v>
      </c>
      <c r="C7" s="40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9" t="s">
        <v>180</v>
      </c>
      <c r="B8" s="5" t="str">
        <f t="shared" si="4"/>
        <v>A90C</v>
      </c>
      <c r="C8" s="40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9" t="s">
        <v>181</v>
      </c>
      <c r="B9" s="5" t="str">
        <f t="shared" si="4"/>
        <v>A90E</v>
      </c>
      <c r="C9" s="40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9" t="s">
        <v>182</v>
      </c>
      <c r="B10" s="5" t="str">
        <f t="shared" si="4"/>
        <v>A910</v>
      </c>
      <c r="C10" s="40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9" t="s">
        <v>183</v>
      </c>
      <c r="B11" s="5" t="str">
        <f t="shared" si="4"/>
        <v>A912</v>
      </c>
      <c r="C11" s="40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9" t="s">
        <v>184</v>
      </c>
      <c r="B12" s="5" t="str">
        <f t="shared" si="4"/>
        <v>A914</v>
      </c>
      <c r="C12" s="40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9" t="s">
        <v>185</v>
      </c>
      <c r="B13" s="5" t="str">
        <f t="shared" si="4"/>
        <v>A916</v>
      </c>
      <c r="C13" s="40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9" t="s">
        <v>186</v>
      </c>
      <c r="B14" s="5" t="str">
        <f t="shared" si="4"/>
        <v>A918</v>
      </c>
      <c r="C14" s="40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9" t="s">
        <v>187</v>
      </c>
      <c r="B15" s="5" t="str">
        <f t="shared" si="4"/>
        <v>A91A</v>
      </c>
      <c r="C15" s="40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9" t="s">
        <v>188</v>
      </c>
      <c r="B16" s="5" t="str">
        <f t="shared" si="4"/>
        <v>A91C</v>
      </c>
      <c r="C16" s="40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9" t="s">
        <v>189</v>
      </c>
      <c r="B17" s="5" t="str">
        <f t="shared" si="4"/>
        <v>A91E</v>
      </c>
      <c r="C17" s="40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9" t="s">
        <v>190</v>
      </c>
      <c r="B18" s="5" t="str">
        <f t="shared" si="4"/>
        <v>A920</v>
      </c>
      <c r="C18" s="40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9" t="s">
        <v>191</v>
      </c>
      <c r="B19" s="5" t="str">
        <f t="shared" si="4"/>
        <v>A922</v>
      </c>
      <c r="C19" s="40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9" t="s">
        <v>192</v>
      </c>
      <c r="B20" s="5" t="str">
        <f t="shared" si="4"/>
        <v>A924</v>
      </c>
      <c r="C20" s="40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9" t="s">
        <v>193</v>
      </c>
      <c r="B21" s="5" t="str">
        <f t="shared" si="4"/>
        <v>A926</v>
      </c>
      <c r="C21" s="40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9" t="s">
        <v>194</v>
      </c>
      <c r="B22" s="5" t="str">
        <f t="shared" si="4"/>
        <v>A928</v>
      </c>
      <c r="C22" s="40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9" t="s">
        <v>195</v>
      </c>
      <c r="B23" s="5" t="str">
        <f t="shared" si="4"/>
        <v>A92A</v>
      </c>
      <c r="C23" s="40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9" t="s">
        <v>196</v>
      </c>
      <c r="B24" s="5" t="str">
        <f t="shared" si="4"/>
        <v>A92C</v>
      </c>
      <c r="C24" s="40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9" t="s">
        <v>197</v>
      </c>
      <c r="B25" s="5" t="str">
        <f t="shared" si="4"/>
        <v>A92E</v>
      </c>
      <c r="C25" s="40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9" t="s">
        <v>198</v>
      </c>
      <c r="B26" s="5" t="str">
        <f t="shared" si="4"/>
        <v>A930</v>
      </c>
      <c r="C26" s="40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9" t="s">
        <v>199</v>
      </c>
      <c r="B27" s="5" t="str">
        <f t="shared" si="4"/>
        <v>A932</v>
      </c>
      <c r="C27" s="40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9" t="s">
        <v>200</v>
      </c>
      <c r="B28" s="5" t="str">
        <f t="shared" si="4"/>
        <v>A934</v>
      </c>
      <c r="C28" s="40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9" t="s">
        <v>201</v>
      </c>
      <c r="B29" s="5" t="str">
        <f t="shared" si="4"/>
        <v>A936</v>
      </c>
      <c r="C29" s="40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9" t="s">
        <v>202</v>
      </c>
      <c r="B30" s="5" t="str">
        <f t="shared" si="4"/>
        <v>A938</v>
      </c>
      <c r="C30" s="40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9" t="s">
        <v>203</v>
      </c>
      <c r="B31" s="5" t="str">
        <f t="shared" si="4"/>
        <v>A93A</v>
      </c>
      <c r="C31" s="40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9" t="s">
        <v>204</v>
      </c>
      <c r="B32" s="5" t="str">
        <f t="shared" si="4"/>
        <v>A93C</v>
      </c>
      <c r="C32" s="40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9" t="s">
        <v>205</v>
      </c>
      <c r="B33" s="5" t="str">
        <f t="shared" si="4"/>
        <v>A93E</v>
      </c>
      <c r="C33" s="40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9" t="s">
        <v>206</v>
      </c>
      <c r="B34" s="5" t="str">
        <f t="shared" si="4"/>
        <v>A940</v>
      </c>
      <c r="C34" s="40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9" t="s">
        <v>207</v>
      </c>
      <c r="B35" s="5" t="str">
        <f t="shared" si="4"/>
        <v>A942</v>
      </c>
      <c r="C35" s="40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9" t="s">
        <v>208</v>
      </c>
      <c r="B36" s="5" t="str">
        <f t="shared" si="4"/>
        <v>A944</v>
      </c>
      <c r="C36" s="40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9" t="s">
        <v>209</v>
      </c>
      <c r="B37" s="5" t="str">
        <f t="shared" si="4"/>
        <v>A946</v>
      </c>
      <c r="C37" s="40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9" t="s">
        <v>210</v>
      </c>
      <c r="B38" s="5" t="str">
        <f t="shared" si="4"/>
        <v>A948</v>
      </c>
      <c r="C38" s="40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9" t="s">
        <v>211</v>
      </c>
      <c r="B39" s="5" t="str">
        <f t="shared" si="4"/>
        <v>A94A</v>
      </c>
      <c r="C39" s="40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9" t="s">
        <v>212</v>
      </c>
      <c r="B40" s="5" t="str">
        <f t="shared" si="4"/>
        <v>A94C</v>
      </c>
      <c r="C40" s="40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9" t="s">
        <v>213</v>
      </c>
      <c r="B41" s="5" t="str">
        <f t="shared" si="4"/>
        <v>A94E</v>
      </c>
      <c r="C41" s="40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9" t="s">
        <v>214</v>
      </c>
      <c r="B42" s="5" t="str">
        <f t="shared" si="4"/>
        <v>A950</v>
      </c>
      <c r="C42" s="40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9" t="s">
        <v>215</v>
      </c>
      <c r="B43" s="5" t="str">
        <f t="shared" si="4"/>
        <v>A952</v>
      </c>
      <c r="C43" s="40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9" t="s">
        <v>216</v>
      </c>
      <c r="B44" s="5" t="str">
        <f t="shared" si="4"/>
        <v>A954</v>
      </c>
      <c r="C44" s="40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9" t="s">
        <v>217</v>
      </c>
      <c r="B45" s="5" t="str">
        <f t="shared" si="4"/>
        <v>A956</v>
      </c>
      <c r="C45" s="40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9" t="s">
        <v>218</v>
      </c>
      <c r="B46" s="5" t="str">
        <f t="shared" si="4"/>
        <v>A958</v>
      </c>
      <c r="C46" s="40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9" t="s">
        <v>219</v>
      </c>
      <c r="B47" s="5" t="str">
        <f t="shared" si="4"/>
        <v>A95A</v>
      </c>
      <c r="C47" s="40" t="str">
        <f t="shared" si="0"/>
        <v>10110000</v>
      </c>
      <c r="D47" s="5" t="str">
        <f t="shared" si="1"/>
        <v>10000001</v>
      </c>
      <c r="E47" s="25" t="str">
        <f t="shared" si="2"/>
        <v>B0</v>
      </c>
      <c r="F47" s="26" t="str">
        <f t="shared" si="3"/>
        <v>81</v>
      </c>
      <c r="H47" s="22" t="str">
        <f>RIGHT(C47,7)</f>
        <v>0110000</v>
      </c>
      <c r="I47" s="22" t="str">
        <f>RIGHT(D47,7)</f>
        <v>0000001</v>
      </c>
      <c r="J47" s="22" t="str" cm="1">
        <f t="array" ref="J47">ReverseString(H47)</f>
        <v>0000110</v>
      </c>
      <c r="K47" s="22" t="str" cm="1">
        <f t="array" ref="K47">ReverseString(I47)</f>
        <v>1000000</v>
      </c>
    </row>
    <row r="48" spans="1:11" x14ac:dyDescent="0.3">
      <c r="A48" s="39" t="s">
        <v>220</v>
      </c>
      <c r="B48" s="5" t="str">
        <f t="shared" si="4"/>
        <v>A95C</v>
      </c>
      <c r="C48" s="40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9" t="s">
        <v>221</v>
      </c>
      <c r="B49" s="5" t="str">
        <f t="shared" si="4"/>
        <v>A95E</v>
      </c>
      <c r="C49" s="40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9" t="s">
        <v>222</v>
      </c>
      <c r="B50" s="5" t="str">
        <f t="shared" si="4"/>
        <v>A960</v>
      </c>
      <c r="C50" s="40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9" t="s">
        <v>223</v>
      </c>
      <c r="B51" s="5" t="str">
        <f t="shared" si="4"/>
        <v>A962</v>
      </c>
      <c r="C51" s="40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9" t="s">
        <v>224</v>
      </c>
      <c r="B52" s="5" t="str">
        <f t="shared" si="4"/>
        <v>A964</v>
      </c>
      <c r="C52" s="40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9" t="s">
        <v>225</v>
      </c>
      <c r="B53" s="5" t="str">
        <f t="shared" si="4"/>
        <v>A966</v>
      </c>
      <c r="C53" s="40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9" t="s">
        <v>226</v>
      </c>
      <c r="B54" s="5" t="str">
        <f t="shared" si="4"/>
        <v>A968</v>
      </c>
      <c r="C54" s="40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9" t="s">
        <v>227</v>
      </c>
      <c r="B55" s="5" t="str">
        <f t="shared" si="4"/>
        <v>A96A</v>
      </c>
      <c r="C55" s="40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9" t="s">
        <v>228</v>
      </c>
      <c r="B56" s="5" t="str">
        <f t="shared" si="4"/>
        <v>A96C</v>
      </c>
      <c r="C56" s="40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9" t="s">
        <v>229</v>
      </c>
      <c r="B57" s="5" t="str">
        <f t="shared" si="4"/>
        <v>A96E</v>
      </c>
      <c r="C57" s="40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9" t="s">
        <v>230</v>
      </c>
      <c r="B58" s="5" t="str">
        <f t="shared" si="4"/>
        <v>A970</v>
      </c>
      <c r="C58" s="40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9" t="s">
        <v>231</v>
      </c>
      <c r="B59" s="5" t="str">
        <f t="shared" si="4"/>
        <v>A972</v>
      </c>
      <c r="C59" s="40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9" t="s">
        <v>232</v>
      </c>
      <c r="B60" s="5" t="str">
        <f t="shared" si="4"/>
        <v>A974</v>
      </c>
      <c r="C60" s="40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9" t="s">
        <v>233</v>
      </c>
      <c r="B61" s="5" t="str">
        <f t="shared" si="4"/>
        <v>A976</v>
      </c>
      <c r="C61" s="40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9" t="s">
        <v>234</v>
      </c>
      <c r="B62" s="5" t="str">
        <f t="shared" si="4"/>
        <v>A978</v>
      </c>
      <c r="C62" s="40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9" t="s">
        <v>235</v>
      </c>
      <c r="B63" s="5" t="str">
        <f t="shared" si="4"/>
        <v>A97A</v>
      </c>
      <c r="C63" s="40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9" t="s">
        <v>236</v>
      </c>
      <c r="B64" s="5" t="str">
        <f t="shared" si="4"/>
        <v>A97C</v>
      </c>
      <c r="C64" s="40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9" t="s">
        <v>237</v>
      </c>
      <c r="B65" s="5" t="str">
        <f t="shared" si="4"/>
        <v>A97E</v>
      </c>
      <c r="C65" s="40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9" t="s">
        <v>238</v>
      </c>
      <c r="B66" s="5" t="str">
        <f t="shared" si="4"/>
        <v>A980</v>
      </c>
      <c r="C66" s="40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9" t="s">
        <v>239</v>
      </c>
      <c r="B67" s="5" t="str">
        <f t="shared" si="4"/>
        <v>A982</v>
      </c>
      <c r="C67" s="40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9" t="s">
        <v>240</v>
      </c>
      <c r="B68" s="5" t="str">
        <f t="shared" ref="B68:B131" si="9">DEC2HEX(HEX2DEC(B67)+2)</f>
        <v>A984</v>
      </c>
      <c r="C68" s="40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9" t="s">
        <v>241</v>
      </c>
      <c r="B69" s="5" t="str">
        <f t="shared" si="9"/>
        <v>A986</v>
      </c>
      <c r="C69" s="40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9" t="s">
        <v>242</v>
      </c>
      <c r="B70" s="5" t="str">
        <f t="shared" si="9"/>
        <v>A988</v>
      </c>
      <c r="C70" s="40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9" t="s">
        <v>243</v>
      </c>
      <c r="B71" s="5" t="str">
        <f t="shared" si="9"/>
        <v>A98A</v>
      </c>
      <c r="C71" s="40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9" t="s">
        <v>244</v>
      </c>
      <c r="B72" s="5" t="str">
        <f t="shared" si="9"/>
        <v>A98C</v>
      </c>
      <c r="C72" s="40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9" t="s">
        <v>245</v>
      </c>
      <c r="B73" s="5" t="str">
        <f t="shared" si="9"/>
        <v>A98E</v>
      </c>
      <c r="C73" s="40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9" t="s">
        <v>246</v>
      </c>
      <c r="B74" s="5" t="str">
        <f t="shared" si="9"/>
        <v>A990</v>
      </c>
      <c r="C74" s="40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9" t="s">
        <v>247</v>
      </c>
      <c r="B75" s="5" t="str">
        <f t="shared" si="9"/>
        <v>A992</v>
      </c>
      <c r="C75" s="40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9" t="s">
        <v>248</v>
      </c>
      <c r="B76" s="5" t="str">
        <f t="shared" si="9"/>
        <v>A994</v>
      </c>
      <c r="C76" s="40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9" t="s">
        <v>249</v>
      </c>
      <c r="B77" s="5" t="str">
        <f t="shared" si="9"/>
        <v>A996</v>
      </c>
      <c r="C77" s="40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9" t="s">
        <v>250</v>
      </c>
      <c r="B78" s="5" t="str">
        <f t="shared" si="9"/>
        <v>A998</v>
      </c>
      <c r="C78" s="40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9" t="s">
        <v>251</v>
      </c>
      <c r="B79" s="5" t="str">
        <f t="shared" si="9"/>
        <v>A99A</v>
      </c>
      <c r="C79" s="40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9" t="s">
        <v>252</v>
      </c>
      <c r="B80" s="5" t="str">
        <f t="shared" si="9"/>
        <v>A99C</v>
      </c>
      <c r="C80" s="40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9" t="s">
        <v>253</v>
      </c>
      <c r="B81" s="5" t="str">
        <f t="shared" si="9"/>
        <v>A99E</v>
      </c>
      <c r="C81" s="40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9" t="s">
        <v>254</v>
      </c>
      <c r="B82" s="5" t="str">
        <f t="shared" si="9"/>
        <v>A9A0</v>
      </c>
      <c r="C82" s="40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9" t="s">
        <v>255</v>
      </c>
      <c r="B83" s="5" t="str">
        <f t="shared" si="9"/>
        <v>A9A2</v>
      </c>
      <c r="C83" s="40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9" t="s">
        <v>256</v>
      </c>
      <c r="B84" s="5" t="str">
        <f t="shared" si="9"/>
        <v>A9A4</v>
      </c>
      <c r="C84" s="40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9" t="s">
        <v>257</v>
      </c>
      <c r="B85" s="5" t="str">
        <f t="shared" si="9"/>
        <v>A9A6</v>
      </c>
      <c r="C85" s="40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9" t="s">
        <v>258</v>
      </c>
      <c r="B86" s="5" t="str">
        <f t="shared" si="9"/>
        <v>A9A8</v>
      </c>
      <c r="C86" s="40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9" t="s">
        <v>259</v>
      </c>
      <c r="B87" s="5" t="str">
        <f t="shared" si="9"/>
        <v>A9AA</v>
      </c>
      <c r="C87" s="40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9" t="s">
        <v>260</v>
      </c>
      <c r="B88" s="5" t="str">
        <f t="shared" si="9"/>
        <v>A9AC</v>
      </c>
      <c r="C88" s="40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9" t="s">
        <v>261</v>
      </c>
      <c r="B89" s="5" t="str">
        <f t="shared" si="9"/>
        <v>A9AE</v>
      </c>
      <c r="C89" s="40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9" t="s">
        <v>262</v>
      </c>
      <c r="B90" s="5" t="str">
        <f t="shared" si="9"/>
        <v>A9B0</v>
      </c>
      <c r="C90" s="40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9" t="s">
        <v>263</v>
      </c>
      <c r="B91" s="5" t="str">
        <f t="shared" si="9"/>
        <v>A9B2</v>
      </c>
      <c r="C91" s="40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9" t="s">
        <v>264</v>
      </c>
      <c r="B92" s="5" t="str">
        <f t="shared" si="9"/>
        <v>A9B4</v>
      </c>
      <c r="C92" s="40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9" t="s">
        <v>265</v>
      </c>
      <c r="B93" s="5" t="str">
        <f t="shared" si="9"/>
        <v>A9B6</v>
      </c>
      <c r="C93" s="40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9" t="s">
        <v>266</v>
      </c>
      <c r="B94" s="5" t="str">
        <f t="shared" si="9"/>
        <v>A9B8</v>
      </c>
      <c r="C94" s="40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9" t="s">
        <v>267</v>
      </c>
      <c r="B95" s="5" t="str">
        <f t="shared" si="9"/>
        <v>A9BA</v>
      </c>
      <c r="C95" s="40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9" t="s">
        <v>268</v>
      </c>
      <c r="B96" s="5" t="str">
        <f t="shared" si="9"/>
        <v>A9BC</v>
      </c>
      <c r="C96" s="40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9" t="s">
        <v>269</v>
      </c>
      <c r="B97" s="5" t="str">
        <f t="shared" si="9"/>
        <v>A9BE</v>
      </c>
      <c r="C97" s="40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9" t="s">
        <v>270</v>
      </c>
      <c r="B98" s="5" t="str">
        <f t="shared" si="9"/>
        <v>A9C0</v>
      </c>
      <c r="C98" s="40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9" t="s">
        <v>271</v>
      </c>
      <c r="B99" s="5" t="str">
        <f t="shared" si="9"/>
        <v>A9C2</v>
      </c>
      <c r="C99" s="40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9" t="s">
        <v>272</v>
      </c>
      <c r="B100" s="5" t="str">
        <f t="shared" si="9"/>
        <v>A9C4</v>
      </c>
      <c r="C100" s="40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9" t="s">
        <v>273</v>
      </c>
      <c r="B101" s="5" t="str">
        <f t="shared" si="9"/>
        <v>A9C6</v>
      </c>
      <c r="C101" s="40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9" t="s">
        <v>274</v>
      </c>
      <c r="B102" s="5" t="str">
        <f t="shared" si="9"/>
        <v>A9C8</v>
      </c>
      <c r="C102" s="40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9" t="s">
        <v>275</v>
      </c>
      <c r="B103" s="5" t="str">
        <f t="shared" si="9"/>
        <v>A9CA</v>
      </c>
      <c r="C103" s="40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9" t="s">
        <v>276</v>
      </c>
      <c r="B104" s="5" t="str">
        <f t="shared" si="9"/>
        <v>A9CC</v>
      </c>
      <c r="C104" s="40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9" t="s">
        <v>277</v>
      </c>
      <c r="B105" s="5" t="str">
        <f t="shared" si="9"/>
        <v>A9CE</v>
      </c>
      <c r="C105" s="40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9" t="s">
        <v>278</v>
      </c>
      <c r="B106" s="5" t="str">
        <f t="shared" si="9"/>
        <v>A9D0</v>
      </c>
      <c r="C106" s="40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9" t="s">
        <v>279</v>
      </c>
      <c r="B107" s="5" t="str">
        <f t="shared" si="9"/>
        <v>A9D2</v>
      </c>
      <c r="C107" s="40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9" t="s">
        <v>280</v>
      </c>
      <c r="B108" s="5" t="str">
        <f t="shared" si="9"/>
        <v>A9D4</v>
      </c>
      <c r="C108" s="40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9" t="s">
        <v>281</v>
      </c>
      <c r="B109" s="5" t="str">
        <f t="shared" si="9"/>
        <v>A9D6</v>
      </c>
      <c r="C109" s="40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9" t="s">
        <v>282</v>
      </c>
      <c r="B110" s="5" t="str">
        <f t="shared" si="9"/>
        <v>A9D8</v>
      </c>
      <c r="C110" s="40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9" t="s">
        <v>283</v>
      </c>
      <c r="B111" s="5" t="str">
        <f t="shared" si="9"/>
        <v>A9DA</v>
      </c>
      <c r="C111" s="40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9" t="s">
        <v>284</v>
      </c>
      <c r="B112" s="5" t="str">
        <f t="shared" si="9"/>
        <v>A9DC</v>
      </c>
      <c r="C112" s="40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9" t="s">
        <v>285</v>
      </c>
      <c r="B113" s="5" t="str">
        <f t="shared" si="9"/>
        <v>A9DE</v>
      </c>
      <c r="C113" s="40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9" t="s">
        <v>286</v>
      </c>
      <c r="B114" s="5" t="str">
        <f t="shared" si="9"/>
        <v>A9E0</v>
      </c>
      <c r="C114" s="40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9" t="s">
        <v>287</v>
      </c>
      <c r="B115" s="5" t="str">
        <f t="shared" si="9"/>
        <v>A9E2</v>
      </c>
      <c r="C115" s="40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9" t="s">
        <v>288</v>
      </c>
      <c r="B116" s="5" t="str">
        <f t="shared" si="9"/>
        <v>A9E4</v>
      </c>
      <c r="C116" s="40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9" t="s">
        <v>289</v>
      </c>
      <c r="B117" s="5" t="str">
        <f t="shared" si="9"/>
        <v>A9E6</v>
      </c>
      <c r="C117" s="40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9" t="s">
        <v>290</v>
      </c>
      <c r="B118" s="5" t="str">
        <f t="shared" si="9"/>
        <v>A9E8</v>
      </c>
      <c r="C118" s="40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9" t="s">
        <v>291</v>
      </c>
      <c r="B119" s="5" t="str">
        <f t="shared" si="9"/>
        <v>A9EA</v>
      </c>
      <c r="C119" s="40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9" t="s">
        <v>292</v>
      </c>
      <c r="B120" s="5" t="str">
        <f t="shared" si="9"/>
        <v>A9EC</v>
      </c>
      <c r="C120" s="40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9" t="s">
        <v>293</v>
      </c>
      <c r="B121" s="5" t="str">
        <f t="shared" si="9"/>
        <v>A9EE</v>
      </c>
      <c r="C121" s="40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9" t="s">
        <v>294</v>
      </c>
      <c r="B122" s="5" t="str">
        <f t="shared" si="9"/>
        <v>A9F0</v>
      </c>
      <c r="C122" s="40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9" t="s">
        <v>295</v>
      </c>
      <c r="B123" s="5" t="str">
        <f t="shared" si="9"/>
        <v>A9F2</v>
      </c>
      <c r="C123" s="40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9" t="s">
        <v>296</v>
      </c>
      <c r="B124" s="5" t="str">
        <f t="shared" si="9"/>
        <v>A9F4</v>
      </c>
      <c r="C124" s="40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9" t="s">
        <v>297</v>
      </c>
      <c r="B125" s="5" t="str">
        <f t="shared" si="9"/>
        <v>A9F6</v>
      </c>
      <c r="C125" s="40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9" t="s">
        <v>298</v>
      </c>
      <c r="B126" s="5" t="str">
        <f t="shared" si="9"/>
        <v>A9F8</v>
      </c>
      <c r="C126" s="40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9" t="s">
        <v>299</v>
      </c>
      <c r="B127" s="5" t="str">
        <f t="shared" si="9"/>
        <v>A9FA</v>
      </c>
      <c r="C127" s="40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9" t="s">
        <v>300</v>
      </c>
      <c r="B128" s="5" t="str">
        <f t="shared" si="9"/>
        <v>A9FC</v>
      </c>
      <c r="C128" s="40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9" t="s">
        <v>301</v>
      </c>
      <c r="B129" s="5" t="str">
        <f t="shared" si="9"/>
        <v>A9FE</v>
      </c>
      <c r="C129" s="40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9" t="s">
        <v>302</v>
      </c>
      <c r="B130" s="5" t="str">
        <f t="shared" si="9"/>
        <v>AA00</v>
      </c>
      <c r="C130" s="40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9" t="s">
        <v>303</v>
      </c>
      <c r="B131" s="5" t="str">
        <f t="shared" si="9"/>
        <v>AA02</v>
      </c>
      <c r="C131" s="40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9" t="s">
        <v>304</v>
      </c>
      <c r="B132" s="5" t="str">
        <f t="shared" ref="B132:B195" si="14">DEC2HEX(HEX2DEC(B131)+2)</f>
        <v>AA04</v>
      </c>
      <c r="C132" s="40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9" t="s">
        <v>305</v>
      </c>
      <c r="B133" s="5" t="str">
        <f t="shared" si="14"/>
        <v>AA06</v>
      </c>
      <c r="C133" s="40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9" t="s">
        <v>306</v>
      </c>
      <c r="B134" s="5" t="str">
        <f t="shared" si="14"/>
        <v>AA08</v>
      </c>
      <c r="C134" s="40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9" t="s">
        <v>307</v>
      </c>
      <c r="B135" s="5" t="str">
        <f t="shared" si="14"/>
        <v>AA0A</v>
      </c>
      <c r="C135" s="40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9" t="s">
        <v>308</v>
      </c>
      <c r="B136" s="5" t="str">
        <f t="shared" si="14"/>
        <v>AA0C</v>
      </c>
      <c r="C136" s="40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9" t="s">
        <v>309</v>
      </c>
      <c r="B137" s="5" t="str">
        <f t="shared" si="14"/>
        <v>AA0E</v>
      </c>
      <c r="C137" s="40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9" t="s">
        <v>310</v>
      </c>
      <c r="B138" s="5" t="str">
        <f t="shared" si="14"/>
        <v>AA10</v>
      </c>
      <c r="C138" s="40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9" t="s">
        <v>311</v>
      </c>
      <c r="B139" s="5" t="str">
        <f t="shared" si="14"/>
        <v>AA12</v>
      </c>
      <c r="C139" s="40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9" t="s">
        <v>312</v>
      </c>
      <c r="B140" s="5" t="str">
        <f t="shared" si="14"/>
        <v>AA14</v>
      </c>
      <c r="C140" s="40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9" t="s">
        <v>313</v>
      </c>
      <c r="B141" s="5" t="str">
        <f t="shared" si="14"/>
        <v>AA16</v>
      </c>
      <c r="C141" s="40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9" t="s">
        <v>314</v>
      </c>
      <c r="B142" s="5" t="str">
        <f t="shared" si="14"/>
        <v>AA18</v>
      </c>
      <c r="C142" s="40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9" t="s">
        <v>315</v>
      </c>
      <c r="B143" s="5" t="str">
        <f t="shared" si="14"/>
        <v>AA1A</v>
      </c>
      <c r="C143" s="40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9" t="s">
        <v>316</v>
      </c>
      <c r="B144" s="5" t="str">
        <f t="shared" si="14"/>
        <v>AA1C</v>
      </c>
      <c r="C144" s="40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9" t="s">
        <v>317</v>
      </c>
      <c r="B145" s="5" t="str">
        <f t="shared" si="14"/>
        <v>AA1E</v>
      </c>
      <c r="C145" s="40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9" t="s">
        <v>318</v>
      </c>
      <c r="B146" s="5" t="str">
        <f t="shared" si="14"/>
        <v>AA20</v>
      </c>
      <c r="C146" s="40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9" t="s">
        <v>319</v>
      </c>
      <c r="B147" s="5" t="str">
        <f t="shared" si="14"/>
        <v>AA22</v>
      </c>
      <c r="C147" s="40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9" t="s">
        <v>320</v>
      </c>
      <c r="B148" s="5" t="str">
        <f t="shared" si="14"/>
        <v>AA24</v>
      </c>
      <c r="C148" s="40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9" t="s">
        <v>321</v>
      </c>
      <c r="B149" s="5" t="str">
        <f t="shared" si="14"/>
        <v>AA26</v>
      </c>
      <c r="C149" s="40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9" t="s">
        <v>322</v>
      </c>
      <c r="B150" s="5" t="str">
        <f t="shared" si="14"/>
        <v>AA28</v>
      </c>
      <c r="C150" s="40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9" t="s">
        <v>323</v>
      </c>
      <c r="B151" s="5" t="str">
        <f t="shared" si="14"/>
        <v>AA2A</v>
      </c>
      <c r="C151" s="40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9" t="s">
        <v>324</v>
      </c>
      <c r="B152" s="5" t="str">
        <f t="shared" si="14"/>
        <v>AA2C</v>
      </c>
      <c r="C152" s="40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9" t="s">
        <v>325</v>
      </c>
      <c r="B153" s="5" t="str">
        <f t="shared" si="14"/>
        <v>AA2E</v>
      </c>
      <c r="C153" s="40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9" t="s">
        <v>326</v>
      </c>
      <c r="B154" s="5" t="str">
        <f t="shared" si="14"/>
        <v>AA30</v>
      </c>
      <c r="C154" s="40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9" t="s">
        <v>327</v>
      </c>
      <c r="B155" s="5" t="str">
        <f t="shared" si="14"/>
        <v>AA32</v>
      </c>
      <c r="C155" s="40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9" t="s">
        <v>328</v>
      </c>
      <c r="B156" s="5" t="str">
        <f t="shared" si="14"/>
        <v>AA34</v>
      </c>
      <c r="C156" s="40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9" t="s">
        <v>329</v>
      </c>
      <c r="B157" s="5" t="str">
        <f t="shared" si="14"/>
        <v>AA36</v>
      </c>
      <c r="C157" s="40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9" t="s">
        <v>330</v>
      </c>
      <c r="B158" s="5" t="str">
        <f t="shared" si="14"/>
        <v>AA38</v>
      </c>
      <c r="C158" s="40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9" t="s">
        <v>331</v>
      </c>
      <c r="B159" s="5" t="str">
        <f t="shared" si="14"/>
        <v>AA3A</v>
      </c>
      <c r="C159" s="40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9" t="s">
        <v>332</v>
      </c>
      <c r="B160" s="5" t="str">
        <f t="shared" si="14"/>
        <v>AA3C</v>
      </c>
      <c r="C160" s="40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9" t="s">
        <v>333</v>
      </c>
      <c r="B161" s="5" t="str">
        <f t="shared" si="14"/>
        <v>AA3E</v>
      </c>
      <c r="C161" s="40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9" t="s">
        <v>334</v>
      </c>
      <c r="B162" s="5" t="str">
        <f t="shared" si="14"/>
        <v>AA40</v>
      </c>
      <c r="C162" s="40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9" t="s">
        <v>335</v>
      </c>
      <c r="B163" s="5" t="str">
        <f t="shared" si="14"/>
        <v>AA42</v>
      </c>
      <c r="C163" s="40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9" t="s">
        <v>336</v>
      </c>
      <c r="B164" s="5" t="str">
        <f t="shared" si="14"/>
        <v>AA44</v>
      </c>
      <c r="C164" s="40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9" t="s">
        <v>337</v>
      </c>
      <c r="B165" s="5" t="str">
        <f t="shared" si="14"/>
        <v>AA46</v>
      </c>
      <c r="C165" s="40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9" t="s">
        <v>338</v>
      </c>
      <c r="B166" s="5" t="str">
        <f t="shared" si="14"/>
        <v>AA48</v>
      </c>
      <c r="C166" s="40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9" t="s">
        <v>339</v>
      </c>
      <c r="B167" s="5" t="str">
        <f t="shared" si="14"/>
        <v>AA4A</v>
      </c>
      <c r="C167" s="40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9" t="s">
        <v>340</v>
      </c>
      <c r="B168" s="5" t="str">
        <f t="shared" si="14"/>
        <v>AA4C</v>
      </c>
      <c r="C168" s="40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9" t="s">
        <v>341</v>
      </c>
      <c r="B169" s="5" t="str">
        <f t="shared" si="14"/>
        <v>AA4E</v>
      </c>
      <c r="C169" s="40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9" t="s">
        <v>342</v>
      </c>
      <c r="B170" s="5" t="str">
        <f t="shared" si="14"/>
        <v>AA50</v>
      </c>
      <c r="C170" s="40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9" t="s">
        <v>343</v>
      </c>
      <c r="B171" s="5" t="str">
        <f t="shared" si="14"/>
        <v>AA52</v>
      </c>
      <c r="C171" s="40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9" t="s">
        <v>344</v>
      </c>
      <c r="B172" s="5" t="str">
        <f t="shared" si="14"/>
        <v>AA54</v>
      </c>
      <c r="C172" s="40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9" t="s">
        <v>345</v>
      </c>
      <c r="B173" s="5" t="str">
        <f t="shared" si="14"/>
        <v>AA56</v>
      </c>
      <c r="C173" s="40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9" t="s">
        <v>346</v>
      </c>
      <c r="B174" s="5" t="str">
        <f t="shared" si="14"/>
        <v>AA58</v>
      </c>
      <c r="C174" s="40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9" t="s">
        <v>347</v>
      </c>
      <c r="B175" s="5" t="str">
        <f t="shared" si="14"/>
        <v>AA5A</v>
      </c>
      <c r="C175" s="40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9" t="s">
        <v>348</v>
      </c>
      <c r="B176" s="5" t="str">
        <f t="shared" si="14"/>
        <v>AA5C</v>
      </c>
      <c r="C176" s="40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9" t="s">
        <v>349</v>
      </c>
      <c r="B177" s="5" t="str">
        <f t="shared" si="14"/>
        <v>AA5E</v>
      </c>
      <c r="C177" s="40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9" t="s">
        <v>350</v>
      </c>
      <c r="B178" s="5" t="str">
        <f t="shared" si="14"/>
        <v>AA60</v>
      </c>
      <c r="C178" s="40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9" t="s">
        <v>351</v>
      </c>
      <c r="B179" s="5" t="str">
        <f t="shared" si="14"/>
        <v>AA62</v>
      </c>
      <c r="C179" s="40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9" t="s">
        <v>352</v>
      </c>
      <c r="B180" s="5" t="str">
        <f t="shared" si="14"/>
        <v>AA64</v>
      </c>
      <c r="C180" s="40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9" t="s">
        <v>353</v>
      </c>
      <c r="B181" s="5" t="str">
        <f t="shared" si="14"/>
        <v>AA66</v>
      </c>
      <c r="C181" s="40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9" t="s">
        <v>354</v>
      </c>
      <c r="B182" s="5" t="str">
        <f t="shared" si="14"/>
        <v>AA68</v>
      </c>
      <c r="C182" s="40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9" t="s">
        <v>355</v>
      </c>
      <c r="B183" s="5" t="str">
        <f t="shared" si="14"/>
        <v>AA6A</v>
      </c>
      <c r="C183" s="40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9" t="s">
        <v>356</v>
      </c>
      <c r="B184" s="5" t="str">
        <f t="shared" si="14"/>
        <v>AA6C</v>
      </c>
      <c r="C184" s="40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9" t="s">
        <v>357</v>
      </c>
      <c r="B185" s="5" t="str">
        <f t="shared" si="14"/>
        <v>AA6E</v>
      </c>
      <c r="C185" s="40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9" t="s">
        <v>358</v>
      </c>
      <c r="B186" s="5" t="str">
        <f t="shared" si="14"/>
        <v>AA70</v>
      </c>
      <c r="C186" s="40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9" t="s">
        <v>359</v>
      </c>
      <c r="B187" s="5" t="str">
        <f t="shared" si="14"/>
        <v>AA72</v>
      </c>
      <c r="C187" s="40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9" t="s">
        <v>360</v>
      </c>
      <c r="B188" s="5" t="str">
        <f t="shared" si="14"/>
        <v>AA74</v>
      </c>
      <c r="C188" s="40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9" t="s">
        <v>361</v>
      </c>
      <c r="B189" s="5" t="str">
        <f t="shared" si="14"/>
        <v>AA76</v>
      </c>
      <c r="C189" s="40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9" t="s">
        <v>362</v>
      </c>
      <c r="B190" s="5" t="str">
        <f t="shared" si="14"/>
        <v>AA78</v>
      </c>
      <c r="C190" s="40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9" t="s">
        <v>363</v>
      </c>
      <c r="B191" s="5" t="str">
        <f t="shared" si="14"/>
        <v>AA7A</v>
      </c>
      <c r="C191" s="40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9" t="s">
        <v>364</v>
      </c>
      <c r="B192" s="5" t="str">
        <f t="shared" si="14"/>
        <v>AA7C</v>
      </c>
      <c r="C192" s="40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9" t="s">
        <v>365</v>
      </c>
      <c r="B193" s="5" t="str">
        <f t="shared" si="14"/>
        <v>AA7E</v>
      </c>
      <c r="C193" s="40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9" t="s">
        <v>366</v>
      </c>
      <c r="B194" s="5" t="str">
        <f t="shared" si="14"/>
        <v>AA80</v>
      </c>
      <c r="C194" s="40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9" t="s">
        <v>367</v>
      </c>
      <c r="B195" s="5" t="str">
        <f t="shared" si="14"/>
        <v>AA82</v>
      </c>
      <c r="C195" s="40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9" t="s">
        <v>368</v>
      </c>
      <c r="B196" s="5" t="str">
        <f t="shared" ref="B196:B259" si="19">DEC2HEX(HEX2DEC(B195)+2)</f>
        <v>AA84</v>
      </c>
      <c r="C196" s="40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9" t="s">
        <v>369</v>
      </c>
      <c r="B197" s="5" t="str">
        <f t="shared" si="19"/>
        <v>AA86</v>
      </c>
      <c r="C197" s="40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9" t="s">
        <v>370</v>
      </c>
      <c r="B198" s="5" t="str">
        <f t="shared" si="19"/>
        <v>AA88</v>
      </c>
      <c r="C198" s="40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9" t="s">
        <v>371</v>
      </c>
      <c r="B199" s="5" t="str">
        <f t="shared" si="19"/>
        <v>AA8A</v>
      </c>
      <c r="C199" s="40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9" t="s">
        <v>372</v>
      </c>
      <c r="B200" s="5" t="str">
        <f t="shared" si="19"/>
        <v>AA8C</v>
      </c>
      <c r="C200" s="40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9" t="s">
        <v>373</v>
      </c>
      <c r="B201" s="5" t="str">
        <f t="shared" si="19"/>
        <v>AA8E</v>
      </c>
      <c r="C201" s="40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9" t="s">
        <v>374</v>
      </c>
      <c r="B202" s="5" t="str">
        <f t="shared" si="19"/>
        <v>AA90</v>
      </c>
      <c r="C202" s="40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9" t="s">
        <v>375</v>
      </c>
      <c r="B203" s="5" t="str">
        <f t="shared" si="19"/>
        <v>AA92</v>
      </c>
      <c r="C203" s="40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9" t="s">
        <v>376</v>
      </c>
      <c r="B204" s="5" t="str">
        <f t="shared" si="19"/>
        <v>AA94</v>
      </c>
      <c r="C204" s="40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9" t="s">
        <v>377</v>
      </c>
      <c r="B205" s="5" t="str">
        <f t="shared" si="19"/>
        <v>AA96</v>
      </c>
      <c r="C205" s="40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9" t="s">
        <v>378</v>
      </c>
      <c r="B206" s="5" t="str">
        <f t="shared" si="19"/>
        <v>AA98</v>
      </c>
      <c r="C206" s="40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9" t="s">
        <v>379</v>
      </c>
      <c r="B207" s="5" t="str">
        <f t="shared" si="19"/>
        <v>AA9A</v>
      </c>
      <c r="C207" s="40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9" t="s">
        <v>380</v>
      </c>
      <c r="B208" s="5" t="str">
        <f t="shared" si="19"/>
        <v>AA9C</v>
      </c>
      <c r="C208" s="40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9" t="s">
        <v>381</v>
      </c>
      <c r="B209" s="5" t="str">
        <f t="shared" si="19"/>
        <v>AA9E</v>
      </c>
      <c r="C209" s="40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9" t="s">
        <v>382</v>
      </c>
      <c r="B210" s="5" t="str">
        <f t="shared" si="19"/>
        <v>AAA0</v>
      </c>
      <c r="C210" s="40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9" t="s">
        <v>383</v>
      </c>
      <c r="B211" s="5" t="str">
        <f t="shared" si="19"/>
        <v>AAA2</v>
      </c>
      <c r="C211" s="40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9" t="s">
        <v>384</v>
      </c>
      <c r="B212" s="5" t="str">
        <f t="shared" si="19"/>
        <v>AAA4</v>
      </c>
      <c r="C212" s="40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9" t="s">
        <v>385</v>
      </c>
      <c r="B213" s="5" t="str">
        <f t="shared" si="19"/>
        <v>AAA6</v>
      </c>
      <c r="C213" s="40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9" t="s">
        <v>386</v>
      </c>
      <c r="B214" s="5" t="str">
        <f t="shared" si="19"/>
        <v>AAA8</v>
      </c>
      <c r="C214" s="40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9" t="s">
        <v>387</v>
      </c>
      <c r="B215" s="5" t="str">
        <f t="shared" si="19"/>
        <v>AAAA</v>
      </c>
      <c r="C215" s="40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9" t="s">
        <v>388</v>
      </c>
      <c r="B216" s="5" t="str">
        <f t="shared" si="19"/>
        <v>AAAC</v>
      </c>
      <c r="C216" s="40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9" t="s">
        <v>389</v>
      </c>
      <c r="B217" s="5" t="str">
        <f t="shared" si="19"/>
        <v>AAAE</v>
      </c>
      <c r="C217" s="40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9" t="s">
        <v>390</v>
      </c>
      <c r="B218" s="5" t="str">
        <f t="shared" si="19"/>
        <v>AAB0</v>
      </c>
      <c r="C218" s="40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9" t="s">
        <v>391</v>
      </c>
      <c r="B219" s="5" t="str">
        <f t="shared" si="19"/>
        <v>AAB2</v>
      </c>
      <c r="C219" s="40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9" t="s">
        <v>392</v>
      </c>
      <c r="B220" s="5" t="str">
        <f t="shared" si="19"/>
        <v>AAB4</v>
      </c>
      <c r="C220" s="40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9" t="s">
        <v>393</v>
      </c>
      <c r="B221" s="5" t="str">
        <f t="shared" si="19"/>
        <v>AAB6</v>
      </c>
      <c r="C221" s="40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9" t="s">
        <v>394</v>
      </c>
      <c r="B222" s="5" t="str">
        <f t="shared" si="19"/>
        <v>AAB8</v>
      </c>
      <c r="C222" s="40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9" t="s">
        <v>395</v>
      </c>
      <c r="B223" s="5" t="str">
        <f t="shared" si="19"/>
        <v>AABA</v>
      </c>
      <c r="C223" s="40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9" t="s">
        <v>396</v>
      </c>
      <c r="B224" s="5" t="str">
        <f t="shared" si="19"/>
        <v>AABC</v>
      </c>
      <c r="C224" s="40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9" t="s">
        <v>397</v>
      </c>
      <c r="B225" s="5" t="str">
        <f t="shared" si="19"/>
        <v>AABE</v>
      </c>
      <c r="C225" s="40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9" t="s">
        <v>398</v>
      </c>
      <c r="B226" s="5" t="str">
        <f t="shared" si="19"/>
        <v>AAC0</v>
      </c>
      <c r="C226" s="40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9" t="s">
        <v>399</v>
      </c>
      <c r="B227" s="5" t="str">
        <f t="shared" si="19"/>
        <v>AAC2</v>
      </c>
      <c r="C227" s="40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9" t="s">
        <v>400</v>
      </c>
      <c r="B228" s="5" t="str">
        <f t="shared" si="19"/>
        <v>AAC4</v>
      </c>
      <c r="C228" s="40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9" t="s">
        <v>401</v>
      </c>
      <c r="B229" s="5" t="str">
        <f t="shared" si="19"/>
        <v>AAC6</v>
      </c>
      <c r="C229" s="40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9" t="s">
        <v>402</v>
      </c>
      <c r="B230" s="5" t="str">
        <f t="shared" si="19"/>
        <v>AAC8</v>
      </c>
      <c r="C230" s="40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9" t="s">
        <v>403</v>
      </c>
      <c r="B231" s="5" t="str">
        <f t="shared" si="19"/>
        <v>AACA</v>
      </c>
      <c r="C231" s="40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9" t="s">
        <v>404</v>
      </c>
      <c r="B232" s="5" t="str">
        <f t="shared" si="19"/>
        <v>AACC</v>
      </c>
      <c r="C232" s="40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9" t="s">
        <v>405</v>
      </c>
      <c r="B233" s="5" t="str">
        <f t="shared" si="19"/>
        <v>AACE</v>
      </c>
      <c r="C233" s="40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9" t="s">
        <v>406</v>
      </c>
      <c r="B234" s="5" t="str">
        <f t="shared" si="19"/>
        <v>AAD0</v>
      </c>
      <c r="C234" s="40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9" t="s">
        <v>407</v>
      </c>
      <c r="B235" s="5" t="str">
        <f t="shared" si="19"/>
        <v>AAD2</v>
      </c>
      <c r="C235" s="40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9" t="s">
        <v>408</v>
      </c>
      <c r="B236" s="5" t="str">
        <f t="shared" si="19"/>
        <v>AAD4</v>
      </c>
      <c r="C236" s="40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9" t="s">
        <v>409</v>
      </c>
      <c r="B237" s="5" t="str">
        <f t="shared" si="19"/>
        <v>AAD6</v>
      </c>
      <c r="C237" s="40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9" t="s">
        <v>410</v>
      </c>
      <c r="B238" s="5" t="str">
        <f t="shared" si="19"/>
        <v>AAD8</v>
      </c>
      <c r="C238" s="40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9" t="s">
        <v>411</v>
      </c>
      <c r="B239" s="5" t="str">
        <f t="shared" si="19"/>
        <v>AADA</v>
      </c>
      <c r="C239" s="40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9" t="s">
        <v>412</v>
      </c>
      <c r="B240" s="5" t="str">
        <f t="shared" si="19"/>
        <v>AADC</v>
      </c>
      <c r="C240" s="40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9" t="s">
        <v>413</v>
      </c>
      <c r="B241" s="5" t="str">
        <f t="shared" si="19"/>
        <v>AADE</v>
      </c>
      <c r="C241" s="40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9" t="s">
        <v>414</v>
      </c>
      <c r="B242" s="5" t="str">
        <f t="shared" si="19"/>
        <v>AAE0</v>
      </c>
      <c r="C242" s="40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9" t="s">
        <v>415</v>
      </c>
      <c r="B243" s="5" t="str">
        <f t="shared" si="19"/>
        <v>AAE2</v>
      </c>
      <c r="C243" s="40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9" t="s">
        <v>416</v>
      </c>
      <c r="B244" s="5" t="str">
        <f t="shared" si="19"/>
        <v>AAE4</v>
      </c>
      <c r="C244" s="40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9" t="s">
        <v>417</v>
      </c>
      <c r="B245" s="5" t="str">
        <f t="shared" si="19"/>
        <v>AAE6</v>
      </c>
      <c r="C245" s="40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9" t="s">
        <v>418</v>
      </c>
      <c r="B246" s="5" t="str">
        <f t="shared" si="19"/>
        <v>AAE8</v>
      </c>
      <c r="C246" s="40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9" t="s">
        <v>419</v>
      </c>
      <c r="B247" s="5" t="str">
        <f t="shared" si="19"/>
        <v>AAEA</v>
      </c>
      <c r="C247" s="40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9" t="s">
        <v>420</v>
      </c>
      <c r="B248" s="5" t="str">
        <f t="shared" si="19"/>
        <v>AAEC</v>
      </c>
      <c r="C248" s="40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9" t="s">
        <v>421</v>
      </c>
      <c r="B249" s="5" t="str">
        <f t="shared" si="19"/>
        <v>AAEE</v>
      </c>
      <c r="C249" s="40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9" t="s">
        <v>422</v>
      </c>
      <c r="B250" s="5" t="str">
        <f t="shared" si="19"/>
        <v>AAF0</v>
      </c>
      <c r="C250" s="40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9" t="s">
        <v>423</v>
      </c>
      <c r="B251" s="5" t="str">
        <f t="shared" si="19"/>
        <v>AAF2</v>
      </c>
      <c r="C251" s="40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9" t="s">
        <v>424</v>
      </c>
      <c r="B252" s="5" t="str">
        <f t="shared" si="19"/>
        <v>AAF4</v>
      </c>
      <c r="C252" s="40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9" t="s">
        <v>425</v>
      </c>
      <c r="B253" s="5" t="str">
        <f t="shared" si="19"/>
        <v>AAF6</v>
      </c>
      <c r="C253" s="40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9" t="s">
        <v>426</v>
      </c>
      <c r="B254" s="5" t="str">
        <f t="shared" si="19"/>
        <v>AAF8</v>
      </c>
      <c r="C254" s="40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9" t="s">
        <v>427</v>
      </c>
      <c r="B255" s="5" t="str">
        <f t="shared" si="19"/>
        <v>AAFA</v>
      </c>
      <c r="C255" s="40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9" t="s">
        <v>428</v>
      </c>
      <c r="B256" s="5" t="str">
        <f t="shared" si="19"/>
        <v>AAFC</v>
      </c>
      <c r="C256" s="40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9" t="s">
        <v>429</v>
      </c>
      <c r="B257" s="5" t="str">
        <f t="shared" si="19"/>
        <v>AAFE</v>
      </c>
      <c r="C257" s="40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9" t="s">
        <v>430</v>
      </c>
      <c r="B258" s="5" t="str">
        <f t="shared" si="19"/>
        <v>AB00</v>
      </c>
      <c r="C258" s="40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9" t="s">
        <v>431</v>
      </c>
      <c r="B259" s="5" t="str">
        <f t="shared" si="19"/>
        <v>AB02</v>
      </c>
      <c r="C259" s="40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9" t="s">
        <v>432</v>
      </c>
      <c r="B260" s="5" t="str">
        <f t="shared" ref="B260:B323" si="24">DEC2HEX(HEX2DEC(B259)+2)</f>
        <v>AB04</v>
      </c>
      <c r="C260" s="40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9" t="s">
        <v>433</v>
      </c>
      <c r="B261" s="5" t="str">
        <f t="shared" si="24"/>
        <v>AB06</v>
      </c>
      <c r="C261" s="40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9" t="s">
        <v>434</v>
      </c>
      <c r="B262" s="5" t="str">
        <f t="shared" si="24"/>
        <v>AB08</v>
      </c>
      <c r="C262" s="40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9" t="s">
        <v>435</v>
      </c>
      <c r="B263" s="5" t="str">
        <f t="shared" si="24"/>
        <v>AB0A</v>
      </c>
      <c r="C263" s="40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9" t="s">
        <v>436</v>
      </c>
      <c r="B264" s="5" t="str">
        <f t="shared" si="24"/>
        <v>AB0C</v>
      </c>
      <c r="C264" s="40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9" t="s">
        <v>437</v>
      </c>
      <c r="B265" s="5" t="str">
        <f t="shared" si="24"/>
        <v>AB0E</v>
      </c>
      <c r="C265" s="40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9" t="s">
        <v>438</v>
      </c>
      <c r="B266" s="5" t="str">
        <f t="shared" si="24"/>
        <v>AB10</v>
      </c>
      <c r="C266" s="40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9" t="s">
        <v>439</v>
      </c>
      <c r="B267" s="5" t="str">
        <f t="shared" si="24"/>
        <v>AB12</v>
      </c>
      <c r="C267" s="40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9" t="s">
        <v>440</v>
      </c>
      <c r="B268" s="5" t="str">
        <f t="shared" si="24"/>
        <v>AB14</v>
      </c>
      <c r="C268" s="40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9" t="s">
        <v>441</v>
      </c>
      <c r="B269" s="5" t="str">
        <f t="shared" si="24"/>
        <v>AB16</v>
      </c>
      <c r="C269" s="40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9" t="s">
        <v>442</v>
      </c>
      <c r="B270" s="5" t="str">
        <f t="shared" si="24"/>
        <v>AB18</v>
      </c>
      <c r="C270" s="40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9" t="s">
        <v>443</v>
      </c>
      <c r="B271" s="5" t="str">
        <f t="shared" si="24"/>
        <v>AB1A</v>
      </c>
      <c r="C271" s="40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9" t="s">
        <v>444</v>
      </c>
      <c r="B272" s="5" t="str">
        <f t="shared" si="24"/>
        <v>AB1C</v>
      </c>
      <c r="C272" s="40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9" t="s">
        <v>445</v>
      </c>
      <c r="B273" s="5" t="str">
        <f t="shared" si="24"/>
        <v>AB1E</v>
      </c>
      <c r="C273" s="40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9" t="s">
        <v>446</v>
      </c>
      <c r="B274" s="5" t="str">
        <f t="shared" si="24"/>
        <v>AB20</v>
      </c>
      <c r="C274" s="40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9" t="s">
        <v>447</v>
      </c>
      <c r="B275" s="5" t="str">
        <f t="shared" si="24"/>
        <v>AB22</v>
      </c>
      <c r="C275" s="40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9" t="s">
        <v>448</v>
      </c>
      <c r="B276" s="5" t="str">
        <f t="shared" si="24"/>
        <v>AB24</v>
      </c>
      <c r="C276" s="40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9" t="s">
        <v>449</v>
      </c>
      <c r="B277" s="5" t="str">
        <f t="shared" si="24"/>
        <v>AB26</v>
      </c>
      <c r="C277" s="40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9" t="s">
        <v>450</v>
      </c>
      <c r="B278" s="5" t="str">
        <f t="shared" si="24"/>
        <v>AB28</v>
      </c>
      <c r="C278" s="40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9" t="s">
        <v>451</v>
      </c>
      <c r="B279" s="5" t="str">
        <f t="shared" si="24"/>
        <v>AB2A</v>
      </c>
      <c r="C279" s="40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9" t="s">
        <v>452</v>
      </c>
      <c r="B280" s="5" t="str">
        <f t="shared" si="24"/>
        <v>AB2C</v>
      </c>
      <c r="C280" s="40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9" t="s">
        <v>453</v>
      </c>
      <c r="B281" s="5" t="str">
        <f t="shared" si="24"/>
        <v>AB2E</v>
      </c>
      <c r="C281" s="40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9" t="s">
        <v>454</v>
      </c>
      <c r="B282" s="5" t="str">
        <f t="shared" si="24"/>
        <v>AB30</v>
      </c>
      <c r="C282" s="40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9" t="s">
        <v>455</v>
      </c>
      <c r="B283" s="5" t="str">
        <f t="shared" si="24"/>
        <v>AB32</v>
      </c>
      <c r="C283" s="40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9" t="s">
        <v>456</v>
      </c>
      <c r="B284" s="5" t="str">
        <f t="shared" si="24"/>
        <v>AB34</v>
      </c>
      <c r="C284" s="40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9" t="s">
        <v>457</v>
      </c>
      <c r="B285" s="5" t="str">
        <f t="shared" si="24"/>
        <v>AB36</v>
      </c>
      <c r="C285" s="40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9" t="s">
        <v>458</v>
      </c>
      <c r="B286" s="5" t="str">
        <f t="shared" si="24"/>
        <v>AB38</v>
      </c>
      <c r="C286" s="40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9" t="s">
        <v>459</v>
      </c>
      <c r="B287" s="5" t="str">
        <f t="shared" si="24"/>
        <v>AB3A</v>
      </c>
      <c r="C287" s="40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9" t="s">
        <v>460</v>
      </c>
      <c r="B288" s="5" t="str">
        <f t="shared" si="24"/>
        <v>AB3C</v>
      </c>
      <c r="C288" s="40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9" t="s">
        <v>461</v>
      </c>
      <c r="B289" s="5" t="str">
        <f t="shared" si="24"/>
        <v>AB3E</v>
      </c>
      <c r="C289" s="40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9" t="s">
        <v>462</v>
      </c>
      <c r="B290" s="5" t="str">
        <f t="shared" si="24"/>
        <v>AB40</v>
      </c>
      <c r="C290" s="40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9" t="s">
        <v>463</v>
      </c>
      <c r="B291" s="5" t="str">
        <f t="shared" si="24"/>
        <v>AB42</v>
      </c>
      <c r="C291" s="40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9" t="s">
        <v>464</v>
      </c>
      <c r="B292" s="5" t="str">
        <f t="shared" si="24"/>
        <v>AB44</v>
      </c>
      <c r="C292" s="40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9" t="s">
        <v>465</v>
      </c>
      <c r="B293" s="5" t="str">
        <f t="shared" si="24"/>
        <v>AB46</v>
      </c>
      <c r="C293" s="40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9" t="s">
        <v>466</v>
      </c>
      <c r="B294" s="5" t="str">
        <f t="shared" si="24"/>
        <v>AB48</v>
      </c>
      <c r="C294" s="40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9" t="s">
        <v>467</v>
      </c>
      <c r="B295" s="5" t="str">
        <f t="shared" si="24"/>
        <v>AB4A</v>
      </c>
      <c r="C295" s="40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9" t="s">
        <v>468</v>
      </c>
      <c r="B296" s="5" t="str">
        <f t="shared" si="24"/>
        <v>AB4C</v>
      </c>
      <c r="C296" s="40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9" t="s">
        <v>469</v>
      </c>
      <c r="B297" s="5" t="str">
        <f t="shared" si="24"/>
        <v>AB4E</v>
      </c>
      <c r="C297" s="40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9" t="s">
        <v>470</v>
      </c>
      <c r="B298" s="5" t="str">
        <f t="shared" si="24"/>
        <v>AB50</v>
      </c>
      <c r="C298" s="40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9" t="s">
        <v>471</v>
      </c>
      <c r="B299" s="5" t="str">
        <f t="shared" si="24"/>
        <v>AB52</v>
      </c>
      <c r="C299" s="40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9" t="s">
        <v>472</v>
      </c>
      <c r="B300" s="5" t="str">
        <f t="shared" si="24"/>
        <v>AB54</v>
      </c>
      <c r="C300" s="40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9" t="s">
        <v>473</v>
      </c>
      <c r="B301" s="5" t="str">
        <f t="shared" si="24"/>
        <v>AB56</v>
      </c>
      <c r="C301" s="40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9" t="s">
        <v>474</v>
      </c>
      <c r="B302" s="5" t="str">
        <f t="shared" si="24"/>
        <v>AB58</v>
      </c>
      <c r="C302" s="40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9" t="s">
        <v>475</v>
      </c>
      <c r="B303" s="5" t="str">
        <f t="shared" si="24"/>
        <v>AB5A</v>
      </c>
      <c r="C303" s="40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9" t="s">
        <v>476</v>
      </c>
      <c r="B304" s="5" t="str">
        <f t="shared" si="24"/>
        <v>AB5C</v>
      </c>
      <c r="C304" s="40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9" t="s">
        <v>477</v>
      </c>
      <c r="B305" s="5" t="str">
        <f t="shared" si="24"/>
        <v>AB5E</v>
      </c>
      <c r="C305" s="40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9" t="s">
        <v>478</v>
      </c>
      <c r="B306" s="5" t="str">
        <f t="shared" si="24"/>
        <v>AB60</v>
      </c>
      <c r="C306" s="40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9" t="s">
        <v>479</v>
      </c>
      <c r="B307" s="5" t="str">
        <f t="shared" si="24"/>
        <v>AB62</v>
      </c>
      <c r="C307" s="40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9" t="s">
        <v>480</v>
      </c>
      <c r="B308" s="5" t="str">
        <f t="shared" si="24"/>
        <v>AB64</v>
      </c>
      <c r="C308" s="40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9" t="s">
        <v>481</v>
      </c>
      <c r="B309" s="5" t="str">
        <f t="shared" si="24"/>
        <v>AB66</v>
      </c>
      <c r="C309" s="40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9" t="s">
        <v>482</v>
      </c>
      <c r="B310" s="5" t="str">
        <f t="shared" si="24"/>
        <v>AB68</v>
      </c>
      <c r="C310" s="40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9" t="s">
        <v>483</v>
      </c>
      <c r="B311" s="5" t="str">
        <f t="shared" si="24"/>
        <v>AB6A</v>
      </c>
      <c r="C311" s="40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9" t="s">
        <v>484</v>
      </c>
      <c r="B312" s="5" t="str">
        <f t="shared" si="24"/>
        <v>AB6C</v>
      </c>
      <c r="C312" s="40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9" t="s">
        <v>485</v>
      </c>
      <c r="B313" s="5" t="str">
        <f t="shared" si="24"/>
        <v>AB6E</v>
      </c>
      <c r="C313" s="40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9" t="s">
        <v>486</v>
      </c>
      <c r="B314" s="5" t="str">
        <f t="shared" si="24"/>
        <v>AB70</v>
      </c>
      <c r="C314" s="40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9" t="s">
        <v>487</v>
      </c>
      <c r="B315" s="5" t="str">
        <f t="shared" si="24"/>
        <v>AB72</v>
      </c>
      <c r="C315" s="40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9" t="s">
        <v>488</v>
      </c>
      <c r="B316" s="5" t="str">
        <f t="shared" si="24"/>
        <v>AB74</v>
      </c>
      <c r="C316" s="40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9" t="s">
        <v>489</v>
      </c>
      <c r="B317" s="5" t="str">
        <f t="shared" si="24"/>
        <v>AB76</v>
      </c>
      <c r="C317" s="40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9" t="s">
        <v>490</v>
      </c>
      <c r="B318" s="5" t="str">
        <f t="shared" si="24"/>
        <v>AB78</v>
      </c>
      <c r="C318" s="40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9" t="s">
        <v>491</v>
      </c>
      <c r="B319" s="5" t="str">
        <f t="shared" si="24"/>
        <v>AB7A</v>
      </c>
      <c r="C319" s="40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9" t="s">
        <v>492</v>
      </c>
      <c r="B320" s="5" t="str">
        <f t="shared" si="24"/>
        <v>AB7C</v>
      </c>
      <c r="C320" s="40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9" t="s">
        <v>493</v>
      </c>
      <c r="B321" s="5" t="str">
        <f t="shared" si="24"/>
        <v>AB7E</v>
      </c>
      <c r="C321" s="40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9" t="s">
        <v>494</v>
      </c>
      <c r="B322" s="5" t="str">
        <f t="shared" si="24"/>
        <v>AB80</v>
      </c>
      <c r="C322" s="40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9" t="s">
        <v>495</v>
      </c>
      <c r="B323" s="5" t="str">
        <f t="shared" si="24"/>
        <v>AB82</v>
      </c>
      <c r="C323" s="40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9" t="s">
        <v>496</v>
      </c>
      <c r="B324" s="5" t="str">
        <f t="shared" ref="B324:B387" si="29">DEC2HEX(HEX2DEC(B323)+2)</f>
        <v>AB84</v>
      </c>
      <c r="C324" s="40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9" t="s">
        <v>497</v>
      </c>
      <c r="B325" s="5" t="str">
        <f t="shared" si="29"/>
        <v>AB86</v>
      </c>
      <c r="C325" s="40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9" t="s">
        <v>498</v>
      </c>
      <c r="B326" s="5" t="str">
        <f t="shared" si="29"/>
        <v>AB88</v>
      </c>
      <c r="C326" s="40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9" t="s">
        <v>499</v>
      </c>
      <c r="B327" s="5" t="str">
        <f t="shared" si="29"/>
        <v>AB8A</v>
      </c>
      <c r="C327" s="40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9" t="s">
        <v>500</v>
      </c>
      <c r="B328" s="5" t="str">
        <f t="shared" si="29"/>
        <v>AB8C</v>
      </c>
      <c r="C328" s="40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9" t="s">
        <v>501</v>
      </c>
      <c r="B329" s="5" t="str">
        <f t="shared" si="29"/>
        <v>AB8E</v>
      </c>
      <c r="C329" s="40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9" t="s">
        <v>502</v>
      </c>
      <c r="B330" s="5" t="str">
        <f t="shared" si="29"/>
        <v>AB90</v>
      </c>
      <c r="C330" s="40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9" t="s">
        <v>503</v>
      </c>
      <c r="B331" s="5" t="str">
        <f t="shared" si="29"/>
        <v>AB92</v>
      </c>
      <c r="C331" s="40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9" t="s">
        <v>504</v>
      </c>
      <c r="B332" s="5" t="str">
        <f t="shared" si="29"/>
        <v>AB94</v>
      </c>
      <c r="C332" s="40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9" t="s">
        <v>505</v>
      </c>
      <c r="B333" s="5" t="str">
        <f t="shared" si="29"/>
        <v>AB96</v>
      </c>
      <c r="C333" s="40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9" t="s">
        <v>506</v>
      </c>
      <c r="B334" s="5" t="str">
        <f t="shared" si="29"/>
        <v>AB98</v>
      </c>
      <c r="C334" s="40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9" t="s">
        <v>507</v>
      </c>
      <c r="B335" s="5" t="str">
        <f t="shared" si="29"/>
        <v>AB9A</v>
      </c>
      <c r="C335" s="40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9" t="s">
        <v>508</v>
      </c>
      <c r="B336" s="5" t="str">
        <f t="shared" si="29"/>
        <v>AB9C</v>
      </c>
      <c r="C336" s="40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9" t="s">
        <v>509</v>
      </c>
      <c r="B337" s="5" t="str">
        <f t="shared" si="29"/>
        <v>AB9E</v>
      </c>
      <c r="C337" s="40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9" t="s">
        <v>510</v>
      </c>
      <c r="B338" s="5" t="str">
        <f t="shared" si="29"/>
        <v>ABA0</v>
      </c>
      <c r="C338" s="40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9" t="s">
        <v>511</v>
      </c>
      <c r="B339" s="5" t="str">
        <f t="shared" si="29"/>
        <v>ABA2</v>
      </c>
      <c r="C339" s="40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9" t="s">
        <v>512</v>
      </c>
      <c r="B340" s="5" t="str">
        <f t="shared" si="29"/>
        <v>ABA4</v>
      </c>
      <c r="C340" s="40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9" t="s">
        <v>513</v>
      </c>
      <c r="B341" s="5" t="str">
        <f t="shared" si="29"/>
        <v>ABA6</v>
      </c>
      <c r="C341" s="40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9" t="s">
        <v>514</v>
      </c>
      <c r="B342" s="5" t="str">
        <f t="shared" si="29"/>
        <v>ABA8</v>
      </c>
      <c r="C342" s="40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9" t="s">
        <v>515</v>
      </c>
      <c r="B343" s="5" t="str">
        <f t="shared" si="29"/>
        <v>ABAA</v>
      </c>
      <c r="C343" s="40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9" t="s">
        <v>516</v>
      </c>
      <c r="B344" s="5" t="str">
        <f t="shared" si="29"/>
        <v>ABAC</v>
      </c>
      <c r="C344" s="40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9" t="s">
        <v>517</v>
      </c>
      <c r="B345" s="5" t="str">
        <f t="shared" si="29"/>
        <v>ABAE</v>
      </c>
      <c r="C345" s="40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9" t="s">
        <v>518</v>
      </c>
      <c r="B346" s="5" t="str">
        <f t="shared" si="29"/>
        <v>ABB0</v>
      </c>
      <c r="C346" s="40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9" t="s">
        <v>519</v>
      </c>
      <c r="B347" s="5" t="str">
        <f t="shared" si="29"/>
        <v>ABB2</v>
      </c>
      <c r="C347" s="40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9" t="s">
        <v>520</v>
      </c>
      <c r="B348" s="5" t="str">
        <f t="shared" si="29"/>
        <v>ABB4</v>
      </c>
      <c r="C348" s="40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9" t="s">
        <v>521</v>
      </c>
      <c r="B349" s="5" t="str">
        <f t="shared" si="29"/>
        <v>ABB6</v>
      </c>
      <c r="C349" s="40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9" t="s">
        <v>522</v>
      </c>
      <c r="B350" s="5" t="str">
        <f t="shared" si="29"/>
        <v>ABB8</v>
      </c>
      <c r="C350" s="40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9" t="s">
        <v>523</v>
      </c>
      <c r="B351" s="5" t="str">
        <f t="shared" si="29"/>
        <v>ABBA</v>
      </c>
      <c r="C351" s="40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9" t="s">
        <v>524</v>
      </c>
      <c r="B352" s="5" t="str">
        <f t="shared" si="29"/>
        <v>ABBC</v>
      </c>
      <c r="C352" s="40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9" t="s">
        <v>525</v>
      </c>
      <c r="B353" s="5" t="str">
        <f t="shared" si="29"/>
        <v>ABBE</v>
      </c>
      <c r="C353" s="40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9" t="s">
        <v>526</v>
      </c>
      <c r="B354" s="5" t="str">
        <f t="shared" si="29"/>
        <v>ABC0</v>
      </c>
      <c r="C354" s="40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9" t="s">
        <v>527</v>
      </c>
      <c r="B355" s="5" t="str">
        <f t="shared" si="29"/>
        <v>ABC2</v>
      </c>
      <c r="C355" s="40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9" t="s">
        <v>528</v>
      </c>
      <c r="B356" s="5" t="str">
        <f t="shared" si="29"/>
        <v>ABC4</v>
      </c>
      <c r="C356" s="40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9" t="s">
        <v>529</v>
      </c>
      <c r="B357" s="5" t="str">
        <f t="shared" si="29"/>
        <v>ABC6</v>
      </c>
      <c r="C357" s="40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9" t="s">
        <v>530</v>
      </c>
      <c r="B358" s="5" t="str">
        <f t="shared" si="29"/>
        <v>ABC8</v>
      </c>
      <c r="C358" s="40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9" t="s">
        <v>531</v>
      </c>
      <c r="B359" s="5" t="str">
        <f t="shared" si="29"/>
        <v>ABCA</v>
      </c>
      <c r="C359" s="40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9" t="s">
        <v>532</v>
      </c>
      <c r="B360" s="5" t="str">
        <f t="shared" si="29"/>
        <v>ABCC</v>
      </c>
      <c r="C360" s="40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9" t="s">
        <v>533</v>
      </c>
      <c r="B361" s="5" t="str">
        <f t="shared" si="29"/>
        <v>ABCE</v>
      </c>
      <c r="C361" s="40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9" t="s">
        <v>534</v>
      </c>
      <c r="B362" s="5" t="str">
        <f t="shared" si="29"/>
        <v>ABD0</v>
      </c>
      <c r="C362" s="40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9" t="s">
        <v>535</v>
      </c>
      <c r="B363" s="5" t="str">
        <f t="shared" si="29"/>
        <v>ABD2</v>
      </c>
      <c r="C363" s="40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9" t="s">
        <v>536</v>
      </c>
      <c r="B364" s="5" t="str">
        <f t="shared" si="29"/>
        <v>ABD4</v>
      </c>
      <c r="C364" s="40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9" t="s">
        <v>537</v>
      </c>
      <c r="B365" s="5" t="str">
        <f t="shared" si="29"/>
        <v>ABD6</v>
      </c>
      <c r="C365" s="40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9" t="s">
        <v>538</v>
      </c>
      <c r="B366" s="5" t="str">
        <f t="shared" si="29"/>
        <v>ABD8</v>
      </c>
      <c r="C366" s="40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9" t="s">
        <v>539</v>
      </c>
      <c r="B367" s="5" t="str">
        <f t="shared" si="29"/>
        <v>ABDA</v>
      </c>
      <c r="C367" s="40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9" t="s">
        <v>540</v>
      </c>
      <c r="B368" s="5" t="str">
        <f t="shared" si="29"/>
        <v>ABDC</v>
      </c>
      <c r="C368" s="40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9" t="s">
        <v>541</v>
      </c>
      <c r="B369" s="5" t="str">
        <f t="shared" si="29"/>
        <v>ABDE</v>
      </c>
      <c r="C369" s="40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9" t="s">
        <v>542</v>
      </c>
      <c r="B370" s="5" t="str">
        <f t="shared" si="29"/>
        <v>ABE0</v>
      </c>
      <c r="C370" s="40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9" t="s">
        <v>543</v>
      </c>
      <c r="B371" s="5" t="str">
        <f t="shared" si="29"/>
        <v>ABE2</v>
      </c>
      <c r="C371" s="40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9" t="s">
        <v>544</v>
      </c>
      <c r="B372" s="5" t="str">
        <f t="shared" si="29"/>
        <v>ABE4</v>
      </c>
      <c r="C372" s="40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9" t="s">
        <v>545</v>
      </c>
      <c r="B373" s="5" t="str">
        <f t="shared" si="29"/>
        <v>ABE6</v>
      </c>
      <c r="C373" s="40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9" t="s">
        <v>546</v>
      </c>
      <c r="B374" s="5" t="str">
        <f t="shared" si="29"/>
        <v>ABE8</v>
      </c>
      <c r="C374" s="40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9" t="s">
        <v>547</v>
      </c>
      <c r="B375" s="5" t="str">
        <f t="shared" si="29"/>
        <v>ABEA</v>
      </c>
      <c r="C375" s="40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9" t="s">
        <v>548</v>
      </c>
      <c r="B376" s="5" t="str">
        <f t="shared" si="29"/>
        <v>ABEC</v>
      </c>
      <c r="C376" s="40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9" t="s">
        <v>549</v>
      </c>
      <c r="B377" s="5" t="str">
        <f t="shared" si="29"/>
        <v>ABEE</v>
      </c>
      <c r="C377" s="40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9" t="s">
        <v>550</v>
      </c>
      <c r="B378" s="5" t="str">
        <f t="shared" si="29"/>
        <v>ABF0</v>
      </c>
      <c r="C378" s="40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9" t="s">
        <v>551</v>
      </c>
      <c r="B379" s="5" t="str">
        <f t="shared" si="29"/>
        <v>ABF2</v>
      </c>
      <c r="C379" s="40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9" t="s">
        <v>552</v>
      </c>
      <c r="B380" s="5" t="str">
        <f t="shared" si="29"/>
        <v>ABF4</v>
      </c>
      <c r="C380" s="40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9" t="s">
        <v>553</v>
      </c>
      <c r="B381" s="5" t="str">
        <f t="shared" si="29"/>
        <v>ABF6</v>
      </c>
      <c r="C381" s="40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9" t="s">
        <v>554</v>
      </c>
      <c r="B382" s="5" t="str">
        <f t="shared" si="29"/>
        <v>ABF8</v>
      </c>
      <c r="C382" s="40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9" t="s">
        <v>555</v>
      </c>
      <c r="B383" s="5" t="str">
        <f t="shared" si="29"/>
        <v>ABFA</v>
      </c>
      <c r="C383" s="40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9" t="s">
        <v>556</v>
      </c>
      <c r="B384" s="5" t="str">
        <f t="shared" si="29"/>
        <v>ABFC</v>
      </c>
      <c r="C384" s="40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9" t="s">
        <v>557</v>
      </c>
      <c r="B385" s="5" t="str">
        <f t="shared" si="29"/>
        <v>ABFE</v>
      </c>
      <c r="C385" s="40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9" t="s">
        <v>558</v>
      </c>
      <c r="B386" s="5" t="str">
        <f t="shared" si="29"/>
        <v>AC00</v>
      </c>
      <c r="C386" s="40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9" t="s">
        <v>559</v>
      </c>
      <c r="B387" s="5" t="str">
        <f t="shared" si="29"/>
        <v>AC02</v>
      </c>
      <c r="C387" s="40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9" t="s">
        <v>560</v>
      </c>
      <c r="B388" s="5" t="str">
        <f t="shared" ref="B388:B451" si="35">DEC2HEX(HEX2DEC(B387)+2)</f>
        <v>AC04</v>
      </c>
      <c r="C388" s="40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9" t="s">
        <v>561</v>
      </c>
      <c r="B389" s="5" t="str">
        <f t="shared" si="35"/>
        <v>AC06</v>
      </c>
      <c r="C389" s="40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9" t="s">
        <v>562</v>
      </c>
      <c r="B390" s="5" t="str">
        <f t="shared" si="35"/>
        <v>AC08</v>
      </c>
      <c r="C390" s="40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9" t="s">
        <v>563</v>
      </c>
      <c r="B391" s="5" t="str">
        <f t="shared" si="35"/>
        <v>AC0A</v>
      </c>
      <c r="C391" s="40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9" t="s">
        <v>564</v>
      </c>
      <c r="B392" s="5" t="str">
        <f t="shared" si="35"/>
        <v>AC0C</v>
      </c>
      <c r="C392" s="40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9" t="s">
        <v>565</v>
      </c>
      <c r="B393" s="5" t="str">
        <f t="shared" si="35"/>
        <v>AC0E</v>
      </c>
      <c r="C393" s="40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9" t="s">
        <v>566</v>
      </c>
      <c r="B394" s="5" t="str">
        <f t="shared" si="35"/>
        <v>AC10</v>
      </c>
      <c r="C394" s="40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9" t="s">
        <v>567</v>
      </c>
      <c r="B395" s="5" t="str">
        <f t="shared" si="35"/>
        <v>AC12</v>
      </c>
      <c r="C395" s="40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9" t="s">
        <v>568</v>
      </c>
      <c r="B396" s="5" t="str">
        <f t="shared" si="35"/>
        <v>AC14</v>
      </c>
      <c r="C396" s="40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9" t="s">
        <v>569</v>
      </c>
      <c r="B397" s="5" t="str">
        <f t="shared" si="35"/>
        <v>AC16</v>
      </c>
      <c r="C397" s="40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9" t="s">
        <v>570</v>
      </c>
      <c r="B398" s="5" t="str">
        <f t="shared" si="35"/>
        <v>AC18</v>
      </c>
      <c r="C398" s="40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9" t="s">
        <v>571</v>
      </c>
      <c r="B399" s="5" t="str">
        <f t="shared" si="35"/>
        <v>AC1A</v>
      </c>
      <c r="C399" s="40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9" t="s">
        <v>572</v>
      </c>
      <c r="B400" s="5" t="str">
        <f t="shared" si="35"/>
        <v>AC1C</v>
      </c>
      <c r="C400" s="40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9" t="s">
        <v>573</v>
      </c>
      <c r="B401" s="5" t="str">
        <f t="shared" si="35"/>
        <v>AC1E</v>
      </c>
      <c r="C401" s="40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9" t="s">
        <v>574</v>
      </c>
      <c r="B402" s="5" t="str">
        <f t="shared" si="35"/>
        <v>AC20</v>
      </c>
      <c r="C402" s="40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9" t="s">
        <v>575</v>
      </c>
      <c r="B403" s="5" t="str">
        <f t="shared" si="35"/>
        <v>AC22</v>
      </c>
      <c r="C403" s="40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9" t="s">
        <v>576</v>
      </c>
      <c r="B404" s="5" t="str">
        <f t="shared" si="35"/>
        <v>AC24</v>
      </c>
      <c r="C404" s="40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9" t="s">
        <v>577</v>
      </c>
      <c r="B405" s="5" t="str">
        <f t="shared" si="35"/>
        <v>AC26</v>
      </c>
      <c r="C405" s="40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9" t="s">
        <v>578</v>
      </c>
      <c r="B406" s="5" t="str">
        <f t="shared" si="35"/>
        <v>AC28</v>
      </c>
      <c r="C406" s="40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9" t="s">
        <v>579</v>
      </c>
      <c r="B407" s="5" t="str">
        <f t="shared" si="35"/>
        <v>AC2A</v>
      </c>
      <c r="C407" s="40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9" t="s">
        <v>580</v>
      </c>
      <c r="B408" s="5" t="str">
        <f t="shared" si="35"/>
        <v>AC2C</v>
      </c>
      <c r="C408" s="40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9" t="s">
        <v>581</v>
      </c>
      <c r="B409" s="5" t="str">
        <f t="shared" si="35"/>
        <v>AC2E</v>
      </c>
      <c r="C409" s="40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9" t="s">
        <v>582</v>
      </c>
      <c r="B410" s="5" t="str">
        <f t="shared" si="35"/>
        <v>AC30</v>
      </c>
      <c r="C410" s="40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9" t="s">
        <v>583</v>
      </c>
      <c r="B411" s="5" t="str">
        <f t="shared" si="35"/>
        <v>AC32</v>
      </c>
      <c r="C411" s="40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9" t="s">
        <v>584</v>
      </c>
      <c r="B412" s="5" t="str">
        <f t="shared" si="35"/>
        <v>AC34</v>
      </c>
      <c r="C412" s="40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9" t="s">
        <v>585</v>
      </c>
      <c r="B413" s="5" t="str">
        <f t="shared" si="35"/>
        <v>AC36</v>
      </c>
      <c r="C413" s="40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9" t="s">
        <v>586</v>
      </c>
      <c r="B414" s="5" t="str">
        <f t="shared" si="35"/>
        <v>AC38</v>
      </c>
      <c r="C414" s="40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9" t="s">
        <v>587</v>
      </c>
      <c r="B415" s="5" t="str">
        <f t="shared" si="35"/>
        <v>AC3A</v>
      </c>
      <c r="C415" s="40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9" t="s">
        <v>588</v>
      </c>
      <c r="B416" s="5" t="str">
        <f t="shared" si="35"/>
        <v>AC3C</v>
      </c>
      <c r="C416" s="40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9" t="s">
        <v>589</v>
      </c>
      <c r="B417" s="5" t="str">
        <f t="shared" si="35"/>
        <v>AC3E</v>
      </c>
      <c r="C417" s="40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9" t="s">
        <v>590</v>
      </c>
      <c r="B418" s="5" t="str">
        <f t="shared" si="35"/>
        <v>AC40</v>
      </c>
      <c r="C418" s="40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9" t="s">
        <v>591</v>
      </c>
      <c r="B419" s="5" t="str">
        <f t="shared" si="35"/>
        <v>AC42</v>
      </c>
      <c r="C419" s="40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9" t="s">
        <v>592</v>
      </c>
      <c r="B420" s="5" t="str">
        <f t="shared" si="35"/>
        <v>AC44</v>
      </c>
      <c r="C420" s="40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9" t="s">
        <v>593</v>
      </c>
      <c r="B421" s="5" t="str">
        <f t="shared" si="35"/>
        <v>AC46</v>
      </c>
      <c r="C421" s="40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9" t="s">
        <v>594</v>
      </c>
      <c r="B422" s="5" t="str">
        <f t="shared" si="35"/>
        <v>AC48</v>
      </c>
      <c r="C422" s="40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9" t="s">
        <v>595</v>
      </c>
      <c r="B423" s="5" t="str">
        <f t="shared" si="35"/>
        <v>AC4A</v>
      </c>
      <c r="C423" s="40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9" t="s">
        <v>596</v>
      </c>
      <c r="B424" s="5" t="str">
        <f t="shared" si="35"/>
        <v>AC4C</v>
      </c>
      <c r="C424" s="40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9" t="s">
        <v>597</v>
      </c>
      <c r="B425" s="5" t="str">
        <f t="shared" si="35"/>
        <v>AC4E</v>
      </c>
      <c r="C425" s="40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9" t="s">
        <v>598</v>
      </c>
      <c r="B426" s="5" t="str">
        <f t="shared" si="35"/>
        <v>AC50</v>
      </c>
      <c r="C426" s="40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9" t="s">
        <v>599</v>
      </c>
      <c r="B427" s="5" t="str">
        <f t="shared" si="35"/>
        <v>AC52</v>
      </c>
      <c r="C427" s="40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9" t="s">
        <v>600</v>
      </c>
      <c r="B428" s="5" t="str">
        <f t="shared" si="35"/>
        <v>AC54</v>
      </c>
      <c r="C428" s="40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9" t="s">
        <v>601</v>
      </c>
      <c r="B429" s="5" t="str">
        <f t="shared" si="35"/>
        <v>AC56</v>
      </c>
      <c r="C429" s="40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9" t="s">
        <v>602</v>
      </c>
      <c r="B430" s="5" t="str">
        <f t="shared" si="35"/>
        <v>AC58</v>
      </c>
      <c r="C430" s="40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9" t="s">
        <v>603</v>
      </c>
      <c r="B431" s="5" t="str">
        <f t="shared" si="35"/>
        <v>AC5A</v>
      </c>
      <c r="C431" s="40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9" t="s">
        <v>604</v>
      </c>
      <c r="B432" s="5" t="str">
        <f t="shared" si="35"/>
        <v>AC5C</v>
      </c>
      <c r="C432" s="40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9" t="s">
        <v>605</v>
      </c>
      <c r="B433" s="5" t="str">
        <f t="shared" si="35"/>
        <v>AC5E</v>
      </c>
      <c r="C433" s="40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9" t="s">
        <v>606</v>
      </c>
      <c r="B434" s="5" t="str">
        <f t="shared" si="35"/>
        <v>AC60</v>
      </c>
      <c r="C434" s="40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9" t="s">
        <v>607</v>
      </c>
      <c r="B435" s="5" t="str">
        <f t="shared" si="35"/>
        <v>AC62</v>
      </c>
      <c r="C435" s="40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9" t="s">
        <v>608</v>
      </c>
      <c r="B436" s="5" t="str">
        <f t="shared" si="35"/>
        <v>AC64</v>
      </c>
      <c r="C436" s="40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9" t="s">
        <v>609</v>
      </c>
      <c r="B437" s="5" t="str">
        <f t="shared" si="35"/>
        <v>AC66</v>
      </c>
      <c r="C437" s="40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9" t="s">
        <v>610</v>
      </c>
      <c r="B438" s="5" t="str">
        <f t="shared" si="35"/>
        <v>AC68</v>
      </c>
      <c r="C438" s="40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9" t="s">
        <v>611</v>
      </c>
      <c r="B439" s="5" t="str">
        <f t="shared" si="35"/>
        <v>AC6A</v>
      </c>
      <c r="C439" s="40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9" t="s">
        <v>612</v>
      </c>
      <c r="B440" s="5" t="str">
        <f t="shared" si="35"/>
        <v>AC6C</v>
      </c>
      <c r="C440" s="40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9" t="s">
        <v>613</v>
      </c>
      <c r="B441" s="5" t="str">
        <f t="shared" si="35"/>
        <v>AC6E</v>
      </c>
      <c r="C441" s="40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9" t="s">
        <v>614</v>
      </c>
      <c r="B442" s="5" t="str">
        <f t="shared" si="35"/>
        <v>AC70</v>
      </c>
      <c r="C442" s="40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9" t="s">
        <v>615</v>
      </c>
      <c r="B443" s="5" t="str">
        <f t="shared" si="35"/>
        <v>AC72</v>
      </c>
      <c r="C443" s="40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9" t="s">
        <v>616</v>
      </c>
      <c r="B444" s="5" t="str">
        <f t="shared" si="35"/>
        <v>AC74</v>
      </c>
      <c r="C444" s="40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9" t="s">
        <v>617</v>
      </c>
      <c r="B445" s="5" t="str">
        <f t="shared" si="35"/>
        <v>AC76</v>
      </c>
      <c r="C445" s="40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9" t="s">
        <v>618</v>
      </c>
      <c r="B446" s="5" t="str">
        <f t="shared" si="35"/>
        <v>AC78</v>
      </c>
      <c r="C446" s="40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9" t="s">
        <v>619</v>
      </c>
      <c r="B447" s="5" t="str">
        <f t="shared" si="35"/>
        <v>AC7A</v>
      </c>
      <c r="C447" s="40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9" t="s">
        <v>620</v>
      </c>
      <c r="B448" s="5" t="str">
        <f t="shared" si="35"/>
        <v>AC7C</v>
      </c>
      <c r="C448" s="40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9" t="s">
        <v>621</v>
      </c>
      <c r="B449" s="5" t="str">
        <f t="shared" si="35"/>
        <v>AC7E</v>
      </c>
      <c r="C449" s="40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9" t="s">
        <v>622</v>
      </c>
      <c r="B450" s="5" t="str">
        <f t="shared" si="35"/>
        <v>AC80</v>
      </c>
      <c r="C450" s="40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9" t="s">
        <v>623</v>
      </c>
      <c r="B451" s="5" t="str">
        <f t="shared" si="35"/>
        <v>AC82</v>
      </c>
      <c r="C451" s="40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9" t="s">
        <v>624</v>
      </c>
      <c r="B452" s="5" t="str">
        <f t="shared" ref="B452:B513" si="41">DEC2HEX(HEX2DEC(B451)+2)</f>
        <v>AC84</v>
      </c>
      <c r="C452" s="40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9" t="s">
        <v>625</v>
      </c>
      <c r="B453" s="5" t="str">
        <f t="shared" si="41"/>
        <v>AC86</v>
      </c>
      <c r="C453" s="40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9" t="s">
        <v>626</v>
      </c>
      <c r="B454" s="5" t="str">
        <f t="shared" si="41"/>
        <v>AC88</v>
      </c>
      <c r="C454" s="40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9" t="s">
        <v>627</v>
      </c>
      <c r="B455" s="5" t="str">
        <f t="shared" si="41"/>
        <v>AC8A</v>
      </c>
      <c r="C455" s="40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9" t="s">
        <v>628</v>
      </c>
      <c r="B456" s="5" t="str">
        <f t="shared" si="41"/>
        <v>AC8C</v>
      </c>
      <c r="C456" s="40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9" t="s">
        <v>629</v>
      </c>
      <c r="B457" s="5" t="str">
        <f t="shared" si="41"/>
        <v>AC8E</v>
      </c>
      <c r="C457" s="40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9" t="s">
        <v>630</v>
      </c>
      <c r="B458" s="5" t="str">
        <f t="shared" si="41"/>
        <v>AC90</v>
      </c>
      <c r="C458" s="40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9" t="s">
        <v>631</v>
      </c>
      <c r="B459" s="5" t="str">
        <f t="shared" si="41"/>
        <v>AC92</v>
      </c>
      <c r="C459" s="40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9" t="s">
        <v>632</v>
      </c>
      <c r="B460" s="5" t="str">
        <f t="shared" si="41"/>
        <v>AC94</v>
      </c>
      <c r="C460" s="40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9" t="s">
        <v>633</v>
      </c>
      <c r="B461" s="5" t="str">
        <f t="shared" si="41"/>
        <v>AC96</v>
      </c>
      <c r="C461" s="40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9" t="s">
        <v>634</v>
      </c>
      <c r="B462" s="5" t="str">
        <f t="shared" si="41"/>
        <v>AC98</v>
      </c>
      <c r="C462" s="40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9" t="s">
        <v>635</v>
      </c>
      <c r="B463" s="5" t="str">
        <f t="shared" si="41"/>
        <v>AC9A</v>
      </c>
      <c r="C463" s="40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9" t="s">
        <v>636</v>
      </c>
      <c r="B464" s="5" t="str">
        <f t="shared" si="41"/>
        <v>AC9C</v>
      </c>
      <c r="C464" s="40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9" t="s">
        <v>637</v>
      </c>
      <c r="B465" s="5" t="str">
        <f t="shared" si="41"/>
        <v>AC9E</v>
      </c>
      <c r="C465" s="40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9" t="s">
        <v>638</v>
      </c>
      <c r="B466" s="5" t="str">
        <f t="shared" si="41"/>
        <v>ACA0</v>
      </c>
      <c r="C466" s="40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9" t="s">
        <v>639</v>
      </c>
      <c r="B467" s="5" t="str">
        <f t="shared" si="41"/>
        <v>ACA2</v>
      </c>
      <c r="C467" s="40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9" t="s">
        <v>640</v>
      </c>
      <c r="B468" s="5" t="str">
        <f t="shared" si="41"/>
        <v>ACA4</v>
      </c>
      <c r="C468" s="40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9" t="s">
        <v>641</v>
      </c>
      <c r="B469" s="5" t="str">
        <f t="shared" si="41"/>
        <v>ACA6</v>
      </c>
      <c r="C469" s="40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9" t="s">
        <v>642</v>
      </c>
      <c r="B470" s="5" t="str">
        <f t="shared" si="41"/>
        <v>ACA8</v>
      </c>
      <c r="C470" s="40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9" t="s">
        <v>643</v>
      </c>
      <c r="B471" s="5" t="str">
        <f t="shared" si="41"/>
        <v>ACAA</v>
      </c>
      <c r="C471" s="40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9" t="s">
        <v>644</v>
      </c>
      <c r="B472" s="5" t="str">
        <f t="shared" si="41"/>
        <v>ACAC</v>
      </c>
      <c r="C472" s="40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9" t="s">
        <v>645</v>
      </c>
      <c r="B473" s="5" t="str">
        <f t="shared" si="41"/>
        <v>ACAE</v>
      </c>
      <c r="C473" s="40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9" t="s">
        <v>646</v>
      </c>
      <c r="B474" s="5" t="str">
        <f t="shared" si="41"/>
        <v>ACB0</v>
      </c>
      <c r="C474" s="40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9" t="s">
        <v>647</v>
      </c>
      <c r="B475" s="5" t="str">
        <f t="shared" si="41"/>
        <v>ACB2</v>
      </c>
      <c r="C475" s="40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9" t="s">
        <v>648</v>
      </c>
      <c r="B476" s="5" t="str">
        <f t="shared" si="41"/>
        <v>ACB4</v>
      </c>
      <c r="C476" s="40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9" t="s">
        <v>649</v>
      </c>
      <c r="B477" s="5" t="str">
        <f t="shared" si="41"/>
        <v>ACB6</v>
      </c>
      <c r="C477" s="40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9" t="s">
        <v>650</v>
      </c>
      <c r="B478" s="5" t="str">
        <f t="shared" si="41"/>
        <v>ACB8</v>
      </c>
      <c r="C478" s="40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9" t="s">
        <v>651</v>
      </c>
      <c r="B479" s="5" t="str">
        <f t="shared" si="41"/>
        <v>ACBA</v>
      </c>
      <c r="C479" s="40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9" t="s">
        <v>652</v>
      </c>
      <c r="B480" s="5" t="str">
        <f t="shared" si="41"/>
        <v>ACBC</v>
      </c>
      <c r="C480" s="40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9" t="s">
        <v>653</v>
      </c>
      <c r="B481" s="5" t="str">
        <f t="shared" si="41"/>
        <v>ACBE</v>
      </c>
      <c r="C481" s="40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9" t="s">
        <v>654</v>
      </c>
      <c r="B482" s="5" t="str">
        <f t="shared" si="41"/>
        <v>ACC0</v>
      </c>
      <c r="C482" s="40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9" t="s">
        <v>655</v>
      </c>
      <c r="B483" s="5" t="str">
        <f t="shared" si="41"/>
        <v>ACC2</v>
      </c>
      <c r="C483" s="40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9" t="s">
        <v>656</v>
      </c>
      <c r="B484" s="5" t="str">
        <f t="shared" si="41"/>
        <v>ACC4</v>
      </c>
      <c r="C484" s="40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9" t="s">
        <v>657</v>
      </c>
      <c r="B485" s="5" t="str">
        <f t="shared" si="41"/>
        <v>ACC6</v>
      </c>
      <c r="C485" s="40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9" t="s">
        <v>658</v>
      </c>
      <c r="B486" s="5" t="str">
        <f t="shared" si="41"/>
        <v>ACC8</v>
      </c>
      <c r="C486" s="40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9" t="s">
        <v>659</v>
      </c>
      <c r="B487" s="5" t="str">
        <f t="shared" si="41"/>
        <v>ACCA</v>
      </c>
      <c r="C487" s="40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9" t="s">
        <v>660</v>
      </c>
      <c r="B488" s="5" t="str">
        <f t="shared" si="41"/>
        <v>ACCC</v>
      </c>
      <c r="C488" s="40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9" t="s">
        <v>661</v>
      </c>
      <c r="B489" s="5" t="str">
        <f t="shared" si="41"/>
        <v>ACCE</v>
      </c>
      <c r="C489" s="40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9" t="s">
        <v>662</v>
      </c>
      <c r="B490" s="5" t="str">
        <f t="shared" si="41"/>
        <v>ACD0</v>
      </c>
      <c r="C490" s="40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9" t="s">
        <v>663</v>
      </c>
      <c r="B491" s="5" t="str">
        <f t="shared" si="41"/>
        <v>ACD2</v>
      </c>
      <c r="C491" s="40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9" t="s">
        <v>664</v>
      </c>
      <c r="B492" s="5" t="str">
        <f t="shared" si="41"/>
        <v>ACD4</v>
      </c>
      <c r="C492" s="40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9" t="s">
        <v>665</v>
      </c>
      <c r="B493" s="5" t="str">
        <f t="shared" si="41"/>
        <v>ACD6</v>
      </c>
      <c r="C493" s="40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9" t="s">
        <v>666</v>
      </c>
      <c r="B494" s="5" t="str">
        <f t="shared" si="41"/>
        <v>ACD8</v>
      </c>
      <c r="C494" s="40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9" t="s">
        <v>667</v>
      </c>
      <c r="B495" s="5" t="str">
        <f t="shared" si="41"/>
        <v>ACDA</v>
      </c>
      <c r="C495" s="40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9" t="s">
        <v>668</v>
      </c>
      <c r="B496" s="5" t="str">
        <f t="shared" si="41"/>
        <v>ACDC</v>
      </c>
      <c r="C496" s="40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9" t="s">
        <v>669</v>
      </c>
      <c r="B497" s="5" t="str">
        <f t="shared" si="41"/>
        <v>ACDE</v>
      </c>
      <c r="C497" s="40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9" t="s">
        <v>670</v>
      </c>
      <c r="B498" s="5" t="str">
        <f t="shared" si="41"/>
        <v>ACE0</v>
      </c>
      <c r="C498" s="40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9" t="s">
        <v>671</v>
      </c>
      <c r="B499" s="5" t="str">
        <f t="shared" si="41"/>
        <v>ACE2</v>
      </c>
      <c r="C499" s="40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9" t="s">
        <v>672</v>
      </c>
      <c r="B500" s="5" t="str">
        <f t="shared" si="41"/>
        <v>ACE4</v>
      </c>
      <c r="C500" s="40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9" t="s">
        <v>673</v>
      </c>
      <c r="B501" s="5" t="str">
        <f t="shared" si="41"/>
        <v>ACE6</v>
      </c>
      <c r="C501" s="40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9" t="s">
        <v>674</v>
      </c>
      <c r="B502" s="5" t="str">
        <f t="shared" si="41"/>
        <v>ACE8</v>
      </c>
      <c r="C502" s="40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9" t="s">
        <v>675</v>
      </c>
      <c r="B503" s="5" t="str">
        <f t="shared" si="41"/>
        <v>ACEA</v>
      </c>
      <c r="C503" s="40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9" t="s">
        <v>676</v>
      </c>
      <c r="B504" s="5" t="str">
        <f t="shared" si="41"/>
        <v>ACEC</v>
      </c>
      <c r="C504" s="40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9" t="s">
        <v>677</v>
      </c>
      <c r="B505" s="5" t="str">
        <f t="shared" si="41"/>
        <v>ACEE</v>
      </c>
      <c r="C505" s="40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9" t="s">
        <v>678</v>
      </c>
      <c r="B506" s="5" t="str">
        <f t="shared" si="41"/>
        <v>ACF0</v>
      </c>
      <c r="C506" s="40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9" t="s">
        <v>679</v>
      </c>
      <c r="B507" s="5" t="str">
        <f t="shared" si="41"/>
        <v>ACF2</v>
      </c>
      <c r="C507" s="40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9" t="s">
        <v>680</v>
      </c>
      <c r="B508" s="5" t="str">
        <f t="shared" si="41"/>
        <v>ACF4</v>
      </c>
      <c r="C508" s="40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9" t="s">
        <v>681</v>
      </c>
      <c r="B509" s="5" t="str">
        <f t="shared" si="41"/>
        <v>ACF6</v>
      </c>
      <c r="C509" s="40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9" t="s">
        <v>682</v>
      </c>
      <c r="B510" s="5" t="str">
        <f t="shared" si="41"/>
        <v>ACF8</v>
      </c>
      <c r="C510" s="40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9" t="s">
        <v>683</v>
      </c>
      <c r="B511" s="5" t="str">
        <f t="shared" si="41"/>
        <v>ACFA</v>
      </c>
      <c r="C511" s="40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9" t="s">
        <v>684</v>
      </c>
      <c r="B512" s="5" t="str">
        <f t="shared" si="41"/>
        <v>ACFC</v>
      </c>
      <c r="C512" s="40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9" t="s">
        <v>685</v>
      </c>
      <c r="B513" s="5" t="str">
        <f t="shared" si="41"/>
        <v>ACFE</v>
      </c>
      <c r="C513" s="40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T4" sqref="T4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8" t="s">
        <v>741</v>
      </c>
      <c r="B2" s="29"/>
      <c r="C2" s="41" t="str">
        <f>DEC2HEX(C1)</f>
        <v>0</v>
      </c>
      <c r="D2" s="29" t="str">
        <f t="shared" ref="D2:R2" si="1">DEC2HEX(D1)</f>
        <v>1</v>
      </c>
      <c r="E2" s="29" t="str">
        <f t="shared" si="1"/>
        <v>2</v>
      </c>
      <c r="F2" s="29" t="str">
        <f t="shared" si="1"/>
        <v>3</v>
      </c>
      <c r="G2" s="29" t="str">
        <f t="shared" si="1"/>
        <v>4</v>
      </c>
      <c r="H2" s="29" t="str">
        <f t="shared" si="1"/>
        <v>5</v>
      </c>
      <c r="I2" s="29" t="str">
        <f t="shared" si="1"/>
        <v>6</v>
      </c>
      <c r="J2" s="29" t="str">
        <f t="shared" si="1"/>
        <v>7</v>
      </c>
      <c r="K2" s="29" t="str">
        <f t="shared" si="1"/>
        <v>8</v>
      </c>
      <c r="L2" s="29" t="str">
        <f t="shared" si="1"/>
        <v>9</v>
      </c>
      <c r="M2" s="29" t="str">
        <f t="shared" si="1"/>
        <v>A</v>
      </c>
      <c r="N2" s="29" t="str">
        <f t="shared" si="1"/>
        <v>B</v>
      </c>
      <c r="O2" s="29" t="str">
        <f t="shared" si="1"/>
        <v>C</v>
      </c>
      <c r="P2" s="29" t="str">
        <f t="shared" si="1"/>
        <v>D</v>
      </c>
      <c r="Q2" s="29" t="str">
        <f t="shared" si="1"/>
        <v>E</v>
      </c>
      <c r="R2" s="29" t="str">
        <f t="shared" si="1"/>
        <v>F</v>
      </c>
    </row>
    <row r="3" spans="1:18" x14ac:dyDescent="0.3">
      <c r="A3" s="39" t="s">
        <v>686</v>
      </c>
      <c r="B3" s="57" t="s">
        <v>878</v>
      </c>
      <c r="C3" s="17" t="str">
        <f>MID($A3,13+C$1*3,2)</f>
        <v>00</v>
      </c>
      <c r="D3" s="10" t="str">
        <f t="shared" ref="D3:R18" si="2">MID($A3,13+D$1*3,2)</f>
        <v>02</v>
      </c>
      <c r="E3" s="10" t="str">
        <f t="shared" si="2"/>
        <v>04</v>
      </c>
      <c r="F3" s="10" t="str">
        <f t="shared" si="2"/>
        <v>12</v>
      </c>
      <c r="G3" s="10" t="str">
        <f t="shared" si="2"/>
        <v>06</v>
      </c>
      <c r="H3" s="10" t="str">
        <f t="shared" si="2"/>
        <v>22</v>
      </c>
      <c r="I3" s="10" t="str">
        <f t="shared" si="2"/>
        <v>14</v>
      </c>
      <c r="J3" s="10" t="str">
        <f t="shared" si="2"/>
        <v>32</v>
      </c>
      <c r="K3" s="10" t="str">
        <f t="shared" si="2"/>
        <v>08</v>
      </c>
      <c r="L3" s="10" t="str">
        <f t="shared" si="2"/>
        <v>42</v>
      </c>
      <c r="M3" s="10" t="str">
        <f t="shared" si="2"/>
        <v>24</v>
      </c>
      <c r="N3" s="10" t="str">
        <f t="shared" si="2"/>
        <v>52</v>
      </c>
      <c r="O3" s="10" t="str">
        <f t="shared" si="2"/>
        <v>16</v>
      </c>
      <c r="P3" s="10" t="str">
        <f t="shared" si="2"/>
        <v>62</v>
      </c>
      <c r="Q3" s="10" t="str">
        <f t="shared" si="2"/>
        <v>34</v>
      </c>
      <c r="R3" s="10" t="str">
        <f t="shared" si="2"/>
        <v>72</v>
      </c>
    </row>
    <row r="4" spans="1:18" x14ac:dyDescent="0.3">
      <c r="A4" s="39" t="s">
        <v>687</v>
      </c>
      <c r="B4" s="5" t="str">
        <f>DEC2HEX(HEX2DEC(B3)+16)</f>
        <v>A210</v>
      </c>
      <c r="C4" s="18" t="str">
        <f t="shared" ref="C4:R19" si="3">MID($A4,13+C$1*3,2)</f>
        <v>0A</v>
      </c>
      <c r="D4" s="11" t="str">
        <f t="shared" si="2"/>
        <v>82</v>
      </c>
      <c r="E4" s="11" t="str">
        <f t="shared" si="2"/>
        <v>44</v>
      </c>
      <c r="F4" s="11" t="str">
        <f t="shared" si="2"/>
        <v>92</v>
      </c>
      <c r="G4" s="11" t="str">
        <f t="shared" si="2"/>
        <v>26</v>
      </c>
      <c r="H4" s="11" t="str">
        <f t="shared" si="2"/>
        <v>A2</v>
      </c>
      <c r="I4" s="28" t="str">
        <f t="shared" si="2"/>
        <v>54</v>
      </c>
      <c r="J4" s="11" t="str">
        <f t="shared" si="2"/>
        <v>B2</v>
      </c>
      <c r="K4" s="11" t="str">
        <f t="shared" si="2"/>
        <v>18</v>
      </c>
      <c r="L4" s="11" t="str">
        <f t="shared" si="2"/>
        <v>C2</v>
      </c>
      <c r="M4" s="11" t="str">
        <f t="shared" si="2"/>
        <v>64</v>
      </c>
      <c r="N4" s="11" t="str">
        <f t="shared" si="2"/>
        <v>D2</v>
      </c>
      <c r="O4" s="11" t="str">
        <f t="shared" si="2"/>
        <v>36</v>
      </c>
      <c r="P4" s="11" t="str">
        <f t="shared" si="2"/>
        <v>E2</v>
      </c>
      <c r="Q4" s="11" t="str">
        <f t="shared" si="2"/>
        <v>74</v>
      </c>
      <c r="R4" s="11" t="str">
        <f t="shared" si="2"/>
        <v>F2</v>
      </c>
    </row>
    <row r="5" spans="1:18" x14ac:dyDescent="0.3">
      <c r="A5" s="39" t="s">
        <v>688</v>
      </c>
      <c r="B5" s="5" t="str">
        <f t="shared" ref="B5:B68" si="4">DEC2HEX(HEX2DEC(B4)+16)</f>
        <v>A220</v>
      </c>
      <c r="C5" s="18" t="str">
        <f t="shared" si="3"/>
        <v>0C</v>
      </c>
      <c r="D5" s="11" t="str">
        <f t="shared" si="2"/>
        <v>02</v>
      </c>
      <c r="E5" s="11" t="str">
        <f t="shared" si="2"/>
        <v>84</v>
      </c>
      <c r="F5" s="11" t="str">
        <f t="shared" si="2"/>
        <v>12</v>
      </c>
      <c r="G5" s="11" t="str">
        <f t="shared" si="2"/>
        <v>46</v>
      </c>
      <c r="H5" s="11" t="str">
        <f t="shared" si="2"/>
        <v>22</v>
      </c>
      <c r="I5" s="11" t="str">
        <f t="shared" si="2"/>
        <v>94</v>
      </c>
      <c r="J5" s="11" t="str">
        <f t="shared" si="2"/>
        <v>32</v>
      </c>
      <c r="K5" s="11" t="str">
        <f t="shared" si="2"/>
        <v>28</v>
      </c>
      <c r="L5" s="11" t="str">
        <f t="shared" si="2"/>
        <v>42</v>
      </c>
      <c r="M5" s="11" t="str">
        <f t="shared" si="2"/>
        <v>A4</v>
      </c>
      <c r="N5" s="11" t="str">
        <f t="shared" si="2"/>
        <v>52</v>
      </c>
      <c r="O5" s="11" t="str">
        <f t="shared" si="2"/>
        <v>56</v>
      </c>
      <c r="P5" s="11" t="str">
        <f t="shared" si="2"/>
        <v>62</v>
      </c>
      <c r="Q5" s="11" t="str">
        <f t="shared" si="2"/>
        <v>B4</v>
      </c>
      <c r="R5" s="11" t="str">
        <f t="shared" si="2"/>
        <v>72</v>
      </c>
    </row>
    <row r="6" spans="1:18" x14ac:dyDescent="0.3">
      <c r="A6" s="39" t="s">
        <v>689</v>
      </c>
      <c r="B6" s="5" t="str">
        <f t="shared" si="4"/>
        <v>A230</v>
      </c>
      <c r="C6" s="18" t="str">
        <f t="shared" si="3"/>
        <v>1A</v>
      </c>
      <c r="D6" s="11" t="str">
        <f t="shared" si="2"/>
        <v>82</v>
      </c>
      <c r="E6" s="11" t="str">
        <f t="shared" si="2"/>
        <v>C4</v>
      </c>
      <c r="F6" s="11" t="str">
        <f t="shared" si="2"/>
        <v>92</v>
      </c>
      <c r="G6" s="11" t="str">
        <f t="shared" si="2"/>
        <v>66</v>
      </c>
      <c r="H6" s="11" t="str">
        <f t="shared" si="2"/>
        <v>A2</v>
      </c>
      <c r="I6" s="11" t="str">
        <f t="shared" si="2"/>
        <v>D4</v>
      </c>
      <c r="J6" s="11" t="str">
        <f t="shared" si="2"/>
        <v>B2</v>
      </c>
      <c r="K6" s="11" t="str">
        <f t="shared" si="2"/>
        <v>38</v>
      </c>
      <c r="L6" s="11" t="str">
        <f t="shared" si="2"/>
        <v>C2</v>
      </c>
      <c r="M6" s="11" t="str">
        <f t="shared" si="2"/>
        <v>E4</v>
      </c>
      <c r="N6" s="11" t="str">
        <f t="shared" si="2"/>
        <v>D2</v>
      </c>
      <c r="O6" s="11" t="str">
        <f t="shared" si="2"/>
        <v>76</v>
      </c>
      <c r="P6" s="11" t="str">
        <f t="shared" si="2"/>
        <v>E2</v>
      </c>
      <c r="Q6" s="11" t="str">
        <f t="shared" si="2"/>
        <v>F4</v>
      </c>
      <c r="R6" s="11" t="str">
        <f t="shared" si="2"/>
        <v>F2</v>
      </c>
    </row>
    <row r="7" spans="1:18" x14ac:dyDescent="0.3">
      <c r="A7" s="39" t="s">
        <v>690</v>
      </c>
      <c r="B7" s="5" t="str">
        <f t="shared" si="4"/>
        <v>A240</v>
      </c>
      <c r="C7" s="18" t="str">
        <f t="shared" si="3"/>
        <v>0E</v>
      </c>
      <c r="D7" s="11" t="str">
        <f t="shared" si="2"/>
        <v>02</v>
      </c>
      <c r="E7" s="11" t="str">
        <f t="shared" si="2"/>
        <v>04</v>
      </c>
      <c r="F7" s="11" t="str">
        <f t="shared" si="2"/>
        <v>12</v>
      </c>
      <c r="G7" s="11" t="str">
        <f t="shared" si="2"/>
        <v>86</v>
      </c>
      <c r="H7" s="11" t="str">
        <f t="shared" si="2"/>
        <v>22</v>
      </c>
      <c r="I7" s="11" t="str">
        <f t="shared" si="2"/>
        <v>14</v>
      </c>
      <c r="J7" s="11" t="str">
        <f t="shared" si="2"/>
        <v>32</v>
      </c>
      <c r="K7" s="11" t="str">
        <f t="shared" si="2"/>
        <v>48</v>
      </c>
      <c r="L7" s="11" t="str">
        <f t="shared" si="2"/>
        <v>42</v>
      </c>
      <c r="M7" s="11" t="str">
        <f t="shared" si="2"/>
        <v>24</v>
      </c>
      <c r="N7" s="11" t="str">
        <f t="shared" si="2"/>
        <v>52</v>
      </c>
      <c r="O7" s="11" t="str">
        <f t="shared" si="2"/>
        <v>96</v>
      </c>
      <c r="P7" s="11" t="str">
        <f t="shared" si="2"/>
        <v>62</v>
      </c>
      <c r="Q7" s="11" t="str">
        <f t="shared" si="2"/>
        <v>34</v>
      </c>
      <c r="R7" s="11" t="str">
        <f t="shared" si="2"/>
        <v>72</v>
      </c>
    </row>
    <row r="8" spans="1:18" x14ac:dyDescent="0.3">
      <c r="A8" s="39" t="s">
        <v>691</v>
      </c>
      <c r="B8" s="5" t="str">
        <f t="shared" si="4"/>
        <v>A250</v>
      </c>
      <c r="C8" s="18" t="str">
        <f t="shared" si="3"/>
        <v>2A</v>
      </c>
      <c r="D8" s="11" t="str">
        <f t="shared" si="2"/>
        <v>82</v>
      </c>
      <c r="E8" s="11" t="str">
        <f t="shared" si="2"/>
        <v>44</v>
      </c>
      <c r="F8" s="11" t="str">
        <f t="shared" si="2"/>
        <v>92</v>
      </c>
      <c r="G8" s="11" t="str">
        <f t="shared" si="2"/>
        <v>A6</v>
      </c>
      <c r="H8" s="11" t="str">
        <f t="shared" si="2"/>
        <v>A2</v>
      </c>
      <c r="I8" s="11" t="str">
        <f t="shared" si="2"/>
        <v>54</v>
      </c>
      <c r="J8" s="11" t="str">
        <f t="shared" si="2"/>
        <v>B2</v>
      </c>
      <c r="K8" s="11" t="str">
        <f t="shared" si="2"/>
        <v>58</v>
      </c>
      <c r="L8" s="11" t="str">
        <f t="shared" si="2"/>
        <v>C2</v>
      </c>
      <c r="M8" s="11" t="str">
        <f t="shared" si="2"/>
        <v>64</v>
      </c>
      <c r="N8" s="11" t="str">
        <f t="shared" si="2"/>
        <v>D2</v>
      </c>
      <c r="O8" s="11" t="str">
        <f t="shared" si="2"/>
        <v>B6</v>
      </c>
      <c r="P8" s="11" t="str">
        <f t="shared" si="2"/>
        <v>E2</v>
      </c>
      <c r="Q8" s="11" t="str">
        <f t="shared" si="2"/>
        <v>74</v>
      </c>
      <c r="R8" s="11" t="str">
        <f t="shared" si="2"/>
        <v>F2</v>
      </c>
    </row>
    <row r="9" spans="1:18" x14ac:dyDescent="0.3">
      <c r="A9" s="39" t="s">
        <v>692</v>
      </c>
      <c r="B9" s="5" t="str">
        <f t="shared" si="4"/>
        <v>A260</v>
      </c>
      <c r="C9" s="18" t="str">
        <f t="shared" si="3"/>
        <v>1C</v>
      </c>
      <c r="D9" s="11" t="str">
        <f t="shared" si="2"/>
        <v>02</v>
      </c>
      <c r="E9" s="11" t="str">
        <f t="shared" si="2"/>
        <v>84</v>
      </c>
      <c r="F9" s="11" t="str">
        <f t="shared" si="2"/>
        <v>12</v>
      </c>
      <c r="G9" s="11" t="str">
        <f t="shared" si="2"/>
        <v>C6</v>
      </c>
      <c r="H9" s="11" t="str">
        <f t="shared" si="2"/>
        <v>22</v>
      </c>
      <c r="I9" s="11" t="str">
        <f t="shared" si="2"/>
        <v>94</v>
      </c>
      <c r="J9" s="11" t="str">
        <f t="shared" si="2"/>
        <v>32</v>
      </c>
      <c r="K9" s="11" t="str">
        <f t="shared" si="2"/>
        <v>68</v>
      </c>
      <c r="L9" s="11" t="str">
        <f t="shared" si="2"/>
        <v>42</v>
      </c>
      <c r="M9" s="11" t="str">
        <f t="shared" si="2"/>
        <v>A4</v>
      </c>
      <c r="N9" s="11" t="str">
        <f t="shared" si="2"/>
        <v>52</v>
      </c>
      <c r="O9" s="11" t="str">
        <f t="shared" si="2"/>
        <v>D6</v>
      </c>
      <c r="P9" s="11" t="str">
        <f t="shared" si="2"/>
        <v>62</v>
      </c>
      <c r="Q9" s="11" t="str">
        <f t="shared" si="2"/>
        <v>B4</v>
      </c>
      <c r="R9" s="11" t="str">
        <f t="shared" si="2"/>
        <v>72</v>
      </c>
    </row>
    <row r="10" spans="1:18" x14ac:dyDescent="0.3">
      <c r="A10" s="39" t="s">
        <v>693</v>
      </c>
      <c r="B10" s="58" t="str">
        <f t="shared" si="4"/>
        <v>A270</v>
      </c>
      <c r="C10" s="19" t="str">
        <f t="shared" si="3"/>
        <v>3A</v>
      </c>
      <c r="D10" s="12" t="str">
        <f t="shared" si="2"/>
        <v>82</v>
      </c>
      <c r="E10" s="12" t="str">
        <f t="shared" si="2"/>
        <v>C4</v>
      </c>
      <c r="F10" s="12" t="str">
        <f t="shared" si="2"/>
        <v>92</v>
      </c>
      <c r="G10" s="12" t="str">
        <f t="shared" si="2"/>
        <v>E6</v>
      </c>
      <c r="H10" s="12" t="str">
        <f t="shared" si="2"/>
        <v>A2</v>
      </c>
      <c r="I10" s="12" t="str">
        <f t="shared" si="2"/>
        <v>D4</v>
      </c>
      <c r="J10" s="12" t="str">
        <f t="shared" si="2"/>
        <v>B2</v>
      </c>
      <c r="K10" s="12" t="str">
        <f t="shared" si="2"/>
        <v>78</v>
      </c>
      <c r="L10" s="12" t="str">
        <f t="shared" si="2"/>
        <v>C2</v>
      </c>
      <c r="M10" s="12" t="str">
        <f t="shared" si="2"/>
        <v>E4</v>
      </c>
      <c r="N10" s="12" t="str">
        <f t="shared" si="2"/>
        <v>D2</v>
      </c>
      <c r="O10" s="12" t="str">
        <f t="shared" si="2"/>
        <v>F6</v>
      </c>
      <c r="P10" s="12" t="str">
        <f t="shared" si="2"/>
        <v>E2</v>
      </c>
      <c r="Q10" s="12" t="str">
        <f t="shared" si="2"/>
        <v>F4</v>
      </c>
      <c r="R10" s="12" t="str">
        <f t="shared" si="2"/>
        <v>F2</v>
      </c>
    </row>
    <row r="11" spans="1:18" x14ac:dyDescent="0.3">
      <c r="A11" s="39" t="s">
        <v>694</v>
      </c>
      <c r="B11" s="5" t="str">
        <f t="shared" si="4"/>
        <v>A280</v>
      </c>
      <c r="C11" s="20" t="str">
        <f t="shared" si="3"/>
        <v>A9</v>
      </c>
      <c r="D11" s="11" t="str">
        <f t="shared" si="2"/>
        <v>A9</v>
      </c>
      <c r="E11" s="11" t="str">
        <f t="shared" si="2"/>
        <v>A9</v>
      </c>
      <c r="F11" s="11" t="str">
        <f t="shared" si="2"/>
        <v>A9</v>
      </c>
      <c r="G11" s="11" t="str">
        <f t="shared" si="2"/>
        <v>A9</v>
      </c>
      <c r="H11" s="11" t="str">
        <f t="shared" si="2"/>
        <v>A9</v>
      </c>
      <c r="I11" s="11" t="str">
        <f t="shared" si="2"/>
        <v>A9</v>
      </c>
      <c r="J11" s="11" t="str">
        <f t="shared" si="2"/>
        <v>A9</v>
      </c>
      <c r="K11" s="11" t="str">
        <f t="shared" si="2"/>
        <v>A9</v>
      </c>
      <c r="L11" s="11" t="str">
        <f t="shared" si="2"/>
        <v>A9</v>
      </c>
      <c r="M11" s="11" t="str">
        <f t="shared" si="2"/>
        <v>A9</v>
      </c>
      <c r="N11" s="11" t="str">
        <f t="shared" si="2"/>
        <v>A9</v>
      </c>
      <c r="O11" s="11" t="str">
        <f t="shared" si="2"/>
        <v>A9</v>
      </c>
      <c r="P11" s="11" t="str">
        <f t="shared" si="2"/>
        <v>A9</v>
      </c>
      <c r="Q11" s="11" t="str">
        <f t="shared" si="2"/>
        <v>A9</v>
      </c>
      <c r="R11" s="11" t="str">
        <f t="shared" si="2"/>
        <v>A9</v>
      </c>
    </row>
    <row r="12" spans="1:18" x14ac:dyDescent="0.3">
      <c r="A12" s="39" t="s">
        <v>694</v>
      </c>
      <c r="B12" s="5" t="str">
        <f t="shared" si="4"/>
        <v>A290</v>
      </c>
      <c r="C12" s="18" t="str">
        <f t="shared" si="3"/>
        <v>A9</v>
      </c>
      <c r="D12" s="11" t="str">
        <f t="shared" si="2"/>
        <v>A9</v>
      </c>
      <c r="E12" s="11" t="str">
        <f t="shared" si="2"/>
        <v>A9</v>
      </c>
      <c r="F12" s="11" t="str">
        <f t="shared" si="2"/>
        <v>A9</v>
      </c>
      <c r="G12" s="11" t="str">
        <f t="shared" si="2"/>
        <v>A9</v>
      </c>
      <c r="H12" s="11" t="str">
        <f t="shared" si="2"/>
        <v>A9</v>
      </c>
      <c r="I12" s="11" t="str">
        <f t="shared" si="2"/>
        <v>A9</v>
      </c>
      <c r="J12" s="11" t="str">
        <f t="shared" si="2"/>
        <v>A9</v>
      </c>
      <c r="K12" s="11" t="str">
        <f t="shared" si="2"/>
        <v>A9</v>
      </c>
      <c r="L12" s="11" t="str">
        <f t="shared" si="2"/>
        <v>A9</v>
      </c>
      <c r="M12" s="11" t="str">
        <f t="shared" si="2"/>
        <v>A9</v>
      </c>
      <c r="N12" s="11" t="str">
        <f t="shared" si="2"/>
        <v>A9</v>
      </c>
      <c r="O12" s="11" t="str">
        <f t="shared" si="2"/>
        <v>A9</v>
      </c>
      <c r="P12" s="11" t="str">
        <f t="shared" si="2"/>
        <v>A9</v>
      </c>
      <c r="Q12" s="11" t="str">
        <f t="shared" si="2"/>
        <v>A9</v>
      </c>
      <c r="R12" s="11" t="str">
        <f t="shared" si="2"/>
        <v>A9</v>
      </c>
    </row>
    <row r="13" spans="1:18" x14ac:dyDescent="0.3">
      <c r="A13" s="39" t="s">
        <v>695</v>
      </c>
      <c r="B13" s="5" t="str">
        <f t="shared" si="4"/>
        <v>A2A0</v>
      </c>
      <c r="C13" s="18" t="str">
        <f t="shared" si="3"/>
        <v>A9</v>
      </c>
      <c r="D13" s="11" t="str">
        <f t="shared" si="2"/>
        <v>AA</v>
      </c>
      <c r="E13" s="11" t="str">
        <f t="shared" si="2"/>
        <v>A9</v>
      </c>
      <c r="F13" s="11" t="str">
        <f t="shared" si="2"/>
        <v>AA</v>
      </c>
      <c r="G13" s="11" t="str">
        <f t="shared" si="2"/>
        <v>A9</v>
      </c>
      <c r="H13" s="11" t="str">
        <f t="shared" si="2"/>
        <v>AA</v>
      </c>
      <c r="I13" s="11" t="str">
        <f t="shared" si="2"/>
        <v>A9</v>
      </c>
      <c r="J13" s="11" t="str">
        <f t="shared" si="2"/>
        <v>AA</v>
      </c>
      <c r="K13" s="11" t="str">
        <f t="shared" si="2"/>
        <v>A9</v>
      </c>
      <c r="L13" s="11" t="str">
        <f t="shared" si="2"/>
        <v>AA</v>
      </c>
      <c r="M13" s="11" t="str">
        <f t="shared" si="2"/>
        <v>A9</v>
      </c>
      <c r="N13" s="11" t="str">
        <f t="shared" si="2"/>
        <v>AA</v>
      </c>
      <c r="O13" s="11" t="str">
        <f t="shared" si="2"/>
        <v>A9</v>
      </c>
      <c r="P13" s="11" t="str">
        <f t="shared" si="2"/>
        <v>AA</v>
      </c>
      <c r="Q13" s="11" t="str">
        <f t="shared" si="2"/>
        <v>A9</v>
      </c>
      <c r="R13" s="11" t="str">
        <f t="shared" si="2"/>
        <v>AA</v>
      </c>
    </row>
    <row r="14" spans="1:18" x14ac:dyDescent="0.3">
      <c r="A14" s="39" t="s">
        <v>695</v>
      </c>
      <c r="B14" s="5" t="str">
        <f t="shared" si="4"/>
        <v>A2B0</v>
      </c>
      <c r="C14" s="18" t="str">
        <f t="shared" si="3"/>
        <v>A9</v>
      </c>
      <c r="D14" s="11" t="str">
        <f t="shared" si="2"/>
        <v>AA</v>
      </c>
      <c r="E14" s="11" t="str">
        <f t="shared" si="2"/>
        <v>A9</v>
      </c>
      <c r="F14" s="11" t="str">
        <f t="shared" si="2"/>
        <v>AA</v>
      </c>
      <c r="G14" s="11" t="str">
        <f t="shared" si="2"/>
        <v>A9</v>
      </c>
      <c r="H14" s="11" t="str">
        <f t="shared" si="2"/>
        <v>AA</v>
      </c>
      <c r="I14" s="11" t="str">
        <f t="shared" si="2"/>
        <v>A9</v>
      </c>
      <c r="J14" s="11" t="str">
        <f t="shared" si="2"/>
        <v>AA</v>
      </c>
      <c r="K14" s="11" t="str">
        <f t="shared" si="2"/>
        <v>A9</v>
      </c>
      <c r="L14" s="11" t="str">
        <f t="shared" si="2"/>
        <v>AA</v>
      </c>
      <c r="M14" s="11" t="str">
        <f t="shared" si="2"/>
        <v>A9</v>
      </c>
      <c r="N14" s="11" t="str">
        <f t="shared" si="2"/>
        <v>AA</v>
      </c>
      <c r="O14" s="11" t="str">
        <f t="shared" si="2"/>
        <v>A9</v>
      </c>
      <c r="P14" s="11" t="str">
        <f t="shared" si="2"/>
        <v>AA</v>
      </c>
      <c r="Q14" s="11" t="str">
        <f t="shared" si="2"/>
        <v>A9</v>
      </c>
      <c r="R14" s="11" t="str">
        <f t="shared" si="2"/>
        <v>AA</v>
      </c>
    </row>
    <row r="15" spans="1:18" x14ac:dyDescent="0.3">
      <c r="A15" s="39" t="s">
        <v>696</v>
      </c>
      <c r="B15" s="5" t="str">
        <f t="shared" si="4"/>
        <v>A2C0</v>
      </c>
      <c r="C15" s="18" t="str">
        <f t="shared" si="3"/>
        <v>A9</v>
      </c>
      <c r="D15" s="11" t="str">
        <f t="shared" si="2"/>
        <v>AB</v>
      </c>
      <c r="E15" s="11" t="str">
        <f t="shared" si="2"/>
        <v>AA</v>
      </c>
      <c r="F15" s="11" t="str">
        <f t="shared" si="2"/>
        <v>AB</v>
      </c>
      <c r="G15" s="11" t="str">
        <f t="shared" si="2"/>
        <v>A9</v>
      </c>
      <c r="H15" s="11" t="str">
        <f t="shared" si="2"/>
        <v>AB</v>
      </c>
      <c r="I15" s="11" t="str">
        <f t="shared" si="2"/>
        <v>AA</v>
      </c>
      <c r="J15" s="11" t="str">
        <f t="shared" si="2"/>
        <v>AB</v>
      </c>
      <c r="K15" s="11" t="str">
        <f t="shared" si="2"/>
        <v>A9</v>
      </c>
      <c r="L15" s="11" t="str">
        <f t="shared" si="2"/>
        <v>AB</v>
      </c>
      <c r="M15" s="11" t="str">
        <f t="shared" si="2"/>
        <v>AA</v>
      </c>
      <c r="N15" s="11" t="str">
        <f t="shared" si="2"/>
        <v>AB</v>
      </c>
      <c r="O15" s="11" t="str">
        <f t="shared" si="2"/>
        <v>A9</v>
      </c>
      <c r="P15" s="11" t="str">
        <f t="shared" si="2"/>
        <v>AB</v>
      </c>
      <c r="Q15" s="11" t="str">
        <f t="shared" si="2"/>
        <v>AA</v>
      </c>
      <c r="R15" s="11" t="str">
        <f t="shared" si="2"/>
        <v>AB</v>
      </c>
    </row>
    <row r="16" spans="1:18" x14ac:dyDescent="0.3">
      <c r="A16" s="39" t="s">
        <v>696</v>
      </c>
      <c r="B16" s="5" t="str">
        <f t="shared" si="4"/>
        <v>A2D0</v>
      </c>
      <c r="C16" s="18" t="str">
        <f t="shared" si="3"/>
        <v>A9</v>
      </c>
      <c r="D16" s="11" t="str">
        <f t="shared" si="2"/>
        <v>AB</v>
      </c>
      <c r="E16" s="11" t="str">
        <f t="shared" si="2"/>
        <v>AA</v>
      </c>
      <c r="F16" s="11" t="str">
        <f t="shared" si="2"/>
        <v>AB</v>
      </c>
      <c r="G16" s="11" t="str">
        <f t="shared" si="2"/>
        <v>A9</v>
      </c>
      <c r="H16" s="11" t="str">
        <f t="shared" si="2"/>
        <v>AB</v>
      </c>
      <c r="I16" s="11" t="str">
        <f t="shared" si="2"/>
        <v>AA</v>
      </c>
      <c r="J16" s="11" t="str">
        <f t="shared" si="2"/>
        <v>AB</v>
      </c>
      <c r="K16" s="11" t="str">
        <f t="shared" si="2"/>
        <v>A9</v>
      </c>
      <c r="L16" s="11" t="str">
        <f t="shared" si="2"/>
        <v>AB</v>
      </c>
      <c r="M16" s="11" t="str">
        <f t="shared" si="2"/>
        <v>AA</v>
      </c>
      <c r="N16" s="11" t="str">
        <f t="shared" si="2"/>
        <v>AB</v>
      </c>
      <c r="O16" s="11" t="str">
        <f t="shared" si="2"/>
        <v>A9</v>
      </c>
      <c r="P16" s="11" t="str">
        <f t="shared" si="2"/>
        <v>AB</v>
      </c>
      <c r="Q16" s="11" t="str">
        <f t="shared" si="2"/>
        <v>AA</v>
      </c>
      <c r="R16" s="11" t="str">
        <f t="shared" si="2"/>
        <v>AB</v>
      </c>
    </row>
    <row r="17" spans="1:18" x14ac:dyDescent="0.3">
      <c r="A17" s="39" t="s">
        <v>697</v>
      </c>
      <c r="B17" s="5" t="str">
        <f t="shared" si="4"/>
        <v>A2E0</v>
      </c>
      <c r="C17" s="18" t="str">
        <f t="shared" si="3"/>
        <v>A9</v>
      </c>
      <c r="D17" s="11" t="str">
        <f t="shared" si="2"/>
        <v>AC</v>
      </c>
      <c r="E17" s="11" t="str">
        <f t="shared" si="2"/>
        <v>AA</v>
      </c>
      <c r="F17" s="11" t="str">
        <f t="shared" si="2"/>
        <v>AC</v>
      </c>
      <c r="G17" s="11" t="str">
        <f t="shared" si="2"/>
        <v>A9</v>
      </c>
      <c r="H17" s="11" t="str">
        <f t="shared" si="2"/>
        <v>AC</v>
      </c>
      <c r="I17" s="11" t="str">
        <f t="shared" si="2"/>
        <v>AA</v>
      </c>
      <c r="J17" s="11" t="str">
        <f t="shared" si="2"/>
        <v>AC</v>
      </c>
      <c r="K17" s="11" t="str">
        <f t="shared" si="2"/>
        <v>A9</v>
      </c>
      <c r="L17" s="11" t="str">
        <f t="shared" si="2"/>
        <v>AC</v>
      </c>
      <c r="M17" s="11" t="str">
        <f t="shared" si="2"/>
        <v>AA</v>
      </c>
      <c r="N17" s="11" t="str">
        <f t="shared" si="2"/>
        <v>AC</v>
      </c>
      <c r="O17" s="11" t="str">
        <f t="shared" si="2"/>
        <v>A9</v>
      </c>
      <c r="P17" s="11" t="str">
        <f t="shared" si="2"/>
        <v>AC</v>
      </c>
      <c r="Q17" s="11" t="str">
        <f t="shared" si="2"/>
        <v>AA</v>
      </c>
      <c r="R17" s="11" t="str">
        <f t="shared" si="2"/>
        <v>AC</v>
      </c>
    </row>
    <row r="18" spans="1:18" x14ac:dyDescent="0.3">
      <c r="A18" s="39" t="s">
        <v>697</v>
      </c>
      <c r="B18" s="58" t="str">
        <f t="shared" si="4"/>
        <v>A2F0</v>
      </c>
      <c r="C18" s="19" t="str">
        <f t="shared" si="3"/>
        <v>A9</v>
      </c>
      <c r="D18" s="12" t="str">
        <f t="shared" si="2"/>
        <v>AC</v>
      </c>
      <c r="E18" s="12" t="str">
        <f t="shared" si="2"/>
        <v>AA</v>
      </c>
      <c r="F18" s="12" t="str">
        <f t="shared" si="2"/>
        <v>AC</v>
      </c>
      <c r="G18" s="12" t="str">
        <f t="shared" si="2"/>
        <v>A9</v>
      </c>
      <c r="H18" s="12" t="str">
        <f t="shared" si="2"/>
        <v>AC</v>
      </c>
      <c r="I18" s="12" t="str">
        <f t="shared" si="2"/>
        <v>AA</v>
      </c>
      <c r="J18" s="12" t="str">
        <f t="shared" si="2"/>
        <v>AC</v>
      </c>
      <c r="K18" s="12" t="str">
        <f t="shared" si="2"/>
        <v>A9</v>
      </c>
      <c r="L18" s="12" t="str">
        <f t="shared" si="2"/>
        <v>AC</v>
      </c>
      <c r="M18" s="12" t="str">
        <f t="shared" si="2"/>
        <v>AA</v>
      </c>
      <c r="N18" s="12" t="str">
        <f t="shared" si="2"/>
        <v>AC</v>
      </c>
      <c r="O18" s="12" t="str">
        <f t="shared" si="2"/>
        <v>A9</v>
      </c>
      <c r="P18" s="12" t="str">
        <f t="shared" si="2"/>
        <v>AC</v>
      </c>
      <c r="Q18" s="12" t="str">
        <f t="shared" si="2"/>
        <v>AA</v>
      </c>
      <c r="R18" s="12" t="str">
        <f t="shared" si="2"/>
        <v>AC</v>
      </c>
    </row>
    <row r="19" spans="1:18" x14ac:dyDescent="0.3">
      <c r="A19" s="39" t="s">
        <v>698</v>
      </c>
      <c r="B19" s="29" t="str">
        <f t="shared" si="4"/>
        <v>A300</v>
      </c>
      <c r="C19" s="17" t="str">
        <f t="shared" si="3"/>
        <v>00</v>
      </c>
      <c r="D19" s="10" t="str">
        <f t="shared" si="3"/>
        <v>04</v>
      </c>
      <c r="E19" s="10" t="str">
        <f t="shared" si="3"/>
        <v>06</v>
      </c>
      <c r="F19" s="10" t="str">
        <f t="shared" si="3"/>
        <v>14</v>
      </c>
      <c r="G19" s="10" t="str">
        <f t="shared" si="3"/>
        <v>08</v>
      </c>
      <c r="H19" s="10" t="str">
        <f t="shared" si="3"/>
        <v>24</v>
      </c>
      <c r="I19" s="10" t="str">
        <f t="shared" si="3"/>
        <v>16</v>
      </c>
      <c r="J19" s="10" t="str">
        <f t="shared" si="3"/>
        <v>34</v>
      </c>
      <c r="K19" s="10" t="str">
        <f t="shared" si="3"/>
        <v>0A</v>
      </c>
      <c r="L19" s="10" t="str">
        <f t="shared" si="3"/>
        <v>44</v>
      </c>
      <c r="M19" s="9" t="str">
        <f t="shared" si="3"/>
        <v>26</v>
      </c>
      <c r="N19" s="10" t="str">
        <f t="shared" si="3"/>
        <v>54</v>
      </c>
      <c r="O19" s="10" t="str">
        <f t="shared" si="3"/>
        <v>18</v>
      </c>
      <c r="P19" s="10" t="str">
        <f t="shared" si="3"/>
        <v>64</v>
      </c>
      <c r="Q19" s="10" t="str">
        <f t="shared" si="3"/>
        <v>36</v>
      </c>
      <c r="R19" s="10" t="str">
        <f t="shared" si="3"/>
        <v>74</v>
      </c>
    </row>
    <row r="20" spans="1:18" x14ac:dyDescent="0.3">
      <c r="A20" s="39" t="s">
        <v>699</v>
      </c>
      <c r="B20" s="5" t="str">
        <f t="shared" si="4"/>
        <v>A310</v>
      </c>
      <c r="C20" s="18" t="str">
        <f t="shared" ref="C20:R35" si="5">MID($A20,13+C$1*3,2)</f>
        <v>0C</v>
      </c>
      <c r="D20" s="11" t="str">
        <f t="shared" si="5"/>
        <v>84</v>
      </c>
      <c r="E20" s="11" t="str">
        <f t="shared" si="5"/>
        <v>46</v>
      </c>
      <c r="F20" s="11" t="str">
        <f t="shared" si="5"/>
        <v>94</v>
      </c>
      <c r="G20" s="11" t="str">
        <f t="shared" si="5"/>
        <v>28</v>
      </c>
      <c r="H20" s="11" t="str">
        <f t="shared" si="5"/>
        <v>A4</v>
      </c>
      <c r="I20" s="11" t="str">
        <f t="shared" si="5"/>
        <v>56</v>
      </c>
      <c r="J20" s="11" t="str">
        <f t="shared" si="5"/>
        <v>B4</v>
      </c>
      <c r="K20" s="11" t="str">
        <f t="shared" si="5"/>
        <v>1A</v>
      </c>
      <c r="L20" s="11" t="str">
        <f t="shared" si="5"/>
        <v>C4</v>
      </c>
      <c r="M20" s="11" t="str">
        <f t="shared" si="5"/>
        <v>66</v>
      </c>
      <c r="N20" s="11" t="str">
        <f t="shared" si="5"/>
        <v>D4</v>
      </c>
      <c r="O20" s="11" t="str">
        <f t="shared" si="5"/>
        <v>38</v>
      </c>
      <c r="P20" s="11" t="str">
        <f t="shared" si="5"/>
        <v>E4</v>
      </c>
      <c r="Q20" s="11" t="str">
        <f t="shared" si="5"/>
        <v>76</v>
      </c>
      <c r="R20" s="11" t="str">
        <f t="shared" si="5"/>
        <v>F4</v>
      </c>
    </row>
    <row r="21" spans="1:18" x14ac:dyDescent="0.3">
      <c r="A21" s="39" t="s">
        <v>700</v>
      </c>
      <c r="B21" s="5" t="str">
        <f t="shared" si="4"/>
        <v>A320</v>
      </c>
      <c r="C21" s="18" t="str">
        <f t="shared" si="5"/>
        <v>0E</v>
      </c>
      <c r="D21" s="11" t="str">
        <f t="shared" si="5"/>
        <v>04</v>
      </c>
      <c r="E21" s="11" t="str">
        <f t="shared" si="5"/>
        <v>86</v>
      </c>
      <c r="F21" s="11" t="str">
        <f t="shared" si="5"/>
        <v>14</v>
      </c>
      <c r="G21" s="11" t="str">
        <f t="shared" si="5"/>
        <v>48</v>
      </c>
      <c r="H21" s="11" t="str">
        <f t="shared" si="5"/>
        <v>24</v>
      </c>
      <c r="I21" s="11" t="str">
        <f t="shared" si="5"/>
        <v>96</v>
      </c>
      <c r="J21" s="11" t="str">
        <f t="shared" si="5"/>
        <v>34</v>
      </c>
      <c r="K21" s="11" t="str">
        <f t="shared" si="5"/>
        <v>2A</v>
      </c>
      <c r="L21" s="11" t="str">
        <f t="shared" si="5"/>
        <v>44</v>
      </c>
      <c r="M21" s="11" t="str">
        <f t="shared" si="5"/>
        <v>A6</v>
      </c>
      <c r="N21" s="11" t="str">
        <f t="shared" si="5"/>
        <v>54</v>
      </c>
      <c r="O21" s="11" t="str">
        <f t="shared" si="5"/>
        <v>58</v>
      </c>
      <c r="P21" s="11" t="str">
        <f t="shared" si="5"/>
        <v>64</v>
      </c>
      <c r="Q21" s="11" t="str">
        <f t="shared" si="5"/>
        <v>B6</v>
      </c>
      <c r="R21" s="11" t="str">
        <f t="shared" si="5"/>
        <v>74</v>
      </c>
    </row>
    <row r="22" spans="1:18" x14ac:dyDescent="0.3">
      <c r="A22" s="39" t="s">
        <v>701</v>
      </c>
      <c r="B22" s="5" t="str">
        <f t="shared" si="4"/>
        <v>A330</v>
      </c>
      <c r="C22" s="18" t="str">
        <f t="shared" si="5"/>
        <v>1C</v>
      </c>
      <c r="D22" s="11" t="str">
        <f t="shared" si="5"/>
        <v>84</v>
      </c>
      <c r="E22" s="11" t="str">
        <f t="shared" si="5"/>
        <v>C6</v>
      </c>
      <c r="F22" s="11" t="str">
        <f t="shared" si="5"/>
        <v>94</v>
      </c>
      <c r="G22" s="11" t="str">
        <f t="shared" si="5"/>
        <v>68</v>
      </c>
      <c r="H22" s="11" t="str">
        <f t="shared" si="5"/>
        <v>A4</v>
      </c>
      <c r="I22" s="11" t="str">
        <f t="shared" si="5"/>
        <v>D6</v>
      </c>
      <c r="J22" s="11" t="str">
        <f t="shared" si="5"/>
        <v>B4</v>
      </c>
      <c r="K22" s="11" t="str">
        <f t="shared" si="5"/>
        <v>3A</v>
      </c>
      <c r="L22" s="11" t="str">
        <f t="shared" si="5"/>
        <v>C4</v>
      </c>
      <c r="M22" s="11" t="str">
        <f t="shared" si="5"/>
        <v>E6</v>
      </c>
      <c r="N22" s="11" t="str">
        <f t="shared" si="5"/>
        <v>D4</v>
      </c>
      <c r="O22" s="11" t="str">
        <f t="shared" si="5"/>
        <v>78</v>
      </c>
      <c r="P22" s="11" t="str">
        <f t="shared" si="5"/>
        <v>E4</v>
      </c>
      <c r="Q22" s="11" t="str">
        <f t="shared" si="5"/>
        <v>F6</v>
      </c>
      <c r="R22" s="11" t="str">
        <f t="shared" si="5"/>
        <v>F4</v>
      </c>
    </row>
    <row r="23" spans="1:18" x14ac:dyDescent="0.3">
      <c r="A23" s="39" t="s">
        <v>702</v>
      </c>
      <c r="B23" s="5" t="str">
        <f t="shared" si="4"/>
        <v>A340</v>
      </c>
      <c r="C23" s="18" t="str">
        <f t="shared" si="5"/>
        <v>10</v>
      </c>
      <c r="D23" s="11" t="str">
        <f t="shared" si="5"/>
        <v>04</v>
      </c>
      <c r="E23" s="11" t="str">
        <f t="shared" si="5"/>
        <v>06</v>
      </c>
      <c r="F23" s="11" t="str">
        <f t="shared" si="5"/>
        <v>14</v>
      </c>
      <c r="G23" s="11" t="str">
        <f t="shared" si="5"/>
        <v>88</v>
      </c>
      <c r="H23" s="11" t="str">
        <f t="shared" si="5"/>
        <v>24</v>
      </c>
      <c r="I23" s="11" t="str">
        <f t="shared" si="5"/>
        <v>16</v>
      </c>
      <c r="J23" s="11" t="str">
        <f t="shared" si="5"/>
        <v>34</v>
      </c>
      <c r="K23" s="11" t="str">
        <f t="shared" si="5"/>
        <v>4A</v>
      </c>
      <c r="L23" s="11" t="str">
        <f t="shared" si="5"/>
        <v>44</v>
      </c>
      <c r="M23" s="11" t="str">
        <f t="shared" si="5"/>
        <v>26</v>
      </c>
      <c r="N23" s="11" t="str">
        <f t="shared" si="5"/>
        <v>54</v>
      </c>
      <c r="O23" s="11" t="str">
        <f t="shared" si="5"/>
        <v>98</v>
      </c>
      <c r="P23" s="11" t="str">
        <f t="shared" si="5"/>
        <v>64</v>
      </c>
      <c r="Q23" s="11" t="str">
        <f t="shared" si="5"/>
        <v>36</v>
      </c>
      <c r="R23" s="11" t="str">
        <f t="shared" si="5"/>
        <v>74</v>
      </c>
    </row>
    <row r="24" spans="1:18" x14ac:dyDescent="0.3">
      <c r="A24" s="39" t="s">
        <v>703</v>
      </c>
      <c r="B24" s="5" t="str">
        <f t="shared" si="4"/>
        <v>A350</v>
      </c>
      <c r="C24" s="18" t="str">
        <f t="shared" si="5"/>
        <v>2C</v>
      </c>
      <c r="D24" s="11" t="str">
        <f t="shared" si="5"/>
        <v>84</v>
      </c>
      <c r="E24" s="11" t="str">
        <f t="shared" si="5"/>
        <v>46</v>
      </c>
      <c r="F24" s="11" t="str">
        <f t="shared" si="5"/>
        <v>94</v>
      </c>
      <c r="G24" s="11" t="str">
        <f t="shared" si="5"/>
        <v>A8</v>
      </c>
      <c r="H24" s="11" t="str">
        <f t="shared" si="5"/>
        <v>A4</v>
      </c>
      <c r="I24" s="11" t="str">
        <f t="shared" si="5"/>
        <v>56</v>
      </c>
      <c r="J24" s="11" t="str">
        <f t="shared" si="5"/>
        <v>B4</v>
      </c>
      <c r="K24" s="11" t="str">
        <f t="shared" si="5"/>
        <v>5A</v>
      </c>
      <c r="L24" s="11" t="str">
        <f t="shared" si="5"/>
        <v>C4</v>
      </c>
      <c r="M24" s="11" t="str">
        <f t="shared" si="5"/>
        <v>66</v>
      </c>
      <c r="N24" s="11" t="str">
        <f t="shared" si="5"/>
        <v>D4</v>
      </c>
      <c r="O24" s="11" t="str">
        <f t="shared" si="5"/>
        <v>B8</v>
      </c>
      <c r="P24" s="11" t="str">
        <f t="shared" si="5"/>
        <v>E4</v>
      </c>
      <c r="Q24" s="11" t="str">
        <f t="shared" si="5"/>
        <v>76</v>
      </c>
      <c r="R24" s="11" t="str">
        <f t="shared" si="5"/>
        <v>F4</v>
      </c>
    </row>
    <row r="25" spans="1:18" x14ac:dyDescent="0.3">
      <c r="A25" s="39" t="s">
        <v>704</v>
      </c>
      <c r="B25" s="5" t="str">
        <f t="shared" si="4"/>
        <v>A360</v>
      </c>
      <c r="C25" s="18" t="str">
        <f t="shared" si="5"/>
        <v>1E</v>
      </c>
      <c r="D25" s="11" t="str">
        <f t="shared" si="5"/>
        <v>04</v>
      </c>
      <c r="E25" s="11" t="str">
        <f t="shared" si="5"/>
        <v>86</v>
      </c>
      <c r="F25" s="11" t="str">
        <f t="shared" si="5"/>
        <v>14</v>
      </c>
      <c r="G25" s="11" t="str">
        <f t="shared" si="5"/>
        <v>C8</v>
      </c>
      <c r="H25" s="11" t="str">
        <f t="shared" si="5"/>
        <v>24</v>
      </c>
      <c r="I25" s="11" t="str">
        <f t="shared" si="5"/>
        <v>96</v>
      </c>
      <c r="J25" s="11" t="str">
        <f t="shared" si="5"/>
        <v>34</v>
      </c>
      <c r="K25" s="11" t="str">
        <f t="shared" si="5"/>
        <v>6A</v>
      </c>
      <c r="L25" s="11" t="str">
        <f t="shared" si="5"/>
        <v>44</v>
      </c>
      <c r="M25" s="11" t="str">
        <f t="shared" si="5"/>
        <v>A6</v>
      </c>
      <c r="N25" s="11" t="str">
        <f t="shared" si="5"/>
        <v>54</v>
      </c>
      <c r="O25" s="11" t="str">
        <f t="shared" si="5"/>
        <v>D8</v>
      </c>
      <c r="P25" s="11" t="str">
        <f t="shared" si="5"/>
        <v>64</v>
      </c>
      <c r="Q25" s="11" t="str">
        <f t="shared" si="5"/>
        <v>B6</v>
      </c>
      <c r="R25" s="11" t="str">
        <f t="shared" si="5"/>
        <v>74</v>
      </c>
    </row>
    <row r="26" spans="1:18" x14ac:dyDescent="0.3">
      <c r="A26" s="39" t="s">
        <v>705</v>
      </c>
      <c r="B26" s="58" t="str">
        <f t="shared" si="4"/>
        <v>A370</v>
      </c>
      <c r="C26" s="19" t="str">
        <f t="shared" si="5"/>
        <v>3C</v>
      </c>
      <c r="D26" s="12" t="str">
        <f t="shared" si="5"/>
        <v>84</v>
      </c>
      <c r="E26" s="12" t="str">
        <f t="shared" si="5"/>
        <v>C6</v>
      </c>
      <c r="F26" s="12" t="str">
        <f t="shared" si="5"/>
        <v>94</v>
      </c>
      <c r="G26" s="12" t="str">
        <f t="shared" si="5"/>
        <v>E8</v>
      </c>
      <c r="H26" s="12" t="str">
        <f t="shared" si="5"/>
        <v>A4</v>
      </c>
      <c r="I26" s="12" t="str">
        <f t="shared" si="5"/>
        <v>D6</v>
      </c>
      <c r="J26" s="12" t="str">
        <f t="shared" si="5"/>
        <v>B4</v>
      </c>
      <c r="K26" s="12" t="str">
        <f t="shared" si="5"/>
        <v>7A</v>
      </c>
      <c r="L26" s="12" t="str">
        <f t="shared" si="5"/>
        <v>C4</v>
      </c>
      <c r="M26" s="12" t="str">
        <f t="shared" si="5"/>
        <v>E6</v>
      </c>
      <c r="N26" s="12" t="str">
        <f t="shared" si="5"/>
        <v>D4</v>
      </c>
      <c r="O26" s="12" t="str">
        <f t="shared" si="5"/>
        <v>F8</v>
      </c>
      <c r="P26" s="12" t="str">
        <f t="shared" si="5"/>
        <v>E4</v>
      </c>
      <c r="Q26" s="12" t="str">
        <f t="shared" si="5"/>
        <v>F6</v>
      </c>
      <c r="R26" s="12" t="str">
        <f t="shared" si="5"/>
        <v>F4</v>
      </c>
    </row>
    <row r="27" spans="1:18" x14ac:dyDescent="0.3">
      <c r="A27" s="39" t="s">
        <v>694</v>
      </c>
      <c r="B27" s="5" t="str">
        <f t="shared" si="4"/>
        <v>A380</v>
      </c>
      <c r="C27" s="17" t="str">
        <f t="shared" si="5"/>
        <v>A9</v>
      </c>
      <c r="D27" s="10" t="str">
        <f t="shared" si="5"/>
        <v>A9</v>
      </c>
      <c r="E27" s="10" t="str">
        <f t="shared" si="5"/>
        <v>A9</v>
      </c>
      <c r="F27" s="10" t="str">
        <f t="shared" si="5"/>
        <v>A9</v>
      </c>
      <c r="G27" s="10" t="str">
        <f t="shared" si="5"/>
        <v>A9</v>
      </c>
      <c r="H27" s="10" t="str">
        <f t="shared" si="5"/>
        <v>A9</v>
      </c>
      <c r="I27" s="10" t="str">
        <f t="shared" si="5"/>
        <v>A9</v>
      </c>
      <c r="J27" s="10" t="str">
        <f t="shared" si="5"/>
        <v>A9</v>
      </c>
      <c r="K27" s="10" t="str">
        <f t="shared" si="5"/>
        <v>A9</v>
      </c>
      <c r="L27" s="10" t="str">
        <f t="shared" si="5"/>
        <v>A9</v>
      </c>
      <c r="M27" s="10" t="str">
        <f t="shared" si="5"/>
        <v>A9</v>
      </c>
      <c r="N27" s="10" t="str">
        <f t="shared" si="5"/>
        <v>A9</v>
      </c>
      <c r="O27" s="10" t="str">
        <f t="shared" si="5"/>
        <v>A9</v>
      </c>
      <c r="P27" s="10" t="str">
        <f t="shared" si="5"/>
        <v>A9</v>
      </c>
      <c r="Q27" s="10" t="str">
        <f t="shared" si="5"/>
        <v>A9</v>
      </c>
      <c r="R27" s="10" t="str">
        <f t="shared" si="5"/>
        <v>A9</v>
      </c>
    </row>
    <row r="28" spans="1:18" x14ac:dyDescent="0.3">
      <c r="A28" s="39" t="s">
        <v>694</v>
      </c>
      <c r="B28" s="5" t="str">
        <f t="shared" si="4"/>
        <v>A390</v>
      </c>
      <c r="C28" s="18" t="str">
        <f t="shared" si="5"/>
        <v>A9</v>
      </c>
      <c r="D28" s="11" t="str">
        <f t="shared" si="5"/>
        <v>A9</v>
      </c>
      <c r="E28" s="11" t="str">
        <f t="shared" si="5"/>
        <v>A9</v>
      </c>
      <c r="F28" s="11" t="str">
        <f t="shared" si="5"/>
        <v>A9</v>
      </c>
      <c r="G28" s="11" t="str">
        <f t="shared" si="5"/>
        <v>A9</v>
      </c>
      <c r="H28" s="11" t="str">
        <f t="shared" si="5"/>
        <v>A9</v>
      </c>
      <c r="I28" s="11" t="str">
        <f t="shared" si="5"/>
        <v>A9</v>
      </c>
      <c r="J28" s="11" t="str">
        <f t="shared" si="5"/>
        <v>A9</v>
      </c>
      <c r="K28" s="11" t="str">
        <f t="shared" si="5"/>
        <v>A9</v>
      </c>
      <c r="L28" s="11" t="str">
        <f t="shared" si="5"/>
        <v>A9</v>
      </c>
      <c r="M28" s="11" t="str">
        <f t="shared" si="5"/>
        <v>A9</v>
      </c>
      <c r="N28" s="11" t="str">
        <f t="shared" si="5"/>
        <v>A9</v>
      </c>
      <c r="O28" s="11" t="str">
        <f t="shared" si="5"/>
        <v>A9</v>
      </c>
      <c r="P28" s="11" t="str">
        <f t="shared" si="5"/>
        <v>A9</v>
      </c>
      <c r="Q28" s="11" t="str">
        <f t="shared" si="5"/>
        <v>A9</v>
      </c>
      <c r="R28" s="11" t="str">
        <f t="shared" si="5"/>
        <v>A9</v>
      </c>
    </row>
    <row r="29" spans="1:18" x14ac:dyDescent="0.3">
      <c r="A29" s="39" t="s">
        <v>695</v>
      </c>
      <c r="B29" s="5" t="str">
        <f t="shared" si="4"/>
        <v>A3A0</v>
      </c>
      <c r="C29" s="18" t="str">
        <f t="shared" si="5"/>
        <v>A9</v>
      </c>
      <c r="D29" s="11" t="str">
        <f t="shared" si="5"/>
        <v>AA</v>
      </c>
      <c r="E29" s="11" t="str">
        <f t="shared" si="5"/>
        <v>A9</v>
      </c>
      <c r="F29" s="11" t="str">
        <f t="shared" si="5"/>
        <v>AA</v>
      </c>
      <c r="G29" s="11" t="str">
        <f t="shared" si="5"/>
        <v>A9</v>
      </c>
      <c r="H29" s="11" t="str">
        <f t="shared" si="5"/>
        <v>AA</v>
      </c>
      <c r="I29" s="11" t="str">
        <f t="shared" si="5"/>
        <v>A9</v>
      </c>
      <c r="J29" s="11" t="str">
        <f t="shared" si="5"/>
        <v>AA</v>
      </c>
      <c r="K29" s="11" t="str">
        <f t="shared" si="5"/>
        <v>A9</v>
      </c>
      <c r="L29" s="11" t="str">
        <f t="shared" si="5"/>
        <v>AA</v>
      </c>
      <c r="M29" s="11" t="str">
        <f t="shared" si="5"/>
        <v>A9</v>
      </c>
      <c r="N29" s="11" t="str">
        <f t="shared" si="5"/>
        <v>AA</v>
      </c>
      <c r="O29" s="11" t="str">
        <f t="shared" si="5"/>
        <v>A9</v>
      </c>
      <c r="P29" s="11" t="str">
        <f t="shared" si="5"/>
        <v>AA</v>
      </c>
      <c r="Q29" s="11" t="str">
        <f t="shared" si="5"/>
        <v>A9</v>
      </c>
      <c r="R29" s="11" t="str">
        <f t="shared" si="5"/>
        <v>AA</v>
      </c>
    </row>
    <row r="30" spans="1:18" x14ac:dyDescent="0.3">
      <c r="A30" s="39" t="s">
        <v>695</v>
      </c>
      <c r="B30" s="5" t="str">
        <f t="shared" si="4"/>
        <v>A3B0</v>
      </c>
      <c r="C30" s="18" t="str">
        <f t="shared" si="5"/>
        <v>A9</v>
      </c>
      <c r="D30" s="11" t="str">
        <f t="shared" si="5"/>
        <v>AA</v>
      </c>
      <c r="E30" s="11" t="str">
        <f t="shared" si="5"/>
        <v>A9</v>
      </c>
      <c r="F30" s="11" t="str">
        <f t="shared" si="5"/>
        <v>AA</v>
      </c>
      <c r="G30" s="11" t="str">
        <f t="shared" si="5"/>
        <v>A9</v>
      </c>
      <c r="H30" s="11" t="str">
        <f t="shared" si="5"/>
        <v>AA</v>
      </c>
      <c r="I30" s="11" t="str">
        <f t="shared" si="5"/>
        <v>A9</v>
      </c>
      <c r="J30" s="11" t="str">
        <f t="shared" si="5"/>
        <v>AA</v>
      </c>
      <c r="K30" s="11" t="str">
        <f t="shared" si="5"/>
        <v>A9</v>
      </c>
      <c r="L30" s="11" t="str">
        <f t="shared" si="5"/>
        <v>AA</v>
      </c>
      <c r="M30" s="11" t="str">
        <f t="shared" si="5"/>
        <v>A9</v>
      </c>
      <c r="N30" s="11" t="str">
        <f t="shared" si="5"/>
        <v>AA</v>
      </c>
      <c r="O30" s="11" t="str">
        <f t="shared" si="5"/>
        <v>A9</v>
      </c>
      <c r="P30" s="11" t="str">
        <f t="shared" si="5"/>
        <v>AA</v>
      </c>
      <c r="Q30" s="11" t="str">
        <f t="shared" si="5"/>
        <v>A9</v>
      </c>
      <c r="R30" s="11" t="str">
        <f t="shared" si="5"/>
        <v>AA</v>
      </c>
    </row>
    <row r="31" spans="1:18" x14ac:dyDescent="0.3">
      <c r="A31" s="39" t="s">
        <v>696</v>
      </c>
      <c r="B31" s="5" t="str">
        <f t="shared" si="4"/>
        <v>A3C0</v>
      </c>
      <c r="C31" s="18" t="str">
        <f t="shared" si="5"/>
        <v>A9</v>
      </c>
      <c r="D31" s="11" t="str">
        <f t="shared" si="5"/>
        <v>AB</v>
      </c>
      <c r="E31" s="11" t="str">
        <f t="shared" si="5"/>
        <v>AA</v>
      </c>
      <c r="F31" s="11" t="str">
        <f t="shared" si="5"/>
        <v>AB</v>
      </c>
      <c r="G31" s="11" t="str">
        <f t="shared" si="5"/>
        <v>A9</v>
      </c>
      <c r="H31" s="11" t="str">
        <f t="shared" si="5"/>
        <v>AB</v>
      </c>
      <c r="I31" s="11" t="str">
        <f t="shared" si="5"/>
        <v>AA</v>
      </c>
      <c r="J31" s="11" t="str">
        <f t="shared" si="5"/>
        <v>AB</v>
      </c>
      <c r="K31" s="11" t="str">
        <f t="shared" si="5"/>
        <v>A9</v>
      </c>
      <c r="L31" s="11" t="str">
        <f t="shared" si="5"/>
        <v>AB</v>
      </c>
      <c r="M31" s="11" t="str">
        <f t="shared" si="5"/>
        <v>AA</v>
      </c>
      <c r="N31" s="11" t="str">
        <f t="shared" si="5"/>
        <v>AB</v>
      </c>
      <c r="O31" s="11" t="str">
        <f t="shared" si="5"/>
        <v>A9</v>
      </c>
      <c r="P31" s="11" t="str">
        <f t="shared" si="5"/>
        <v>AB</v>
      </c>
      <c r="Q31" s="11" t="str">
        <f t="shared" si="5"/>
        <v>AA</v>
      </c>
      <c r="R31" s="11" t="str">
        <f t="shared" si="5"/>
        <v>AB</v>
      </c>
    </row>
    <row r="32" spans="1:18" x14ac:dyDescent="0.3">
      <c r="A32" s="39" t="s">
        <v>696</v>
      </c>
      <c r="B32" s="5" t="str">
        <f t="shared" si="4"/>
        <v>A3D0</v>
      </c>
      <c r="C32" s="18" t="str">
        <f t="shared" si="5"/>
        <v>A9</v>
      </c>
      <c r="D32" s="11" t="str">
        <f t="shared" si="5"/>
        <v>AB</v>
      </c>
      <c r="E32" s="11" t="str">
        <f t="shared" si="5"/>
        <v>AA</v>
      </c>
      <c r="F32" s="11" t="str">
        <f t="shared" si="5"/>
        <v>AB</v>
      </c>
      <c r="G32" s="11" t="str">
        <f t="shared" si="5"/>
        <v>A9</v>
      </c>
      <c r="H32" s="11" t="str">
        <f t="shared" si="5"/>
        <v>AB</v>
      </c>
      <c r="I32" s="11" t="str">
        <f t="shared" si="5"/>
        <v>AA</v>
      </c>
      <c r="J32" s="11" t="str">
        <f t="shared" si="5"/>
        <v>AB</v>
      </c>
      <c r="K32" s="11" t="str">
        <f t="shared" si="5"/>
        <v>A9</v>
      </c>
      <c r="L32" s="11" t="str">
        <f t="shared" si="5"/>
        <v>AB</v>
      </c>
      <c r="M32" s="11" t="str">
        <f t="shared" si="5"/>
        <v>AA</v>
      </c>
      <c r="N32" s="11" t="str">
        <f t="shared" si="5"/>
        <v>AB</v>
      </c>
      <c r="O32" s="11" t="str">
        <f t="shared" si="5"/>
        <v>A9</v>
      </c>
      <c r="P32" s="11" t="str">
        <f t="shared" si="5"/>
        <v>AB</v>
      </c>
      <c r="Q32" s="11" t="str">
        <f t="shared" si="5"/>
        <v>AA</v>
      </c>
      <c r="R32" s="11" t="str">
        <f t="shared" si="5"/>
        <v>AB</v>
      </c>
    </row>
    <row r="33" spans="1:18" x14ac:dyDescent="0.3">
      <c r="A33" s="39" t="s">
        <v>697</v>
      </c>
      <c r="B33" s="5" t="str">
        <f t="shared" si="4"/>
        <v>A3E0</v>
      </c>
      <c r="C33" s="18" t="str">
        <f t="shared" si="5"/>
        <v>A9</v>
      </c>
      <c r="D33" s="11" t="str">
        <f t="shared" si="5"/>
        <v>AC</v>
      </c>
      <c r="E33" s="11" t="str">
        <f t="shared" si="5"/>
        <v>AA</v>
      </c>
      <c r="F33" s="11" t="str">
        <f t="shared" si="5"/>
        <v>AC</v>
      </c>
      <c r="G33" s="11" t="str">
        <f t="shared" si="5"/>
        <v>A9</v>
      </c>
      <c r="H33" s="11" t="str">
        <f t="shared" si="5"/>
        <v>AC</v>
      </c>
      <c r="I33" s="11" t="str">
        <f t="shared" si="5"/>
        <v>AA</v>
      </c>
      <c r="J33" s="11" t="str">
        <f t="shared" si="5"/>
        <v>AC</v>
      </c>
      <c r="K33" s="11" t="str">
        <f t="shared" si="5"/>
        <v>A9</v>
      </c>
      <c r="L33" s="11" t="str">
        <f t="shared" si="5"/>
        <v>AC</v>
      </c>
      <c r="M33" s="11" t="str">
        <f t="shared" si="5"/>
        <v>AA</v>
      </c>
      <c r="N33" s="11" t="str">
        <f t="shared" si="5"/>
        <v>AC</v>
      </c>
      <c r="O33" s="11" t="str">
        <f t="shared" si="5"/>
        <v>A9</v>
      </c>
      <c r="P33" s="11" t="str">
        <f t="shared" si="5"/>
        <v>AC</v>
      </c>
      <c r="Q33" s="11" t="str">
        <f t="shared" si="5"/>
        <v>AA</v>
      </c>
      <c r="R33" s="11" t="str">
        <f t="shared" si="5"/>
        <v>AC</v>
      </c>
    </row>
    <row r="34" spans="1:18" x14ac:dyDescent="0.3">
      <c r="A34" s="39" t="s">
        <v>697</v>
      </c>
      <c r="B34" s="58" t="str">
        <f t="shared" si="4"/>
        <v>A3F0</v>
      </c>
      <c r="C34" s="19" t="str">
        <f t="shared" si="5"/>
        <v>A9</v>
      </c>
      <c r="D34" s="12" t="str">
        <f t="shared" si="5"/>
        <v>AC</v>
      </c>
      <c r="E34" s="12" t="str">
        <f t="shared" si="5"/>
        <v>AA</v>
      </c>
      <c r="F34" s="12" t="str">
        <f t="shared" si="5"/>
        <v>AC</v>
      </c>
      <c r="G34" s="12" t="str">
        <f t="shared" si="5"/>
        <v>A9</v>
      </c>
      <c r="H34" s="12" t="str">
        <f t="shared" si="5"/>
        <v>AC</v>
      </c>
      <c r="I34" s="12" t="str">
        <f t="shared" si="5"/>
        <v>AA</v>
      </c>
      <c r="J34" s="12" t="str">
        <f t="shared" si="5"/>
        <v>AC</v>
      </c>
      <c r="K34" s="12" t="str">
        <f t="shared" si="5"/>
        <v>A9</v>
      </c>
      <c r="L34" s="12" t="str">
        <f t="shared" si="5"/>
        <v>AC</v>
      </c>
      <c r="M34" s="12" t="str">
        <f t="shared" si="5"/>
        <v>AA</v>
      </c>
      <c r="N34" s="12" t="str">
        <f t="shared" si="5"/>
        <v>AC</v>
      </c>
      <c r="O34" s="12" t="str">
        <f t="shared" si="5"/>
        <v>A9</v>
      </c>
      <c r="P34" s="12" t="str">
        <f t="shared" si="5"/>
        <v>AC</v>
      </c>
      <c r="Q34" s="12" t="str">
        <f t="shared" si="5"/>
        <v>AA</v>
      </c>
      <c r="R34" s="12" t="str">
        <f t="shared" si="5"/>
        <v>AC</v>
      </c>
    </row>
    <row r="35" spans="1:18" x14ac:dyDescent="0.3">
      <c r="A35" s="39" t="s">
        <v>706</v>
      </c>
      <c r="B35" s="29" t="str">
        <f t="shared" si="4"/>
        <v>A400</v>
      </c>
      <c r="C35" s="17" t="str">
        <f t="shared" si="5"/>
        <v>00</v>
      </c>
      <c r="D35" s="10" t="str">
        <f t="shared" si="5"/>
        <v>06</v>
      </c>
      <c r="E35" s="10" t="str">
        <f t="shared" si="5"/>
        <v>08</v>
      </c>
      <c r="F35" s="10" t="str">
        <f t="shared" si="5"/>
        <v>16</v>
      </c>
      <c r="G35" s="10" t="str">
        <f t="shared" si="5"/>
        <v>0A</v>
      </c>
      <c r="H35" s="10" t="str">
        <f t="shared" si="5"/>
        <v>26</v>
      </c>
      <c r="I35" s="10" t="str">
        <f t="shared" si="5"/>
        <v>18</v>
      </c>
      <c r="J35" s="10" t="str">
        <f t="shared" si="5"/>
        <v>36</v>
      </c>
      <c r="K35" s="10" t="str">
        <f t="shared" si="5"/>
        <v>0C</v>
      </c>
      <c r="L35" s="10" t="str">
        <f t="shared" si="5"/>
        <v>46</v>
      </c>
      <c r="M35" s="10" t="str">
        <f t="shared" si="5"/>
        <v>28</v>
      </c>
      <c r="N35" s="10" t="str">
        <f t="shared" si="5"/>
        <v>56</v>
      </c>
      <c r="O35" s="10" t="str">
        <f t="shared" si="5"/>
        <v>1A</v>
      </c>
      <c r="P35" s="10" t="str">
        <f t="shared" si="5"/>
        <v>66</v>
      </c>
      <c r="Q35" s="10" t="str">
        <f t="shared" si="5"/>
        <v>38</v>
      </c>
      <c r="R35" s="10" t="str">
        <f t="shared" ref="R35:R98" si="6">MID($A35,13+R$1*3,2)</f>
        <v>76</v>
      </c>
    </row>
    <row r="36" spans="1:18" x14ac:dyDescent="0.3">
      <c r="A36" s="39" t="s">
        <v>707</v>
      </c>
      <c r="B36" s="5" t="str">
        <f t="shared" si="4"/>
        <v>A410</v>
      </c>
      <c r="C36" s="18" t="str">
        <f t="shared" ref="C36:Q51" si="7">MID($A36,13+C$1*3,2)</f>
        <v>0E</v>
      </c>
      <c r="D36" s="11" t="str">
        <f t="shared" si="7"/>
        <v>86</v>
      </c>
      <c r="E36" s="11" t="str">
        <f t="shared" si="7"/>
        <v>48</v>
      </c>
      <c r="F36" s="11" t="str">
        <f t="shared" si="7"/>
        <v>96</v>
      </c>
      <c r="G36" s="11" t="str">
        <f t="shared" si="7"/>
        <v>2A</v>
      </c>
      <c r="H36" s="11" t="str">
        <f t="shared" si="7"/>
        <v>A6</v>
      </c>
      <c r="I36" s="11" t="str">
        <f t="shared" si="7"/>
        <v>58</v>
      </c>
      <c r="J36" s="11" t="str">
        <f t="shared" si="7"/>
        <v>B6</v>
      </c>
      <c r="K36" s="11" t="str">
        <f t="shared" si="7"/>
        <v>1C</v>
      </c>
      <c r="L36" s="11" t="str">
        <f t="shared" si="7"/>
        <v>C6</v>
      </c>
      <c r="M36" s="11" t="str">
        <f t="shared" si="7"/>
        <v>68</v>
      </c>
      <c r="N36" s="11" t="str">
        <f t="shared" si="7"/>
        <v>D6</v>
      </c>
      <c r="O36" s="11" t="str">
        <f t="shared" si="7"/>
        <v>3A</v>
      </c>
      <c r="P36" s="11" t="str">
        <f t="shared" si="7"/>
        <v>E6</v>
      </c>
      <c r="Q36" s="11" t="str">
        <f t="shared" si="7"/>
        <v>78</v>
      </c>
      <c r="R36" s="11" t="str">
        <f t="shared" si="6"/>
        <v>F6</v>
      </c>
    </row>
    <row r="37" spans="1:18" x14ac:dyDescent="0.3">
      <c r="A37" s="39" t="s">
        <v>708</v>
      </c>
      <c r="B37" s="5" t="str">
        <f t="shared" si="4"/>
        <v>A420</v>
      </c>
      <c r="C37" s="18" t="str">
        <f t="shared" si="7"/>
        <v>10</v>
      </c>
      <c r="D37" s="11" t="str">
        <f t="shared" si="7"/>
        <v>06</v>
      </c>
      <c r="E37" s="11" t="str">
        <f t="shared" si="7"/>
        <v>88</v>
      </c>
      <c r="F37" s="11" t="str">
        <f t="shared" si="7"/>
        <v>16</v>
      </c>
      <c r="G37" s="11" t="str">
        <f t="shared" si="7"/>
        <v>4A</v>
      </c>
      <c r="H37" s="11" t="str">
        <f t="shared" si="7"/>
        <v>26</v>
      </c>
      <c r="I37" s="11" t="str">
        <f t="shared" si="7"/>
        <v>98</v>
      </c>
      <c r="J37" s="11" t="str">
        <f t="shared" si="7"/>
        <v>36</v>
      </c>
      <c r="K37" s="11" t="str">
        <f t="shared" si="7"/>
        <v>2C</v>
      </c>
      <c r="L37" s="11" t="str">
        <f t="shared" si="7"/>
        <v>46</v>
      </c>
      <c r="M37" s="11" t="str">
        <f t="shared" si="7"/>
        <v>A8</v>
      </c>
      <c r="N37" s="11" t="str">
        <f t="shared" si="7"/>
        <v>56</v>
      </c>
      <c r="O37" s="11" t="str">
        <f t="shared" si="7"/>
        <v>5A</v>
      </c>
      <c r="P37" s="11" t="str">
        <f t="shared" si="7"/>
        <v>66</v>
      </c>
      <c r="Q37" s="11" t="str">
        <f t="shared" si="7"/>
        <v>B8</v>
      </c>
      <c r="R37" s="11" t="str">
        <f t="shared" si="6"/>
        <v>76</v>
      </c>
    </row>
    <row r="38" spans="1:18" x14ac:dyDescent="0.3">
      <c r="A38" s="39" t="s">
        <v>709</v>
      </c>
      <c r="B38" s="5" t="str">
        <f t="shared" si="4"/>
        <v>A430</v>
      </c>
      <c r="C38" s="18" t="str">
        <f t="shared" si="7"/>
        <v>1E</v>
      </c>
      <c r="D38" s="11" t="str">
        <f t="shared" si="7"/>
        <v>86</v>
      </c>
      <c r="E38" s="11" t="str">
        <f t="shared" si="7"/>
        <v>C8</v>
      </c>
      <c r="F38" s="11" t="str">
        <f t="shared" si="7"/>
        <v>96</v>
      </c>
      <c r="G38" s="11" t="str">
        <f t="shared" si="7"/>
        <v>6A</v>
      </c>
      <c r="H38" s="11" t="str">
        <f t="shared" si="7"/>
        <v>A6</v>
      </c>
      <c r="I38" s="11" t="str">
        <f t="shared" si="7"/>
        <v>D8</v>
      </c>
      <c r="J38" s="11" t="str">
        <f t="shared" si="7"/>
        <v>B6</v>
      </c>
      <c r="K38" s="11" t="str">
        <f t="shared" si="7"/>
        <v>3C</v>
      </c>
      <c r="L38" s="11" t="str">
        <f t="shared" si="7"/>
        <v>C6</v>
      </c>
      <c r="M38" s="11" t="str">
        <f t="shared" si="7"/>
        <v>E8</v>
      </c>
      <c r="N38" s="11" t="str">
        <f t="shared" si="7"/>
        <v>D6</v>
      </c>
      <c r="O38" s="11" t="str">
        <f t="shared" si="7"/>
        <v>7A</v>
      </c>
      <c r="P38" s="11" t="str">
        <f t="shared" si="7"/>
        <v>E6</v>
      </c>
      <c r="Q38" s="11" t="str">
        <f t="shared" si="7"/>
        <v>F8</v>
      </c>
      <c r="R38" s="11" t="str">
        <f t="shared" si="6"/>
        <v>F6</v>
      </c>
    </row>
    <row r="39" spans="1:18" x14ac:dyDescent="0.3">
      <c r="A39" s="39" t="s">
        <v>710</v>
      </c>
      <c r="B39" s="5" t="str">
        <f t="shared" si="4"/>
        <v>A440</v>
      </c>
      <c r="C39" s="18" t="str">
        <f t="shared" si="7"/>
        <v>20</v>
      </c>
      <c r="D39" s="11" t="str">
        <f t="shared" si="7"/>
        <v>06</v>
      </c>
      <c r="E39" s="11" t="str">
        <f t="shared" si="7"/>
        <v>08</v>
      </c>
      <c r="F39" s="11" t="str">
        <f t="shared" si="7"/>
        <v>16</v>
      </c>
      <c r="G39" s="11" t="str">
        <f t="shared" si="7"/>
        <v>8A</v>
      </c>
      <c r="H39" s="11" t="str">
        <f t="shared" si="7"/>
        <v>26</v>
      </c>
      <c r="I39" s="11" t="str">
        <f t="shared" si="7"/>
        <v>18</v>
      </c>
      <c r="J39" s="11" t="str">
        <f t="shared" si="7"/>
        <v>36</v>
      </c>
      <c r="K39" s="11" t="str">
        <f t="shared" si="7"/>
        <v>4C</v>
      </c>
      <c r="L39" s="11" t="str">
        <f t="shared" si="7"/>
        <v>46</v>
      </c>
      <c r="M39" s="11" t="str">
        <f t="shared" si="7"/>
        <v>28</v>
      </c>
      <c r="N39" s="11" t="str">
        <f t="shared" si="7"/>
        <v>56</v>
      </c>
      <c r="O39" s="11" t="str">
        <f t="shared" si="7"/>
        <v>9A</v>
      </c>
      <c r="P39" s="11" t="str">
        <f t="shared" si="7"/>
        <v>66</v>
      </c>
      <c r="Q39" s="11" t="str">
        <f t="shared" si="7"/>
        <v>38</v>
      </c>
      <c r="R39" s="11" t="str">
        <f t="shared" si="6"/>
        <v>76</v>
      </c>
    </row>
    <row r="40" spans="1:18" x14ac:dyDescent="0.3">
      <c r="A40" s="39" t="s">
        <v>711</v>
      </c>
      <c r="B40" s="5" t="str">
        <f t="shared" si="4"/>
        <v>A450</v>
      </c>
      <c r="C40" s="18" t="str">
        <f t="shared" si="7"/>
        <v>2E</v>
      </c>
      <c r="D40" s="11" t="str">
        <f t="shared" si="7"/>
        <v>86</v>
      </c>
      <c r="E40" s="11" t="str">
        <f t="shared" si="7"/>
        <v>48</v>
      </c>
      <c r="F40" s="11" t="str">
        <f t="shared" si="7"/>
        <v>96</v>
      </c>
      <c r="G40" s="11" t="str">
        <f t="shared" si="7"/>
        <v>AA</v>
      </c>
      <c r="H40" s="11" t="str">
        <f t="shared" si="7"/>
        <v>A6</v>
      </c>
      <c r="I40" s="11" t="str">
        <f t="shared" si="7"/>
        <v>58</v>
      </c>
      <c r="J40" s="11" t="str">
        <f t="shared" si="7"/>
        <v>B6</v>
      </c>
      <c r="K40" s="11" t="str">
        <f t="shared" si="7"/>
        <v>5C</v>
      </c>
      <c r="L40" s="11" t="str">
        <f t="shared" si="7"/>
        <v>C6</v>
      </c>
      <c r="M40" s="11" t="str">
        <f t="shared" si="7"/>
        <v>68</v>
      </c>
      <c r="N40" s="11" t="str">
        <f t="shared" si="7"/>
        <v>D6</v>
      </c>
      <c r="O40" s="11" t="str">
        <f t="shared" si="7"/>
        <v>BA</v>
      </c>
      <c r="P40" s="11" t="str">
        <f t="shared" si="7"/>
        <v>E6</v>
      </c>
      <c r="Q40" s="11" t="str">
        <f t="shared" si="7"/>
        <v>78</v>
      </c>
      <c r="R40" s="11" t="str">
        <f t="shared" si="6"/>
        <v>F6</v>
      </c>
    </row>
    <row r="41" spans="1:18" x14ac:dyDescent="0.3">
      <c r="A41" s="39" t="s">
        <v>712</v>
      </c>
      <c r="B41" s="5" t="str">
        <f t="shared" si="4"/>
        <v>A460</v>
      </c>
      <c r="C41" s="18" t="str">
        <f t="shared" si="7"/>
        <v>30</v>
      </c>
      <c r="D41" s="11" t="str">
        <f t="shared" si="7"/>
        <v>06</v>
      </c>
      <c r="E41" s="11" t="str">
        <f t="shared" si="7"/>
        <v>88</v>
      </c>
      <c r="F41" s="11" t="str">
        <f t="shared" si="7"/>
        <v>16</v>
      </c>
      <c r="G41" s="11" t="str">
        <f t="shared" si="7"/>
        <v>CA</v>
      </c>
      <c r="H41" s="11" t="str">
        <f t="shared" si="7"/>
        <v>26</v>
      </c>
      <c r="I41" s="11" t="str">
        <f t="shared" si="7"/>
        <v>98</v>
      </c>
      <c r="J41" s="11" t="str">
        <f t="shared" si="7"/>
        <v>36</v>
      </c>
      <c r="K41" s="11" t="str">
        <f t="shared" si="7"/>
        <v>6C</v>
      </c>
      <c r="L41" s="11" t="str">
        <f t="shared" si="7"/>
        <v>46</v>
      </c>
      <c r="M41" s="11" t="str">
        <f t="shared" si="7"/>
        <v>A8</v>
      </c>
      <c r="N41" s="11" t="str">
        <f t="shared" si="7"/>
        <v>56</v>
      </c>
      <c r="O41" s="11" t="str">
        <f t="shared" si="7"/>
        <v>DA</v>
      </c>
      <c r="P41" s="11" t="str">
        <f t="shared" si="7"/>
        <v>66</v>
      </c>
      <c r="Q41" s="11" t="str">
        <f t="shared" si="7"/>
        <v>B8</v>
      </c>
      <c r="R41" s="11" t="str">
        <f t="shared" si="6"/>
        <v>76</v>
      </c>
    </row>
    <row r="42" spans="1:18" x14ac:dyDescent="0.3">
      <c r="A42" s="39" t="s">
        <v>713</v>
      </c>
      <c r="B42" s="58" t="str">
        <f t="shared" si="4"/>
        <v>A470</v>
      </c>
      <c r="C42" s="19" t="str">
        <f t="shared" si="7"/>
        <v>3E</v>
      </c>
      <c r="D42" s="12" t="str">
        <f t="shared" si="7"/>
        <v>86</v>
      </c>
      <c r="E42" s="12" t="str">
        <f t="shared" si="7"/>
        <v>C8</v>
      </c>
      <c r="F42" s="12" t="str">
        <f t="shared" si="7"/>
        <v>96</v>
      </c>
      <c r="G42" s="12" t="str">
        <f t="shared" si="7"/>
        <v>EA</v>
      </c>
      <c r="H42" s="12" t="str">
        <f t="shared" si="7"/>
        <v>A6</v>
      </c>
      <c r="I42" s="12" t="str">
        <f t="shared" si="7"/>
        <v>D8</v>
      </c>
      <c r="J42" s="12" t="str">
        <f t="shared" si="7"/>
        <v>B6</v>
      </c>
      <c r="K42" s="12" t="str">
        <f t="shared" si="7"/>
        <v>7C</v>
      </c>
      <c r="L42" s="12" t="str">
        <f t="shared" si="7"/>
        <v>C6</v>
      </c>
      <c r="M42" s="12" t="str">
        <f t="shared" si="7"/>
        <v>E8</v>
      </c>
      <c r="N42" s="12" t="str">
        <f t="shared" si="7"/>
        <v>D6</v>
      </c>
      <c r="O42" s="12" t="str">
        <f t="shared" si="7"/>
        <v>FA</v>
      </c>
      <c r="P42" s="12" t="str">
        <f t="shared" si="7"/>
        <v>E6</v>
      </c>
      <c r="Q42" s="12" t="str">
        <f t="shared" si="7"/>
        <v>F8</v>
      </c>
      <c r="R42" s="12" t="str">
        <f t="shared" si="6"/>
        <v>F6</v>
      </c>
    </row>
    <row r="43" spans="1:18" x14ac:dyDescent="0.3">
      <c r="A43" s="39" t="s">
        <v>694</v>
      </c>
      <c r="B43" s="5" t="str">
        <f t="shared" si="4"/>
        <v>A480</v>
      </c>
      <c r="C43" s="17" t="str">
        <f t="shared" si="7"/>
        <v>A9</v>
      </c>
      <c r="D43" s="10" t="str">
        <f t="shared" si="7"/>
        <v>A9</v>
      </c>
      <c r="E43" s="10" t="str">
        <f t="shared" si="7"/>
        <v>A9</v>
      </c>
      <c r="F43" s="10" t="str">
        <f t="shared" si="7"/>
        <v>A9</v>
      </c>
      <c r="G43" s="10" t="str">
        <f t="shared" si="7"/>
        <v>A9</v>
      </c>
      <c r="H43" s="10" t="str">
        <f t="shared" si="7"/>
        <v>A9</v>
      </c>
      <c r="I43" s="10" t="str">
        <f t="shared" si="7"/>
        <v>A9</v>
      </c>
      <c r="J43" s="10" t="str">
        <f t="shared" si="7"/>
        <v>A9</v>
      </c>
      <c r="K43" s="10" t="str">
        <f t="shared" si="7"/>
        <v>A9</v>
      </c>
      <c r="L43" s="10" t="str">
        <f t="shared" si="7"/>
        <v>A9</v>
      </c>
      <c r="M43" s="10" t="str">
        <f t="shared" si="7"/>
        <v>A9</v>
      </c>
      <c r="N43" s="10" t="str">
        <f t="shared" si="7"/>
        <v>A9</v>
      </c>
      <c r="O43" s="10" t="str">
        <f t="shared" si="7"/>
        <v>A9</v>
      </c>
      <c r="P43" s="10" t="str">
        <f t="shared" si="7"/>
        <v>A9</v>
      </c>
      <c r="Q43" s="10" t="str">
        <f t="shared" si="7"/>
        <v>A9</v>
      </c>
      <c r="R43" s="10" t="str">
        <f t="shared" si="6"/>
        <v>A9</v>
      </c>
    </row>
    <row r="44" spans="1:18" x14ac:dyDescent="0.3">
      <c r="A44" s="39" t="s">
        <v>694</v>
      </c>
      <c r="B44" s="5" t="str">
        <f t="shared" si="4"/>
        <v>A490</v>
      </c>
      <c r="C44" s="18" t="str">
        <f t="shared" si="7"/>
        <v>A9</v>
      </c>
      <c r="D44" s="11" t="str">
        <f t="shared" si="7"/>
        <v>A9</v>
      </c>
      <c r="E44" s="11" t="str">
        <f t="shared" si="7"/>
        <v>A9</v>
      </c>
      <c r="F44" s="11" t="str">
        <f t="shared" si="7"/>
        <v>A9</v>
      </c>
      <c r="G44" s="11" t="str">
        <f t="shared" si="7"/>
        <v>A9</v>
      </c>
      <c r="H44" s="11" t="str">
        <f t="shared" si="7"/>
        <v>A9</v>
      </c>
      <c r="I44" s="11" t="str">
        <f t="shared" si="7"/>
        <v>A9</v>
      </c>
      <c r="J44" s="11" t="str">
        <f t="shared" si="7"/>
        <v>A9</v>
      </c>
      <c r="K44" s="11" t="str">
        <f t="shared" si="7"/>
        <v>A9</v>
      </c>
      <c r="L44" s="11" t="str">
        <f t="shared" si="7"/>
        <v>A9</v>
      </c>
      <c r="M44" s="11" t="str">
        <f t="shared" si="7"/>
        <v>A9</v>
      </c>
      <c r="N44" s="11" t="str">
        <f t="shared" si="7"/>
        <v>A9</v>
      </c>
      <c r="O44" s="11" t="str">
        <f t="shared" si="7"/>
        <v>A9</v>
      </c>
      <c r="P44" s="11" t="str">
        <f t="shared" si="7"/>
        <v>A9</v>
      </c>
      <c r="Q44" s="11" t="str">
        <f t="shared" si="7"/>
        <v>A9</v>
      </c>
      <c r="R44" s="11" t="str">
        <f t="shared" si="6"/>
        <v>A9</v>
      </c>
    </row>
    <row r="45" spans="1:18" x14ac:dyDescent="0.3">
      <c r="A45" s="39" t="s">
        <v>695</v>
      </c>
      <c r="B45" s="5" t="str">
        <f t="shared" si="4"/>
        <v>A4A0</v>
      </c>
      <c r="C45" s="18" t="str">
        <f t="shared" si="7"/>
        <v>A9</v>
      </c>
      <c r="D45" s="11" t="str">
        <f t="shared" si="7"/>
        <v>AA</v>
      </c>
      <c r="E45" s="11" t="str">
        <f t="shared" si="7"/>
        <v>A9</v>
      </c>
      <c r="F45" s="11" t="str">
        <f t="shared" si="7"/>
        <v>AA</v>
      </c>
      <c r="G45" s="11" t="str">
        <f t="shared" si="7"/>
        <v>A9</v>
      </c>
      <c r="H45" s="11" t="str">
        <f t="shared" si="7"/>
        <v>AA</v>
      </c>
      <c r="I45" s="11" t="str">
        <f t="shared" si="7"/>
        <v>A9</v>
      </c>
      <c r="J45" s="11" t="str">
        <f t="shared" si="7"/>
        <v>AA</v>
      </c>
      <c r="K45" s="11" t="str">
        <f t="shared" si="7"/>
        <v>A9</v>
      </c>
      <c r="L45" s="11" t="str">
        <f t="shared" si="7"/>
        <v>AA</v>
      </c>
      <c r="M45" s="11" t="str">
        <f t="shared" si="7"/>
        <v>A9</v>
      </c>
      <c r="N45" s="11" t="str">
        <f t="shared" si="7"/>
        <v>AA</v>
      </c>
      <c r="O45" s="11" t="str">
        <f t="shared" si="7"/>
        <v>A9</v>
      </c>
      <c r="P45" s="11" t="str">
        <f t="shared" si="7"/>
        <v>AA</v>
      </c>
      <c r="Q45" s="11" t="str">
        <f t="shared" si="7"/>
        <v>A9</v>
      </c>
      <c r="R45" s="11" t="str">
        <f t="shared" si="6"/>
        <v>AA</v>
      </c>
    </row>
    <row r="46" spans="1:18" x14ac:dyDescent="0.3">
      <c r="A46" s="39" t="s">
        <v>695</v>
      </c>
      <c r="B46" s="5" t="str">
        <f t="shared" si="4"/>
        <v>A4B0</v>
      </c>
      <c r="C46" s="18" t="str">
        <f t="shared" si="7"/>
        <v>A9</v>
      </c>
      <c r="D46" s="11" t="str">
        <f t="shared" si="7"/>
        <v>AA</v>
      </c>
      <c r="E46" s="11" t="str">
        <f t="shared" si="7"/>
        <v>A9</v>
      </c>
      <c r="F46" s="11" t="str">
        <f t="shared" si="7"/>
        <v>AA</v>
      </c>
      <c r="G46" s="11" t="str">
        <f t="shared" si="7"/>
        <v>A9</v>
      </c>
      <c r="H46" s="11" t="str">
        <f t="shared" si="7"/>
        <v>AA</v>
      </c>
      <c r="I46" s="11" t="str">
        <f t="shared" si="7"/>
        <v>A9</v>
      </c>
      <c r="J46" s="11" t="str">
        <f t="shared" si="7"/>
        <v>AA</v>
      </c>
      <c r="K46" s="11" t="str">
        <f t="shared" si="7"/>
        <v>A9</v>
      </c>
      <c r="L46" s="11" t="str">
        <f t="shared" si="7"/>
        <v>AA</v>
      </c>
      <c r="M46" s="11" t="str">
        <f t="shared" si="7"/>
        <v>A9</v>
      </c>
      <c r="N46" s="11" t="str">
        <f t="shared" si="7"/>
        <v>AA</v>
      </c>
      <c r="O46" s="11" t="str">
        <f t="shared" si="7"/>
        <v>A9</v>
      </c>
      <c r="P46" s="11" t="str">
        <f t="shared" si="7"/>
        <v>AA</v>
      </c>
      <c r="Q46" s="11" t="str">
        <f t="shared" si="7"/>
        <v>A9</v>
      </c>
      <c r="R46" s="11" t="str">
        <f t="shared" si="6"/>
        <v>AA</v>
      </c>
    </row>
    <row r="47" spans="1:18" x14ac:dyDescent="0.3">
      <c r="A47" s="39" t="s">
        <v>696</v>
      </c>
      <c r="B47" s="5" t="str">
        <f t="shared" si="4"/>
        <v>A4C0</v>
      </c>
      <c r="C47" s="18" t="str">
        <f t="shared" si="7"/>
        <v>A9</v>
      </c>
      <c r="D47" s="11" t="str">
        <f t="shared" si="7"/>
        <v>AB</v>
      </c>
      <c r="E47" s="11" t="str">
        <f t="shared" si="7"/>
        <v>AA</v>
      </c>
      <c r="F47" s="11" t="str">
        <f t="shared" si="7"/>
        <v>AB</v>
      </c>
      <c r="G47" s="11" t="str">
        <f t="shared" si="7"/>
        <v>A9</v>
      </c>
      <c r="H47" s="11" t="str">
        <f t="shared" si="7"/>
        <v>AB</v>
      </c>
      <c r="I47" s="11" t="str">
        <f t="shared" si="7"/>
        <v>AA</v>
      </c>
      <c r="J47" s="11" t="str">
        <f t="shared" si="7"/>
        <v>AB</v>
      </c>
      <c r="K47" s="11" t="str">
        <f t="shared" si="7"/>
        <v>A9</v>
      </c>
      <c r="L47" s="11" t="str">
        <f t="shared" si="7"/>
        <v>AB</v>
      </c>
      <c r="M47" s="11" t="str">
        <f t="shared" si="7"/>
        <v>AA</v>
      </c>
      <c r="N47" s="11" t="str">
        <f t="shared" si="7"/>
        <v>AB</v>
      </c>
      <c r="O47" s="11" t="str">
        <f t="shared" si="7"/>
        <v>A9</v>
      </c>
      <c r="P47" s="11" t="str">
        <f t="shared" si="7"/>
        <v>AB</v>
      </c>
      <c r="Q47" s="11" t="str">
        <f t="shared" si="7"/>
        <v>AA</v>
      </c>
      <c r="R47" s="11" t="str">
        <f t="shared" si="6"/>
        <v>AB</v>
      </c>
    </row>
    <row r="48" spans="1:18" x14ac:dyDescent="0.3">
      <c r="A48" s="39" t="s">
        <v>696</v>
      </c>
      <c r="B48" s="5" t="str">
        <f t="shared" si="4"/>
        <v>A4D0</v>
      </c>
      <c r="C48" s="18" t="str">
        <f t="shared" si="7"/>
        <v>A9</v>
      </c>
      <c r="D48" s="11" t="str">
        <f t="shared" si="7"/>
        <v>AB</v>
      </c>
      <c r="E48" s="11" t="str">
        <f t="shared" si="7"/>
        <v>AA</v>
      </c>
      <c r="F48" s="11" t="str">
        <f t="shared" si="7"/>
        <v>AB</v>
      </c>
      <c r="G48" s="11" t="str">
        <f t="shared" si="7"/>
        <v>A9</v>
      </c>
      <c r="H48" s="11" t="str">
        <f t="shared" si="7"/>
        <v>AB</v>
      </c>
      <c r="I48" s="11" t="str">
        <f t="shared" si="7"/>
        <v>AA</v>
      </c>
      <c r="J48" s="11" t="str">
        <f t="shared" si="7"/>
        <v>AB</v>
      </c>
      <c r="K48" s="11" t="str">
        <f t="shared" si="7"/>
        <v>A9</v>
      </c>
      <c r="L48" s="11" t="str">
        <f t="shared" si="7"/>
        <v>AB</v>
      </c>
      <c r="M48" s="11" t="str">
        <f t="shared" si="7"/>
        <v>AA</v>
      </c>
      <c r="N48" s="11" t="str">
        <f t="shared" si="7"/>
        <v>AB</v>
      </c>
      <c r="O48" s="11" t="str">
        <f t="shared" si="7"/>
        <v>A9</v>
      </c>
      <c r="P48" s="11" t="str">
        <f t="shared" si="7"/>
        <v>AB</v>
      </c>
      <c r="Q48" s="11" t="str">
        <f t="shared" si="7"/>
        <v>AA</v>
      </c>
      <c r="R48" s="11" t="str">
        <f t="shared" si="6"/>
        <v>AB</v>
      </c>
    </row>
    <row r="49" spans="1:18" x14ac:dyDescent="0.3">
      <c r="A49" s="39" t="s">
        <v>697</v>
      </c>
      <c r="B49" s="5" t="str">
        <f t="shared" si="4"/>
        <v>A4E0</v>
      </c>
      <c r="C49" s="18" t="str">
        <f t="shared" si="7"/>
        <v>A9</v>
      </c>
      <c r="D49" s="11" t="str">
        <f t="shared" si="7"/>
        <v>AC</v>
      </c>
      <c r="E49" s="11" t="str">
        <f t="shared" si="7"/>
        <v>AA</v>
      </c>
      <c r="F49" s="11" t="str">
        <f t="shared" si="7"/>
        <v>AC</v>
      </c>
      <c r="G49" s="11" t="str">
        <f t="shared" si="7"/>
        <v>A9</v>
      </c>
      <c r="H49" s="11" t="str">
        <f t="shared" si="7"/>
        <v>AC</v>
      </c>
      <c r="I49" s="11" t="str">
        <f t="shared" si="7"/>
        <v>AA</v>
      </c>
      <c r="J49" s="11" t="str">
        <f t="shared" si="7"/>
        <v>AC</v>
      </c>
      <c r="K49" s="11" t="str">
        <f t="shared" si="7"/>
        <v>A9</v>
      </c>
      <c r="L49" s="11" t="str">
        <f t="shared" si="7"/>
        <v>AC</v>
      </c>
      <c r="M49" s="11" t="str">
        <f t="shared" si="7"/>
        <v>AA</v>
      </c>
      <c r="N49" s="11" t="str">
        <f t="shared" si="7"/>
        <v>AC</v>
      </c>
      <c r="O49" s="11" t="str">
        <f t="shared" si="7"/>
        <v>A9</v>
      </c>
      <c r="P49" s="11" t="str">
        <f t="shared" si="7"/>
        <v>AC</v>
      </c>
      <c r="Q49" s="11" t="str">
        <f t="shared" si="7"/>
        <v>AA</v>
      </c>
      <c r="R49" s="11" t="str">
        <f t="shared" si="6"/>
        <v>AC</v>
      </c>
    </row>
    <row r="50" spans="1:18" x14ac:dyDescent="0.3">
      <c r="A50" s="39" t="s">
        <v>697</v>
      </c>
      <c r="B50" s="58" t="str">
        <f t="shared" si="4"/>
        <v>A4F0</v>
      </c>
      <c r="C50" s="19" t="str">
        <f t="shared" si="7"/>
        <v>A9</v>
      </c>
      <c r="D50" s="12" t="str">
        <f t="shared" si="7"/>
        <v>AC</v>
      </c>
      <c r="E50" s="12" t="str">
        <f t="shared" si="7"/>
        <v>AA</v>
      </c>
      <c r="F50" s="12" t="str">
        <f t="shared" si="7"/>
        <v>AC</v>
      </c>
      <c r="G50" s="12" t="str">
        <f t="shared" si="7"/>
        <v>A9</v>
      </c>
      <c r="H50" s="12" t="str">
        <f t="shared" si="7"/>
        <v>AC</v>
      </c>
      <c r="I50" s="12" t="str">
        <f t="shared" si="7"/>
        <v>AA</v>
      </c>
      <c r="J50" s="12" t="str">
        <f t="shared" si="7"/>
        <v>AC</v>
      </c>
      <c r="K50" s="12" t="str">
        <f t="shared" si="7"/>
        <v>A9</v>
      </c>
      <c r="L50" s="12" t="str">
        <f t="shared" si="7"/>
        <v>AC</v>
      </c>
      <c r="M50" s="12" t="str">
        <f t="shared" si="7"/>
        <v>AA</v>
      </c>
      <c r="N50" s="12" t="str">
        <f t="shared" si="7"/>
        <v>AC</v>
      </c>
      <c r="O50" s="12" t="str">
        <f t="shared" si="7"/>
        <v>A9</v>
      </c>
      <c r="P50" s="12" t="str">
        <f t="shared" si="7"/>
        <v>AC</v>
      </c>
      <c r="Q50" s="12" t="str">
        <f t="shared" si="7"/>
        <v>AA</v>
      </c>
      <c r="R50" s="12" t="str">
        <f t="shared" si="6"/>
        <v>AC</v>
      </c>
    </row>
    <row r="51" spans="1:18" x14ac:dyDescent="0.3">
      <c r="A51" s="39" t="s">
        <v>714</v>
      </c>
      <c r="B51" s="59" t="str">
        <f t="shared" si="4"/>
        <v>A500</v>
      </c>
      <c r="C51" s="17" t="str">
        <f t="shared" si="7"/>
        <v>00</v>
      </c>
      <c r="D51" s="10" t="str">
        <f t="shared" si="7"/>
        <v>08</v>
      </c>
      <c r="E51" s="10" t="str">
        <f t="shared" si="7"/>
        <v>0A</v>
      </c>
      <c r="F51" s="10" t="str">
        <f t="shared" si="7"/>
        <v>18</v>
      </c>
      <c r="G51" s="10" t="str">
        <f t="shared" si="7"/>
        <v>0C</v>
      </c>
      <c r="H51" s="10" t="str">
        <f t="shared" si="7"/>
        <v>28</v>
      </c>
      <c r="I51" s="10" t="str">
        <f t="shared" si="7"/>
        <v>1A</v>
      </c>
      <c r="J51" s="10" t="str">
        <f t="shared" si="7"/>
        <v>38</v>
      </c>
      <c r="K51" s="10" t="str">
        <f t="shared" si="7"/>
        <v>0E</v>
      </c>
      <c r="L51" s="10" t="str">
        <f t="shared" si="7"/>
        <v>48</v>
      </c>
      <c r="M51" s="10" t="str">
        <f t="shared" si="7"/>
        <v>2A</v>
      </c>
      <c r="N51" s="10" t="str">
        <f t="shared" si="7"/>
        <v>58</v>
      </c>
      <c r="O51" s="10" t="str">
        <f t="shared" si="7"/>
        <v>1C</v>
      </c>
      <c r="P51" s="10" t="str">
        <f t="shared" si="7"/>
        <v>68</v>
      </c>
      <c r="Q51" s="10" t="str">
        <f t="shared" si="7"/>
        <v>3A</v>
      </c>
      <c r="R51" s="10" t="str">
        <f t="shared" si="6"/>
        <v>78</v>
      </c>
    </row>
    <row r="52" spans="1:18" x14ac:dyDescent="0.3">
      <c r="A52" s="39" t="s">
        <v>715</v>
      </c>
      <c r="B52" s="24" t="str">
        <f t="shared" si="4"/>
        <v>A510</v>
      </c>
      <c r="C52" s="18" t="str">
        <f t="shared" ref="C52:Q67" si="8">MID($A52,13+C$1*3,2)</f>
        <v>10</v>
      </c>
      <c r="D52" s="11" t="str">
        <f t="shared" si="8"/>
        <v>88</v>
      </c>
      <c r="E52" s="11" t="str">
        <f t="shared" si="8"/>
        <v>4A</v>
      </c>
      <c r="F52" s="11" t="str">
        <f t="shared" si="8"/>
        <v>98</v>
      </c>
      <c r="G52" s="11" t="str">
        <f t="shared" si="8"/>
        <v>2C</v>
      </c>
      <c r="H52" s="11" t="str">
        <f t="shared" si="8"/>
        <v>A8</v>
      </c>
      <c r="I52" s="27" t="str">
        <f t="shared" si="8"/>
        <v>5A</v>
      </c>
      <c r="J52" s="11" t="str">
        <f t="shared" si="8"/>
        <v>B8</v>
      </c>
      <c r="K52" s="11" t="str">
        <f t="shared" si="8"/>
        <v>1E</v>
      </c>
      <c r="L52" s="11" t="str">
        <f t="shared" si="8"/>
        <v>C8</v>
      </c>
      <c r="M52" s="11" t="str">
        <f t="shared" si="8"/>
        <v>6A</v>
      </c>
      <c r="N52" s="11" t="str">
        <f t="shared" si="8"/>
        <v>D8</v>
      </c>
      <c r="O52" s="11" t="str">
        <f t="shared" si="8"/>
        <v>3C</v>
      </c>
      <c r="P52" s="11" t="str">
        <f t="shared" si="8"/>
        <v>E8</v>
      </c>
      <c r="Q52" s="11" t="str">
        <f t="shared" si="8"/>
        <v>7A</v>
      </c>
      <c r="R52" s="11" t="str">
        <f t="shared" si="6"/>
        <v>F8</v>
      </c>
    </row>
    <row r="53" spans="1:18" x14ac:dyDescent="0.3">
      <c r="A53" s="39" t="s">
        <v>716</v>
      </c>
      <c r="B53" s="5" t="str">
        <f t="shared" si="4"/>
        <v>A520</v>
      </c>
      <c r="C53" s="18" t="str">
        <f t="shared" si="8"/>
        <v>20</v>
      </c>
      <c r="D53" s="11" t="str">
        <f t="shared" si="8"/>
        <v>08</v>
      </c>
      <c r="E53" s="11" t="str">
        <f t="shared" si="8"/>
        <v>8A</v>
      </c>
      <c r="F53" s="11" t="str">
        <f t="shared" si="8"/>
        <v>18</v>
      </c>
      <c r="G53" s="11" t="str">
        <f t="shared" si="8"/>
        <v>4C</v>
      </c>
      <c r="H53" s="11" t="str">
        <f t="shared" si="8"/>
        <v>28</v>
      </c>
      <c r="I53" s="11" t="str">
        <f t="shared" si="8"/>
        <v>9A</v>
      </c>
      <c r="J53" s="11" t="str">
        <f t="shared" si="8"/>
        <v>38</v>
      </c>
      <c r="K53" s="11" t="str">
        <f t="shared" si="8"/>
        <v>2E</v>
      </c>
      <c r="L53" s="11" t="str">
        <f t="shared" si="8"/>
        <v>48</v>
      </c>
      <c r="M53" s="11" t="str">
        <f t="shared" si="8"/>
        <v>AA</v>
      </c>
      <c r="N53" s="11" t="str">
        <f t="shared" si="8"/>
        <v>58</v>
      </c>
      <c r="O53" s="11" t="str">
        <f t="shared" si="8"/>
        <v>5C</v>
      </c>
      <c r="P53" s="11" t="str">
        <f t="shared" si="8"/>
        <v>68</v>
      </c>
      <c r="Q53" s="11" t="str">
        <f t="shared" si="8"/>
        <v>BA</v>
      </c>
      <c r="R53" s="11" t="str">
        <f t="shared" si="6"/>
        <v>78</v>
      </c>
    </row>
    <row r="54" spans="1:18" x14ac:dyDescent="0.3">
      <c r="A54" s="39" t="s">
        <v>717</v>
      </c>
      <c r="B54" s="5" t="str">
        <f t="shared" si="4"/>
        <v>A530</v>
      </c>
      <c r="C54" s="18" t="str">
        <f t="shared" si="8"/>
        <v>30</v>
      </c>
      <c r="D54" s="11" t="str">
        <f t="shared" si="8"/>
        <v>88</v>
      </c>
      <c r="E54" s="11" t="str">
        <f t="shared" si="8"/>
        <v>CA</v>
      </c>
      <c r="F54" s="11" t="str">
        <f t="shared" si="8"/>
        <v>98</v>
      </c>
      <c r="G54" s="11" t="str">
        <f t="shared" si="8"/>
        <v>6C</v>
      </c>
      <c r="H54" s="11" t="str">
        <f t="shared" si="8"/>
        <v>A8</v>
      </c>
      <c r="I54" s="11" t="str">
        <f t="shared" si="8"/>
        <v>DA</v>
      </c>
      <c r="J54" s="11" t="str">
        <f t="shared" si="8"/>
        <v>B8</v>
      </c>
      <c r="K54" s="11" t="str">
        <f t="shared" si="8"/>
        <v>3E</v>
      </c>
      <c r="L54" s="11" t="str">
        <f t="shared" si="8"/>
        <v>C8</v>
      </c>
      <c r="M54" s="11" t="str">
        <f t="shared" si="8"/>
        <v>EA</v>
      </c>
      <c r="N54" s="11" t="str">
        <f t="shared" si="8"/>
        <v>D8</v>
      </c>
      <c r="O54" s="11" t="str">
        <f t="shared" si="8"/>
        <v>7C</v>
      </c>
      <c r="P54" s="11" t="str">
        <f t="shared" si="8"/>
        <v>E8</v>
      </c>
      <c r="Q54" s="11" t="str">
        <f t="shared" si="8"/>
        <v>FA</v>
      </c>
      <c r="R54" s="11" t="str">
        <f t="shared" si="6"/>
        <v>F8</v>
      </c>
    </row>
    <row r="55" spans="1:18" x14ac:dyDescent="0.3">
      <c r="A55" s="39" t="s">
        <v>718</v>
      </c>
      <c r="B55" s="5" t="str">
        <f t="shared" si="4"/>
        <v>A540</v>
      </c>
      <c r="C55" s="18" t="str">
        <f t="shared" si="8"/>
        <v>40</v>
      </c>
      <c r="D55" s="11" t="str">
        <f t="shared" si="8"/>
        <v>08</v>
      </c>
      <c r="E55" s="11" t="str">
        <f t="shared" si="8"/>
        <v>0A</v>
      </c>
      <c r="F55" s="11" t="str">
        <f t="shared" si="8"/>
        <v>18</v>
      </c>
      <c r="G55" s="11" t="str">
        <f t="shared" si="8"/>
        <v>8C</v>
      </c>
      <c r="H55" s="11" t="str">
        <f t="shared" si="8"/>
        <v>28</v>
      </c>
      <c r="I55" s="11" t="str">
        <f t="shared" si="8"/>
        <v>1A</v>
      </c>
      <c r="J55" s="11" t="str">
        <f t="shared" si="8"/>
        <v>38</v>
      </c>
      <c r="K55" s="11" t="str">
        <f t="shared" si="8"/>
        <v>4E</v>
      </c>
      <c r="L55" s="11" t="str">
        <f t="shared" si="8"/>
        <v>48</v>
      </c>
      <c r="M55" s="11" t="str">
        <f t="shared" si="8"/>
        <v>2A</v>
      </c>
      <c r="N55" s="11" t="str">
        <f t="shared" si="8"/>
        <v>58</v>
      </c>
      <c r="O55" s="11" t="str">
        <f t="shared" si="8"/>
        <v>9C</v>
      </c>
      <c r="P55" s="11" t="str">
        <f t="shared" si="8"/>
        <v>68</v>
      </c>
      <c r="Q55" s="11" t="str">
        <f t="shared" si="8"/>
        <v>3A</v>
      </c>
      <c r="R55" s="11" t="str">
        <f t="shared" si="6"/>
        <v>78</v>
      </c>
    </row>
    <row r="56" spans="1:18" x14ac:dyDescent="0.3">
      <c r="A56" s="39" t="s">
        <v>719</v>
      </c>
      <c r="B56" s="5" t="str">
        <f t="shared" si="4"/>
        <v>A550</v>
      </c>
      <c r="C56" s="18" t="str">
        <f t="shared" si="8"/>
        <v>50</v>
      </c>
      <c r="D56" s="11" t="str">
        <f t="shared" si="8"/>
        <v>88</v>
      </c>
      <c r="E56" s="11" t="str">
        <f t="shared" si="8"/>
        <v>4A</v>
      </c>
      <c r="F56" s="11" t="str">
        <f t="shared" si="8"/>
        <v>98</v>
      </c>
      <c r="G56" s="11" t="str">
        <f t="shared" si="8"/>
        <v>AC</v>
      </c>
      <c r="H56" s="11" t="str">
        <f t="shared" si="8"/>
        <v>A8</v>
      </c>
      <c r="I56" s="11" t="str">
        <f t="shared" si="8"/>
        <v>5A</v>
      </c>
      <c r="J56" s="11" t="str">
        <f t="shared" si="8"/>
        <v>B8</v>
      </c>
      <c r="K56" s="11" t="str">
        <f t="shared" si="8"/>
        <v>5E</v>
      </c>
      <c r="L56" s="11" t="str">
        <f t="shared" si="8"/>
        <v>C8</v>
      </c>
      <c r="M56" s="11" t="str">
        <f t="shared" si="8"/>
        <v>6A</v>
      </c>
      <c r="N56" s="11" t="str">
        <f t="shared" si="8"/>
        <v>D8</v>
      </c>
      <c r="O56" s="11" t="str">
        <f t="shared" si="8"/>
        <v>BC</v>
      </c>
      <c r="P56" s="11" t="str">
        <f t="shared" si="8"/>
        <v>E8</v>
      </c>
      <c r="Q56" s="11" t="str">
        <f t="shared" si="8"/>
        <v>7A</v>
      </c>
      <c r="R56" s="11" t="str">
        <f t="shared" si="6"/>
        <v>F8</v>
      </c>
    </row>
    <row r="57" spans="1:18" x14ac:dyDescent="0.3">
      <c r="A57" s="39" t="s">
        <v>720</v>
      </c>
      <c r="B57" s="5" t="str">
        <f t="shared" si="4"/>
        <v>A560</v>
      </c>
      <c r="C57" s="18" t="str">
        <f t="shared" si="8"/>
        <v>60</v>
      </c>
      <c r="D57" s="11" t="str">
        <f t="shared" si="8"/>
        <v>08</v>
      </c>
      <c r="E57" s="11" t="str">
        <f t="shared" si="8"/>
        <v>8A</v>
      </c>
      <c r="F57" s="11" t="str">
        <f t="shared" si="8"/>
        <v>18</v>
      </c>
      <c r="G57" s="11" t="str">
        <f t="shared" si="8"/>
        <v>CC</v>
      </c>
      <c r="H57" s="11" t="str">
        <f t="shared" si="8"/>
        <v>28</v>
      </c>
      <c r="I57" s="11" t="str">
        <f t="shared" si="8"/>
        <v>9A</v>
      </c>
      <c r="J57" s="11" t="str">
        <f t="shared" si="8"/>
        <v>38</v>
      </c>
      <c r="K57" s="11" t="str">
        <f t="shared" si="8"/>
        <v>6E</v>
      </c>
      <c r="L57" s="11" t="str">
        <f t="shared" si="8"/>
        <v>48</v>
      </c>
      <c r="M57" s="11" t="str">
        <f t="shared" si="8"/>
        <v>AA</v>
      </c>
      <c r="N57" s="11" t="str">
        <f t="shared" si="8"/>
        <v>58</v>
      </c>
      <c r="O57" s="11" t="str">
        <f t="shared" si="8"/>
        <v>DC</v>
      </c>
      <c r="P57" s="11" t="str">
        <f t="shared" si="8"/>
        <v>68</v>
      </c>
      <c r="Q57" s="11" t="str">
        <f t="shared" si="8"/>
        <v>BA</v>
      </c>
      <c r="R57" s="11" t="str">
        <f t="shared" si="6"/>
        <v>78</v>
      </c>
    </row>
    <row r="58" spans="1:18" x14ac:dyDescent="0.3">
      <c r="A58" s="39" t="s">
        <v>721</v>
      </c>
      <c r="B58" s="58" t="str">
        <f t="shared" si="4"/>
        <v>A570</v>
      </c>
      <c r="C58" s="19" t="str">
        <f t="shared" si="8"/>
        <v>70</v>
      </c>
      <c r="D58" s="12" t="str">
        <f t="shared" si="8"/>
        <v>88</v>
      </c>
      <c r="E58" s="12" t="str">
        <f t="shared" si="8"/>
        <v>CA</v>
      </c>
      <c r="F58" s="12" t="str">
        <f t="shared" si="8"/>
        <v>98</v>
      </c>
      <c r="G58" s="12" t="str">
        <f t="shared" si="8"/>
        <v>EC</v>
      </c>
      <c r="H58" s="12" t="str">
        <f t="shared" si="8"/>
        <v>A8</v>
      </c>
      <c r="I58" s="12" t="str">
        <f t="shared" si="8"/>
        <v>DA</v>
      </c>
      <c r="J58" s="12" t="str">
        <f t="shared" si="8"/>
        <v>B8</v>
      </c>
      <c r="K58" s="12" t="str">
        <f t="shared" si="8"/>
        <v>7E</v>
      </c>
      <c r="L58" s="12" t="str">
        <f t="shared" si="8"/>
        <v>C8</v>
      </c>
      <c r="M58" s="12" t="str">
        <f t="shared" si="8"/>
        <v>EA</v>
      </c>
      <c r="N58" s="12" t="str">
        <f t="shared" si="8"/>
        <v>D8</v>
      </c>
      <c r="O58" s="12" t="str">
        <f t="shared" si="8"/>
        <v>FC</v>
      </c>
      <c r="P58" s="12" t="str">
        <f t="shared" si="8"/>
        <v>E8</v>
      </c>
      <c r="Q58" s="12" t="str">
        <f t="shared" si="8"/>
        <v>FA</v>
      </c>
      <c r="R58" s="12" t="str">
        <f t="shared" si="6"/>
        <v>F8</v>
      </c>
    </row>
    <row r="59" spans="1:18" x14ac:dyDescent="0.3">
      <c r="A59" s="39" t="s">
        <v>694</v>
      </c>
      <c r="B59" s="5" t="str">
        <f t="shared" si="4"/>
        <v>A580</v>
      </c>
      <c r="C59" s="17" t="str">
        <f t="shared" si="8"/>
        <v>A9</v>
      </c>
      <c r="D59" s="10" t="str">
        <f t="shared" si="8"/>
        <v>A9</v>
      </c>
      <c r="E59" s="10" t="str">
        <f t="shared" si="8"/>
        <v>A9</v>
      </c>
      <c r="F59" s="10" t="str">
        <f t="shared" si="8"/>
        <v>A9</v>
      </c>
      <c r="G59" s="10" t="str">
        <f t="shared" si="8"/>
        <v>A9</v>
      </c>
      <c r="H59" s="10" t="str">
        <f t="shared" si="8"/>
        <v>A9</v>
      </c>
      <c r="I59" s="10" t="str">
        <f t="shared" si="8"/>
        <v>A9</v>
      </c>
      <c r="J59" s="10" t="str">
        <f t="shared" si="8"/>
        <v>A9</v>
      </c>
      <c r="K59" s="10" t="str">
        <f t="shared" si="8"/>
        <v>A9</v>
      </c>
      <c r="L59" s="10" t="str">
        <f t="shared" si="8"/>
        <v>A9</v>
      </c>
      <c r="M59" s="10" t="str">
        <f t="shared" si="8"/>
        <v>A9</v>
      </c>
      <c r="N59" s="10" t="str">
        <f t="shared" si="8"/>
        <v>A9</v>
      </c>
      <c r="O59" s="10" t="str">
        <f t="shared" si="8"/>
        <v>A9</v>
      </c>
      <c r="P59" s="10" t="str">
        <f t="shared" si="8"/>
        <v>A9</v>
      </c>
      <c r="Q59" s="10" t="str">
        <f t="shared" si="8"/>
        <v>A9</v>
      </c>
      <c r="R59" s="10" t="str">
        <f t="shared" si="6"/>
        <v>A9</v>
      </c>
    </row>
    <row r="60" spans="1:18" x14ac:dyDescent="0.3">
      <c r="A60" s="39" t="s">
        <v>694</v>
      </c>
      <c r="B60" s="24" t="str">
        <f t="shared" si="4"/>
        <v>A590</v>
      </c>
      <c r="C60" s="18" t="str">
        <f t="shared" si="8"/>
        <v>A9</v>
      </c>
      <c r="D60" s="11" t="str">
        <f t="shared" si="8"/>
        <v>A9</v>
      </c>
      <c r="E60" s="11" t="str">
        <f t="shared" si="8"/>
        <v>A9</v>
      </c>
      <c r="F60" s="11" t="str">
        <f t="shared" si="8"/>
        <v>A9</v>
      </c>
      <c r="G60" s="11" t="str">
        <f t="shared" si="8"/>
        <v>A9</v>
      </c>
      <c r="H60" s="11" t="str">
        <f t="shared" si="8"/>
        <v>A9</v>
      </c>
      <c r="I60" s="27" t="str">
        <f t="shared" si="8"/>
        <v>A9</v>
      </c>
      <c r="J60" s="11" t="str">
        <f t="shared" si="8"/>
        <v>A9</v>
      </c>
      <c r="K60" s="11" t="str">
        <f t="shared" si="8"/>
        <v>A9</v>
      </c>
      <c r="L60" s="11" t="str">
        <f t="shared" si="8"/>
        <v>A9</v>
      </c>
      <c r="M60" s="11" t="str">
        <f t="shared" si="8"/>
        <v>A9</v>
      </c>
      <c r="N60" s="11" t="str">
        <f t="shared" si="8"/>
        <v>A9</v>
      </c>
      <c r="O60" s="11" t="str">
        <f t="shared" si="8"/>
        <v>A9</v>
      </c>
      <c r="P60" s="11" t="str">
        <f t="shared" si="8"/>
        <v>A9</v>
      </c>
      <c r="Q60" s="11" t="str">
        <f t="shared" si="8"/>
        <v>A9</v>
      </c>
      <c r="R60" s="11" t="str">
        <f t="shared" si="6"/>
        <v>A9</v>
      </c>
    </row>
    <row r="61" spans="1:18" x14ac:dyDescent="0.3">
      <c r="A61" s="39" t="s">
        <v>695</v>
      </c>
      <c r="B61" s="5" t="str">
        <f t="shared" si="4"/>
        <v>A5A0</v>
      </c>
      <c r="C61" s="18" t="str">
        <f t="shared" si="8"/>
        <v>A9</v>
      </c>
      <c r="D61" s="11" t="str">
        <f t="shared" si="8"/>
        <v>AA</v>
      </c>
      <c r="E61" s="11" t="str">
        <f t="shared" si="8"/>
        <v>A9</v>
      </c>
      <c r="F61" s="11" t="str">
        <f t="shared" si="8"/>
        <v>AA</v>
      </c>
      <c r="G61" s="11" t="str">
        <f t="shared" si="8"/>
        <v>A9</v>
      </c>
      <c r="H61" s="11" t="str">
        <f t="shared" si="8"/>
        <v>AA</v>
      </c>
      <c r="I61" s="11" t="str">
        <f t="shared" si="8"/>
        <v>A9</v>
      </c>
      <c r="J61" s="11" t="str">
        <f t="shared" si="8"/>
        <v>AA</v>
      </c>
      <c r="K61" s="11" t="str">
        <f t="shared" si="8"/>
        <v>A9</v>
      </c>
      <c r="L61" s="11" t="str">
        <f t="shared" si="8"/>
        <v>AA</v>
      </c>
      <c r="M61" s="11" t="str">
        <f t="shared" si="8"/>
        <v>A9</v>
      </c>
      <c r="N61" s="11" t="str">
        <f t="shared" si="8"/>
        <v>AA</v>
      </c>
      <c r="O61" s="11" t="str">
        <f t="shared" si="8"/>
        <v>A9</v>
      </c>
      <c r="P61" s="11" t="str">
        <f t="shared" si="8"/>
        <v>AA</v>
      </c>
      <c r="Q61" s="11" t="str">
        <f t="shared" si="8"/>
        <v>A9</v>
      </c>
      <c r="R61" s="11" t="str">
        <f t="shared" si="6"/>
        <v>AA</v>
      </c>
    </row>
    <row r="62" spans="1:18" x14ac:dyDescent="0.3">
      <c r="A62" s="39" t="s">
        <v>695</v>
      </c>
      <c r="B62" s="5" t="str">
        <f t="shared" si="4"/>
        <v>A5B0</v>
      </c>
      <c r="C62" s="18" t="str">
        <f t="shared" si="8"/>
        <v>A9</v>
      </c>
      <c r="D62" s="11" t="str">
        <f t="shared" si="8"/>
        <v>AA</v>
      </c>
      <c r="E62" s="11" t="str">
        <f t="shared" si="8"/>
        <v>A9</v>
      </c>
      <c r="F62" s="11" t="str">
        <f t="shared" si="8"/>
        <v>AA</v>
      </c>
      <c r="G62" s="11" t="str">
        <f t="shared" si="8"/>
        <v>A9</v>
      </c>
      <c r="H62" s="11" t="str">
        <f t="shared" si="8"/>
        <v>AA</v>
      </c>
      <c r="I62" s="11" t="str">
        <f t="shared" si="8"/>
        <v>A9</v>
      </c>
      <c r="J62" s="11" t="str">
        <f t="shared" si="8"/>
        <v>AA</v>
      </c>
      <c r="K62" s="11" t="str">
        <f t="shared" si="8"/>
        <v>A9</v>
      </c>
      <c r="L62" s="11" t="str">
        <f t="shared" si="8"/>
        <v>AA</v>
      </c>
      <c r="M62" s="11" t="str">
        <f t="shared" si="8"/>
        <v>A9</v>
      </c>
      <c r="N62" s="11" t="str">
        <f t="shared" si="8"/>
        <v>AA</v>
      </c>
      <c r="O62" s="11" t="str">
        <f t="shared" si="8"/>
        <v>A9</v>
      </c>
      <c r="P62" s="11" t="str">
        <f t="shared" si="8"/>
        <v>AA</v>
      </c>
      <c r="Q62" s="11" t="str">
        <f t="shared" si="8"/>
        <v>A9</v>
      </c>
      <c r="R62" s="11" t="str">
        <f t="shared" si="6"/>
        <v>AA</v>
      </c>
    </row>
    <row r="63" spans="1:18" x14ac:dyDescent="0.3">
      <c r="A63" s="39" t="s">
        <v>696</v>
      </c>
      <c r="B63" s="5" t="str">
        <f t="shared" si="4"/>
        <v>A5C0</v>
      </c>
      <c r="C63" s="18" t="str">
        <f t="shared" si="8"/>
        <v>A9</v>
      </c>
      <c r="D63" s="11" t="str">
        <f t="shared" si="8"/>
        <v>AB</v>
      </c>
      <c r="E63" s="11" t="str">
        <f t="shared" si="8"/>
        <v>AA</v>
      </c>
      <c r="F63" s="11" t="str">
        <f t="shared" si="8"/>
        <v>AB</v>
      </c>
      <c r="G63" s="11" t="str">
        <f t="shared" si="8"/>
        <v>A9</v>
      </c>
      <c r="H63" s="11" t="str">
        <f t="shared" si="8"/>
        <v>AB</v>
      </c>
      <c r="I63" s="11" t="str">
        <f t="shared" si="8"/>
        <v>AA</v>
      </c>
      <c r="J63" s="11" t="str">
        <f t="shared" si="8"/>
        <v>AB</v>
      </c>
      <c r="K63" s="11" t="str">
        <f t="shared" si="8"/>
        <v>A9</v>
      </c>
      <c r="L63" s="11" t="str">
        <f t="shared" si="8"/>
        <v>AB</v>
      </c>
      <c r="M63" s="11" t="str">
        <f t="shared" si="8"/>
        <v>AA</v>
      </c>
      <c r="N63" s="11" t="str">
        <f t="shared" si="8"/>
        <v>AB</v>
      </c>
      <c r="O63" s="11" t="str">
        <f t="shared" si="8"/>
        <v>A9</v>
      </c>
      <c r="P63" s="11" t="str">
        <f t="shared" si="8"/>
        <v>AB</v>
      </c>
      <c r="Q63" s="11" t="str">
        <f t="shared" si="8"/>
        <v>AA</v>
      </c>
      <c r="R63" s="11" t="str">
        <f t="shared" si="6"/>
        <v>AB</v>
      </c>
    </row>
    <row r="64" spans="1:18" x14ac:dyDescent="0.3">
      <c r="A64" s="39" t="s">
        <v>696</v>
      </c>
      <c r="B64" s="5" t="str">
        <f t="shared" si="4"/>
        <v>A5D0</v>
      </c>
      <c r="C64" s="18" t="str">
        <f t="shared" si="8"/>
        <v>A9</v>
      </c>
      <c r="D64" s="11" t="str">
        <f t="shared" si="8"/>
        <v>AB</v>
      </c>
      <c r="E64" s="11" t="str">
        <f t="shared" si="8"/>
        <v>AA</v>
      </c>
      <c r="F64" s="11" t="str">
        <f t="shared" si="8"/>
        <v>AB</v>
      </c>
      <c r="G64" s="11" t="str">
        <f t="shared" si="8"/>
        <v>A9</v>
      </c>
      <c r="H64" s="11" t="str">
        <f t="shared" si="8"/>
        <v>AB</v>
      </c>
      <c r="I64" s="11" t="str">
        <f t="shared" si="8"/>
        <v>AA</v>
      </c>
      <c r="J64" s="11" t="str">
        <f t="shared" si="8"/>
        <v>AB</v>
      </c>
      <c r="K64" s="11" t="str">
        <f t="shared" si="8"/>
        <v>A9</v>
      </c>
      <c r="L64" s="11" t="str">
        <f t="shared" si="8"/>
        <v>AB</v>
      </c>
      <c r="M64" s="11" t="str">
        <f t="shared" si="8"/>
        <v>AA</v>
      </c>
      <c r="N64" s="11" t="str">
        <f t="shared" si="8"/>
        <v>AB</v>
      </c>
      <c r="O64" s="11" t="str">
        <f t="shared" si="8"/>
        <v>A9</v>
      </c>
      <c r="P64" s="11" t="str">
        <f t="shared" si="8"/>
        <v>AB</v>
      </c>
      <c r="Q64" s="11" t="str">
        <f t="shared" si="8"/>
        <v>AA</v>
      </c>
      <c r="R64" s="11" t="str">
        <f t="shared" si="6"/>
        <v>AB</v>
      </c>
    </row>
    <row r="65" spans="1:18" x14ac:dyDescent="0.3">
      <c r="A65" s="39" t="s">
        <v>697</v>
      </c>
      <c r="B65" s="5" t="str">
        <f t="shared" si="4"/>
        <v>A5E0</v>
      </c>
      <c r="C65" s="18" t="str">
        <f t="shared" si="8"/>
        <v>A9</v>
      </c>
      <c r="D65" s="11" t="str">
        <f t="shared" si="8"/>
        <v>AC</v>
      </c>
      <c r="E65" s="11" t="str">
        <f t="shared" si="8"/>
        <v>AA</v>
      </c>
      <c r="F65" s="11" t="str">
        <f t="shared" si="8"/>
        <v>AC</v>
      </c>
      <c r="G65" s="11" t="str">
        <f t="shared" si="8"/>
        <v>A9</v>
      </c>
      <c r="H65" s="11" t="str">
        <f t="shared" si="8"/>
        <v>AC</v>
      </c>
      <c r="I65" s="11" t="str">
        <f t="shared" si="8"/>
        <v>AA</v>
      </c>
      <c r="J65" s="11" t="str">
        <f t="shared" si="8"/>
        <v>AC</v>
      </c>
      <c r="K65" s="11" t="str">
        <f t="shared" si="8"/>
        <v>A9</v>
      </c>
      <c r="L65" s="11" t="str">
        <f t="shared" si="8"/>
        <v>AC</v>
      </c>
      <c r="M65" s="11" t="str">
        <f t="shared" si="8"/>
        <v>AA</v>
      </c>
      <c r="N65" s="11" t="str">
        <f t="shared" si="8"/>
        <v>AC</v>
      </c>
      <c r="O65" s="11" t="str">
        <f t="shared" si="8"/>
        <v>A9</v>
      </c>
      <c r="P65" s="11" t="str">
        <f t="shared" si="8"/>
        <v>AC</v>
      </c>
      <c r="Q65" s="11" t="str">
        <f t="shared" si="8"/>
        <v>AA</v>
      </c>
      <c r="R65" s="11" t="str">
        <f t="shared" si="6"/>
        <v>AC</v>
      </c>
    </row>
    <row r="66" spans="1:18" x14ac:dyDescent="0.3">
      <c r="A66" s="39" t="s">
        <v>697</v>
      </c>
      <c r="B66" s="58" t="str">
        <f t="shared" si="4"/>
        <v>A5F0</v>
      </c>
      <c r="C66" s="19" t="str">
        <f t="shared" si="8"/>
        <v>A9</v>
      </c>
      <c r="D66" s="12" t="str">
        <f t="shared" si="8"/>
        <v>AC</v>
      </c>
      <c r="E66" s="12" t="str">
        <f t="shared" si="8"/>
        <v>AA</v>
      </c>
      <c r="F66" s="12" t="str">
        <f t="shared" si="8"/>
        <v>AC</v>
      </c>
      <c r="G66" s="12" t="str">
        <f t="shared" si="8"/>
        <v>A9</v>
      </c>
      <c r="H66" s="12" t="str">
        <f t="shared" si="8"/>
        <v>AC</v>
      </c>
      <c r="I66" s="12" t="str">
        <f t="shared" si="8"/>
        <v>AA</v>
      </c>
      <c r="J66" s="12" t="str">
        <f t="shared" si="8"/>
        <v>AC</v>
      </c>
      <c r="K66" s="12" t="str">
        <f t="shared" si="8"/>
        <v>A9</v>
      </c>
      <c r="L66" s="12" t="str">
        <f t="shared" si="8"/>
        <v>AC</v>
      </c>
      <c r="M66" s="12" t="str">
        <f t="shared" si="8"/>
        <v>AA</v>
      </c>
      <c r="N66" s="12" t="str">
        <f t="shared" si="8"/>
        <v>AC</v>
      </c>
      <c r="O66" s="12" t="str">
        <f t="shared" si="8"/>
        <v>A9</v>
      </c>
      <c r="P66" s="12" t="str">
        <f t="shared" si="8"/>
        <v>AC</v>
      </c>
      <c r="Q66" s="12" t="str">
        <f t="shared" si="8"/>
        <v>AA</v>
      </c>
      <c r="R66" s="12" t="str">
        <f t="shared" si="6"/>
        <v>AC</v>
      </c>
    </row>
    <row r="67" spans="1:18" x14ac:dyDescent="0.3">
      <c r="A67" s="39" t="s">
        <v>722</v>
      </c>
      <c r="B67" s="29" t="str">
        <f t="shared" si="4"/>
        <v>A600</v>
      </c>
      <c r="C67" s="17" t="str">
        <f t="shared" si="8"/>
        <v>00</v>
      </c>
      <c r="D67" s="10" t="str">
        <f t="shared" si="8"/>
        <v>0A</v>
      </c>
      <c r="E67" s="10" t="str">
        <f t="shared" si="8"/>
        <v>0C</v>
      </c>
      <c r="F67" s="10" t="str">
        <f t="shared" si="8"/>
        <v>1A</v>
      </c>
      <c r="G67" s="10" t="str">
        <f t="shared" si="8"/>
        <v>0E</v>
      </c>
      <c r="H67" s="10" t="str">
        <f t="shared" si="8"/>
        <v>2A</v>
      </c>
      <c r="I67" s="10" t="str">
        <f t="shared" si="8"/>
        <v>1C</v>
      </c>
      <c r="J67" s="10" t="str">
        <f t="shared" si="8"/>
        <v>3A</v>
      </c>
      <c r="K67" s="10" t="str">
        <f t="shared" si="8"/>
        <v>10</v>
      </c>
      <c r="L67" s="10" t="str">
        <f t="shared" si="8"/>
        <v>4A</v>
      </c>
      <c r="M67" s="10" t="str">
        <f t="shared" si="8"/>
        <v>2C</v>
      </c>
      <c r="N67" s="10" t="str">
        <f t="shared" si="8"/>
        <v>5A</v>
      </c>
      <c r="O67" s="10" t="str">
        <f t="shared" si="8"/>
        <v>1E</v>
      </c>
      <c r="P67" s="10" t="str">
        <f t="shared" si="8"/>
        <v>6A</v>
      </c>
      <c r="Q67" s="10" t="str">
        <f t="shared" si="8"/>
        <v>3C</v>
      </c>
      <c r="R67" s="10" t="str">
        <f t="shared" si="6"/>
        <v>7A</v>
      </c>
    </row>
    <row r="68" spans="1:18" x14ac:dyDescent="0.3">
      <c r="A68" s="39" t="s">
        <v>723</v>
      </c>
      <c r="B68" s="5" t="str">
        <f t="shared" si="4"/>
        <v>A610</v>
      </c>
      <c r="C68" s="18" t="str">
        <f t="shared" ref="C68:Q83" si="9">MID($A68,13+C$1*3,2)</f>
        <v>20</v>
      </c>
      <c r="D68" s="11" t="str">
        <f t="shared" si="9"/>
        <v>8A</v>
      </c>
      <c r="E68" s="11" t="str">
        <f t="shared" si="9"/>
        <v>4C</v>
      </c>
      <c r="F68" s="11" t="str">
        <f t="shared" si="9"/>
        <v>9A</v>
      </c>
      <c r="G68" s="11" t="str">
        <f t="shared" si="9"/>
        <v>2E</v>
      </c>
      <c r="H68" s="11" t="str">
        <f t="shared" si="9"/>
        <v>AA</v>
      </c>
      <c r="I68" s="11" t="str">
        <f t="shared" si="9"/>
        <v>5C</v>
      </c>
      <c r="J68" s="11" t="str">
        <f t="shared" si="9"/>
        <v>BA</v>
      </c>
      <c r="K68" s="11" t="str">
        <f t="shared" si="9"/>
        <v>30</v>
      </c>
      <c r="L68" s="11" t="str">
        <f t="shared" si="9"/>
        <v>CA</v>
      </c>
      <c r="M68" s="11" t="str">
        <f t="shared" si="9"/>
        <v>6C</v>
      </c>
      <c r="N68" s="11" t="str">
        <f t="shared" si="9"/>
        <v>DA</v>
      </c>
      <c r="O68" s="11" t="str">
        <f t="shared" si="9"/>
        <v>3E</v>
      </c>
      <c r="P68" s="11" t="str">
        <f t="shared" si="9"/>
        <v>EA</v>
      </c>
      <c r="Q68" s="11" t="str">
        <f t="shared" si="9"/>
        <v>7C</v>
      </c>
      <c r="R68" s="11" t="str">
        <f t="shared" si="6"/>
        <v>FA</v>
      </c>
    </row>
    <row r="69" spans="1:18" x14ac:dyDescent="0.3">
      <c r="A69" s="39" t="s">
        <v>724</v>
      </c>
      <c r="B69" s="5" t="str">
        <f t="shared" ref="B69:B114" si="10">DEC2HEX(HEX2DEC(B68)+16)</f>
        <v>A620</v>
      </c>
      <c r="C69" s="18" t="str">
        <f t="shared" si="9"/>
        <v>40</v>
      </c>
      <c r="D69" s="11" t="str">
        <f t="shared" si="9"/>
        <v>0A</v>
      </c>
      <c r="E69" s="11" t="str">
        <f t="shared" si="9"/>
        <v>8C</v>
      </c>
      <c r="F69" s="11" t="str">
        <f t="shared" si="9"/>
        <v>1A</v>
      </c>
      <c r="G69" s="11" t="str">
        <f t="shared" si="9"/>
        <v>4E</v>
      </c>
      <c r="H69" s="11" t="str">
        <f t="shared" si="9"/>
        <v>2A</v>
      </c>
      <c r="I69" s="11" t="str">
        <f t="shared" si="9"/>
        <v>9C</v>
      </c>
      <c r="J69" s="11" t="str">
        <f t="shared" si="9"/>
        <v>3A</v>
      </c>
      <c r="K69" s="11" t="str">
        <f t="shared" si="9"/>
        <v>50</v>
      </c>
      <c r="L69" s="11" t="str">
        <f t="shared" si="9"/>
        <v>4A</v>
      </c>
      <c r="M69" s="11" t="str">
        <f t="shared" si="9"/>
        <v>AC</v>
      </c>
      <c r="N69" s="11" t="str">
        <f t="shared" si="9"/>
        <v>5A</v>
      </c>
      <c r="O69" s="11" t="str">
        <f t="shared" si="9"/>
        <v>5E</v>
      </c>
      <c r="P69" s="11" t="str">
        <f t="shared" si="9"/>
        <v>6A</v>
      </c>
      <c r="Q69" s="11" t="str">
        <f t="shared" si="9"/>
        <v>BC</v>
      </c>
      <c r="R69" s="11" t="str">
        <f t="shared" si="6"/>
        <v>7A</v>
      </c>
    </row>
    <row r="70" spans="1:18" x14ac:dyDescent="0.3">
      <c r="A70" s="39" t="s">
        <v>725</v>
      </c>
      <c r="B70" s="5" t="str">
        <f t="shared" si="10"/>
        <v>A630</v>
      </c>
      <c r="C70" s="18" t="str">
        <f t="shared" si="9"/>
        <v>60</v>
      </c>
      <c r="D70" s="11" t="str">
        <f t="shared" si="9"/>
        <v>8A</v>
      </c>
      <c r="E70" s="11" t="str">
        <f t="shared" si="9"/>
        <v>CC</v>
      </c>
      <c r="F70" s="11" t="str">
        <f t="shared" si="9"/>
        <v>9A</v>
      </c>
      <c r="G70" s="11" t="str">
        <f t="shared" si="9"/>
        <v>6E</v>
      </c>
      <c r="H70" s="11" t="str">
        <f t="shared" si="9"/>
        <v>AA</v>
      </c>
      <c r="I70" s="11" t="str">
        <f t="shared" si="9"/>
        <v>DC</v>
      </c>
      <c r="J70" s="11" t="str">
        <f t="shared" si="9"/>
        <v>BA</v>
      </c>
      <c r="K70" s="11" t="str">
        <f t="shared" si="9"/>
        <v>70</v>
      </c>
      <c r="L70" s="11" t="str">
        <f t="shared" si="9"/>
        <v>CA</v>
      </c>
      <c r="M70" s="11" t="str">
        <f t="shared" si="9"/>
        <v>EC</v>
      </c>
      <c r="N70" s="11" t="str">
        <f t="shared" si="9"/>
        <v>DA</v>
      </c>
      <c r="O70" s="11" t="str">
        <f t="shared" si="9"/>
        <v>7E</v>
      </c>
      <c r="P70" s="11" t="str">
        <f t="shared" si="9"/>
        <v>EA</v>
      </c>
      <c r="Q70" s="11" t="str">
        <f t="shared" si="9"/>
        <v>FC</v>
      </c>
      <c r="R70" s="11" t="str">
        <f t="shared" si="6"/>
        <v>FA</v>
      </c>
    </row>
    <row r="71" spans="1:18" x14ac:dyDescent="0.3">
      <c r="A71" s="39" t="s">
        <v>726</v>
      </c>
      <c r="B71" s="5" t="str">
        <f t="shared" si="10"/>
        <v>A640</v>
      </c>
      <c r="C71" s="18" t="str">
        <f t="shared" si="9"/>
        <v>80</v>
      </c>
      <c r="D71" s="11" t="str">
        <f t="shared" si="9"/>
        <v>0A</v>
      </c>
      <c r="E71" s="11" t="str">
        <f t="shared" si="9"/>
        <v>0C</v>
      </c>
      <c r="F71" s="11" t="str">
        <f t="shared" si="9"/>
        <v>1A</v>
      </c>
      <c r="G71" s="11" t="str">
        <f t="shared" si="9"/>
        <v>8E</v>
      </c>
      <c r="H71" s="11" t="str">
        <f t="shared" si="9"/>
        <v>2A</v>
      </c>
      <c r="I71" s="11" t="str">
        <f t="shared" si="9"/>
        <v>1C</v>
      </c>
      <c r="J71" s="11" t="str">
        <f t="shared" si="9"/>
        <v>3A</v>
      </c>
      <c r="K71" s="11" t="str">
        <f t="shared" si="9"/>
        <v>90</v>
      </c>
      <c r="L71" s="11" t="str">
        <f t="shared" si="9"/>
        <v>4A</v>
      </c>
      <c r="M71" s="11" t="str">
        <f t="shared" si="9"/>
        <v>2C</v>
      </c>
      <c r="N71" s="11" t="str">
        <f t="shared" si="9"/>
        <v>5A</v>
      </c>
      <c r="O71" s="11" t="str">
        <f t="shared" si="9"/>
        <v>9E</v>
      </c>
      <c r="P71" s="11" t="str">
        <f t="shared" si="9"/>
        <v>6A</v>
      </c>
      <c r="Q71" s="11" t="str">
        <f t="shared" si="9"/>
        <v>3C</v>
      </c>
      <c r="R71" s="11" t="str">
        <f t="shared" si="6"/>
        <v>7A</v>
      </c>
    </row>
    <row r="72" spans="1:18" x14ac:dyDescent="0.3">
      <c r="A72" s="39" t="s">
        <v>727</v>
      </c>
      <c r="B72" s="5" t="str">
        <f t="shared" si="10"/>
        <v>A650</v>
      </c>
      <c r="C72" s="18" t="str">
        <f t="shared" si="9"/>
        <v>A0</v>
      </c>
      <c r="D72" s="11" t="str">
        <f t="shared" si="9"/>
        <v>8A</v>
      </c>
      <c r="E72" s="11" t="str">
        <f t="shared" si="9"/>
        <v>4C</v>
      </c>
      <c r="F72" s="11" t="str">
        <f t="shared" si="9"/>
        <v>9A</v>
      </c>
      <c r="G72" s="11" t="str">
        <f t="shared" si="9"/>
        <v>AE</v>
      </c>
      <c r="H72" s="11" t="str">
        <f t="shared" si="9"/>
        <v>AA</v>
      </c>
      <c r="I72" s="11" t="str">
        <f t="shared" si="9"/>
        <v>5C</v>
      </c>
      <c r="J72" s="11" t="str">
        <f t="shared" si="9"/>
        <v>BA</v>
      </c>
      <c r="K72" s="11" t="str">
        <f t="shared" si="9"/>
        <v>B0</v>
      </c>
      <c r="L72" s="11" t="str">
        <f t="shared" si="9"/>
        <v>CA</v>
      </c>
      <c r="M72" s="11" t="str">
        <f t="shared" si="9"/>
        <v>6C</v>
      </c>
      <c r="N72" s="11" t="str">
        <f t="shared" si="9"/>
        <v>DA</v>
      </c>
      <c r="O72" s="11" t="str">
        <f t="shared" si="9"/>
        <v>BE</v>
      </c>
      <c r="P72" s="11" t="str">
        <f t="shared" si="9"/>
        <v>EA</v>
      </c>
      <c r="Q72" s="11" t="str">
        <f t="shared" si="9"/>
        <v>7C</v>
      </c>
      <c r="R72" s="11" t="str">
        <f t="shared" si="6"/>
        <v>FA</v>
      </c>
    </row>
    <row r="73" spans="1:18" x14ac:dyDescent="0.3">
      <c r="A73" s="39" t="s">
        <v>728</v>
      </c>
      <c r="B73" s="5" t="str">
        <f t="shared" si="10"/>
        <v>A660</v>
      </c>
      <c r="C73" s="18" t="str">
        <f t="shared" si="9"/>
        <v>C0</v>
      </c>
      <c r="D73" s="11" t="str">
        <f t="shared" si="9"/>
        <v>0A</v>
      </c>
      <c r="E73" s="11" t="str">
        <f t="shared" si="9"/>
        <v>8C</v>
      </c>
      <c r="F73" s="11" t="str">
        <f t="shared" si="9"/>
        <v>1A</v>
      </c>
      <c r="G73" s="11" t="str">
        <f t="shared" si="9"/>
        <v>CE</v>
      </c>
      <c r="H73" s="11" t="str">
        <f t="shared" si="9"/>
        <v>2A</v>
      </c>
      <c r="I73" s="11" t="str">
        <f t="shared" si="9"/>
        <v>9C</v>
      </c>
      <c r="J73" s="11" t="str">
        <f t="shared" si="9"/>
        <v>3A</v>
      </c>
      <c r="K73" s="11" t="str">
        <f t="shared" si="9"/>
        <v>D0</v>
      </c>
      <c r="L73" s="11" t="str">
        <f t="shared" si="9"/>
        <v>4A</v>
      </c>
      <c r="M73" s="11" t="str">
        <f t="shared" si="9"/>
        <v>AC</v>
      </c>
      <c r="N73" s="11" t="str">
        <f t="shared" si="9"/>
        <v>5A</v>
      </c>
      <c r="O73" s="11" t="str">
        <f t="shared" si="9"/>
        <v>DE</v>
      </c>
      <c r="P73" s="11" t="str">
        <f t="shared" si="9"/>
        <v>6A</v>
      </c>
      <c r="Q73" s="11" t="str">
        <f t="shared" si="9"/>
        <v>BC</v>
      </c>
      <c r="R73" s="11" t="str">
        <f t="shared" si="6"/>
        <v>7A</v>
      </c>
    </row>
    <row r="74" spans="1:18" x14ac:dyDescent="0.3">
      <c r="A74" s="39" t="s">
        <v>729</v>
      </c>
      <c r="B74" s="58" t="str">
        <f t="shared" si="10"/>
        <v>A670</v>
      </c>
      <c r="C74" s="19" t="str">
        <f t="shared" si="9"/>
        <v>E0</v>
      </c>
      <c r="D74" s="12" t="str">
        <f t="shared" si="9"/>
        <v>8A</v>
      </c>
      <c r="E74" s="12" t="str">
        <f t="shared" si="9"/>
        <v>CC</v>
      </c>
      <c r="F74" s="12" t="str">
        <f t="shared" si="9"/>
        <v>9A</v>
      </c>
      <c r="G74" s="12" t="str">
        <f t="shared" si="9"/>
        <v>EE</v>
      </c>
      <c r="H74" s="12" t="str">
        <f t="shared" si="9"/>
        <v>AA</v>
      </c>
      <c r="I74" s="12" t="str">
        <f t="shared" si="9"/>
        <v>DC</v>
      </c>
      <c r="J74" s="12" t="str">
        <f t="shared" si="9"/>
        <v>BA</v>
      </c>
      <c r="K74" s="12" t="str">
        <f t="shared" si="9"/>
        <v>F0</v>
      </c>
      <c r="L74" s="12" t="str">
        <f t="shared" si="9"/>
        <v>CA</v>
      </c>
      <c r="M74" s="12" t="str">
        <f t="shared" si="9"/>
        <v>EC</v>
      </c>
      <c r="N74" s="12" t="str">
        <f t="shared" si="9"/>
        <v>DA</v>
      </c>
      <c r="O74" s="12" t="str">
        <f t="shared" si="9"/>
        <v>FE</v>
      </c>
      <c r="P74" s="12" t="str">
        <f t="shared" si="9"/>
        <v>EA</v>
      </c>
      <c r="Q74" s="12" t="str">
        <f t="shared" si="9"/>
        <v>FC</v>
      </c>
      <c r="R74" s="12" t="str">
        <f t="shared" si="6"/>
        <v>FA</v>
      </c>
    </row>
    <row r="75" spans="1:18" x14ac:dyDescent="0.3">
      <c r="A75" s="39" t="s">
        <v>694</v>
      </c>
      <c r="B75" s="5" t="str">
        <f t="shared" si="10"/>
        <v>A680</v>
      </c>
      <c r="C75" s="17" t="str">
        <f t="shared" si="9"/>
        <v>A9</v>
      </c>
      <c r="D75" s="10" t="str">
        <f t="shared" si="9"/>
        <v>A9</v>
      </c>
      <c r="E75" s="10" t="str">
        <f t="shared" si="9"/>
        <v>A9</v>
      </c>
      <c r="F75" s="10" t="str">
        <f t="shared" si="9"/>
        <v>A9</v>
      </c>
      <c r="G75" s="10" t="str">
        <f t="shared" si="9"/>
        <v>A9</v>
      </c>
      <c r="H75" s="10" t="str">
        <f t="shared" si="9"/>
        <v>A9</v>
      </c>
      <c r="I75" s="10" t="str">
        <f t="shared" si="9"/>
        <v>A9</v>
      </c>
      <c r="J75" s="10" t="str">
        <f t="shared" si="9"/>
        <v>A9</v>
      </c>
      <c r="K75" s="10" t="str">
        <f t="shared" si="9"/>
        <v>A9</v>
      </c>
      <c r="L75" s="10" t="str">
        <f t="shared" si="9"/>
        <v>A9</v>
      </c>
      <c r="M75" s="10" t="str">
        <f t="shared" si="9"/>
        <v>A9</v>
      </c>
      <c r="N75" s="10" t="str">
        <f t="shared" si="9"/>
        <v>A9</v>
      </c>
      <c r="O75" s="10" t="str">
        <f t="shared" si="9"/>
        <v>A9</v>
      </c>
      <c r="P75" s="10" t="str">
        <f t="shared" si="9"/>
        <v>A9</v>
      </c>
      <c r="Q75" s="10" t="str">
        <f t="shared" si="9"/>
        <v>A9</v>
      </c>
      <c r="R75" s="10" t="str">
        <f t="shared" si="6"/>
        <v>A9</v>
      </c>
    </row>
    <row r="76" spans="1:18" x14ac:dyDescent="0.3">
      <c r="A76" s="39" t="s">
        <v>694</v>
      </c>
      <c r="B76" s="5" t="str">
        <f t="shared" si="10"/>
        <v>A690</v>
      </c>
      <c r="C76" s="18" t="str">
        <f t="shared" si="9"/>
        <v>A9</v>
      </c>
      <c r="D76" s="11" t="str">
        <f t="shared" si="9"/>
        <v>A9</v>
      </c>
      <c r="E76" s="11" t="str">
        <f t="shared" si="9"/>
        <v>A9</v>
      </c>
      <c r="F76" s="11" t="str">
        <f t="shared" si="9"/>
        <v>A9</v>
      </c>
      <c r="G76" s="11" t="str">
        <f t="shared" si="9"/>
        <v>A9</v>
      </c>
      <c r="H76" s="11" t="str">
        <f t="shared" si="9"/>
        <v>A9</v>
      </c>
      <c r="I76" s="11" t="str">
        <f t="shared" si="9"/>
        <v>A9</v>
      </c>
      <c r="J76" s="11" t="str">
        <f t="shared" si="9"/>
        <v>A9</v>
      </c>
      <c r="K76" s="11" t="str">
        <f t="shared" si="9"/>
        <v>A9</v>
      </c>
      <c r="L76" s="11" t="str">
        <f t="shared" si="9"/>
        <v>A9</v>
      </c>
      <c r="M76" s="11" t="str">
        <f t="shared" si="9"/>
        <v>A9</v>
      </c>
      <c r="N76" s="11" t="str">
        <f t="shared" si="9"/>
        <v>A9</v>
      </c>
      <c r="O76" s="11" t="str">
        <f t="shared" si="9"/>
        <v>A9</v>
      </c>
      <c r="P76" s="11" t="str">
        <f t="shared" si="9"/>
        <v>A9</v>
      </c>
      <c r="Q76" s="11" t="str">
        <f t="shared" si="9"/>
        <v>A9</v>
      </c>
      <c r="R76" s="11" t="str">
        <f t="shared" si="6"/>
        <v>A9</v>
      </c>
    </row>
    <row r="77" spans="1:18" x14ac:dyDescent="0.3">
      <c r="A77" s="39" t="s">
        <v>695</v>
      </c>
      <c r="B77" s="5" t="str">
        <f t="shared" si="10"/>
        <v>A6A0</v>
      </c>
      <c r="C77" s="18" t="str">
        <f t="shared" si="9"/>
        <v>A9</v>
      </c>
      <c r="D77" s="11" t="str">
        <f t="shared" si="9"/>
        <v>AA</v>
      </c>
      <c r="E77" s="11" t="str">
        <f t="shared" si="9"/>
        <v>A9</v>
      </c>
      <c r="F77" s="11" t="str">
        <f t="shared" si="9"/>
        <v>AA</v>
      </c>
      <c r="G77" s="11" t="str">
        <f t="shared" si="9"/>
        <v>A9</v>
      </c>
      <c r="H77" s="11" t="str">
        <f t="shared" si="9"/>
        <v>AA</v>
      </c>
      <c r="I77" s="11" t="str">
        <f t="shared" si="9"/>
        <v>A9</v>
      </c>
      <c r="J77" s="11" t="str">
        <f t="shared" si="9"/>
        <v>AA</v>
      </c>
      <c r="K77" s="11" t="str">
        <f t="shared" si="9"/>
        <v>A9</v>
      </c>
      <c r="L77" s="11" t="str">
        <f t="shared" si="9"/>
        <v>AA</v>
      </c>
      <c r="M77" s="11" t="str">
        <f t="shared" si="9"/>
        <v>A9</v>
      </c>
      <c r="N77" s="11" t="str">
        <f t="shared" si="9"/>
        <v>AA</v>
      </c>
      <c r="O77" s="11" t="str">
        <f t="shared" si="9"/>
        <v>A9</v>
      </c>
      <c r="P77" s="11" t="str">
        <f t="shared" si="9"/>
        <v>AA</v>
      </c>
      <c r="Q77" s="11" t="str">
        <f t="shared" si="9"/>
        <v>A9</v>
      </c>
      <c r="R77" s="11" t="str">
        <f t="shared" si="6"/>
        <v>AA</v>
      </c>
    </row>
    <row r="78" spans="1:18" x14ac:dyDescent="0.3">
      <c r="A78" s="39" t="s">
        <v>695</v>
      </c>
      <c r="B78" s="5" t="str">
        <f t="shared" si="10"/>
        <v>A6B0</v>
      </c>
      <c r="C78" s="18" t="str">
        <f t="shared" si="9"/>
        <v>A9</v>
      </c>
      <c r="D78" s="11" t="str">
        <f t="shared" si="9"/>
        <v>AA</v>
      </c>
      <c r="E78" s="11" t="str">
        <f t="shared" si="9"/>
        <v>A9</v>
      </c>
      <c r="F78" s="11" t="str">
        <f t="shared" si="9"/>
        <v>AA</v>
      </c>
      <c r="G78" s="11" t="str">
        <f t="shared" si="9"/>
        <v>A9</v>
      </c>
      <c r="H78" s="11" t="str">
        <f t="shared" si="9"/>
        <v>AA</v>
      </c>
      <c r="I78" s="11" t="str">
        <f t="shared" si="9"/>
        <v>A9</v>
      </c>
      <c r="J78" s="11" t="str">
        <f t="shared" si="9"/>
        <v>AA</v>
      </c>
      <c r="K78" s="11" t="str">
        <f t="shared" si="9"/>
        <v>A9</v>
      </c>
      <c r="L78" s="11" t="str">
        <f t="shared" si="9"/>
        <v>AA</v>
      </c>
      <c r="M78" s="11" t="str">
        <f t="shared" si="9"/>
        <v>A9</v>
      </c>
      <c r="N78" s="11" t="str">
        <f t="shared" si="9"/>
        <v>AA</v>
      </c>
      <c r="O78" s="11" t="str">
        <f t="shared" si="9"/>
        <v>A9</v>
      </c>
      <c r="P78" s="11" t="str">
        <f t="shared" si="9"/>
        <v>AA</v>
      </c>
      <c r="Q78" s="11" t="str">
        <f t="shared" si="9"/>
        <v>A9</v>
      </c>
      <c r="R78" s="11" t="str">
        <f t="shared" si="6"/>
        <v>AA</v>
      </c>
    </row>
    <row r="79" spans="1:18" x14ac:dyDescent="0.3">
      <c r="A79" s="39" t="s">
        <v>696</v>
      </c>
      <c r="B79" s="5" t="str">
        <f t="shared" si="10"/>
        <v>A6C0</v>
      </c>
      <c r="C79" s="18" t="str">
        <f t="shared" si="9"/>
        <v>A9</v>
      </c>
      <c r="D79" s="11" t="str">
        <f t="shared" si="9"/>
        <v>AB</v>
      </c>
      <c r="E79" s="11" t="str">
        <f t="shared" si="9"/>
        <v>AA</v>
      </c>
      <c r="F79" s="11" t="str">
        <f t="shared" si="9"/>
        <v>AB</v>
      </c>
      <c r="G79" s="11" t="str">
        <f t="shared" si="9"/>
        <v>A9</v>
      </c>
      <c r="H79" s="11" t="str">
        <f t="shared" si="9"/>
        <v>AB</v>
      </c>
      <c r="I79" s="11" t="str">
        <f t="shared" si="9"/>
        <v>AA</v>
      </c>
      <c r="J79" s="11" t="str">
        <f t="shared" si="9"/>
        <v>AB</v>
      </c>
      <c r="K79" s="11" t="str">
        <f t="shared" si="9"/>
        <v>A9</v>
      </c>
      <c r="L79" s="11" t="str">
        <f t="shared" si="9"/>
        <v>AB</v>
      </c>
      <c r="M79" s="11" t="str">
        <f t="shared" si="9"/>
        <v>AA</v>
      </c>
      <c r="N79" s="11" t="str">
        <f t="shared" si="9"/>
        <v>AB</v>
      </c>
      <c r="O79" s="11" t="str">
        <f t="shared" si="9"/>
        <v>A9</v>
      </c>
      <c r="P79" s="11" t="str">
        <f t="shared" si="9"/>
        <v>AB</v>
      </c>
      <c r="Q79" s="11" t="str">
        <f t="shared" si="9"/>
        <v>AA</v>
      </c>
      <c r="R79" s="11" t="str">
        <f t="shared" si="6"/>
        <v>AB</v>
      </c>
    </row>
    <row r="80" spans="1:18" x14ac:dyDescent="0.3">
      <c r="A80" s="39" t="s">
        <v>696</v>
      </c>
      <c r="B80" s="5" t="str">
        <f t="shared" si="10"/>
        <v>A6D0</v>
      </c>
      <c r="C80" s="18" t="str">
        <f t="shared" si="9"/>
        <v>A9</v>
      </c>
      <c r="D80" s="11" t="str">
        <f t="shared" si="9"/>
        <v>AB</v>
      </c>
      <c r="E80" s="11" t="str">
        <f t="shared" si="9"/>
        <v>AA</v>
      </c>
      <c r="F80" s="11" t="str">
        <f t="shared" si="9"/>
        <v>AB</v>
      </c>
      <c r="G80" s="11" t="str">
        <f t="shared" si="9"/>
        <v>A9</v>
      </c>
      <c r="H80" s="11" t="str">
        <f t="shared" si="9"/>
        <v>AB</v>
      </c>
      <c r="I80" s="11" t="str">
        <f t="shared" si="9"/>
        <v>AA</v>
      </c>
      <c r="J80" s="11" t="str">
        <f t="shared" si="9"/>
        <v>AB</v>
      </c>
      <c r="K80" s="11" t="str">
        <f t="shared" si="9"/>
        <v>A9</v>
      </c>
      <c r="L80" s="11" t="str">
        <f t="shared" si="9"/>
        <v>AB</v>
      </c>
      <c r="M80" s="11" t="str">
        <f t="shared" si="9"/>
        <v>AA</v>
      </c>
      <c r="N80" s="11" t="str">
        <f t="shared" si="9"/>
        <v>AB</v>
      </c>
      <c r="O80" s="11" t="str">
        <f t="shared" si="9"/>
        <v>A9</v>
      </c>
      <c r="P80" s="11" t="str">
        <f t="shared" si="9"/>
        <v>AB</v>
      </c>
      <c r="Q80" s="11" t="str">
        <f t="shared" si="9"/>
        <v>AA</v>
      </c>
      <c r="R80" s="11" t="str">
        <f t="shared" si="6"/>
        <v>AB</v>
      </c>
    </row>
    <row r="81" spans="1:18" x14ac:dyDescent="0.3">
      <c r="A81" s="39" t="s">
        <v>697</v>
      </c>
      <c r="B81" s="5" t="str">
        <f t="shared" si="10"/>
        <v>A6E0</v>
      </c>
      <c r="C81" s="18" t="str">
        <f t="shared" si="9"/>
        <v>A9</v>
      </c>
      <c r="D81" s="11" t="str">
        <f t="shared" si="9"/>
        <v>AC</v>
      </c>
      <c r="E81" s="11" t="str">
        <f t="shared" si="9"/>
        <v>AA</v>
      </c>
      <c r="F81" s="11" t="str">
        <f t="shared" si="9"/>
        <v>AC</v>
      </c>
      <c r="G81" s="11" t="str">
        <f t="shared" si="9"/>
        <v>A9</v>
      </c>
      <c r="H81" s="11" t="str">
        <f t="shared" si="9"/>
        <v>AC</v>
      </c>
      <c r="I81" s="11" t="str">
        <f t="shared" si="9"/>
        <v>AA</v>
      </c>
      <c r="J81" s="11" t="str">
        <f t="shared" si="9"/>
        <v>AC</v>
      </c>
      <c r="K81" s="11" t="str">
        <f t="shared" si="9"/>
        <v>A9</v>
      </c>
      <c r="L81" s="11" t="str">
        <f t="shared" si="9"/>
        <v>AC</v>
      </c>
      <c r="M81" s="11" t="str">
        <f t="shared" si="9"/>
        <v>AA</v>
      </c>
      <c r="N81" s="11" t="str">
        <f t="shared" si="9"/>
        <v>AC</v>
      </c>
      <c r="O81" s="11" t="str">
        <f t="shared" si="9"/>
        <v>A9</v>
      </c>
      <c r="P81" s="11" t="str">
        <f t="shared" si="9"/>
        <v>AC</v>
      </c>
      <c r="Q81" s="11" t="str">
        <f t="shared" si="9"/>
        <v>AA</v>
      </c>
      <c r="R81" s="11" t="str">
        <f t="shared" si="6"/>
        <v>AC</v>
      </c>
    </row>
    <row r="82" spans="1:18" x14ac:dyDescent="0.3">
      <c r="A82" s="39" t="s">
        <v>697</v>
      </c>
      <c r="B82" s="58" t="str">
        <f t="shared" si="10"/>
        <v>A6F0</v>
      </c>
      <c r="C82" s="19" t="str">
        <f t="shared" si="9"/>
        <v>A9</v>
      </c>
      <c r="D82" s="12" t="str">
        <f t="shared" si="9"/>
        <v>AC</v>
      </c>
      <c r="E82" s="12" t="str">
        <f t="shared" si="9"/>
        <v>AA</v>
      </c>
      <c r="F82" s="12" t="str">
        <f t="shared" si="9"/>
        <v>AC</v>
      </c>
      <c r="G82" s="12" t="str">
        <f t="shared" si="9"/>
        <v>A9</v>
      </c>
      <c r="H82" s="12" t="str">
        <f t="shared" si="9"/>
        <v>AC</v>
      </c>
      <c r="I82" s="12" t="str">
        <f t="shared" si="9"/>
        <v>AA</v>
      </c>
      <c r="J82" s="12" t="str">
        <f t="shared" si="9"/>
        <v>AC</v>
      </c>
      <c r="K82" s="12" t="str">
        <f t="shared" si="9"/>
        <v>A9</v>
      </c>
      <c r="L82" s="12" t="str">
        <f t="shared" si="9"/>
        <v>AC</v>
      </c>
      <c r="M82" s="12" t="str">
        <f t="shared" si="9"/>
        <v>AA</v>
      </c>
      <c r="N82" s="12" t="str">
        <f t="shared" si="9"/>
        <v>AC</v>
      </c>
      <c r="O82" s="12" t="str">
        <f t="shared" si="9"/>
        <v>A9</v>
      </c>
      <c r="P82" s="12" t="str">
        <f t="shared" si="9"/>
        <v>AC</v>
      </c>
      <c r="Q82" s="12" t="str">
        <f t="shared" si="9"/>
        <v>AA</v>
      </c>
      <c r="R82" s="12" t="str">
        <f t="shared" si="6"/>
        <v>AC</v>
      </c>
    </row>
    <row r="83" spans="1:18" x14ac:dyDescent="0.3">
      <c r="A83" s="39" t="s">
        <v>730</v>
      </c>
      <c r="B83" s="29" t="str">
        <f t="shared" si="10"/>
        <v>A700</v>
      </c>
      <c r="C83" s="17" t="str">
        <f t="shared" si="9"/>
        <v>00</v>
      </c>
      <c r="D83" s="10" t="str">
        <f t="shared" si="9"/>
        <v>0C</v>
      </c>
      <c r="E83" s="10" t="str">
        <f t="shared" si="9"/>
        <v>0E</v>
      </c>
      <c r="F83" s="10" t="str">
        <f t="shared" si="9"/>
        <v>1C</v>
      </c>
      <c r="G83" s="10" t="str">
        <f t="shared" si="9"/>
        <v>10</v>
      </c>
      <c r="H83" s="10" t="str">
        <f t="shared" si="9"/>
        <v>2C</v>
      </c>
      <c r="I83" s="10" t="str">
        <f t="shared" si="9"/>
        <v>1E</v>
      </c>
      <c r="J83" s="10" t="str">
        <f t="shared" si="9"/>
        <v>3C</v>
      </c>
      <c r="K83" s="10" t="str">
        <f t="shared" si="9"/>
        <v>20</v>
      </c>
      <c r="L83" s="10" t="str">
        <f t="shared" si="9"/>
        <v>4C</v>
      </c>
      <c r="M83" s="10" t="str">
        <f t="shared" si="9"/>
        <v>2E</v>
      </c>
      <c r="N83" s="10" t="str">
        <f t="shared" si="9"/>
        <v>5C</v>
      </c>
      <c r="O83" s="10" t="str">
        <f t="shared" si="9"/>
        <v>30</v>
      </c>
      <c r="P83" s="10" t="str">
        <f t="shared" si="9"/>
        <v>6C</v>
      </c>
      <c r="Q83" s="10" t="str">
        <f t="shared" si="9"/>
        <v>3E</v>
      </c>
      <c r="R83" s="10" t="str">
        <f t="shared" si="6"/>
        <v>7C</v>
      </c>
    </row>
    <row r="84" spans="1:18" x14ac:dyDescent="0.3">
      <c r="A84" s="39" t="s">
        <v>731</v>
      </c>
      <c r="B84" s="5" t="str">
        <f t="shared" si="10"/>
        <v>A710</v>
      </c>
      <c r="C84" s="18" t="str">
        <f t="shared" ref="C84:R99" si="11">MID($A84,13+C$1*3,2)</f>
        <v>40</v>
      </c>
      <c r="D84" s="11" t="str">
        <f t="shared" si="11"/>
        <v>8C</v>
      </c>
      <c r="E84" s="11" t="str">
        <f t="shared" si="11"/>
        <v>4E</v>
      </c>
      <c r="F84" s="11" t="str">
        <f t="shared" si="11"/>
        <v>9C</v>
      </c>
      <c r="G84" s="11" t="str">
        <f t="shared" si="11"/>
        <v>50</v>
      </c>
      <c r="H84" s="11" t="str">
        <f t="shared" si="11"/>
        <v>AC</v>
      </c>
      <c r="I84" s="11" t="str">
        <f t="shared" si="11"/>
        <v>5E</v>
      </c>
      <c r="J84" s="11" t="str">
        <f t="shared" si="11"/>
        <v>BC</v>
      </c>
      <c r="K84" s="11" t="str">
        <f t="shared" si="11"/>
        <v>60</v>
      </c>
      <c r="L84" s="11" t="str">
        <f t="shared" si="11"/>
        <v>CC</v>
      </c>
      <c r="M84" s="11" t="str">
        <f t="shared" si="11"/>
        <v>6E</v>
      </c>
      <c r="N84" s="11" t="str">
        <f t="shared" si="11"/>
        <v>DC</v>
      </c>
      <c r="O84" s="11" t="str">
        <f t="shared" si="11"/>
        <v>70</v>
      </c>
      <c r="P84" s="11" t="str">
        <f t="shared" si="11"/>
        <v>EC</v>
      </c>
      <c r="Q84" s="11" t="str">
        <f t="shared" si="11"/>
        <v>7E</v>
      </c>
      <c r="R84" s="11" t="str">
        <f t="shared" si="6"/>
        <v>FC</v>
      </c>
    </row>
    <row r="85" spans="1:18" x14ac:dyDescent="0.3">
      <c r="A85" s="39" t="s">
        <v>732</v>
      </c>
      <c r="B85" s="5" t="str">
        <f t="shared" si="10"/>
        <v>A720</v>
      </c>
      <c r="C85" s="18" t="str">
        <f t="shared" si="11"/>
        <v>80</v>
      </c>
      <c r="D85" s="11" t="str">
        <f t="shared" si="11"/>
        <v>0C</v>
      </c>
      <c r="E85" s="11" t="str">
        <f t="shared" si="11"/>
        <v>8E</v>
      </c>
      <c r="F85" s="11" t="str">
        <f t="shared" si="11"/>
        <v>1C</v>
      </c>
      <c r="G85" s="11" t="str">
        <f t="shared" si="11"/>
        <v>90</v>
      </c>
      <c r="H85" s="11" t="str">
        <f t="shared" si="11"/>
        <v>2C</v>
      </c>
      <c r="I85" s="11" t="str">
        <f t="shared" si="11"/>
        <v>9E</v>
      </c>
      <c r="J85" s="11" t="str">
        <f t="shared" si="11"/>
        <v>3C</v>
      </c>
      <c r="K85" s="11" t="str">
        <f t="shared" si="11"/>
        <v>A0</v>
      </c>
      <c r="L85" s="11" t="str">
        <f t="shared" si="11"/>
        <v>4C</v>
      </c>
      <c r="M85" s="11" t="str">
        <f t="shared" si="11"/>
        <v>AE</v>
      </c>
      <c r="N85" s="11" t="str">
        <f t="shared" si="11"/>
        <v>5C</v>
      </c>
      <c r="O85" s="11" t="str">
        <f t="shared" si="11"/>
        <v>B0</v>
      </c>
      <c r="P85" s="11" t="str">
        <f t="shared" si="11"/>
        <v>6C</v>
      </c>
      <c r="Q85" s="11" t="str">
        <f t="shared" si="11"/>
        <v>BE</v>
      </c>
      <c r="R85" s="11" t="str">
        <f t="shared" si="6"/>
        <v>7C</v>
      </c>
    </row>
    <row r="86" spans="1:18" x14ac:dyDescent="0.3">
      <c r="A86" s="39" t="s">
        <v>733</v>
      </c>
      <c r="B86" s="5" t="str">
        <f t="shared" si="10"/>
        <v>A730</v>
      </c>
      <c r="C86" s="18" t="str">
        <f t="shared" si="11"/>
        <v>C0</v>
      </c>
      <c r="D86" s="11" t="str">
        <f t="shared" si="11"/>
        <v>8C</v>
      </c>
      <c r="E86" s="11" t="str">
        <f t="shared" si="11"/>
        <v>CE</v>
      </c>
      <c r="F86" s="11" t="str">
        <f t="shared" si="11"/>
        <v>9C</v>
      </c>
      <c r="G86" s="11" t="str">
        <f t="shared" si="11"/>
        <v>D0</v>
      </c>
      <c r="H86" s="11" t="str">
        <f t="shared" si="11"/>
        <v>AC</v>
      </c>
      <c r="I86" s="11" t="str">
        <f t="shared" si="11"/>
        <v>DE</v>
      </c>
      <c r="J86" s="11" t="str">
        <f t="shared" si="11"/>
        <v>BC</v>
      </c>
      <c r="K86" s="11" t="str">
        <f t="shared" si="11"/>
        <v>E0</v>
      </c>
      <c r="L86" s="11" t="str">
        <f t="shared" si="11"/>
        <v>CC</v>
      </c>
      <c r="M86" s="11" t="str">
        <f t="shared" si="11"/>
        <v>EE</v>
      </c>
      <c r="N86" s="11" t="str">
        <f t="shared" si="11"/>
        <v>DC</v>
      </c>
      <c r="O86" s="11" t="str">
        <f t="shared" si="11"/>
        <v>F0</v>
      </c>
      <c r="P86" s="11" t="str">
        <f t="shared" si="11"/>
        <v>EC</v>
      </c>
      <c r="Q86" s="11" t="str">
        <f t="shared" si="11"/>
        <v>FE</v>
      </c>
      <c r="R86" s="11" t="str">
        <f t="shared" si="6"/>
        <v>FC</v>
      </c>
    </row>
    <row r="87" spans="1:18" x14ac:dyDescent="0.3">
      <c r="A87" s="39" t="s">
        <v>730</v>
      </c>
      <c r="B87" s="5" t="str">
        <f t="shared" si="10"/>
        <v>A740</v>
      </c>
      <c r="C87" s="18" t="str">
        <f t="shared" si="11"/>
        <v>00</v>
      </c>
      <c r="D87" s="11" t="str">
        <f t="shared" si="11"/>
        <v>0C</v>
      </c>
      <c r="E87" s="11" t="str">
        <f t="shared" si="11"/>
        <v>0E</v>
      </c>
      <c r="F87" s="11" t="str">
        <f t="shared" si="11"/>
        <v>1C</v>
      </c>
      <c r="G87" s="11" t="str">
        <f t="shared" si="11"/>
        <v>10</v>
      </c>
      <c r="H87" s="11" t="str">
        <f t="shared" si="11"/>
        <v>2C</v>
      </c>
      <c r="I87" s="11" t="str">
        <f t="shared" si="11"/>
        <v>1E</v>
      </c>
      <c r="J87" s="11" t="str">
        <f t="shared" si="11"/>
        <v>3C</v>
      </c>
      <c r="K87" s="11" t="str">
        <f t="shared" si="11"/>
        <v>20</v>
      </c>
      <c r="L87" s="11" t="str">
        <f t="shared" si="11"/>
        <v>4C</v>
      </c>
      <c r="M87" s="11" t="str">
        <f t="shared" si="11"/>
        <v>2E</v>
      </c>
      <c r="N87" s="11" t="str">
        <f t="shared" si="11"/>
        <v>5C</v>
      </c>
      <c r="O87" s="11" t="str">
        <f t="shared" si="11"/>
        <v>30</v>
      </c>
      <c r="P87" s="11" t="str">
        <f t="shared" si="11"/>
        <v>6C</v>
      </c>
      <c r="Q87" s="11" t="str">
        <f t="shared" si="11"/>
        <v>3E</v>
      </c>
      <c r="R87" s="11" t="str">
        <f t="shared" si="6"/>
        <v>7C</v>
      </c>
    </row>
    <row r="88" spans="1:18" x14ac:dyDescent="0.3">
      <c r="A88" s="39" t="s">
        <v>731</v>
      </c>
      <c r="B88" s="5" t="str">
        <f t="shared" si="10"/>
        <v>A750</v>
      </c>
      <c r="C88" s="18" t="str">
        <f t="shared" si="11"/>
        <v>40</v>
      </c>
      <c r="D88" s="11" t="str">
        <f t="shared" si="11"/>
        <v>8C</v>
      </c>
      <c r="E88" s="11" t="str">
        <f t="shared" si="11"/>
        <v>4E</v>
      </c>
      <c r="F88" s="11" t="str">
        <f t="shared" si="11"/>
        <v>9C</v>
      </c>
      <c r="G88" s="11" t="str">
        <f t="shared" si="11"/>
        <v>50</v>
      </c>
      <c r="H88" s="11" t="str">
        <f t="shared" si="11"/>
        <v>AC</v>
      </c>
      <c r="I88" s="11" t="str">
        <f t="shared" si="11"/>
        <v>5E</v>
      </c>
      <c r="J88" s="11" t="str">
        <f t="shared" si="11"/>
        <v>BC</v>
      </c>
      <c r="K88" s="11" t="str">
        <f t="shared" si="11"/>
        <v>60</v>
      </c>
      <c r="L88" s="11" t="str">
        <f t="shared" si="11"/>
        <v>CC</v>
      </c>
      <c r="M88" s="11" t="str">
        <f t="shared" si="11"/>
        <v>6E</v>
      </c>
      <c r="N88" s="11" t="str">
        <f t="shared" si="11"/>
        <v>DC</v>
      </c>
      <c r="O88" s="11" t="str">
        <f t="shared" si="11"/>
        <v>70</v>
      </c>
      <c r="P88" s="11" t="str">
        <f t="shared" si="11"/>
        <v>EC</v>
      </c>
      <c r="Q88" s="11" t="str">
        <f t="shared" si="11"/>
        <v>7E</v>
      </c>
      <c r="R88" s="11" t="str">
        <f t="shared" si="6"/>
        <v>FC</v>
      </c>
    </row>
    <row r="89" spans="1:18" x14ac:dyDescent="0.3">
      <c r="A89" s="39" t="s">
        <v>732</v>
      </c>
      <c r="B89" s="5" t="str">
        <f t="shared" si="10"/>
        <v>A760</v>
      </c>
      <c r="C89" s="18" t="str">
        <f t="shared" si="11"/>
        <v>80</v>
      </c>
      <c r="D89" s="11" t="str">
        <f t="shared" si="11"/>
        <v>0C</v>
      </c>
      <c r="E89" s="11" t="str">
        <f t="shared" si="11"/>
        <v>8E</v>
      </c>
      <c r="F89" s="11" t="str">
        <f t="shared" si="11"/>
        <v>1C</v>
      </c>
      <c r="G89" s="11" t="str">
        <f t="shared" si="11"/>
        <v>90</v>
      </c>
      <c r="H89" s="11" t="str">
        <f t="shared" si="11"/>
        <v>2C</v>
      </c>
      <c r="I89" s="11" t="str">
        <f t="shared" si="11"/>
        <v>9E</v>
      </c>
      <c r="J89" s="11" t="str">
        <f t="shared" si="11"/>
        <v>3C</v>
      </c>
      <c r="K89" s="11" t="str">
        <f t="shared" si="11"/>
        <v>A0</v>
      </c>
      <c r="L89" s="11" t="str">
        <f t="shared" si="11"/>
        <v>4C</v>
      </c>
      <c r="M89" s="11" t="str">
        <f t="shared" si="11"/>
        <v>AE</v>
      </c>
      <c r="N89" s="11" t="str">
        <f t="shared" si="11"/>
        <v>5C</v>
      </c>
      <c r="O89" s="11" t="str">
        <f t="shared" si="11"/>
        <v>B0</v>
      </c>
      <c r="P89" s="11" t="str">
        <f t="shared" si="11"/>
        <v>6C</v>
      </c>
      <c r="Q89" s="11" t="str">
        <f t="shared" si="11"/>
        <v>BE</v>
      </c>
      <c r="R89" s="11" t="str">
        <f t="shared" si="6"/>
        <v>7C</v>
      </c>
    </row>
    <row r="90" spans="1:18" x14ac:dyDescent="0.3">
      <c r="A90" s="39" t="s">
        <v>733</v>
      </c>
      <c r="B90" s="58" t="str">
        <f t="shared" si="10"/>
        <v>A770</v>
      </c>
      <c r="C90" s="19" t="str">
        <f t="shared" si="11"/>
        <v>C0</v>
      </c>
      <c r="D90" s="12" t="str">
        <f t="shared" si="11"/>
        <v>8C</v>
      </c>
      <c r="E90" s="12" t="str">
        <f t="shared" si="11"/>
        <v>CE</v>
      </c>
      <c r="F90" s="12" t="str">
        <f t="shared" si="11"/>
        <v>9C</v>
      </c>
      <c r="G90" s="12" t="str">
        <f t="shared" si="11"/>
        <v>D0</v>
      </c>
      <c r="H90" s="12" t="str">
        <f t="shared" si="11"/>
        <v>AC</v>
      </c>
      <c r="I90" s="12" t="str">
        <f t="shared" si="11"/>
        <v>DE</v>
      </c>
      <c r="J90" s="12" t="str">
        <f t="shared" si="11"/>
        <v>BC</v>
      </c>
      <c r="K90" s="12" t="str">
        <f t="shared" si="11"/>
        <v>E0</v>
      </c>
      <c r="L90" s="12" t="str">
        <f t="shared" si="11"/>
        <v>CC</v>
      </c>
      <c r="M90" s="12" t="str">
        <f t="shared" si="11"/>
        <v>EE</v>
      </c>
      <c r="N90" s="12" t="str">
        <f t="shared" si="11"/>
        <v>DC</v>
      </c>
      <c r="O90" s="12" t="str">
        <f t="shared" si="11"/>
        <v>F0</v>
      </c>
      <c r="P90" s="12" t="str">
        <f t="shared" si="11"/>
        <v>EC</v>
      </c>
      <c r="Q90" s="12" t="str">
        <f t="shared" si="11"/>
        <v>FE</v>
      </c>
      <c r="R90" s="12" t="str">
        <f t="shared" si="6"/>
        <v>FC</v>
      </c>
    </row>
    <row r="91" spans="1:18" x14ac:dyDescent="0.3">
      <c r="A91" s="39" t="s">
        <v>694</v>
      </c>
      <c r="B91" s="5" t="str">
        <f t="shared" si="10"/>
        <v>A780</v>
      </c>
      <c r="C91" s="17" t="str">
        <f t="shared" si="11"/>
        <v>A9</v>
      </c>
      <c r="D91" s="10" t="str">
        <f t="shared" si="11"/>
        <v>A9</v>
      </c>
      <c r="E91" s="10" t="str">
        <f t="shared" si="11"/>
        <v>A9</v>
      </c>
      <c r="F91" s="10" t="str">
        <f t="shared" si="11"/>
        <v>A9</v>
      </c>
      <c r="G91" s="10" t="str">
        <f t="shared" si="11"/>
        <v>A9</v>
      </c>
      <c r="H91" s="10" t="str">
        <f t="shared" si="11"/>
        <v>A9</v>
      </c>
      <c r="I91" s="10" t="str">
        <f t="shared" si="11"/>
        <v>A9</v>
      </c>
      <c r="J91" s="10" t="str">
        <f t="shared" si="11"/>
        <v>A9</v>
      </c>
      <c r="K91" s="10" t="str">
        <f t="shared" si="11"/>
        <v>A9</v>
      </c>
      <c r="L91" s="10" t="str">
        <f t="shared" si="11"/>
        <v>A9</v>
      </c>
      <c r="M91" s="10" t="str">
        <f t="shared" si="11"/>
        <v>A9</v>
      </c>
      <c r="N91" s="10" t="str">
        <f t="shared" si="11"/>
        <v>A9</v>
      </c>
      <c r="O91" s="10" t="str">
        <f t="shared" si="11"/>
        <v>A9</v>
      </c>
      <c r="P91" s="10" t="str">
        <f t="shared" si="11"/>
        <v>A9</v>
      </c>
      <c r="Q91" s="10" t="str">
        <f t="shared" si="11"/>
        <v>A9</v>
      </c>
      <c r="R91" s="10" t="str">
        <f t="shared" si="6"/>
        <v>A9</v>
      </c>
    </row>
    <row r="92" spans="1:18" x14ac:dyDescent="0.3">
      <c r="A92" s="39" t="s">
        <v>694</v>
      </c>
      <c r="B92" s="5" t="str">
        <f t="shared" si="10"/>
        <v>A790</v>
      </c>
      <c r="C92" s="18" t="str">
        <f t="shared" si="11"/>
        <v>A9</v>
      </c>
      <c r="D92" s="11" t="str">
        <f t="shared" si="11"/>
        <v>A9</v>
      </c>
      <c r="E92" s="11" t="str">
        <f t="shared" si="11"/>
        <v>A9</v>
      </c>
      <c r="F92" s="11" t="str">
        <f t="shared" si="11"/>
        <v>A9</v>
      </c>
      <c r="G92" s="11" t="str">
        <f t="shared" si="11"/>
        <v>A9</v>
      </c>
      <c r="H92" s="11" t="str">
        <f t="shared" si="11"/>
        <v>A9</v>
      </c>
      <c r="I92" s="11" t="str">
        <f t="shared" si="11"/>
        <v>A9</v>
      </c>
      <c r="J92" s="11" t="str">
        <f t="shared" si="11"/>
        <v>A9</v>
      </c>
      <c r="K92" s="11" t="str">
        <f t="shared" si="11"/>
        <v>A9</v>
      </c>
      <c r="L92" s="11" t="str">
        <f t="shared" si="11"/>
        <v>A9</v>
      </c>
      <c r="M92" s="11" t="str">
        <f t="shared" si="11"/>
        <v>A9</v>
      </c>
      <c r="N92" s="11" t="str">
        <f t="shared" si="11"/>
        <v>A9</v>
      </c>
      <c r="O92" s="11" t="str">
        <f t="shared" si="11"/>
        <v>A9</v>
      </c>
      <c r="P92" s="11" t="str">
        <f t="shared" si="11"/>
        <v>A9</v>
      </c>
      <c r="Q92" s="11" t="str">
        <f t="shared" si="11"/>
        <v>A9</v>
      </c>
      <c r="R92" s="11" t="str">
        <f t="shared" si="6"/>
        <v>A9</v>
      </c>
    </row>
    <row r="93" spans="1:18" x14ac:dyDescent="0.3">
      <c r="A93" s="39" t="s">
        <v>695</v>
      </c>
      <c r="B93" s="5" t="str">
        <f t="shared" si="10"/>
        <v>A7A0</v>
      </c>
      <c r="C93" s="18" t="str">
        <f t="shared" si="11"/>
        <v>A9</v>
      </c>
      <c r="D93" s="11" t="str">
        <f t="shared" si="11"/>
        <v>AA</v>
      </c>
      <c r="E93" s="11" t="str">
        <f t="shared" si="11"/>
        <v>A9</v>
      </c>
      <c r="F93" s="11" t="str">
        <f t="shared" si="11"/>
        <v>AA</v>
      </c>
      <c r="G93" s="11" t="str">
        <f t="shared" si="11"/>
        <v>A9</v>
      </c>
      <c r="H93" s="11" t="str">
        <f t="shared" si="11"/>
        <v>AA</v>
      </c>
      <c r="I93" s="11" t="str">
        <f t="shared" si="11"/>
        <v>A9</v>
      </c>
      <c r="J93" s="11" t="str">
        <f t="shared" si="11"/>
        <v>AA</v>
      </c>
      <c r="K93" s="11" t="str">
        <f t="shared" si="11"/>
        <v>A9</v>
      </c>
      <c r="L93" s="11" t="str">
        <f t="shared" si="11"/>
        <v>AA</v>
      </c>
      <c r="M93" s="11" t="str">
        <f t="shared" si="11"/>
        <v>A9</v>
      </c>
      <c r="N93" s="11" t="str">
        <f t="shared" si="11"/>
        <v>AA</v>
      </c>
      <c r="O93" s="11" t="str">
        <f t="shared" si="11"/>
        <v>A9</v>
      </c>
      <c r="P93" s="11" t="str">
        <f t="shared" si="11"/>
        <v>AA</v>
      </c>
      <c r="Q93" s="11" t="str">
        <f t="shared" si="11"/>
        <v>A9</v>
      </c>
      <c r="R93" s="11" t="str">
        <f t="shared" si="6"/>
        <v>AA</v>
      </c>
    </row>
    <row r="94" spans="1:18" x14ac:dyDescent="0.3">
      <c r="A94" s="39" t="s">
        <v>695</v>
      </c>
      <c r="B94" s="5" t="str">
        <f t="shared" si="10"/>
        <v>A7B0</v>
      </c>
      <c r="C94" s="18" t="str">
        <f t="shared" si="11"/>
        <v>A9</v>
      </c>
      <c r="D94" s="11" t="str">
        <f t="shared" si="11"/>
        <v>AA</v>
      </c>
      <c r="E94" s="11" t="str">
        <f t="shared" si="11"/>
        <v>A9</v>
      </c>
      <c r="F94" s="11" t="str">
        <f t="shared" si="11"/>
        <v>AA</v>
      </c>
      <c r="G94" s="11" t="str">
        <f t="shared" si="11"/>
        <v>A9</v>
      </c>
      <c r="H94" s="11" t="str">
        <f t="shared" si="11"/>
        <v>AA</v>
      </c>
      <c r="I94" s="11" t="str">
        <f t="shared" si="11"/>
        <v>A9</v>
      </c>
      <c r="J94" s="11" t="str">
        <f t="shared" si="11"/>
        <v>AA</v>
      </c>
      <c r="K94" s="11" t="str">
        <f t="shared" si="11"/>
        <v>A9</v>
      </c>
      <c r="L94" s="11" t="str">
        <f t="shared" si="11"/>
        <v>AA</v>
      </c>
      <c r="M94" s="11" t="str">
        <f t="shared" si="11"/>
        <v>A9</v>
      </c>
      <c r="N94" s="11" t="str">
        <f t="shared" si="11"/>
        <v>AA</v>
      </c>
      <c r="O94" s="11" t="str">
        <f t="shared" si="11"/>
        <v>A9</v>
      </c>
      <c r="P94" s="11" t="str">
        <f t="shared" si="11"/>
        <v>AA</v>
      </c>
      <c r="Q94" s="11" t="str">
        <f t="shared" si="11"/>
        <v>A9</v>
      </c>
      <c r="R94" s="11" t="str">
        <f t="shared" si="6"/>
        <v>AA</v>
      </c>
    </row>
    <row r="95" spans="1:18" x14ac:dyDescent="0.3">
      <c r="A95" s="39" t="s">
        <v>734</v>
      </c>
      <c r="B95" s="5" t="str">
        <f t="shared" si="10"/>
        <v>A7C0</v>
      </c>
      <c r="C95" s="18" t="str">
        <f t="shared" si="11"/>
        <v>AA</v>
      </c>
      <c r="D95" s="11" t="str">
        <f t="shared" si="11"/>
        <v>AB</v>
      </c>
      <c r="E95" s="11" t="str">
        <f t="shared" si="11"/>
        <v>AA</v>
      </c>
      <c r="F95" s="11" t="str">
        <f t="shared" si="11"/>
        <v>AB</v>
      </c>
      <c r="G95" s="11" t="str">
        <f t="shared" si="11"/>
        <v>AA</v>
      </c>
      <c r="H95" s="11" t="str">
        <f t="shared" si="11"/>
        <v>AB</v>
      </c>
      <c r="I95" s="11" t="str">
        <f t="shared" si="11"/>
        <v>AA</v>
      </c>
      <c r="J95" s="11" t="str">
        <f t="shared" si="11"/>
        <v>AB</v>
      </c>
      <c r="K95" s="11" t="str">
        <f t="shared" si="11"/>
        <v>AA</v>
      </c>
      <c r="L95" s="11" t="str">
        <f t="shared" si="11"/>
        <v>AB</v>
      </c>
      <c r="M95" s="11" t="str">
        <f t="shared" si="11"/>
        <v>AA</v>
      </c>
      <c r="N95" s="11" t="str">
        <f t="shared" si="11"/>
        <v>AB</v>
      </c>
      <c r="O95" s="11" t="str">
        <f t="shared" si="11"/>
        <v>AA</v>
      </c>
      <c r="P95" s="11" t="str">
        <f t="shared" si="11"/>
        <v>AB</v>
      </c>
      <c r="Q95" s="11" t="str">
        <f t="shared" si="11"/>
        <v>AA</v>
      </c>
      <c r="R95" s="11" t="str">
        <f t="shared" si="6"/>
        <v>AB</v>
      </c>
    </row>
    <row r="96" spans="1:18" x14ac:dyDescent="0.3">
      <c r="A96" s="39" t="s">
        <v>734</v>
      </c>
      <c r="B96" s="5" t="str">
        <f t="shared" si="10"/>
        <v>A7D0</v>
      </c>
      <c r="C96" s="18" t="str">
        <f t="shared" si="11"/>
        <v>AA</v>
      </c>
      <c r="D96" s="11" t="str">
        <f t="shared" si="11"/>
        <v>AB</v>
      </c>
      <c r="E96" s="11" t="str">
        <f t="shared" si="11"/>
        <v>AA</v>
      </c>
      <c r="F96" s="11" t="str">
        <f t="shared" si="11"/>
        <v>AB</v>
      </c>
      <c r="G96" s="11" t="str">
        <f t="shared" si="11"/>
        <v>AA</v>
      </c>
      <c r="H96" s="11" t="str">
        <f t="shared" si="11"/>
        <v>AB</v>
      </c>
      <c r="I96" s="11" t="str">
        <f t="shared" si="11"/>
        <v>AA</v>
      </c>
      <c r="J96" s="11" t="str">
        <f t="shared" si="11"/>
        <v>AB</v>
      </c>
      <c r="K96" s="11" t="str">
        <f t="shared" si="11"/>
        <v>AA</v>
      </c>
      <c r="L96" s="11" t="str">
        <f t="shared" si="11"/>
        <v>AB</v>
      </c>
      <c r="M96" s="11" t="str">
        <f t="shared" si="11"/>
        <v>AA</v>
      </c>
      <c r="N96" s="11" t="str">
        <f t="shared" si="11"/>
        <v>AB</v>
      </c>
      <c r="O96" s="11" t="str">
        <f t="shared" si="11"/>
        <v>AA</v>
      </c>
      <c r="P96" s="11" t="str">
        <f t="shared" si="11"/>
        <v>AB</v>
      </c>
      <c r="Q96" s="11" t="str">
        <f t="shared" si="11"/>
        <v>AA</v>
      </c>
      <c r="R96" s="11" t="str">
        <f t="shared" si="6"/>
        <v>AB</v>
      </c>
    </row>
    <row r="97" spans="1:18" x14ac:dyDescent="0.3">
      <c r="A97" s="39" t="s">
        <v>735</v>
      </c>
      <c r="B97" s="5" t="str">
        <f t="shared" si="10"/>
        <v>A7E0</v>
      </c>
      <c r="C97" s="18" t="str">
        <f t="shared" si="11"/>
        <v>AA</v>
      </c>
      <c r="D97" s="11" t="str">
        <f t="shared" si="11"/>
        <v>AC</v>
      </c>
      <c r="E97" s="11" t="str">
        <f t="shared" si="11"/>
        <v>AA</v>
      </c>
      <c r="F97" s="11" t="str">
        <f t="shared" si="11"/>
        <v>AC</v>
      </c>
      <c r="G97" s="11" t="str">
        <f t="shared" si="11"/>
        <v>AA</v>
      </c>
      <c r="H97" s="11" t="str">
        <f t="shared" si="11"/>
        <v>AC</v>
      </c>
      <c r="I97" s="11" t="str">
        <f t="shared" si="11"/>
        <v>AA</v>
      </c>
      <c r="J97" s="11" t="str">
        <f t="shared" si="11"/>
        <v>AC</v>
      </c>
      <c r="K97" s="11" t="str">
        <f t="shared" si="11"/>
        <v>AA</v>
      </c>
      <c r="L97" s="11" t="str">
        <f t="shared" si="11"/>
        <v>AC</v>
      </c>
      <c r="M97" s="11" t="str">
        <f t="shared" si="11"/>
        <v>AA</v>
      </c>
      <c r="N97" s="11" t="str">
        <f t="shared" si="11"/>
        <v>AC</v>
      </c>
      <c r="O97" s="11" t="str">
        <f t="shared" si="11"/>
        <v>AA</v>
      </c>
      <c r="P97" s="11" t="str">
        <f t="shared" si="11"/>
        <v>AC</v>
      </c>
      <c r="Q97" s="11" t="str">
        <f t="shared" si="11"/>
        <v>AA</v>
      </c>
      <c r="R97" s="11" t="str">
        <f t="shared" si="6"/>
        <v>AC</v>
      </c>
    </row>
    <row r="98" spans="1:18" x14ac:dyDescent="0.3">
      <c r="A98" s="39" t="s">
        <v>735</v>
      </c>
      <c r="B98" s="58" t="str">
        <f t="shared" si="10"/>
        <v>A7F0</v>
      </c>
      <c r="C98" s="19" t="str">
        <f t="shared" si="11"/>
        <v>AA</v>
      </c>
      <c r="D98" s="12" t="str">
        <f t="shared" si="11"/>
        <v>AC</v>
      </c>
      <c r="E98" s="12" t="str">
        <f t="shared" si="11"/>
        <v>AA</v>
      </c>
      <c r="F98" s="12" t="str">
        <f t="shared" si="11"/>
        <v>AC</v>
      </c>
      <c r="G98" s="12" t="str">
        <f t="shared" si="11"/>
        <v>AA</v>
      </c>
      <c r="H98" s="12" t="str">
        <f t="shared" si="11"/>
        <v>AC</v>
      </c>
      <c r="I98" s="12" t="str">
        <f t="shared" si="11"/>
        <v>AA</v>
      </c>
      <c r="J98" s="12" t="str">
        <f t="shared" si="11"/>
        <v>AC</v>
      </c>
      <c r="K98" s="12" t="str">
        <f t="shared" si="11"/>
        <v>AA</v>
      </c>
      <c r="L98" s="12" t="str">
        <f t="shared" si="11"/>
        <v>AC</v>
      </c>
      <c r="M98" s="12" t="str">
        <f t="shared" si="11"/>
        <v>AA</v>
      </c>
      <c r="N98" s="12" t="str">
        <f t="shared" si="11"/>
        <v>AC</v>
      </c>
      <c r="O98" s="12" t="str">
        <f t="shared" si="11"/>
        <v>AA</v>
      </c>
      <c r="P98" s="12" t="str">
        <f t="shared" si="11"/>
        <v>AC</v>
      </c>
      <c r="Q98" s="12" t="str">
        <f t="shared" si="11"/>
        <v>AA</v>
      </c>
      <c r="R98" s="12" t="str">
        <f t="shared" si="6"/>
        <v>AC</v>
      </c>
    </row>
    <row r="99" spans="1:18" x14ac:dyDescent="0.3">
      <c r="A99" s="39" t="s">
        <v>736</v>
      </c>
      <c r="B99" s="29" t="str">
        <f t="shared" si="10"/>
        <v>A800</v>
      </c>
      <c r="C99" s="17" t="str">
        <f t="shared" si="11"/>
        <v>00</v>
      </c>
      <c r="D99" s="10" t="str">
        <f t="shared" si="11"/>
        <v>0E</v>
      </c>
      <c r="E99" s="10" t="str">
        <f t="shared" si="11"/>
        <v>10</v>
      </c>
      <c r="F99" s="10" t="str">
        <f t="shared" si="11"/>
        <v>1E</v>
      </c>
      <c r="G99" s="10" t="str">
        <f t="shared" si="11"/>
        <v>20</v>
      </c>
      <c r="H99" s="10" t="str">
        <f t="shared" si="11"/>
        <v>2E</v>
      </c>
      <c r="I99" s="10" t="str">
        <f t="shared" si="11"/>
        <v>30</v>
      </c>
      <c r="J99" s="10" t="str">
        <f t="shared" si="11"/>
        <v>3E</v>
      </c>
      <c r="K99" s="10" t="str">
        <f t="shared" si="11"/>
        <v>40</v>
      </c>
      <c r="L99" s="10" t="str">
        <f t="shared" si="11"/>
        <v>4E</v>
      </c>
      <c r="M99" s="10" t="str">
        <f t="shared" si="11"/>
        <v>50</v>
      </c>
      <c r="N99" s="10" t="str">
        <f t="shared" si="11"/>
        <v>5E</v>
      </c>
      <c r="O99" s="10" t="str">
        <f t="shared" si="11"/>
        <v>60</v>
      </c>
      <c r="P99" s="10" t="str">
        <f t="shared" si="11"/>
        <v>6E</v>
      </c>
      <c r="Q99" s="10" t="str">
        <f t="shared" si="11"/>
        <v>70</v>
      </c>
      <c r="R99" s="10" t="str">
        <f t="shared" si="11"/>
        <v>7E</v>
      </c>
    </row>
    <row r="100" spans="1:18" x14ac:dyDescent="0.3">
      <c r="A100" s="39" t="s">
        <v>737</v>
      </c>
      <c r="B100" s="5" t="str">
        <f t="shared" si="10"/>
        <v>A810</v>
      </c>
      <c r="C100" s="18" t="str">
        <f t="shared" ref="C100:R114" si="12">MID($A100,13+C$1*3,2)</f>
        <v>80</v>
      </c>
      <c r="D100" s="11" t="str">
        <f t="shared" si="12"/>
        <v>8E</v>
      </c>
      <c r="E100" s="11" t="str">
        <f t="shared" si="12"/>
        <v>90</v>
      </c>
      <c r="F100" s="11" t="str">
        <f t="shared" si="12"/>
        <v>9E</v>
      </c>
      <c r="G100" s="11" t="str">
        <f t="shared" si="12"/>
        <v>A0</v>
      </c>
      <c r="H100" s="11" t="str">
        <f t="shared" si="12"/>
        <v>AE</v>
      </c>
      <c r="I100" s="11" t="str">
        <f t="shared" si="12"/>
        <v>B0</v>
      </c>
      <c r="J100" s="11" t="str">
        <f t="shared" si="12"/>
        <v>BE</v>
      </c>
      <c r="K100" s="11" t="str">
        <f t="shared" si="12"/>
        <v>C0</v>
      </c>
      <c r="L100" s="11" t="str">
        <f t="shared" si="12"/>
        <v>CE</v>
      </c>
      <c r="M100" s="11" t="str">
        <f t="shared" si="12"/>
        <v>D0</v>
      </c>
      <c r="N100" s="11" t="str">
        <f t="shared" si="12"/>
        <v>DE</v>
      </c>
      <c r="O100" s="11" t="str">
        <f t="shared" si="12"/>
        <v>E0</v>
      </c>
      <c r="P100" s="11" t="str">
        <f t="shared" si="12"/>
        <v>EE</v>
      </c>
      <c r="Q100" s="11" t="str">
        <f t="shared" si="12"/>
        <v>F0</v>
      </c>
      <c r="R100" s="11" t="str">
        <f t="shared" si="12"/>
        <v>FE</v>
      </c>
    </row>
    <row r="101" spans="1:18" x14ac:dyDescent="0.3">
      <c r="A101" s="39" t="s">
        <v>736</v>
      </c>
      <c r="B101" s="5" t="str">
        <f t="shared" si="10"/>
        <v>A820</v>
      </c>
      <c r="C101" s="18" t="str">
        <f t="shared" si="12"/>
        <v>00</v>
      </c>
      <c r="D101" s="11" t="str">
        <f t="shared" si="12"/>
        <v>0E</v>
      </c>
      <c r="E101" s="11" t="str">
        <f t="shared" si="12"/>
        <v>10</v>
      </c>
      <c r="F101" s="11" t="str">
        <f t="shared" si="12"/>
        <v>1E</v>
      </c>
      <c r="G101" s="11" t="str">
        <f t="shared" si="12"/>
        <v>20</v>
      </c>
      <c r="H101" s="11" t="str">
        <f t="shared" si="12"/>
        <v>2E</v>
      </c>
      <c r="I101" s="11" t="str">
        <f t="shared" si="12"/>
        <v>30</v>
      </c>
      <c r="J101" s="11" t="str">
        <f t="shared" si="12"/>
        <v>3E</v>
      </c>
      <c r="K101" s="11" t="str">
        <f t="shared" si="12"/>
        <v>40</v>
      </c>
      <c r="L101" s="11" t="str">
        <f t="shared" si="12"/>
        <v>4E</v>
      </c>
      <c r="M101" s="11" t="str">
        <f t="shared" si="12"/>
        <v>50</v>
      </c>
      <c r="N101" s="11" t="str">
        <f t="shared" si="12"/>
        <v>5E</v>
      </c>
      <c r="O101" s="11" t="str">
        <f t="shared" si="12"/>
        <v>60</v>
      </c>
      <c r="P101" s="11" t="str">
        <f t="shared" si="12"/>
        <v>6E</v>
      </c>
      <c r="Q101" s="11" t="str">
        <f t="shared" si="12"/>
        <v>70</v>
      </c>
      <c r="R101" s="11" t="str">
        <f t="shared" si="12"/>
        <v>7E</v>
      </c>
    </row>
    <row r="102" spans="1:18" x14ac:dyDescent="0.3">
      <c r="A102" s="39" t="s">
        <v>737</v>
      </c>
      <c r="B102" s="5" t="str">
        <f t="shared" si="10"/>
        <v>A830</v>
      </c>
      <c r="C102" s="18" t="str">
        <f t="shared" si="12"/>
        <v>80</v>
      </c>
      <c r="D102" s="11" t="str">
        <f t="shared" si="12"/>
        <v>8E</v>
      </c>
      <c r="E102" s="11" t="str">
        <f t="shared" si="12"/>
        <v>90</v>
      </c>
      <c r="F102" s="11" t="str">
        <f t="shared" si="12"/>
        <v>9E</v>
      </c>
      <c r="G102" s="11" t="str">
        <f t="shared" si="12"/>
        <v>A0</v>
      </c>
      <c r="H102" s="11" t="str">
        <f t="shared" si="12"/>
        <v>AE</v>
      </c>
      <c r="I102" s="11" t="str">
        <f t="shared" si="12"/>
        <v>B0</v>
      </c>
      <c r="J102" s="11" t="str">
        <f t="shared" si="12"/>
        <v>BE</v>
      </c>
      <c r="K102" s="11" t="str">
        <f t="shared" si="12"/>
        <v>C0</v>
      </c>
      <c r="L102" s="11" t="str">
        <f t="shared" si="12"/>
        <v>CE</v>
      </c>
      <c r="M102" s="11" t="str">
        <f t="shared" si="12"/>
        <v>D0</v>
      </c>
      <c r="N102" s="11" t="str">
        <f t="shared" si="12"/>
        <v>DE</v>
      </c>
      <c r="O102" s="11" t="str">
        <f t="shared" si="12"/>
        <v>E0</v>
      </c>
      <c r="P102" s="11" t="str">
        <f t="shared" si="12"/>
        <v>EE</v>
      </c>
      <c r="Q102" s="11" t="str">
        <f t="shared" si="12"/>
        <v>F0</v>
      </c>
      <c r="R102" s="11" t="str">
        <f t="shared" si="12"/>
        <v>FE</v>
      </c>
    </row>
    <row r="103" spans="1:18" x14ac:dyDescent="0.3">
      <c r="A103" s="39" t="s">
        <v>736</v>
      </c>
      <c r="B103" s="5" t="str">
        <f t="shared" si="10"/>
        <v>A840</v>
      </c>
      <c r="C103" s="18" t="str">
        <f t="shared" si="12"/>
        <v>00</v>
      </c>
      <c r="D103" s="11" t="str">
        <f t="shared" si="12"/>
        <v>0E</v>
      </c>
      <c r="E103" s="11" t="str">
        <f t="shared" si="12"/>
        <v>10</v>
      </c>
      <c r="F103" s="11" t="str">
        <f t="shared" si="12"/>
        <v>1E</v>
      </c>
      <c r="G103" s="11" t="str">
        <f t="shared" si="12"/>
        <v>20</v>
      </c>
      <c r="H103" s="11" t="str">
        <f t="shared" si="12"/>
        <v>2E</v>
      </c>
      <c r="I103" s="11" t="str">
        <f t="shared" si="12"/>
        <v>30</v>
      </c>
      <c r="J103" s="11" t="str">
        <f t="shared" si="12"/>
        <v>3E</v>
      </c>
      <c r="K103" s="11" t="str">
        <f t="shared" si="12"/>
        <v>40</v>
      </c>
      <c r="L103" s="11" t="str">
        <f t="shared" si="12"/>
        <v>4E</v>
      </c>
      <c r="M103" s="11" t="str">
        <f t="shared" si="12"/>
        <v>50</v>
      </c>
      <c r="N103" s="11" t="str">
        <f t="shared" si="12"/>
        <v>5E</v>
      </c>
      <c r="O103" s="11" t="str">
        <f t="shared" si="12"/>
        <v>60</v>
      </c>
      <c r="P103" s="11" t="str">
        <f t="shared" si="12"/>
        <v>6E</v>
      </c>
      <c r="Q103" s="11" t="str">
        <f t="shared" si="12"/>
        <v>70</v>
      </c>
      <c r="R103" s="11" t="str">
        <f t="shared" si="12"/>
        <v>7E</v>
      </c>
    </row>
    <row r="104" spans="1:18" x14ac:dyDescent="0.3">
      <c r="A104" s="39" t="s">
        <v>737</v>
      </c>
      <c r="B104" s="5" t="str">
        <f t="shared" si="10"/>
        <v>A850</v>
      </c>
      <c r="C104" s="18" t="str">
        <f t="shared" si="12"/>
        <v>80</v>
      </c>
      <c r="D104" s="11" t="str">
        <f t="shared" si="12"/>
        <v>8E</v>
      </c>
      <c r="E104" s="11" t="str">
        <f t="shared" si="12"/>
        <v>90</v>
      </c>
      <c r="F104" s="11" t="str">
        <f t="shared" si="12"/>
        <v>9E</v>
      </c>
      <c r="G104" s="11" t="str">
        <f t="shared" si="12"/>
        <v>A0</v>
      </c>
      <c r="H104" s="11" t="str">
        <f t="shared" si="12"/>
        <v>AE</v>
      </c>
      <c r="I104" s="11" t="str">
        <f t="shared" si="12"/>
        <v>B0</v>
      </c>
      <c r="J104" s="11" t="str">
        <f t="shared" si="12"/>
        <v>BE</v>
      </c>
      <c r="K104" s="11" t="str">
        <f t="shared" si="12"/>
        <v>C0</v>
      </c>
      <c r="L104" s="11" t="str">
        <f t="shared" si="12"/>
        <v>CE</v>
      </c>
      <c r="M104" s="11" t="str">
        <f t="shared" si="12"/>
        <v>D0</v>
      </c>
      <c r="N104" s="11" t="str">
        <f t="shared" si="12"/>
        <v>DE</v>
      </c>
      <c r="O104" s="11" t="str">
        <f t="shared" si="12"/>
        <v>E0</v>
      </c>
      <c r="P104" s="11" t="str">
        <f t="shared" si="12"/>
        <v>EE</v>
      </c>
      <c r="Q104" s="11" t="str">
        <f t="shared" si="12"/>
        <v>F0</v>
      </c>
      <c r="R104" s="11" t="str">
        <f t="shared" si="12"/>
        <v>FE</v>
      </c>
    </row>
    <row r="105" spans="1:18" x14ac:dyDescent="0.3">
      <c r="A105" s="39" t="s">
        <v>736</v>
      </c>
      <c r="B105" s="5" t="str">
        <f t="shared" si="10"/>
        <v>A860</v>
      </c>
      <c r="C105" s="18" t="str">
        <f t="shared" si="12"/>
        <v>00</v>
      </c>
      <c r="D105" s="11" t="str">
        <f t="shared" si="12"/>
        <v>0E</v>
      </c>
      <c r="E105" s="11" t="str">
        <f t="shared" si="12"/>
        <v>10</v>
      </c>
      <c r="F105" s="11" t="str">
        <f t="shared" si="12"/>
        <v>1E</v>
      </c>
      <c r="G105" s="11" t="str">
        <f t="shared" si="12"/>
        <v>20</v>
      </c>
      <c r="H105" s="11" t="str">
        <f t="shared" si="12"/>
        <v>2E</v>
      </c>
      <c r="I105" s="11" t="str">
        <f t="shared" si="12"/>
        <v>30</v>
      </c>
      <c r="J105" s="11" t="str">
        <f t="shared" si="12"/>
        <v>3E</v>
      </c>
      <c r="K105" s="11" t="str">
        <f t="shared" si="12"/>
        <v>40</v>
      </c>
      <c r="L105" s="11" t="str">
        <f t="shared" si="12"/>
        <v>4E</v>
      </c>
      <c r="M105" s="11" t="str">
        <f t="shared" si="12"/>
        <v>50</v>
      </c>
      <c r="N105" s="11" t="str">
        <f t="shared" si="12"/>
        <v>5E</v>
      </c>
      <c r="O105" s="11" t="str">
        <f t="shared" si="12"/>
        <v>60</v>
      </c>
      <c r="P105" s="11" t="str">
        <f t="shared" si="12"/>
        <v>6E</v>
      </c>
      <c r="Q105" s="11" t="str">
        <f t="shared" si="12"/>
        <v>70</v>
      </c>
      <c r="R105" s="11" t="str">
        <f t="shared" si="12"/>
        <v>7E</v>
      </c>
    </row>
    <row r="106" spans="1:18" x14ac:dyDescent="0.3">
      <c r="A106" s="39" t="s">
        <v>737</v>
      </c>
      <c r="B106" s="58" t="str">
        <f t="shared" si="10"/>
        <v>A870</v>
      </c>
      <c r="C106" s="19" t="str">
        <f t="shared" si="12"/>
        <v>80</v>
      </c>
      <c r="D106" s="12" t="str">
        <f t="shared" si="12"/>
        <v>8E</v>
      </c>
      <c r="E106" s="12" t="str">
        <f t="shared" si="12"/>
        <v>90</v>
      </c>
      <c r="F106" s="12" t="str">
        <f t="shared" si="12"/>
        <v>9E</v>
      </c>
      <c r="G106" s="12" t="str">
        <f t="shared" si="12"/>
        <v>A0</v>
      </c>
      <c r="H106" s="12" t="str">
        <f t="shared" si="12"/>
        <v>AE</v>
      </c>
      <c r="I106" s="12" t="str">
        <f t="shared" si="12"/>
        <v>B0</v>
      </c>
      <c r="J106" s="12" t="str">
        <f t="shared" si="12"/>
        <v>BE</v>
      </c>
      <c r="K106" s="12" t="str">
        <f t="shared" si="12"/>
        <v>C0</v>
      </c>
      <c r="L106" s="12" t="str">
        <f t="shared" si="12"/>
        <v>CE</v>
      </c>
      <c r="M106" s="12" t="str">
        <f t="shared" si="12"/>
        <v>D0</v>
      </c>
      <c r="N106" s="12" t="str">
        <f t="shared" si="12"/>
        <v>DE</v>
      </c>
      <c r="O106" s="12" t="str">
        <f t="shared" si="12"/>
        <v>E0</v>
      </c>
      <c r="P106" s="12" t="str">
        <f t="shared" si="12"/>
        <v>EE</v>
      </c>
      <c r="Q106" s="12" t="str">
        <f t="shared" si="12"/>
        <v>F0</v>
      </c>
      <c r="R106" s="12" t="str">
        <f t="shared" si="12"/>
        <v>FE</v>
      </c>
    </row>
    <row r="107" spans="1:18" x14ac:dyDescent="0.3">
      <c r="A107" s="39" t="s">
        <v>694</v>
      </c>
      <c r="B107" s="5" t="str">
        <f t="shared" si="10"/>
        <v>A880</v>
      </c>
      <c r="C107" s="17" t="str">
        <f t="shared" si="12"/>
        <v>A9</v>
      </c>
      <c r="D107" s="10" t="str">
        <f t="shared" si="12"/>
        <v>A9</v>
      </c>
      <c r="E107" s="10" t="str">
        <f t="shared" si="12"/>
        <v>A9</v>
      </c>
      <c r="F107" s="10" t="str">
        <f t="shared" si="12"/>
        <v>A9</v>
      </c>
      <c r="G107" s="10" t="str">
        <f t="shared" si="12"/>
        <v>A9</v>
      </c>
      <c r="H107" s="10" t="str">
        <f t="shared" si="12"/>
        <v>A9</v>
      </c>
      <c r="I107" s="10" t="str">
        <f t="shared" si="12"/>
        <v>A9</v>
      </c>
      <c r="J107" s="10" t="str">
        <f t="shared" si="12"/>
        <v>A9</v>
      </c>
      <c r="K107" s="10" t="str">
        <f t="shared" si="12"/>
        <v>A9</v>
      </c>
      <c r="L107" s="10" t="str">
        <f t="shared" si="12"/>
        <v>A9</v>
      </c>
      <c r="M107" s="10" t="str">
        <f t="shared" si="12"/>
        <v>A9</v>
      </c>
      <c r="N107" s="10" t="str">
        <f t="shared" si="12"/>
        <v>A9</v>
      </c>
      <c r="O107" s="10" t="str">
        <f t="shared" si="12"/>
        <v>A9</v>
      </c>
      <c r="P107" s="10" t="str">
        <f t="shared" si="12"/>
        <v>A9</v>
      </c>
      <c r="Q107" s="10" t="str">
        <f t="shared" si="12"/>
        <v>A9</v>
      </c>
      <c r="R107" s="10" t="str">
        <f t="shared" si="12"/>
        <v>A9</v>
      </c>
    </row>
    <row r="108" spans="1:18" x14ac:dyDescent="0.3">
      <c r="A108" s="39" t="s">
        <v>694</v>
      </c>
      <c r="B108" s="5" t="str">
        <f t="shared" si="10"/>
        <v>A890</v>
      </c>
      <c r="C108" s="18" t="str">
        <f t="shared" si="12"/>
        <v>A9</v>
      </c>
      <c r="D108" s="11" t="str">
        <f t="shared" si="12"/>
        <v>A9</v>
      </c>
      <c r="E108" s="11" t="str">
        <f t="shared" si="12"/>
        <v>A9</v>
      </c>
      <c r="F108" s="11" t="str">
        <f t="shared" si="12"/>
        <v>A9</v>
      </c>
      <c r="G108" s="11" t="str">
        <f t="shared" si="12"/>
        <v>A9</v>
      </c>
      <c r="H108" s="11" t="str">
        <f t="shared" si="12"/>
        <v>A9</v>
      </c>
      <c r="I108" s="11" t="str">
        <f t="shared" si="12"/>
        <v>A9</v>
      </c>
      <c r="J108" s="11" t="str">
        <f t="shared" si="12"/>
        <v>A9</v>
      </c>
      <c r="K108" s="11" t="str">
        <f t="shared" si="12"/>
        <v>A9</v>
      </c>
      <c r="L108" s="11" t="str">
        <f t="shared" si="12"/>
        <v>A9</v>
      </c>
      <c r="M108" s="11" t="str">
        <f t="shared" si="12"/>
        <v>A9</v>
      </c>
      <c r="N108" s="11" t="str">
        <f t="shared" si="12"/>
        <v>A9</v>
      </c>
      <c r="O108" s="11" t="str">
        <f t="shared" si="12"/>
        <v>A9</v>
      </c>
      <c r="P108" s="11" t="str">
        <f t="shared" si="12"/>
        <v>A9</v>
      </c>
      <c r="Q108" s="11" t="str">
        <f t="shared" si="12"/>
        <v>A9</v>
      </c>
      <c r="R108" s="11" t="str">
        <f t="shared" si="12"/>
        <v>A9</v>
      </c>
    </row>
    <row r="109" spans="1:18" x14ac:dyDescent="0.3">
      <c r="A109" s="39" t="s">
        <v>738</v>
      </c>
      <c r="B109" s="5" t="str">
        <f t="shared" si="10"/>
        <v>A8A0</v>
      </c>
      <c r="C109" s="18" t="str">
        <f t="shared" si="12"/>
        <v>AA</v>
      </c>
      <c r="D109" s="11" t="str">
        <f t="shared" si="12"/>
        <v>AA</v>
      </c>
      <c r="E109" s="11" t="str">
        <f t="shared" si="12"/>
        <v>AA</v>
      </c>
      <c r="F109" s="11" t="str">
        <f t="shared" si="12"/>
        <v>AA</v>
      </c>
      <c r="G109" s="11" t="str">
        <f t="shared" si="12"/>
        <v>AA</v>
      </c>
      <c r="H109" s="11" t="str">
        <f t="shared" si="12"/>
        <v>AA</v>
      </c>
      <c r="I109" s="11" t="str">
        <f t="shared" si="12"/>
        <v>AA</v>
      </c>
      <c r="J109" s="11" t="str">
        <f t="shared" si="12"/>
        <v>AA</v>
      </c>
      <c r="K109" s="11" t="str">
        <f t="shared" si="12"/>
        <v>AA</v>
      </c>
      <c r="L109" s="11" t="str">
        <f t="shared" si="12"/>
        <v>AA</v>
      </c>
      <c r="M109" s="11" t="str">
        <f t="shared" si="12"/>
        <v>AA</v>
      </c>
      <c r="N109" s="11" t="str">
        <f t="shared" si="12"/>
        <v>AA</v>
      </c>
      <c r="O109" s="11" t="str">
        <f t="shared" si="12"/>
        <v>AA</v>
      </c>
      <c r="P109" s="11" t="str">
        <f t="shared" si="12"/>
        <v>AA</v>
      </c>
      <c r="Q109" s="11" t="str">
        <f t="shared" si="12"/>
        <v>AA</v>
      </c>
      <c r="R109" s="11" t="str">
        <f t="shared" si="12"/>
        <v>AA</v>
      </c>
    </row>
    <row r="110" spans="1:18" x14ac:dyDescent="0.3">
      <c r="A110" s="39" t="s">
        <v>738</v>
      </c>
      <c r="B110" s="5" t="str">
        <f t="shared" si="10"/>
        <v>A8B0</v>
      </c>
      <c r="C110" s="18" t="str">
        <f t="shared" si="12"/>
        <v>AA</v>
      </c>
      <c r="D110" s="11" t="str">
        <f t="shared" si="12"/>
        <v>AA</v>
      </c>
      <c r="E110" s="11" t="str">
        <f t="shared" si="12"/>
        <v>AA</v>
      </c>
      <c r="F110" s="11" t="str">
        <f t="shared" si="12"/>
        <v>AA</v>
      </c>
      <c r="G110" s="11" t="str">
        <f t="shared" si="12"/>
        <v>AA</v>
      </c>
      <c r="H110" s="11" t="str">
        <f t="shared" si="12"/>
        <v>AA</v>
      </c>
      <c r="I110" s="11" t="str">
        <f t="shared" si="12"/>
        <v>AA</v>
      </c>
      <c r="J110" s="11" t="str">
        <f t="shared" si="12"/>
        <v>AA</v>
      </c>
      <c r="K110" s="11" t="str">
        <f t="shared" si="12"/>
        <v>AA</v>
      </c>
      <c r="L110" s="11" t="str">
        <f t="shared" si="12"/>
        <v>AA</v>
      </c>
      <c r="M110" s="11" t="str">
        <f t="shared" si="12"/>
        <v>AA</v>
      </c>
      <c r="N110" s="11" t="str">
        <f t="shared" si="12"/>
        <v>AA</v>
      </c>
      <c r="O110" s="11" t="str">
        <f t="shared" si="12"/>
        <v>AA</v>
      </c>
      <c r="P110" s="11" t="str">
        <f t="shared" si="12"/>
        <v>AA</v>
      </c>
      <c r="Q110" s="11" t="str">
        <f t="shared" si="12"/>
        <v>AA</v>
      </c>
      <c r="R110" s="11" t="str">
        <f t="shared" si="12"/>
        <v>AA</v>
      </c>
    </row>
    <row r="111" spans="1:18" x14ac:dyDescent="0.3">
      <c r="A111" s="39" t="s">
        <v>739</v>
      </c>
      <c r="B111" s="5" t="str">
        <f t="shared" si="10"/>
        <v>A8C0</v>
      </c>
      <c r="C111" s="18" t="str">
        <f t="shared" si="12"/>
        <v>AB</v>
      </c>
      <c r="D111" s="11" t="str">
        <f t="shared" si="12"/>
        <v>AB</v>
      </c>
      <c r="E111" s="11" t="str">
        <f t="shared" si="12"/>
        <v>AB</v>
      </c>
      <c r="F111" s="11" t="str">
        <f t="shared" si="12"/>
        <v>AB</v>
      </c>
      <c r="G111" s="11" t="str">
        <f t="shared" si="12"/>
        <v>AB</v>
      </c>
      <c r="H111" s="11" t="str">
        <f t="shared" si="12"/>
        <v>AB</v>
      </c>
      <c r="I111" s="11" t="str">
        <f t="shared" si="12"/>
        <v>AB</v>
      </c>
      <c r="J111" s="11" t="str">
        <f t="shared" si="12"/>
        <v>AB</v>
      </c>
      <c r="K111" s="11" t="str">
        <f t="shared" si="12"/>
        <v>AB</v>
      </c>
      <c r="L111" s="11" t="str">
        <f t="shared" si="12"/>
        <v>AB</v>
      </c>
      <c r="M111" s="11" t="str">
        <f t="shared" si="12"/>
        <v>AB</v>
      </c>
      <c r="N111" s="11" t="str">
        <f t="shared" si="12"/>
        <v>AB</v>
      </c>
      <c r="O111" s="11" t="str">
        <f t="shared" si="12"/>
        <v>AB</v>
      </c>
      <c r="P111" s="11" t="str">
        <f t="shared" si="12"/>
        <v>AB</v>
      </c>
      <c r="Q111" s="11" t="str">
        <f t="shared" si="12"/>
        <v>AB</v>
      </c>
      <c r="R111" s="11" t="str">
        <f t="shared" si="12"/>
        <v>AB</v>
      </c>
    </row>
    <row r="112" spans="1:18" x14ac:dyDescent="0.3">
      <c r="A112" s="39" t="s">
        <v>739</v>
      </c>
      <c r="B112" s="5" t="str">
        <f t="shared" si="10"/>
        <v>A8D0</v>
      </c>
      <c r="C112" s="18" t="str">
        <f t="shared" si="12"/>
        <v>AB</v>
      </c>
      <c r="D112" s="11" t="str">
        <f t="shared" si="12"/>
        <v>AB</v>
      </c>
      <c r="E112" s="11" t="str">
        <f t="shared" si="12"/>
        <v>AB</v>
      </c>
      <c r="F112" s="11" t="str">
        <f t="shared" si="12"/>
        <v>AB</v>
      </c>
      <c r="G112" s="11" t="str">
        <f t="shared" si="12"/>
        <v>AB</v>
      </c>
      <c r="H112" s="11" t="str">
        <f t="shared" si="12"/>
        <v>AB</v>
      </c>
      <c r="I112" s="11" t="str">
        <f t="shared" si="12"/>
        <v>AB</v>
      </c>
      <c r="J112" s="11" t="str">
        <f t="shared" si="12"/>
        <v>AB</v>
      </c>
      <c r="K112" s="11" t="str">
        <f t="shared" si="12"/>
        <v>AB</v>
      </c>
      <c r="L112" s="11" t="str">
        <f t="shared" si="12"/>
        <v>AB</v>
      </c>
      <c r="M112" s="11" t="str">
        <f t="shared" si="12"/>
        <v>AB</v>
      </c>
      <c r="N112" s="11" t="str">
        <f t="shared" si="12"/>
        <v>AB</v>
      </c>
      <c r="O112" s="11" t="str">
        <f t="shared" si="12"/>
        <v>AB</v>
      </c>
      <c r="P112" s="11" t="str">
        <f t="shared" si="12"/>
        <v>AB</v>
      </c>
      <c r="Q112" s="11" t="str">
        <f t="shared" si="12"/>
        <v>AB</v>
      </c>
      <c r="R112" s="11" t="str">
        <f t="shared" si="12"/>
        <v>AB</v>
      </c>
    </row>
    <row r="113" spans="1:18" x14ac:dyDescent="0.3">
      <c r="A113" s="39" t="s">
        <v>740</v>
      </c>
      <c r="B113" s="5" t="str">
        <f t="shared" si="10"/>
        <v>A8E0</v>
      </c>
      <c r="C113" s="18" t="str">
        <f t="shared" si="12"/>
        <v>AC</v>
      </c>
      <c r="D113" s="11" t="str">
        <f t="shared" si="12"/>
        <v>AC</v>
      </c>
      <c r="E113" s="11" t="str">
        <f t="shared" si="12"/>
        <v>AC</v>
      </c>
      <c r="F113" s="11" t="str">
        <f t="shared" si="12"/>
        <v>AC</v>
      </c>
      <c r="G113" s="11" t="str">
        <f t="shared" si="12"/>
        <v>AC</v>
      </c>
      <c r="H113" s="11" t="str">
        <f t="shared" si="12"/>
        <v>AC</v>
      </c>
      <c r="I113" s="11" t="str">
        <f t="shared" si="12"/>
        <v>AC</v>
      </c>
      <c r="J113" s="11" t="str">
        <f t="shared" si="12"/>
        <v>AC</v>
      </c>
      <c r="K113" s="11" t="str">
        <f t="shared" si="12"/>
        <v>AC</v>
      </c>
      <c r="L113" s="11" t="str">
        <f t="shared" si="12"/>
        <v>AC</v>
      </c>
      <c r="M113" s="11" t="str">
        <f t="shared" si="12"/>
        <v>AC</v>
      </c>
      <c r="N113" s="11" t="str">
        <f t="shared" si="12"/>
        <v>AC</v>
      </c>
      <c r="O113" s="11" t="str">
        <f t="shared" si="12"/>
        <v>AC</v>
      </c>
      <c r="P113" s="11" t="str">
        <f t="shared" si="12"/>
        <v>AC</v>
      </c>
      <c r="Q113" s="11" t="str">
        <f t="shared" si="12"/>
        <v>AC</v>
      </c>
      <c r="R113" s="11" t="str">
        <f t="shared" si="12"/>
        <v>AC</v>
      </c>
    </row>
    <row r="114" spans="1:18" x14ac:dyDescent="0.3">
      <c r="A114" s="39" t="s">
        <v>740</v>
      </c>
      <c r="B114" s="58" t="str">
        <f t="shared" si="10"/>
        <v>A8F0</v>
      </c>
      <c r="C114" s="19" t="str">
        <f t="shared" si="12"/>
        <v>AC</v>
      </c>
      <c r="D114" s="12" t="str">
        <f t="shared" si="12"/>
        <v>AC</v>
      </c>
      <c r="E114" s="12" t="str">
        <f t="shared" si="12"/>
        <v>AC</v>
      </c>
      <c r="F114" s="12" t="str">
        <f t="shared" si="12"/>
        <v>AC</v>
      </c>
      <c r="G114" s="12" t="str">
        <f t="shared" si="12"/>
        <v>AC</v>
      </c>
      <c r="H114" s="12" t="str">
        <f t="shared" si="12"/>
        <v>AC</v>
      </c>
      <c r="I114" s="12" t="str">
        <f t="shared" si="12"/>
        <v>AC</v>
      </c>
      <c r="J114" s="12" t="str">
        <f t="shared" si="12"/>
        <v>AC</v>
      </c>
      <c r="K114" s="12" t="str">
        <f t="shared" si="12"/>
        <v>AC</v>
      </c>
      <c r="L114" s="12" t="str">
        <f t="shared" si="12"/>
        <v>AC</v>
      </c>
      <c r="M114" s="12" t="str">
        <f t="shared" si="12"/>
        <v>AC</v>
      </c>
      <c r="N114" s="12" t="str">
        <f t="shared" si="12"/>
        <v>AC</v>
      </c>
      <c r="O114" s="12" t="str">
        <f t="shared" si="12"/>
        <v>AC</v>
      </c>
      <c r="P114" s="12" t="str">
        <f t="shared" si="12"/>
        <v>AC</v>
      </c>
      <c r="Q114" s="12" t="str">
        <f t="shared" si="12"/>
        <v>AC</v>
      </c>
      <c r="R114" s="12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G27" s="167" t="s">
        <v>962</v>
      </c>
      <c r="K27" s="62"/>
      <c r="L27" s="62"/>
    </row>
    <row r="28" spans="7:12" x14ac:dyDescent="0.3">
      <c r="G28" s="167" t="s">
        <v>941</v>
      </c>
      <c r="I28" s="63"/>
      <c r="K28" s="62"/>
      <c r="L28" s="62"/>
    </row>
    <row r="29" spans="7:12" x14ac:dyDescent="0.3">
      <c r="G29" s="167" t="s">
        <v>955</v>
      </c>
      <c r="I29" s="64" t="b">
        <f>MasterCheck</f>
        <v>1</v>
      </c>
    </row>
    <row r="30" spans="7:12" ht="15" x14ac:dyDescent="0.4">
      <c r="G30" s="65" t="s">
        <v>912</v>
      </c>
      <c r="I30" s="64" t="b">
        <v>1</v>
      </c>
    </row>
    <row r="31" spans="7:12" x14ac:dyDescent="0.3">
      <c r="G31" s="167" t="s">
        <v>911</v>
      </c>
    </row>
    <row r="32" spans="7:12" x14ac:dyDescent="0.3"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0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9">
        <v>0</v>
      </c>
      <c r="E6" s="29">
        <v>1</v>
      </c>
      <c r="G6" s="44" t="s">
        <v>172</v>
      </c>
      <c r="H6" s="43"/>
    </row>
    <row r="7" spans="2:8" x14ac:dyDescent="0.3">
      <c r="C7" s="38">
        <v>0</v>
      </c>
      <c r="D7" s="2" t="str">
        <f t="shared" ref="D7:E17" si="0">DEC2HEX(HEX2DEC(SpriteBaseAddress) + ($C7*2+D$6)*SpriteCount + SpriteToLoad)</f>
        <v>AD08</v>
      </c>
      <c r="E7" s="2" t="str">
        <f t="shared" si="0"/>
        <v>AD70</v>
      </c>
      <c r="G7">
        <v>0</v>
      </c>
      <c r="H7">
        <f t="shared" ref="H7:H17" si="1">HEX2DEC(E7)-HEX2DEC(D7)</f>
        <v>104</v>
      </c>
    </row>
    <row r="8" spans="2:8" x14ac:dyDescent="0.3">
      <c r="C8" s="38">
        <f>C7+1</f>
        <v>1</v>
      </c>
      <c r="D8" s="2" t="str">
        <f t="shared" si="0"/>
        <v>ADD8</v>
      </c>
      <c r="E8" s="2" t="str">
        <f t="shared" si="0"/>
        <v>AE40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8">
        <f t="shared" ref="C9:C17" si="3">C8+1</f>
        <v>2</v>
      </c>
      <c r="D9" s="2" t="str">
        <f t="shared" si="0"/>
        <v>AEA8</v>
      </c>
      <c r="E9" s="2" t="str">
        <f t="shared" si="0"/>
        <v>AF10</v>
      </c>
      <c r="G9">
        <f t="shared" si="2"/>
        <v>104</v>
      </c>
      <c r="H9">
        <f t="shared" si="1"/>
        <v>104</v>
      </c>
    </row>
    <row r="10" spans="2:8" x14ac:dyDescent="0.3">
      <c r="C10" s="38">
        <f t="shared" si="3"/>
        <v>3</v>
      </c>
      <c r="D10" s="2" t="str">
        <f t="shared" si="0"/>
        <v>AF78</v>
      </c>
      <c r="E10" s="2" t="str">
        <f t="shared" si="0"/>
        <v>AFE0</v>
      </c>
      <c r="G10">
        <f t="shared" si="2"/>
        <v>104</v>
      </c>
      <c r="H10">
        <f t="shared" si="1"/>
        <v>104</v>
      </c>
    </row>
    <row r="11" spans="2:8" x14ac:dyDescent="0.3">
      <c r="C11" s="38">
        <f t="shared" si="3"/>
        <v>4</v>
      </c>
      <c r="D11" s="2" t="str">
        <f t="shared" si="0"/>
        <v>B048</v>
      </c>
      <c r="E11" s="2" t="str">
        <f t="shared" si="0"/>
        <v>B0B0</v>
      </c>
      <c r="G11">
        <f t="shared" si="2"/>
        <v>104</v>
      </c>
      <c r="H11">
        <f t="shared" si="1"/>
        <v>104</v>
      </c>
    </row>
    <row r="12" spans="2:8" x14ac:dyDescent="0.3">
      <c r="C12" s="38">
        <f t="shared" si="3"/>
        <v>5</v>
      </c>
      <c r="D12" s="2" t="str">
        <f t="shared" si="0"/>
        <v>B118</v>
      </c>
      <c r="E12" s="2" t="str">
        <f t="shared" si="0"/>
        <v>B180</v>
      </c>
      <c r="G12">
        <f t="shared" si="2"/>
        <v>104</v>
      </c>
      <c r="H12">
        <f t="shared" si="1"/>
        <v>104</v>
      </c>
    </row>
    <row r="13" spans="2:8" x14ac:dyDescent="0.3">
      <c r="C13" s="38">
        <f t="shared" si="3"/>
        <v>6</v>
      </c>
      <c r="D13" s="2" t="str">
        <f t="shared" si="0"/>
        <v>B1E8</v>
      </c>
      <c r="E13" s="2" t="str">
        <f t="shared" si="0"/>
        <v>B250</v>
      </c>
      <c r="G13">
        <f t="shared" si="2"/>
        <v>104</v>
      </c>
      <c r="H13">
        <f t="shared" si="1"/>
        <v>104</v>
      </c>
    </row>
    <row r="14" spans="2:8" x14ac:dyDescent="0.3">
      <c r="C14" s="38">
        <f t="shared" si="3"/>
        <v>7</v>
      </c>
      <c r="D14" s="2" t="str">
        <f t="shared" si="0"/>
        <v>B2B8</v>
      </c>
      <c r="E14" s="2" t="str">
        <f t="shared" si="0"/>
        <v>B320</v>
      </c>
      <c r="G14">
        <f t="shared" si="2"/>
        <v>104</v>
      </c>
      <c r="H14">
        <f t="shared" si="1"/>
        <v>104</v>
      </c>
    </row>
    <row r="15" spans="2:8" x14ac:dyDescent="0.3">
      <c r="C15" s="38">
        <f t="shared" si="3"/>
        <v>8</v>
      </c>
      <c r="D15" s="2" t="str">
        <f t="shared" si="0"/>
        <v>B388</v>
      </c>
      <c r="E15" s="2" t="str">
        <f t="shared" si="0"/>
        <v>B3F0</v>
      </c>
      <c r="G15">
        <f t="shared" si="2"/>
        <v>104</v>
      </c>
      <c r="H15">
        <f t="shared" si="1"/>
        <v>104</v>
      </c>
    </row>
    <row r="16" spans="2:8" x14ac:dyDescent="0.3">
      <c r="C16" s="38">
        <f t="shared" si="3"/>
        <v>9</v>
      </c>
      <c r="D16" s="2" t="str">
        <f t="shared" si="0"/>
        <v>B458</v>
      </c>
      <c r="E16" s="2" t="str">
        <f t="shared" si="0"/>
        <v>B4C0</v>
      </c>
      <c r="G16">
        <f t="shared" si="2"/>
        <v>104</v>
      </c>
      <c r="H16">
        <f t="shared" si="1"/>
        <v>104</v>
      </c>
    </row>
    <row r="17" spans="3:8" x14ac:dyDescent="0.3">
      <c r="C17" s="38">
        <f t="shared" si="3"/>
        <v>10</v>
      </c>
      <c r="D17" s="2" t="str">
        <f t="shared" si="0"/>
        <v>B528</v>
      </c>
      <c r="E17" s="2" t="str">
        <f t="shared" si="0"/>
        <v>B590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8</v>
      </c>
      <c r="S4" s="79" t="s">
        <v>8</v>
      </c>
      <c r="T4" s="80" t="str">
        <f>hextobits(R4)</f>
        <v>0000000</v>
      </c>
      <c r="U4" s="80" t="str">
        <f t="shared" ref="U4:U14" si="0">hextobits(S4)</f>
        <v>0000000</v>
      </c>
      <c r="W4" s="79" t="str" cm="1">
        <f t="array" ref="W4">ByteToHex(_xlfn.BITAND(HexToByte(R4),127))</f>
        <v>00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</v>
      </c>
      <c r="S5" s="79" t="s">
        <v>8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</v>
      </c>
      <c r="S6" s="79" t="s">
        <v>8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1</v>
      </c>
      <c r="C7" s="35">
        <v>0</v>
      </c>
      <c r="D7" s="35">
        <v>1</v>
      </c>
      <c r="E7" s="35">
        <v>0</v>
      </c>
      <c r="F7" s="35">
        <v>1</v>
      </c>
      <c r="G7" s="35">
        <v>0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</v>
      </c>
      <c r="S7" s="79" t="s">
        <v>8</v>
      </c>
      <c r="T7" s="80" t="str">
        <f t="shared" si="1"/>
        <v>1010101</v>
      </c>
      <c r="U7" s="80" t="str">
        <f t="shared" si="0"/>
        <v>0000000</v>
      </c>
      <c r="W7" s="79" t="str" cm="1">
        <f t="array" ref="W7">ByteToHex(_xlfn.BITAND(HexToByte(R7),127))</f>
        <v>55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1</v>
      </c>
      <c r="I8" s="82">
        <v>1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10</v>
      </c>
      <c r="S8" s="79" t="s">
        <v>8</v>
      </c>
      <c r="T8" s="80" t="str">
        <f t="shared" si="1"/>
        <v>1000001</v>
      </c>
      <c r="U8" s="80" t="str">
        <f t="shared" si="0"/>
        <v>0000000</v>
      </c>
      <c r="W8" s="79" t="str" cm="1">
        <f t="array" ref="W8">ByteToHex(_xlfn.BITAND(HexToByte(R8),127))</f>
        <v>41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1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1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11</v>
      </c>
      <c r="S9" s="79" t="s">
        <v>8</v>
      </c>
      <c r="T9" s="80" t="str">
        <f t="shared" si="1"/>
        <v>0000001</v>
      </c>
      <c r="U9" s="80" t="str">
        <f t="shared" si="0"/>
        <v>0000000</v>
      </c>
      <c r="W9" s="79" t="str" cm="1">
        <f t="array" ref="W9">ByteToHex(_xlfn.BITAND(HexToByte(R9),127))</f>
        <v>01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1</v>
      </c>
      <c r="C10" s="35">
        <v>0</v>
      </c>
      <c r="D10" s="35">
        <v>1</v>
      </c>
      <c r="E10" s="35">
        <v>0</v>
      </c>
      <c r="F10" s="35">
        <v>1</v>
      </c>
      <c r="G10" s="35">
        <v>0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9</v>
      </c>
      <c r="S10" s="79" t="s">
        <v>8</v>
      </c>
      <c r="T10" s="80" t="str">
        <f t="shared" si="1"/>
        <v>1010101</v>
      </c>
      <c r="U10" s="80" t="str">
        <f t="shared" si="0"/>
        <v>0000000</v>
      </c>
      <c r="W10" s="79" t="str" cm="1">
        <f t="array" ref="W10">ByteToHex(_xlfn.BITAND(HexToByte(R10),127))</f>
        <v>55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0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12</v>
      </c>
      <c r="S11" s="79" t="s">
        <v>8</v>
      </c>
      <c r="T11" s="80" t="str">
        <f t="shared" si="1"/>
        <v>1010000</v>
      </c>
      <c r="U11" s="80" t="str">
        <f t="shared" si="0"/>
        <v>0000000</v>
      </c>
      <c r="W11" s="79" t="str" cm="1">
        <f t="array" ref="W11">ByteToHex(_xlfn.BITAND(HexToByte(R11),127))</f>
        <v>50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1</v>
      </c>
      <c r="G12" s="35">
        <v>0</v>
      </c>
      <c r="H12" s="35">
        <v>1</v>
      </c>
      <c r="I12" s="82">
        <v>1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12</v>
      </c>
      <c r="S12" s="79" t="s">
        <v>8</v>
      </c>
      <c r="T12" s="80" t="str">
        <f t="shared" si="1"/>
        <v>1010000</v>
      </c>
      <c r="U12" s="80" t="str">
        <f t="shared" si="0"/>
        <v>0000000</v>
      </c>
      <c r="W12" s="79" t="str" cm="1">
        <f t="array" ref="W12">ByteToHex(_xlfn.BITAND(HexToByte(R12),127))</f>
        <v>50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1</v>
      </c>
      <c r="C13" s="35">
        <v>0</v>
      </c>
      <c r="D13" s="35">
        <v>0</v>
      </c>
      <c r="E13" s="35">
        <v>0</v>
      </c>
      <c r="F13" s="35">
        <v>1</v>
      </c>
      <c r="G13" s="35">
        <v>0</v>
      </c>
      <c r="H13" s="35">
        <v>1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13</v>
      </c>
      <c r="S13" s="79" t="s">
        <v>8</v>
      </c>
      <c r="T13" s="80" t="str">
        <f t="shared" si="1"/>
        <v>1010001</v>
      </c>
      <c r="U13" s="80" t="str">
        <f t="shared" si="0"/>
        <v>0000000</v>
      </c>
      <c r="W13" s="79" t="str" cm="1">
        <f t="array" ref="W13">ByteToHex(_xlfn.BITAND(HexToByte(R13),127))</f>
        <v>51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1</v>
      </c>
      <c r="C14" s="35">
        <v>0</v>
      </c>
      <c r="D14" s="35">
        <v>1</v>
      </c>
      <c r="E14" s="35">
        <v>0</v>
      </c>
      <c r="F14" s="35">
        <v>1</v>
      </c>
      <c r="G14" s="35">
        <v>0</v>
      </c>
      <c r="H14" s="35">
        <v>1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</v>
      </c>
      <c r="S14" s="79" t="s">
        <v>8</v>
      </c>
      <c r="T14" s="80" t="str">
        <f t="shared" si="1"/>
        <v>1010101</v>
      </c>
      <c r="U14" s="80" t="str">
        <f t="shared" si="0"/>
        <v>0000000</v>
      </c>
      <c r="W14" s="79" t="str" cm="1">
        <f t="array" ref="W14">ByteToHex(_xlfn.BITAND(HexToByte(R14),127))</f>
        <v>55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2"/>
      <c r="C20" s="52"/>
      <c r="D20" s="52"/>
      <c r="E20" s="52"/>
      <c r="F20" s="52"/>
      <c r="G20" s="52"/>
      <c r="H20" s="52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2"/>
      <c r="C21" s="50"/>
      <c r="D21" s="50"/>
      <c r="E21" s="50"/>
      <c r="F21" s="50"/>
      <c r="G21" s="50"/>
      <c r="H21" s="52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2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2"/>
      <c r="C23" s="52"/>
      <c r="D23" s="52"/>
      <c r="E23" s="52"/>
      <c r="F23" s="52"/>
      <c r="G23" s="52"/>
      <c r="H23" s="52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2"/>
      <c r="G24" s="52"/>
      <c r="H24" s="52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2"/>
      <c r="G25" s="52"/>
      <c r="H25" s="52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2"/>
      <c r="C26" s="50"/>
      <c r="D26" s="50"/>
      <c r="E26" s="50"/>
      <c r="F26" s="52"/>
      <c r="G26" s="52"/>
      <c r="H26" s="52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2"/>
      <c r="C27" s="52"/>
      <c r="D27" s="52"/>
      <c r="E27" s="52"/>
      <c r="F27" s="52"/>
      <c r="G27" s="52"/>
      <c r="H27" s="52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16</v>
      </c>
      <c r="S4" s="79" t="s">
        <v>8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1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21</v>
      </c>
      <c r="S5" s="79" t="s">
        <v>11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1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21</v>
      </c>
      <c r="S6" s="79" t="s">
        <v>11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20</v>
      </c>
      <c r="S7" s="79" t="s">
        <v>8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22</v>
      </c>
      <c r="S8" s="79" t="s">
        <v>11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1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17</v>
      </c>
      <c r="S9" s="79" t="s">
        <v>19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18</v>
      </c>
      <c r="S10" s="79" t="s">
        <v>8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23</v>
      </c>
      <c r="S12" s="79" t="s">
        <v>11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1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16</v>
      </c>
      <c r="S13" s="79" t="s">
        <v>11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1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16</v>
      </c>
      <c r="S14" s="79" t="s">
        <v>11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4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1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1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0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26</v>
      </c>
      <c r="S4" s="79" t="s">
        <v>34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0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29</v>
      </c>
      <c r="S5" s="79" t="s">
        <v>27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0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29</v>
      </c>
      <c r="S6" s="79" t="s">
        <v>27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28</v>
      </c>
      <c r="S7" s="79" t="s">
        <v>34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0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30</v>
      </c>
      <c r="S8" s="79" t="s">
        <v>27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0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31</v>
      </c>
      <c r="S9" s="79" t="s">
        <v>35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32</v>
      </c>
      <c r="S10" s="79" t="s">
        <v>34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28</v>
      </c>
      <c r="S11" s="79" t="s">
        <v>34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0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33</v>
      </c>
      <c r="S12" s="79" t="s">
        <v>27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0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26</v>
      </c>
      <c r="S13" s="79" t="s">
        <v>27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0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26</v>
      </c>
      <c r="S14" s="79" t="s">
        <v>27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5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6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5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5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1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16</v>
      </c>
      <c r="S4" s="79" t="s">
        <v>36</v>
      </c>
      <c r="T4" s="80" t="str">
        <f>hextobits(R4)</f>
        <v>1000000</v>
      </c>
      <c r="U4" s="80" t="str">
        <f t="shared" ref="U4:U14" si="0">hextobits(S4)</f>
        <v>0000010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02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0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34</v>
      </c>
      <c r="S5" s="79" t="s">
        <v>34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0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34</v>
      </c>
      <c r="S6" s="79" t="s">
        <v>34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34</v>
      </c>
      <c r="S7" s="79" t="s">
        <v>34</v>
      </c>
      <c r="T7" s="80" t="str">
        <f t="shared" si="1"/>
        <v>0000000</v>
      </c>
      <c r="U7" s="80" t="str">
        <f t="shared" si="0"/>
        <v>0000000</v>
      </c>
      <c r="W7" s="79" t="str" cm="1">
        <f t="array" ref="W7">ByteToHex(_xlfn.BITAND(HexToByte(R7),127))</f>
        <v>00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82">
        <v>0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34</v>
      </c>
      <c r="S8" s="79" t="s">
        <v>34</v>
      </c>
      <c r="T8" s="80" t="str">
        <f t="shared" si="1"/>
        <v>0000000</v>
      </c>
      <c r="U8" s="80" t="str">
        <f t="shared" si="0"/>
        <v>0000000</v>
      </c>
      <c r="W8" s="79" t="str" cm="1">
        <f t="array" ref="W8">ByteToHex(_xlfn.BITAND(HexToByte(R8),127))</f>
        <v>00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0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34</v>
      </c>
      <c r="S9" s="79" t="s">
        <v>34</v>
      </c>
      <c r="T9" s="80" t="str">
        <f t="shared" si="1"/>
        <v>0000000</v>
      </c>
      <c r="U9" s="80" t="str">
        <f t="shared" si="0"/>
        <v>0000000</v>
      </c>
      <c r="W9" s="79" t="str" cm="1">
        <f t="array" ref="W9">ByteToHex(_xlfn.BITAND(HexToByte(R9),127))</f>
        <v>00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34</v>
      </c>
      <c r="S10" s="79" t="s">
        <v>34</v>
      </c>
      <c r="T10" s="80" t="str">
        <f t="shared" si="1"/>
        <v>0000000</v>
      </c>
      <c r="U10" s="80" t="str">
        <f t="shared" si="0"/>
        <v>0000000</v>
      </c>
      <c r="W10" s="79" t="str" cm="1">
        <f t="array" ref="W10">ByteToHex(_xlfn.BITAND(HexToByte(R10),127))</f>
        <v>00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34</v>
      </c>
      <c r="S11" s="79" t="s">
        <v>34</v>
      </c>
      <c r="T11" s="80" t="str">
        <f t="shared" si="1"/>
        <v>0000000</v>
      </c>
      <c r="U11" s="80" t="str">
        <f t="shared" si="0"/>
        <v>0000000</v>
      </c>
      <c r="W11" s="79" t="str" cm="1">
        <f t="array" ref="W11">ByteToHex(_xlfn.BITAND(HexToByte(R11),127))</f>
        <v>00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82">
        <v>0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34</v>
      </c>
      <c r="S12" s="79" t="s">
        <v>34</v>
      </c>
      <c r="T12" s="80" t="str">
        <f t="shared" si="1"/>
        <v>0000000</v>
      </c>
      <c r="U12" s="80" t="str">
        <f t="shared" si="0"/>
        <v>0000000</v>
      </c>
      <c r="W12" s="79" t="str" cm="1">
        <f t="array" ref="W12">ByteToHex(_xlfn.BITAND(HexToByte(R12),127))</f>
        <v>00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82">
        <v>0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34</v>
      </c>
      <c r="S13" s="79" t="s">
        <v>34</v>
      </c>
      <c r="T13" s="80" t="str">
        <f t="shared" si="1"/>
        <v>0000000</v>
      </c>
      <c r="U13" s="80" t="str">
        <f t="shared" si="0"/>
        <v>0000000</v>
      </c>
      <c r="W13" s="79" t="str" cm="1">
        <f t="array" ref="W13">ByteToHex(_xlfn.BITAND(HexToByte(R13),127))</f>
        <v>00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82">
        <v>0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34</v>
      </c>
      <c r="S14" s="79" t="s">
        <v>34</v>
      </c>
      <c r="T14" s="80" t="str">
        <f t="shared" si="1"/>
        <v>0000000</v>
      </c>
      <c r="U14" s="80" t="str">
        <f t="shared" si="0"/>
        <v>0000000</v>
      </c>
      <c r="W14" s="79" t="str" cm="1">
        <f t="array" ref="W14">ByteToHex(_xlfn.BITAND(HexToByte(R14),127))</f>
        <v>00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5"/>
      <c r="K17" s="55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0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0"/>
      <c r="F21" s="50"/>
      <c r="G21" s="50"/>
      <c r="H21" s="50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0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0"/>
      <c r="G24" s="50"/>
      <c r="H24" s="50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0"/>
      <c r="G25" s="50"/>
      <c r="H25" s="50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9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S2" s="29">
        <f>COUNTA($B$3:$Q$145)</f>
        <v>2288</v>
      </c>
    </row>
    <row r="3" spans="1:19" x14ac:dyDescent="0.3">
      <c r="A3" s="21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42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42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8" customFormat="1" x14ac:dyDescent="0.3">
      <c r="A2" s="38" t="s">
        <v>167</v>
      </c>
      <c r="B2" s="29"/>
      <c r="C2" s="41">
        <v>0</v>
      </c>
      <c r="D2" s="29">
        <f>C2+1</f>
        <v>1</v>
      </c>
      <c r="E2" s="29">
        <f>D2+1</f>
        <v>2</v>
      </c>
      <c r="F2" s="29">
        <f>E2+1</f>
        <v>3</v>
      </c>
      <c r="G2" s="29">
        <f>F2+1</f>
        <v>4</v>
      </c>
      <c r="H2" s="29">
        <f t="shared" ref="H2:N2" si="1">G2+1</f>
        <v>5</v>
      </c>
      <c r="I2" s="29">
        <f t="shared" si="1"/>
        <v>6</v>
      </c>
      <c r="J2" s="29">
        <f t="shared" si="1"/>
        <v>7</v>
      </c>
      <c r="K2" s="29">
        <f t="shared" si="1"/>
        <v>8</v>
      </c>
      <c r="L2" s="29">
        <f t="shared" si="1"/>
        <v>9</v>
      </c>
      <c r="M2" s="29">
        <f t="shared" si="1"/>
        <v>10</v>
      </c>
      <c r="N2" s="29">
        <f t="shared" si="1"/>
        <v>11</v>
      </c>
      <c r="O2" s="29">
        <f t="shared" ref="O2:R2" si="2">N2+1</f>
        <v>12</v>
      </c>
      <c r="P2" s="29">
        <f t="shared" si="2"/>
        <v>13</v>
      </c>
      <c r="Q2" s="29">
        <f t="shared" si="2"/>
        <v>14</v>
      </c>
      <c r="R2" s="29">
        <f t="shared" si="2"/>
        <v>15</v>
      </c>
      <c r="S2" s="29"/>
      <c r="T2" s="38">
        <f>SUM(T3:T156)</f>
        <v>2288</v>
      </c>
    </row>
    <row r="3" spans="1:20" x14ac:dyDescent="0.3">
      <c r="A3" s="39" t="s">
        <v>37</v>
      </c>
      <c r="B3" s="21" t="str">
        <f>SpriteBaseAddress</f>
        <v>AD00</v>
      </c>
      <c r="C3" s="18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9" t="s">
        <v>38</v>
      </c>
      <c r="B4" s="5" t="str">
        <f>DEC2HEX(HEX2DEC(B3)+$T3)</f>
        <v>AD10</v>
      </c>
      <c r="C4" s="18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9" t="s">
        <v>39</v>
      </c>
      <c r="B5" s="5" t="str">
        <f t="shared" ref="B5:B68" si="6">DEC2HEX(HEX2DEC(B4)+$T4)</f>
        <v>AD20</v>
      </c>
      <c r="C5" s="18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9" t="s">
        <v>40</v>
      </c>
      <c r="B6" s="5" t="str">
        <f t="shared" si="6"/>
        <v>AD30</v>
      </c>
      <c r="C6" s="18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9" t="s">
        <v>41</v>
      </c>
      <c r="B7" s="5" t="str">
        <f t="shared" si="6"/>
        <v>AD40</v>
      </c>
      <c r="C7" s="18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9" t="s">
        <v>41</v>
      </c>
      <c r="B8" s="5" t="str">
        <f t="shared" si="6"/>
        <v>AD50</v>
      </c>
      <c r="C8" s="18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9" t="s">
        <v>42</v>
      </c>
      <c r="B9" s="5" t="str">
        <f t="shared" si="6"/>
        <v>AD60</v>
      </c>
      <c r="C9" s="18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9" t="s">
        <v>43</v>
      </c>
      <c r="B10" s="5" t="str">
        <f t="shared" si="6"/>
        <v>AD68</v>
      </c>
      <c r="C10" s="18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9" t="s">
        <v>44</v>
      </c>
      <c r="B11" s="5" t="str">
        <f t="shared" si="6"/>
        <v>AD78</v>
      </c>
      <c r="C11" s="18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9" t="s">
        <v>45</v>
      </c>
      <c r="B12" s="5" t="str">
        <f t="shared" si="6"/>
        <v>AD88</v>
      </c>
      <c r="C12" s="18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9" t="s">
        <v>46</v>
      </c>
      <c r="B13" s="5" t="str">
        <f t="shared" si="6"/>
        <v>AD98</v>
      </c>
      <c r="C13" s="18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9" t="s">
        <v>41</v>
      </c>
      <c r="B14" s="5" t="str">
        <f t="shared" si="6"/>
        <v>ADA8</v>
      </c>
      <c r="C14" s="18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9" t="s">
        <v>41</v>
      </c>
      <c r="B15" s="5" t="str">
        <f t="shared" si="6"/>
        <v>ADB8</v>
      </c>
      <c r="C15" s="18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9" t="s">
        <v>47</v>
      </c>
      <c r="B16" s="5" t="str">
        <f t="shared" si="6"/>
        <v>ADC8</v>
      </c>
      <c r="C16" s="18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9" t="s">
        <v>48</v>
      </c>
      <c r="B17" s="5" t="str">
        <f t="shared" si="6"/>
        <v>ADD0</v>
      </c>
      <c r="C17" s="18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9" t="s">
        <v>49</v>
      </c>
      <c r="B18" s="5" t="str">
        <f t="shared" si="6"/>
        <v>ADE0</v>
      </c>
      <c r="C18" s="18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9" t="s">
        <v>50</v>
      </c>
      <c r="B19" s="5" t="str">
        <f t="shared" si="6"/>
        <v>ADF0</v>
      </c>
      <c r="C19" s="18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9" t="s">
        <v>51</v>
      </c>
      <c r="B20" s="5" t="str">
        <f t="shared" si="6"/>
        <v>AE00</v>
      </c>
      <c r="C20" s="18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9" t="s">
        <v>41</v>
      </c>
      <c r="B21" s="5" t="str">
        <f t="shared" si="6"/>
        <v>AE10</v>
      </c>
      <c r="C21" s="18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9" t="s">
        <v>41</v>
      </c>
      <c r="B22" s="5" t="str">
        <f t="shared" si="6"/>
        <v>AE20</v>
      </c>
      <c r="C22" s="18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9" t="s">
        <v>52</v>
      </c>
      <c r="B23" s="5" t="str">
        <f t="shared" si="6"/>
        <v>AE30</v>
      </c>
      <c r="C23" s="18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9" t="s">
        <v>53</v>
      </c>
      <c r="B24" s="5" t="str">
        <f t="shared" si="6"/>
        <v>AE38</v>
      </c>
      <c r="C24" s="18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9" t="s">
        <v>54</v>
      </c>
      <c r="B25" s="5" t="str">
        <f t="shared" si="6"/>
        <v>AE48</v>
      </c>
      <c r="C25" s="18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9" t="s">
        <v>55</v>
      </c>
      <c r="B26" s="5" t="str">
        <f t="shared" si="6"/>
        <v>AE58</v>
      </c>
      <c r="C26" s="18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9" t="s">
        <v>56</v>
      </c>
      <c r="B27" s="5" t="str">
        <f t="shared" si="6"/>
        <v>AE68</v>
      </c>
      <c r="C27" s="18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9" t="s">
        <v>41</v>
      </c>
      <c r="B28" s="5" t="str">
        <f t="shared" si="6"/>
        <v>AE78</v>
      </c>
      <c r="C28" s="18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9" t="s">
        <v>41</v>
      </c>
      <c r="B29" s="5" t="str">
        <f t="shared" si="6"/>
        <v>AE88</v>
      </c>
      <c r="C29" s="18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9" t="s">
        <v>57</v>
      </c>
      <c r="B30" s="5" t="str">
        <f t="shared" si="6"/>
        <v>AE98</v>
      </c>
      <c r="C30" s="18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9" t="s">
        <v>58</v>
      </c>
      <c r="B31" s="5" t="str">
        <f t="shared" si="6"/>
        <v>AEA0</v>
      </c>
      <c r="C31" s="18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9" t="s">
        <v>59</v>
      </c>
      <c r="B32" s="5" t="str">
        <f t="shared" si="6"/>
        <v>AEB0</v>
      </c>
      <c r="C32" s="18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9" t="s">
        <v>60</v>
      </c>
      <c r="B33" s="5" t="str">
        <f t="shared" si="6"/>
        <v>AEC0</v>
      </c>
      <c r="C33" s="18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9" t="s">
        <v>61</v>
      </c>
      <c r="B34" s="5" t="str">
        <f t="shared" si="6"/>
        <v>AED0</v>
      </c>
      <c r="C34" s="18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9" t="s">
        <v>41</v>
      </c>
      <c r="B35" s="5" t="str">
        <f t="shared" si="6"/>
        <v>AEE0</v>
      </c>
      <c r="C35" s="18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9" t="s">
        <v>41</v>
      </c>
      <c r="B36" s="5" t="str">
        <f t="shared" si="6"/>
        <v>AEF0</v>
      </c>
      <c r="C36" s="18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9" t="s">
        <v>62</v>
      </c>
      <c r="B37" s="5" t="str">
        <f t="shared" si="6"/>
        <v>AF00</v>
      </c>
      <c r="C37" s="18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9" t="s">
        <v>63</v>
      </c>
      <c r="B38" s="5" t="str">
        <f t="shared" si="6"/>
        <v>AF08</v>
      </c>
      <c r="C38" s="18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9" t="s">
        <v>54</v>
      </c>
      <c r="B39" s="5" t="str">
        <f t="shared" si="6"/>
        <v>AF18</v>
      </c>
      <c r="C39" s="18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9" t="s">
        <v>64</v>
      </c>
      <c r="B40" s="5" t="str">
        <f t="shared" si="6"/>
        <v>AF28</v>
      </c>
      <c r="C40" s="18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9" t="s">
        <v>65</v>
      </c>
      <c r="B41" s="5" t="str">
        <f t="shared" si="6"/>
        <v>AF38</v>
      </c>
      <c r="C41" s="18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9" t="s">
        <v>41</v>
      </c>
      <c r="B42" s="5" t="str">
        <f t="shared" si="6"/>
        <v>AF48</v>
      </c>
      <c r="C42" s="18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9" t="s">
        <v>41</v>
      </c>
      <c r="B43" s="5" t="str">
        <f t="shared" si="6"/>
        <v>AF58</v>
      </c>
      <c r="C43" s="18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9" t="s">
        <v>66</v>
      </c>
      <c r="B44" s="5" t="str">
        <f t="shared" si="6"/>
        <v>AF68</v>
      </c>
      <c r="C44" s="18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9" t="s">
        <v>67</v>
      </c>
      <c r="B45" s="5" t="str">
        <f t="shared" si="6"/>
        <v>AF70</v>
      </c>
      <c r="C45" s="18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9" t="s">
        <v>68</v>
      </c>
      <c r="B46" s="5" t="str">
        <f t="shared" si="6"/>
        <v>AF80</v>
      </c>
      <c r="C46" s="18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9" t="s">
        <v>69</v>
      </c>
      <c r="B47" s="5" t="str">
        <f t="shared" si="6"/>
        <v>AF90</v>
      </c>
      <c r="C47" s="18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9" t="s">
        <v>70</v>
      </c>
      <c r="B48" s="5" t="str">
        <f t="shared" si="6"/>
        <v>AFA0</v>
      </c>
      <c r="C48" s="18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9" t="s">
        <v>71</v>
      </c>
      <c r="B49" s="5" t="str">
        <f t="shared" si="6"/>
        <v>AFB0</v>
      </c>
      <c r="C49" s="18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9" t="s">
        <v>72</v>
      </c>
      <c r="B50" s="5" t="str">
        <f t="shared" si="6"/>
        <v>AFC0</v>
      </c>
      <c r="C50" s="18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9" t="s">
        <v>73</v>
      </c>
      <c r="B51" s="5" t="str">
        <f t="shared" si="6"/>
        <v>AFD0</v>
      </c>
      <c r="C51" s="18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9" t="s">
        <v>74</v>
      </c>
      <c r="B52" s="5" t="str">
        <f t="shared" si="6"/>
        <v>AFD8</v>
      </c>
      <c r="C52" s="18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9" t="s">
        <v>75</v>
      </c>
      <c r="B53" s="5" t="str">
        <f t="shared" si="6"/>
        <v>AFE8</v>
      </c>
      <c r="C53" s="18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9" t="s">
        <v>76</v>
      </c>
      <c r="B54" s="5" t="str">
        <f t="shared" si="6"/>
        <v>AFF8</v>
      </c>
      <c r="C54" s="18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9" t="s">
        <v>77</v>
      </c>
      <c r="B55" s="5" t="str">
        <f t="shared" si="6"/>
        <v>B008</v>
      </c>
      <c r="C55" s="18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9" t="s">
        <v>78</v>
      </c>
      <c r="B56" s="5" t="str">
        <f t="shared" si="6"/>
        <v>B018</v>
      </c>
      <c r="C56" s="18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9" t="s">
        <v>41</v>
      </c>
      <c r="B57" s="5" t="str">
        <f t="shared" si="6"/>
        <v>B028</v>
      </c>
      <c r="C57" s="18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9" t="s">
        <v>79</v>
      </c>
      <c r="B58" s="5" t="str">
        <f t="shared" si="6"/>
        <v>B038</v>
      </c>
      <c r="C58" s="18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9" t="s">
        <v>80</v>
      </c>
      <c r="B59" s="5" t="str">
        <f t="shared" si="6"/>
        <v>B040</v>
      </c>
      <c r="C59" s="18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9" t="s">
        <v>81</v>
      </c>
      <c r="B60" s="5" t="str">
        <f t="shared" si="6"/>
        <v>B050</v>
      </c>
      <c r="C60" s="18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9" t="s">
        <v>82</v>
      </c>
      <c r="B61" s="5" t="str">
        <f t="shared" si="6"/>
        <v>B060</v>
      </c>
      <c r="C61" s="18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9" t="s">
        <v>83</v>
      </c>
      <c r="B62" s="5" t="str">
        <f t="shared" si="6"/>
        <v>B070</v>
      </c>
      <c r="C62" s="18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9" t="s">
        <v>84</v>
      </c>
      <c r="B63" s="5" t="str">
        <f t="shared" si="6"/>
        <v>B080</v>
      </c>
      <c r="C63" s="18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9" t="s">
        <v>85</v>
      </c>
      <c r="B64" s="5" t="str">
        <f t="shared" si="6"/>
        <v>B090</v>
      </c>
      <c r="C64" s="18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9" t="s">
        <v>86</v>
      </c>
      <c r="B65" s="5" t="str">
        <f t="shared" si="6"/>
        <v>B0A0</v>
      </c>
      <c r="C65" s="18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9" t="s">
        <v>87</v>
      </c>
      <c r="B66" s="5" t="str">
        <f t="shared" si="6"/>
        <v>B0A8</v>
      </c>
      <c r="C66" s="18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9" t="s">
        <v>88</v>
      </c>
      <c r="B67" s="5" t="str">
        <f t="shared" si="6"/>
        <v>B0B8</v>
      </c>
      <c r="C67" s="18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9" t="s">
        <v>89</v>
      </c>
      <c r="B68" s="5" t="str">
        <f t="shared" si="6"/>
        <v>B0C8</v>
      </c>
      <c r="C68" s="18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9" t="s">
        <v>90</v>
      </c>
      <c r="B69" s="5" t="str">
        <f t="shared" ref="B69:B132" si="12">DEC2HEX(HEX2DEC(B68)+$T68)</f>
        <v>B0D8</v>
      </c>
      <c r="C69" s="18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9" t="s">
        <v>91</v>
      </c>
      <c r="B70" s="5" t="str">
        <f t="shared" si="12"/>
        <v>B0E8</v>
      </c>
      <c r="C70" s="18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9" t="s">
        <v>41</v>
      </c>
      <c r="B71" s="5" t="str">
        <f t="shared" si="12"/>
        <v>B0F8</v>
      </c>
      <c r="C71" s="18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9" t="s">
        <v>79</v>
      </c>
      <c r="B72" s="5" t="str">
        <f t="shared" si="12"/>
        <v>B108</v>
      </c>
      <c r="C72" s="18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9" t="s">
        <v>92</v>
      </c>
      <c r="B73" s="5" t="str">
        <f t="shared" si="12"/>
        <v>B110</v>
      </c>
      <c r="C73" s="18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9" t="s">
        <v>93</v>
      </c>
      <c r="B74" s="5" t="str">
        <f t="shared" si="12"/>
        <v>B120</v>
      </c>
      <c r="C74" s="18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9" t="s">
        <v>94</v>
      </c>
      <c r="B75" s="5" t="str">
        <f t="shared" si="12"/>
        <v>B130</v>
      </c>
      <c r="C75" s="18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9" t="s">
        <v>95</v>
      </c>
      <c r="B76" s="5" t="str">
        <f t="shared" si="12"/>
        <v>B140</v>
      </c>
      <c r="C76" s="18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9" t="s">
        <v>96</v>
      </c>
      <c r="B77" s="5" t="str">
        <f t="shared" si="12"/>
        <v>B150</v>
      </c>
      <c r="C77" s="18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9" t="s">
        <v>97</v>
      </c>
      <c r="B78" s="5" t="str">
        <f t="shared" si="12"/>
        <v>B160</v>
      </c>
      <c r="C78" s="18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9" t="s">
        <v>98</v>
      </c>
      <c r="B79" s="5" t="str">
        <f t="shared" si="12"/>
        <v>B170</v>
      </c>
      <c r="C79" s="18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9" t="s">
        <v>99</v>
      </c>
      <c r="B80" s="5" t="str">
        <f t="shared" si="12"/>
        <v>B178</v>
      </c>
      <c r="C80" s="18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9" t="s">
        <v>100</v>
      </c>
      <c r="B81" s="5" t="str">
        <f t="shared" si="12"/>
        <v>B188</v>
      </c>
      <c r="C81" s="18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9" t="s">
        <v>101</v>
      </c>
      <c r="B82" s="5" t="str">
        <f t="shared" si="12"/>
        <v>B198</v>
      </c>
      <c r="C82" s="18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9" t="s">
        <v>102</v>
      </c>
      <c r="B83" s="5" t="str">
        <f t="shared" si="12"/>
        <v>B1A8</v>
      </c>
      <c r="C83" s="18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9" t="s">
        <v>103</v>
      </c>
      <c r="B84" s="5" t="str">
        <f t="shared" si="12"/>
        <v>B1B8</v>
      </c>
      <c r="C84" s="18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9" t="s">
        <v>41</v>
      </c>
      <c r="B85" s="5" t="str">
        <f t="shared" si="12"/>
        <v>B1C8</v>
      </c>
      <c r="C85" s="18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9" t="s">
        <v>104</v>
      </c>
      <c r="B86" s="5" t="str">
        <f t="shared" si="12"/>
        <v>B1D8</v>
      </c>
      <c r="C86" s="18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9" t="s">
        <v>105</v>
      </c>
      <c r="B87" s="5" t="str">
        <f t="shared" si="12"/>
        <v>B1E0</v>
      </c>
      <c r="C87" s="18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9" t="s">
        <v>106</v>
      </c>
      <c r="B88" s="5" t="str">
        <f t="shared" si="12"/>
        <v>B1F0</v>
      </c>
      <c r="C88" s="18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9" t="s">
        <v>107</v>
      </c>
      <c r="B89" s="5" t="str">
        <f t="shared" si="12"/>
        <v>B200</v>
      </c>
      <c r="C89" s="18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9" t="s">
        <v>108</v>
      </c>
      <c r="B90" s="5" t="str">
        <f t="shared" si="12"/>
        <v>B210</v>
      </c>
      <c r="C90" s="18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9" t="s">
        <v>109</v>
      </c>
      <c r="B91" s="5" t="str">
        <f t="shared" si="12"/>
        <v>B220</v>
      </c>
      <c r="C91" s="18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9" t="s">
        <v>110</v>
      </c>
      <c r="B92" s="5" t="str">
        <f t="shared" si="12"/>
        <v>B230</v>
      </c>
      <c r="C92" s="18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9" t="s">
        <v>111</v>
      </c>
      <c r="B93" s="5" t="str">
        <f t="shared" si="12"/>
        <v>B240</v>
      </c>
      <c r="C93" s="18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9" t="s">
        <v>112</v>
      </c>
      <c r="B94" s="5" t="str">
        <f t="shared" si="12"/>
        <v>B248</v>
      </c>
      <c r="C94" s="18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9" t="s">
        <v>113</v>
      </c>
      <c r="B95" s="5" t="str">
        <f t="shared" si="12"/>
        <v>B258</v>
      </c>
      <c r="C95" s="18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9" t="s">
        <v>114</v>
      </c>
      <c r="B96" s="5" t="str">
        <f t="shared" si="12"/>
        <v>B268</v>
      </c>
      <c r="C96" s="18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9" t="s">
        <v>115</v>
      </c>
      <c r="B97" s="5" t="str">
        <f t="shared" si="12"/>
        <v>B278</v>
      </c>
      <c r="C97" s="18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9" t="s">
        <v>116</v>
      </c>
      <c r="B98" s="5" t="str">
        <f t="shared" si="12"/>
        <v>B288</v>
      </c>
      <c r="C98" s="18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9" t="s">
        <v>41</v>
      </c>
      <c r="B99" s="5" t="str">
        <f t="shared" si="12"/>
        <v>B298</v>
      </c>
      <c r="C99" s="18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9" t="s">
        <v>117</v>
      </c>
      <c r="B100" s="5" t="str">
        <f t="shared" si="12"/>
        <v>B2A8</v>
      </c>
      <c r="C100" s="18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9" t="s">
        <v>118</v>
      </c>
      <c r="B101" s="5" t="str">
        <f t="shared" si="12"/>
        <v>B2B0</v>
      </c>
      <c r="C101" s="18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9" t="s">
        <v>119</v>
      </c>
      <c r="B102" s="5" t="str">
        <f t="shared" si="12"/>
        <v>B2C0</v>
      </c>
      <c r="C102" s="18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9" t="s">
        <v>120</v>
      </c>
      <c r="B103" s="5" t="str">
        <f t="shared" si="12"/>
        <v>B2D0</v>
      </c>
      <c r="C103" s="18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9" t="s">
        <v>121</v>
      </c>
      <c r="B104" s="5" t="str">
        <f t="shared" si="12"/>
        <v>B2E0</v>
      </c>
      <c r="C104" s="18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9" t="s">
        <v>122</v>
      </c>
      <c r="B105" s="5" t="str">
        <f t="shared" si="12"/>
        <v>B2F0</v>
      </c>
      <c r="C105" s="18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9" t="s">
        <v>123</v>
      </c>
      <c r="B106" s="5" t="str">
        <f t="shared" si="12"/>
        <v>B300</v>
      </c>
      <c r="C106" s="18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9" t="s">
        <v>124</v>
      </c>
      <c r="B107" s="5" t="str">
        <f t="shared" si="12"/>
        <v>B310</v>
      </c>
      <c r="C107" s="18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9" t="s">
        <v>125</v>
      </c>
      <c r="B108" s="5" t="str">
        <f t="shared" si="12"/>
        <v>B318</v>
      </c>
      <c r="C108" s="18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9" t="s">
        <v>126</v>
      </c>
      <c r="B109" s="5" t="str">
        <f t="shared" si="12"/>
        <v>B328</v>
      </c>
      <c r="C109" s="18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9" t="s">
        <v>127</v>
      </c>
      <c r="B110" s="5" t="str">
        <f t="shared" si="12"/>
        <v>B338</v>
      </c>
      <c r="C110" s="18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9" t="s">
        <v>128</v>
      </c>
      <c r="B111" s="5" t="str">
        <f t="shared" si="12"/>
        <v>B348</v>
      </c>
      <c r="C111" s="18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9" t="s">
        <v>129</v>
      </c>
      <c r="B112" s="5" t="str">
        <f t="shared" si="12"/>
        <v>B358</v>
      </c>
      <c r="C112" s="18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9" t="s">
        <v>41</v>
      </c>
      <c r="B113" s="5" t="str">
        <f t="shared" si="12"/>
        <v>B368</v>
      </c>
      <c r="C113" s="18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9" t="s">
        <v>130</v>
      </c>
      <c r="B114" s="5" t="str">
        <f t="shared" si="12"/>
        <v>B378</v>
      </c>
      <c r="C114" s="18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9" t="s">
        <v>131</v>
      </c>
      <c r="B115" s="5" t="str">
        <f t="shared" si="12"/>
        <v>B380</v>
      </c>
      <c r="C115" s="18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9" t="s">
        <v>132</v>
      </c>
      <c r="B116" s="5" t="str">
        <f t="shared" si="12"/>
        <v>B390</v>
      </c>
      <c r="C116" s="18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9" t="s">
        <v>133</v>
      </c>
      <c r="B117" s="5" t="str">
        <f t="shared" si="12"/>
        <v>B3A0</v>
      </c>
      <c r="C117" s="18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9" t="s">
        <v>134</v>
      </c>
      <c r="B118" s="5" t="str">
        <f t="shared" si="12"/>
        <v>B3B0</v>
      </c>
      <c r="C118" s="18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9" t="s">
        <v>135</v>
      </c>
      <c r="B119" s="5" t="str">
        <f t="shared" si="12"/>
        <v>B3C0</v>
      </c>
      <c r="C119" s="18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9" t="s">
        <v>136</v>
      </c>
      <c r="B120" s="5" t="str">
        <f t="shared" si="12"/>
        <v>B3D0</v>
      </c>
      <c r="C120" s="18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9" t="s">
        <v>137</v>
      </c>
      <c r="B121" s="5" t="str">
        <f t="shared" si="12"/>
        <v>B3E0</v>
      </c>
      <c r="C121" s="18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9" t="s">
        <v>138</v>
      </c>
      <c r="B122" s="5" t="str">
        <f t="shared" si="12"/>
        <v>B3E8</v>
      </c>
      <c r="C122" s="18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9" t="s">
        <v>139</v>
      </c>
      <c r="B123" s="5" t="str">
        <f t="shared" si="12"/>
        <v>B3F8</v>
      </c>
      <c r="C123" s="18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9" t="s">
        <v>140</v>
      </c>
      <c r="B124" s="5" t="str">
        <f t="shared" si="12"/>
        <v>B408</v>
      </c>
      <c r="C124" s="18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9" t="s">
        <v>141</v>
      </c>
      <c r="B125" s="5" t="str">
        <f t="shared" si="12"/>
        <v>B418</v>
      </c>
      <c r="C125" s="18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9" t="s">
        <v>129</v>
      </c>
      <c r="B126" s="5" t="str">
        <f t="shared" si="12"/>
        <v>B428</v>
      </c>
      <c r="C126" s="18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9" t="s">
        <v>41</v>
      </c>
      <c r="B127" s="5" t="str">
        <f t="shared" si="12"/>
        <v>B438</v>
      </c>
      <c r="C127" s="18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9" t="s">
        <v>142</v>
      </c>
      <c r="B128" s="5" t="str">
        <f t="shared" si="12"/>
        <v>B448</v>
      </c>
      <c r="C128" s="18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9" t="s">
        <v>143</v>
      </c>
      <c r="B129" s="5" t="str">
        <f t="shared" si="12"/>
        <v>B450</v>
      </c>
      <c r="C129" s="18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9" t="s">
        <v>144</v>
      </c>
      <c r="B130" s="5" t="str">
        <f t="shared" si="12"/>
        <v>B460</v>
      </c>
      <c r="C130" s="18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9" t="s">
        <v>145</v>
      </c>
      <c r="B131" s="5" t="str">
        <f t="shared" si="12"/>
        <v>B470</v>
      </c>
      <c r="C131" s="18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9" t="s">
        <v>146</v>
      </c>
      <c r="B132" s="5" t="str">
        <f t="shared" si="12"/>
        <v>B480</v>
      </c>
      <c r="C132" s="18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9" t="s">
        <v>147</v>
      </c>
      <c r="B133" s="5" t="str">
        <f t="shared" ref="B133:B156" si="19">DEC2HEX(HEX2DEC(B132)+$T132)</f>
        <v>B490</v>
      </c>
      <c r="C133" s="18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9" t="s">
        <v>148</v>
      </c>
      <c r="B134" s="5" t="str">
        <f t="shared" si="19"/>
        <v>B4A0</v>
      </c>
      <c r="C134" s="18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9" t="s">
        <v>149</v>
      </c>
      <c r="B135" s="5" t="str">
        <f t="shared" si="19"/>
        <v>B4B0</v>
      </c>
      <c r="C135" s="18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9" t="s">
        <v>150</v>
      </c>
      <c r="B136" s="5" t="str">
        <f t="shared" si="19"/>
        <v>B4B8</v>
      </c>
      <c r="C136" s="18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9" t="s">
        <v>151</v>
      </c>
      <c r="B137" s="5" t="str">
        <f t="shared" si="19"/>
        <v>B4C8</v>
      </c>
      <c r="C137" s="18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9" t="s">
        <v>152</v>
      </c>
      <c r="B138" s="5" t="str">
        <f t="shared" si="19"/>
        <v>B4D8</v>
      </c>
      <c r="C138" s="18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9" t="s">
        <v>153</v>
      </c>
      <c r="B139" s="5" t="str">
        <f t="shared" si="19"/>
        <v>B4E8</v>
      </c>
      <c r="C139" s="18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9" t="s">
        <v>129</v>
      </c>
      <c r="B140" s="5" t="str">
        <f t="shared" si="19"/>
        <v>B4F8</v>
      </c>
      <c r="C140" s="18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9" t="s">
        <v>41</v>
      </c>
      <c r="B141" s="5" t="str">
        <f t="shared" si="19"/>
        <v>B508</v>
      </c>
      <c r="C141" s="18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9" t="s">
        <v>154</v>
      </c>
      <c r="B142" s="5" t="str">
        <f t="shared" si="19"/>
        <v>B518</v>
      </c>
      <c r="C142" s="18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9" t="s">
        <v>155</v>
      </c>
      <c r="B143" s="5" t="str">
        <f t="shared" si="19"/>
        <v>B520</v>
      </c>
      <c r="C143" s="18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9" t="s">
        <v>156</v>
      </c>
      <c r="B144" s="5" t="str">
        <f t="shared" si="19"/>
        <v>B530</v>
      </c>
      <c r="C144" s="18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9" t="s">
        <v>157</v>
      </c>
      <c r="B145" s="5" t="str">
        <f t="shared" si="19"/>
        <v>B540</v>
      </c>
      <c r="C145" s="18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9" t="s">
        <v>158</v>
      </c>
      <c r="B146" s="5" t="str">
        <f t="shared" si="19"/>
        <v>B550</v>
      </c>
      <c r="C146" s="18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9" t="s">
        <v>159</v>
      </c>
      <c r="B147" s="5" t="str">
        <f t="shared" si="19"/>
        <v>B560</v>
      </c>
      <c r="C147" s="18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9" t="s">
        <v>160</v>
      </c>
      <c r="B148" s="5" t="str">
        <f t="shared" si="19"/>
        <v>B570</v>
      </c>
      <c r="C148" s="18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9" t="s">
        <v>161</v>
      </c>
      <c r="B149" s="5" t="str">
        <f t="shared" si="19"/>
        <v>B580</v>
      </c>
      <c r="C149" s="18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9" t="s">
        <v>162</v>
      </c>
      <c r="B150" s="5" t="str">
        <f t="shared" si="19"/>
        <v>B588</v>
      </c>
      <c r="C150" s="18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9" t="s">
        <v>163</v>
      </c>
      <c r="B151" s="5" t="str">
        <f t="shared" si="19"/>
        <v>B598</v>
      </c>
      <c r="C151" s="18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9" t="s">
        <v>164</v>
      </c>
      <c r="B152" s="5" t="str">
        <f t="shared" si="19"/>
        <v>B5A8</v>
      </c>
      <c r="C152" s="18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9" t="s">
        <v>165</v>
      </c>
      <c r="B153" s="5" t="str">
        <f t="shared" si="19"/>
        <v>B5B8</v>
      </c>
      <c r="C153" s="18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9" t="s">
        <v>129</v>
      </c>
      <c r="B154" s="5" t="str">
        <f t="shared" si="19"/>
        <v>B5C8</v>
      </c>
      <c r="C154" s="18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9" t="s">
        <v>41</v>
      </c>
      <c r="B155" s="5" t="str">
        <f t="shared" si="19"/>
        <v>B5D8</v>
      </c>
      <c r="C155" s="18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9" t="s">
        <v>166</v>
      </c>
      <c r="B156" s="5" t="str">
        <f t="shared" si="19"/>
        <v>B5E8</v>
      </c>
      <c r="C156" s="18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3" x14ac:dyDescent="0.3">
      <c r="L25" s="62"/>
      <c r="M25" s="62"/>
    </row>
    <row r="26" spans="7:13" x14ac:dyDescent="0.3">
      <c r="G26" s="167" t="s">
        <v>962</v>
      </c>
      <c r="L26" s="62"/>
      <c r="M26" s="62"/>
    </row>
    <row r="27" spans="7:13" x14ac:dyDescent="0.3">
      <c r="G27" s="167" t="s">
        <v>941</v>
      </c>
      <c r="L27" s="62"/>
      <c r="M27" s="62"/>
    </row>
    <row r="28" spans="7:13" x14ac:dyDescent="0.3">
      <c r="G28" s="167" t="s">
        <v>955</v>
      </c>
      <c r="L28" s="62"/>
      <c r="M28" s="62"/>
    </row>
    <row r="29" spans="7:13" x14ac:dyDescent="0.3">
      <c r="G29" s="167" t="s">
        <v>912</v>
      </c>
    </row>
    <row r="30" spans="7:13" ht="15" x14ac:dyDescent="0.4">
      <c r="G30" s="65" t="s">
        <v>911</v>
      </c>
    </row>
  </sheetData>
  <conditionalFormatting sqref="J33:J38">
    <cfRule type="expression" dxfId="14" priority="8">
      <formula>NOT(ISERROR(SEARCH("TOGET",J33)))</formula>
    </cfRule>
    <cfRule type="expression" dxfId="13" priority="9">
      <formula>NOT(ISERROR(SEARCH("!!!",J33)))</formula>
    </cfRule>
    <cfRule type="expression" dxfId="12" priority="10">
      <formula>NOT(ISERROR(SEARCH("~?~?~?",J33)))</formula>
    </cfRule>
    <cfRule type="expression" dxfId="11" priority="11">
      <formula>NOT(ISERROR(SEARCH("TODO FS",J33)))</formula>
    </cfRule>
    <cfRule type="expression" dxfId="10" priority="12">
      <formula>NOT(ISERROR(SEARCH("TODO",J33)))</formula>
    </cfRule>
    <cfRule type="expression" dxfId="9" priority="13">
      <formula>NOT(ISERROR(SEARCH("DONE",J33)))</formula>
    </cfRule>
  </conditionalFormatting>
  <conditionalFormatting sqref="J32:J38">
    <cfRule type="expression" dxfId="8" priority="1">
      <formula>NOT(ISERROR(SEARCH("@Carl",J32)))</formula>
    </cfRule>
    <cfRule type="expression" dxfId="7" priority="2">
      <formula>NOT(ISERROR(SEARCH("PRIO!",J32)))</formula>
    </cfRule>
    <cfRule type="expression" dxfId="6" priority="3">
      <formula>NOT(ISERROR(SEARCH("TOGET",J32)))</formula>
    </cfRule>
    <cfRule type="expression" dxfId="5" priority="4">
      <formula>NOT(ISERROR(SEARCH("!!!",J32)))</formula>
    </cfRule>
    <cfRule type="expression" dxfId="4" priority="5">
      <formula>NOT(ISERROR(SEARCH("~?~?~?",J32)))</formula>
    </cfRule>
    <cfRule type="expression" dxfId="3" priority="6">
      <formula>NOT(ISERROR(SEARCH("TODO",J32)))</formula>
    </cfRule>
    <cfRule type="expression" dxfId="2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61</vt:i4>
      </vt:variant>
    </vt:vector>
  </HeadingPairs>
  <TitlesOfParts>
    <vt:vector size="84" baseType="lpstr">
      <vt:lpstr>Intro</vt:lpstr>
      <vt:lpstr>&gt; comments &lt;</vt:lpstr>
      <vt:lpstr>Versions</vt:lpstr>
      <vt:lpstr>Worksheets matrix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dcterms:created xsi:type="dcterms:W3CDTF">2026-09-09T10:01:24Z</dcterms:created>
  <dcterms:modified xsi:type="dcterms:W3CDTF">2026-09-19T22:34:58Z</dcterms:modified>
  <dc:language>en-US</dc:language>
</cp:coreProperties>
</file>