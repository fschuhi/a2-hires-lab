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FC310C2C-6AFD-44A3-8BAD-58F4E0740099}" xr6:coauthVersionLast="47" xr6:coauthVersionMax="47" xr10:uidLastSave="{00000000-0000-0000-0000-000000000000}"/>
  <bookViews>
    <workbookView xWindow="-98" yWindow="-98" windowWidth="22875" windowHeight="14431" tabRatio="500" activeTab="1" xr2:uid="{00000000-000D-0000-FFFF-FFFF00000000}"/>
  </bookViews>
  <sheets>
    <sheet name="Sprite Shifting" sheetId="20" r:id="rId1"/>
    <sheet name="Sprite Shifter" sheetId="21" r:id="rId2"/>
    <sheet name="Sprite (load)" sheetId="10" r:id="rId3"/>
    <sheet name="Pixel shifting" sheetId="16" r:id="rId4"/>
    <sheet name="Pixel Shifter" sheetId="13" r:id="rId5"/>
    <sheet name="Pixel Shift Pattern Table" sheetId="19" r:id="rId6"/>
    <sheet name="Pixel Shift Table" sheetId="14" r:id="rId7"/>
    <sheet name="Pixel Shift Pages" sheetId="15" r:id="rId8"/>
    <sheet name="pixel_pattern_table.asm" sheetId="11" r:id="rId9"/>
    <sheet name="pixel_shift_table.asm" sheetId="12" r:id="rId10"/>
    <sheet name="Sprites" sheetId="17" r:id="rId11"/>
    <sheet name="Sprite Loader" sheetId="8" r:id="rId12"/>
    <sheet name="Sprite (S)" sheetId="1" r:id="rId13"/>
    <sheet name="Sprite (Player)" sheetId="4" r:id="rId14"/>
    <sheet name="Sprite (Player HB0)" sheetId="5" r:id="rId15"/>
    <sheet name="Sprite (HB0&lt;&gt;HB1)" sheetId="6" r:id="rId16"/>
    <sheet name="SPRITE_DATA" sheetId="9" r:id="rId17"/>
    <sheet name="sprite_data.asm" sheetId="7" r:id="rId18"/>
    <sheet name="End" sheetId="18" r:id="rId19"/>
  </sheets>
  <functionGroups builtInGroupCount="19"/>
  <definedNames>
    <definedName name="_xlnm._FilterDatabase" localSheetId="8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AllTags">OFFSET(#REF!,0,0,COUNTA(#REF!)-1,1)</definedName>
    <definedName name="BitsByte0" localSheetId="15">'Sprite (HB0&lt;&gt;HB1)'!$T$4:$T$14</definedName>
    <definedName name="BitsByte0" localSheetId="2">'Sprite (load)'!$T$4:$T$14</definedName>
    <definedName name="BitsByte0" localSheetId="14">'Sprite (Player HB0)'!$T$4:$T$14</definedName>
    <definedName name="BitsByte0" localSheetId="13">'Sprite (Player)'!$T$4:$T$14</definedName>
    <definedName name="BitsByte0" localSheetId="12">'Sprite (S)'!$T$4:$T$14</definedName>
    <definedName name="BitsByte1" localSheetId="15">'Sprite (HB0&lt;&gt;HB1)'!$U$4:$U$14</definedName>
    <definedName name="BitsByte1" localSheetId="2">'Sprite (load)'!$U$4:$U$14</definedName>
    <definedName name="BitsByte1" localSheetId="14">'Sprite (Player HB0)'!$U$4:$U$14</definedName>
    <definedName name="BitsByte1" localSheetId="13">'Sprite (Player)'!$U$4:$U$14</definedName>
    <definedName name="BitsByte1" localSheetId="12">'Sprite (S)'!$U$4:$U$14</definedName>
    <definedName name="CellHasFormula">GET.CELL(48,INDIRECT("zs",FALSE))</definedName>
    <definedName name="CellHasLookupFormula">NOT(ISERROR(SEARCH("SVERWEIS",GET.CELL(6,INDIRECT("zs",FALSE)))))</definedName>
    <definedName name="CellHasNoFormula">NOT(GET.CELL(48,INDIRECT("zs",FALSE)))</definedName>
    <definedName name="CellHasSumFormula">LEFT(GET.CELL(6,INDIRECT("zs",FALSE)),7) = "=SUMME("</definedName>
    <definedName name="EditorByte0" localSheetId="15">'Sprite (HB0&lt;&gt;HB1)'!$B$4:$H$14</definedName>
    <definedName name="EditorByte0" localSheetId="2">'Sprite (load)'!$B$4:$H$14</definedName>
    <definedName name="EditorByte0" localSheetId="14">'Sprite (Player HB0)'!$B$4:$H$14</definedName>
    <definedName name="EditorByte0" localSheetId="13">'Sprite (Player)'!$B$4:$H$14</definedName>
    <definedName name="EditorByte0" localSheetId="12">'Sprite (S)'!$B$4:$H$14</definedName>
    <definedName name="EditorByte1" localSheetId="15">'Sprite (HB0&lt;&gt;HB1)'!$J$4:$P$14</definedName>
    <definedName name="EditorByte1" localSheetId="2">'Sprite (load)'!$J$4:$P$14</definedName>
    <definedName name="EditorByte1" localSheetId="14">'Sprite (Player HB0)'!$J$4:$P$14</definedName>
    <definedName name="EditorByte1" localSheetId="13">'Sprite (Player)'!$J$4:$P$14</definedName>
    <definedName name="EditorByte1" localSheetId="12">'Sprite (S)'!$J$4:$P$14</definedName>
    <definedName name="HexByte0" localSheetId="15">'Sprite (HB0&lt;&gt;HB1)'!$R$4:$R$14</definedName>
    <definedName name="HexByte0" localSheetId="2">'Sprite (load)'!$R$4:$R$14</definedName>
    <definedName name="HexByte0" localSheetId="14">'Sprite (Player HB0)'!$R$4:$R$14</definedName>
    <definedName name="HexByte0" localSheetId="13">'Sprite (Player)'!$R$4:$R$14</definedName>
    <definedName name="HexByte0" localSheetId="12">'Sprite (S)'!$R$4:$R$14</definedName>
    <definedName name="HexByte1" localSheetId="15">'Sprite (HB0&lt;&gt;HB1)'!$S$4:$S$14</definedName>
    <definedName name="HexByte1" localSheetId="2">'Sprite (load)'!$S$4:$S$14</definedName>
    <definedName name="HexByte1" localSheetId="14">'Sprite (Player HB0)'!$S$4:$S$14</definedName>
    <definedName name="HexByte1" localSheetId="13">'Sprite (Player)'!$S$4:$S$14</definedName>
    <definedName name="HexByte1" localSheetId="12">'Sprite (S)'!$S$4:$S$14</definedName>
    <definedName name="HighBit0" localSheetId="15">'Sprite (HB0&lt;&gt;HB1)'!$I$4:$I$14</definedName>
    <definedName name="HighBit0" localSheetId="2">'Sprite (load)'!$I$4:$I$14</definedName>
    <definedName name="HighBit0" localSheetId="14">'Sprite (Player HB0)'!$I$4:$I$14</definedName>
    <definedName name="HighBit0" localSheetId="13">'Sprite (Player)'!$I$4:$I$14</definedName>
    <definedName name="HighBit0" localSheetId="12">'Sprite (S)'!$I$4:$I$14</definedName>
    <definedName name="HighBit1" localSheetId="15">'Sprite (HB0&lt;&gt;HB1)'!$Q$4:$Q$14</definedName>
    <definedName name="HighBit1" localSheetId="2">'Sprite (load)'!$Q$4:$Q$14</definedName>
    <definedName name="HighBit1" localSheetId="14">'Sprite (Player HB0)'!$Q$4:$Q$14</definedName>
    <definedName name="HighBit1" localSheetId="13">'Sprite (Player)'!$Q$4:$Q$14</definedName>
    <definedName name="HighBit1" localSheetId="12">'Sprite (S)'!$Q$4:$Q$14</definedName>
    <definedName name="InputPixels" localSheetId="4">'Pixel Shifter'!$C$6:$I$6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5">'Pixel Shift Pattern Table'!$B$3:$Q$114</definedName>
    <definedName name="PixelShiftTable">pixel_shift_table.asm!$C$3:$R$114</definedName>
    <definedName name="SpriteBaseAddress">'Sprite Loader'!$C$2</definedName>
    <definedName name="SpriteCount">'Sprite Loader'!$C$3</definedName>
    <definedName name="SpriteData">SPRITE_DATA!$B$3:$Q$145</definedName>
    <definedName name="SpriteToLoad">'Sprite (load)'!$X$1</definedName>
    <definedName name="STRINGDATUM">_xlfn.LAMBDA(_xlpm.vDatum,IF(ISTEXT(_xlpm.vDatum),_xlpm.vDatum,IF(_xlpm.vDatum=0,"",IF(AND(ISNUMBER(_xlpm.vDatum),_xlpm.vDatum&gt;=1800,_xlpm.vDatum&lt;=2100,INT(_xlpm.vDatum)=_xlpm.vDatum),TEXT(_xlpm.vDatum,"0"),IF(AND(ISNUMBER(_xlpm.vDatum),_xlpm.vDatum&gt;2193),TEXT(_xlpm.vDatum,"JJJJ-MM-TT"),"")))))</definedName>
    <definedName name="ViewerGrid" localSheetId="15">'Sprite (HB0&lt;&gt;HB1)'!$B$17:$H$27,'Sprite (HB0&lt;&gt;HB1)'!$J$17:$P$27</definedName>
    <definedName name="ViewerGrid" localSheetId="2">'Sprite (load)'!$B$17:$H$27,'Sprite (load)'!$J$17:$P$27</definedName>
    <definedName name="ViewerGrid" localSheetId="14">'Sprite (Player HB0)'!$B$17:$H$27,'Sprite (Player HB0)'!$J$17:$P$27</definedName>
    <definedName name="ViewerGrid" localSheetId="13">'Sprite (Player)'!$B$17:$H$27,'Sprite (Player)'!$J$17:$P$27</definedName>
    <definedName name="ViewerGrid" localSheetId="12">'Sprite (S)'!$B$17:$H$27,'Sprite (S)'!$J$17:$P$27</definedName>
    <definedName name="WENN0" localSheetId="5">_xlfn.LAMBDA(_xlpm.v,_xlpm.vIfZero,_xlop.vIfNotZero, IF(_xlpm.v=0, _xlpm.vIfZero, IF(ISERROR(ISTWEGGELASSEN(_xlpm.vIfNotZero)), _xlpm.v, _xlpm.vIfNotZero)))</definedName>
    <definedName name="WENN0" localSheetId="0">_xlfn.LAMBDA(_xlpm.v,_xlpm.vIfZero,_xlop.vIfNotZero, IF(_xlpm.v=0, _xlpm.vIfZero, IF(ISERROR(ISTWEGGELASSEN(_xlpm.vIfNotZero)), _xlpm.v, _xlpm.vIfNotZero)))</definedName>
    <definedName name="WENN0">_xlfn.LAMBDA(_xlpm.v,_xlpm.vIfZero,_xlop.vIfNotZero, IF(_xlpm.v=0, _xlpm.vIfZero, IF(ISERROR(ISTWEGGELASSEN(_xlpm.vIfNotZero)), _xlpm.v, _xlpm.vIfNotZero)))</definedName>
    <definedName name="WENN0F">_xlfn.LAMBDA(_xlpm.v,_xlpm.vIfZero,_xlop.vIfNotZero,IFERROR(IF(_xlpm.v=0,_xlpm.vIfZero,IF(ISBLANK(_xlpm.vIfNotZero),_xlpm.v,_xlpm.vIfNotZero)),_xlpm.vIfZero))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7" i="21" l="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/>
  <c r="AU113" i="19" a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/>
  <c r="AM113" i="19" a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/>
  <c r="AU111" i="19" a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/>
  <c r="AU109" i="19" a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/>
  <c r="AU107" i="19" a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/>
  <c r="AW106" i="19" a="1"/>
  <c r="AV106" i="19" a="1"/>
  <c r="AV106" i="19" s="1"/>
  <c r="AU106" i="19"/>
  <c r="AU106" i="19" a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/>
  <c r="AM106" i="19" a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/>
  <c r="AU105" i="19" a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/>
  <c r="AU104" i="19" a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/>
  <c r="AL104" i="19" a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/>
  <c r="AT103" i="19" a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/>
  <c r="AX102" i="19" a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/>
  <c r="AX101" i="19" a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/>
  <c r="AX100" i="19" a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/>
  <c r="AL99" i="19" a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/>
  <c r="AS87" i="19" a="1"/>
  <c r="AR87" i="19" a="1"/>
  <c r="AR87" i="19" s="1"/>
  <c r="AQ87" i="19"/>
  <c r="AQ87" i="19" a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/>
  <c r="AT85" i="19" a="1"/>
  <c r="AS85" i="19" a="1"/>
  <c r="AS85" i="19" s="1"/>
  <c r="AR85" i="19" a="1"/>
  <c r="AR85" i="19" s="1"/>
  <c r="AQ85" i="19" a="1"/>
  <c r="AQ85" i="19" s="1"/>
  <c r="AP85" i="19"/>
  <c r="AP85" i="19" a="1"/>
  <c r="AO85" i="19" a="1"/>
  <c r="AO85" i="19" s="1"/>
  <c r="AN85" i="19" a="1"/>
  <c r="AN85" i="19" s="1"/>
  <c r="AM85" i="19" a="1"/>
  <c r="AM85" i="19" s="1"/>
  <c r="AL85" i="19"/>
  <c r="AL85" i="19" a="1"/>
  <c r="AK85" i="19" a="1"/>
  <c r="AK85" i="19" s="1"/>
  <c r="AZ84" i="19" a="1"/>
  <c r="AZ84" i="19" s="1"/>
  <c r="AY84" i="19" a="1"/>
  <c r="AY84" i="19" s="1"/>
  <c r="AX84" i="19"/>
  <c r="AX84" i="19" a="1"/>
  <c r="AW84" i="19" a="1"/>
  <c r="AW84" i="19" s="1"/>
  <c r="AV84" i="19" a="1"/>
  <c r="AV84" i="19" s="1"/>
  <c r="AU84" i="19" a="1"/>
  <c r="AU84" i="19" s="1"/>
  <c r="AT84" i="19"/>
  <c r="AT84" i="19" a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/>
  <c r="AL84" i="19" a="1"/>
  <c r="AK84" i="19" a="1"/>
  <c r="AK84" i="19" s="1"/>
  <c r="AZ83" i="19" a="1"/>
  <c r="AZ83" i="19" s="1"/>
  <c r="AY83" i="19" a="1"/>
  <c r="AY83" i="19" s="1"/>
  <c r="AX83" i="19"/>
  <c r="AX83" i="19" a="1"/>
  <c r="AW83" i="19" a="1"/>
  <c r="AW83" i="19" s="1"/>
  <c r="AV83" i="19" a="1"/>
  <c r="AV83" i="19" s="1"/>
  <c r="AU83" i="19" a="1"/>
  <c r="AU83" i="19" s="1"/>
  <c r="AT83" i="19"/>
  <c r="AT83" i="19" a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/>
  <c r="AL83" i="19" a="1"/>
  <c r="AK83" i="19" a="1"/>
  <c r="AK83" i="19" s="1"/>
  <c r="AZ82" i="19" a="1"/>
  <c r="AZ82" i="19" s="1"/>
  <c r="AY82" i="19" a="1"/>
  <c r="AY82" i="19" s="1"/>
  <c r="AX82" i="19"/>
  <c r="AX82" i="19" a="1"/>
  <c r="AW82" i="19" a="1"/>
  <c r="AW82" i="19" s="1"/>
  <c r="AV82" i="19" a="1"/>
  <c r="AV82" i="19" s="1"/>
  <c r="AU82" i="19" a="1"/>
  <c r="AU82" i="19" s="1"/>
  <c r="AT82" i="19"/>
  <c r="AT82" i="19" a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/>
  <c r="AN82" i="19" a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/>
  <c r="AV81" i="19" a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/>
  <c r="AV80" i="19" a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/>
  <c r="AN80" i="19" a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/>
  <c r="AV79" i="19" a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/>
  <c r="AN79" i="19" a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/>
  <c r="AV78" i="19" a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/>
  <c r="AN78" i="19" a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/>
  <c r="AV77" i="19" a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/>
  <c r="AN77" i="19" a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/>
  <c r="AV76" i="19" a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/>
  <c r="AN76" i="19" a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/>
  <c r="AV75" i="19" a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/>
  <c r="AN75" i="19" a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/>
  <c r="AV74" i="19" a="1"/>
  <c r="AU74" i="19" a="1"/>
  <c r="AU74" i="19" s="1"/>
  <c r="AT74" i="19" a="1"/>
  <c r="AT74" i="19" s="1"/>
  <c r="AS74" i="19" a="1"/>
  <c r="AS74" i="19" s="1"/>
  <c r="AR74" i="19"/>
  <c r="AR74" i="19" a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/>
  <c r="AL74" i="19" a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/>
  <c r="AR73" i="19" a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/>
  <c r="AL73" i="19" a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/>
  <c r="AV72" i="19" a="1"/>
  <c r="AU72" i="19" a="1"/>
  <c r="AU72" i="19" s="1"/>
  <c r="AT72" i="19" a="1"/>
  <c r="AT72" i="19" s="1"/>
  <c r="AS72" i="19" a="1"/>
  <c r="AS72" i="19" s="1"/>
  <c r="AR72" i="19"/>
  <c r="AR72" i="19" a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/>
  <c r="AL72" i="19" a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/>
  <c r="AV71" i="19" a="1"/>
  <c r="AU71" i="19" a="1"/>
  <c r="AU71" i="19" s="1"/>
  <c r="AT71" i="19" a="1"/>
  <c r="AT71" i="19" s="1"/>
  <c r="AS71" i="19" a="1"/>
  <c r="AS71" i="19" s="1"/>
  <c r="AR71" i="19"/>
  <c r="AR71" i="19" a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/>
  <c r="AL71" i="19" a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/>
  <c r="AV70" i="19" a="1"/>
  <c r="AU70" i="19" a="1"/>
  <c r="AU70" i="19" s="1"/>
  <c r="AT70" i="19" a="1"/>
  <c r="AT70" i="19" s="1"/>
  <c r="AS70" i="19" a="1"/>
  <c r="AS70" i="19" s="1"/>
  <c r="AR70" i="19"/>
  <c r="AR70" i="19" a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/>
  <c r="AL70" i="19" a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/>
  <c r="AV69" i="19" a="1"/>
  <c r="AU69" i="19" a="1"/>
  <c r="AU69" i="19" s="1"/>
  <c r="AT69" i="19" a="1"/>
  <c r="AT69" i="19" s="1"/>
  <c r="AS69" i="19" a="1"/>
  <c r="AS69" i="19" s="1"/>
  <c r="AR69" i="19"/>
  <c r="AR69" i="19" a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/>
  <c r="AL69" i="19" a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/>
  <c r="AV68" i="19" a="1"/>
  <c r="AU68" i="19" a="1"/>
  <c r="AU68" i="19" s="1"/>
  <c r="AT68" i="19" a="1"/>
  <c r="AT68" i="19" s="1"/>
  <c r="AS68" i="19" a="1"/>
  <c r="AS68" i="19" s="1"/>
  <c r="AR68" i="19"/>
  <c r="AR68" i="19" a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/>
  <c r="AL68" i="19" a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/>
  <c r="AN67" i="19" a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/>
  <c r="AT66" i="19" a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/>
  <c r="AL66" i="19" a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/>
  <c r="AR65" i="19" a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/>
  <c r="AT64" i="19" a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/>
  <c r="AL64" i="19" a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/>
  <c r="AT63" i="19" a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/>
  <c r="AL63" i="19" a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/>
  <c r="AL62" i="19" a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/>
  <c r="AT61" i="19" a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/>
  <c r="AL61" i="19" a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/>
  <c r="AT60" i="19" a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/>
  <c r="AL60" i="19" a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/>
  <c r="AL59" i="19" a="1"/>
  <c r="AK59" i="19" a="1"/>
  <c r="AK59" i="19" s="1"/>
  <c r="AZ58" i="19"/>
  <c r="AZ58" i="19" a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/>
  <c r="AL58" i="19" a="1"/>
  <c r="AK58" i="19" a="1"/>
  <c r="AK58" i="19" s="1"/>
  <c r="AZ57" i="19"/>
  <c r="AZ57" i="19" a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/>
  <c r="AL57" i="19" a="1"/>
  <c r="AK57" i="19" a="1"/>
  <c r="AK57" i="19" s="1"/>
  <c r="AZ56" i="19"/>
  <c r="AZ56" i="19" a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/>
  <c r="AL56" i="19" a="1"/>
  <c r="AK56" i="19" a="1"/>
  <c r="AK56" i="19" s="1"/>
  <c r="AZ55" i="19"/>
  <c r="AZ55" i="19" a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/>
  <c r="AL55" i="19" a="1"/>
  <c r="AK55" i="19" a="1"/>
  <c r="AK55" i="19" s="1"/>
  <c r="AZ54" i="19"/>
  <c r="AZ54" i="19" a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/>
  <c r="AL54" i="19" a="1"/>
  <c r="AK54" i="19" a="1"/>
  <c r="AK54" i="19" s="1"/>
  <c r="AZ53" i="19"/>
  <c r="AZ53" i="19" a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/>
  <c r="AL53" i="19" a="1"/>
  <c r="AK53" i="19" a="1"/>
  <c r="AK53" i="19" s="1"/>
  <c r="AZ52" i="19"/>
  <c r="AZ52" i="19" a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/>
  <c r="AZ51" i="19" a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/>
  <c r="AL51" i="19" a="1"/>
  <c r="AK51" i="19" a="1"/>
  <c r="AK51" i="19" s="1"/>
  <c r="AZ50" i="19"/>
  <c r="AZ50" i="19" a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/>
  <c r="AL50" i="19" a="1"/>
  <c r="AK50" i="19" a="1"/>
  <c r="AK50" i="19" s="1"/>
  <c r="AZ49" i="19"/>
  <c r="AZ49" i="19" a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/>
  <c r="AL49" i="19" a="1"/>
  <c r="AK49" i="19" a="1"/>
  <c r="AK49" i="19" s="1"/>
  <c r="AZ48" i="19"/>
  <c r="AZ48" i="19" a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/>
  <c r="AZ47" i="19" a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/>
  <c r="AL47" i="19" a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/>
  <c r="AL46" i="19" a="1"/>
  <c r="AK46" i="19" a="1"/>
  <c r="AK46" i="19" s="1"/>
  <c r="AZ45" i="19"/>
  <c r="AZ45" i="19" a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/>
  <c r="AL45" i="19" a="1"/>
  <c r="AK45" i="19" a="1"/>
  <c r="AK45" i="19" s="1"/>
  <c r="AZ44" i="19"/>
  <c r="AZ44" i="19" a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/>
  <c r="AL44" i="19" a="1"/>
  <c r="AK44" i="19" a="1"/>
  <c r="AK44" i="19" s="1"/>
  <c r="AZ43" i="19"/>
  <c r="AZ43" i="19" a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/>
  <c r="AL43" i="19" a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/>
  <c r="AL42" i="19" a="1"/>
  <c r="AK42" i="19" a="1"/>
  <c r="AK42" i="19" s="1"/>
  <c r="AZ41" i="19"/>
  <c r="AZ41" i="19" a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/>
  <c r="AL41" i="19" a="1"/>
  <c r="AK41" i="19" a="1"/>
  <c r="AK41" i="19" s="1"/>
  <c r="AZ40" i="19"/>
  <c r="AZ40" i="19" a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/>
  <c r="AL40" i="19" a="1"/>
  <c r="AK40" i="19" a="1"/>
  <c r="AK40" i="19" s="1"/>
  <c r="AZ39" i="19"/>
  <c r="AZ39" i="19" a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/>
  <c r="AL39" i="19" a="1"/>
  <c r="AK39" i="19" a="1"/>
  <c r="AK39" i="19" s="1"/>
  <c r="AZ38" i="19"/>
  <c r="AZ38" i="19" a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/>
  <c r="AL38" i="19" a="1"/>
  <c r="AK38" i="19" a="1"/>
  <c r="AK38" i="19" s="1"/>
  <c r="AZ37" i="19"/>
  <c r="AZ37" i="19" a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/>
  <c r="AL37" i="19" a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/>
  <c r="AL36" i="19" a="1"/>
  <c r="AK36" i="19" a="1"/>
  <c r="AK36" i="19" s="1"/>
  <c r="AZ35" i="19"/>
  <c r="AZ35" i="19" a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/>
  <c r="AL35" i="19" a="1"/>
  <c r="AK35" i="19" a="1"/>
  <c r="AK35" i="19" s="1"/>
  <c r="AZ34" i="19"/>
  <c r="AZ34" i="19" a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/>
  <c r="AL34" i="19" a="1"/>
  <c r="AK34" i="19" a="1"/>
  <c r="AK34" i="19" s="1"/>
  <c r="AZ33" i="19"/>
  <c r="AZ33" i="19" a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/>
  <c r="AL33" i="19" a="1"/>
  <c r="AK33" i="19" a="1"/>
  <c r="AK33" i="19" s="1"/>
  <c r="AZ32" i="19"/>
  <c r="AZ32" i="19" a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/>
  <c r="AL32" i="19" a="1"/>
  <c r="AK32" i="19" a="1"/>
  <c r="AK32" i="19" s="1"/>
  <c r="AZ31" i="19"/>
  <c r="AZ31" i="19" a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/>
  <c r="AL31" i="19" a="1"/>
  <c r="AK31" i="19" a="1"/>
  <c r="AK31" i="19" s="1"/>
  <c r="AZ30" i="19"/>
  <c r="AZ30" i="19" a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/>
  <c r="AL30" i="19" a="1"/>
  <c r="AK30" i="19" a="1"/>
  <c r="AK30" i="19" s="1"/>
  <c r="AZ29" i="19"/>
  <c r="AZ29" i="19" a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/>
  <c r="AL29" i="19" a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/>
  <c r="AL28" i="19" a="1"/>
  <c r="AK28" i="19" a="1"/>
  <c r="AK28" i="19" s="1"/>
  <c r="AZ27" i="19"/>
  <c r="AZ27" i="19" a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/>
  <c r="AL27" i="19" a="1"/>
  <c r="AK27" i="19" a="1"/>
  <c r="AK27" i="19" s="1"/>
  <c r="AZ26" i="19"/>
  <c r="AZ26" i="19" a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/>
  <c r="AL26" i="19" a="1"/>
  <c r="AK26" i="19" a="1"/>
  <c r="AK26" i="19" s="1"/>
  <c r="AZ25" i="19"/>
  <c r="AZ25" i="19" a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/>
  <c r="AT25" i="19" a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/>
  <c r="AL25" i="19" a="1"/>
  <c r="AK25" i="19" a="1"/>
  <c r="AK25" i="19" s="1"/>
  <c r="AZ24" i="19"/>
  <c r="AZ24" i="19" a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/>
  <c r="AZ23" i="19" a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/>
  <c r="AT23" i="19" a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/>
  <c r="AL23" i="19" a="1"/>
  <c r="AK23" i="19" a="1"/>
  <c r="AK23" i="19" s="1"/>
  <c r="AZ22" i="19"/>
  <c r="AZ22" i="19" a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/>
  <c r="AP22" i="19" a="1"/>
  <c r="AO22" i="19" a="1"/>
  <c r="AO22" i="19" s="1"/>
  <c r="AN22" i="19" a="1"/>
  <c r="AN22" i="19" s="1"/>
  <c r="AM22" i="19" a="1"/>
  <c r="AM22" i="19" s="1"/>
  <c r="AL22" i="19"/>
  <c r="AL22" i="19" a="1"/>
  <c r="AK22" i="19" a="1"/>
  <c r="AK22" i="19" s="1"/>
  <c r="AZ21" i="19" a="1"/>
  <c r="AZ21" i="19" s="1"/>
  <c r="AY21" i="19" a="1"/>
  <c r="AY21" i="19" s="1"/>
  <c r="AX21" i="19"/>
  <c r="AX21" i="19" a="1"/>
  <c r="AW21" i="19" a="1"/>
  <c r="AW21" i="19" s="1"/>
  <c r="AV21" i="19"/>
  <c r="AV21" i="19" a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/>
  <c r="AP21" i="19" a="1"/>
  <c r="AO21" i="19" a="1"/>
  <c r="AO21" i="19" s="1"/>
  <c r="AN21" i="19" a="1"/>
  <c r="AN21" i="19" s="1"/>
  <c r="AM21" i="19" a="1"/>
  <c r="AM21" i="19" s="1"/>
  <c r="AL21" i="19"/>
  <c r="AL21" i="19" a="1"/>
  <c r="AK21" i="19" a="1"/>
  <c r="AK21" i="19" s="1"/>
  <c r="AZ20" i="19" a="1"/>
  <c r="AZ20" i="19" s="1"/>
  <c r="AY20" i="19" a="1"/>
  <c r="AY20" i="19" s="1"/>
  <c r="AX20" i="19"/>
  <c r="AX20" i="19" a="1"/>
  <c r="AW20" i="19" a="1"/>
  <c r="AW20" i="19" s="1"/>
  <c r="AV20" i="19" a="1"/>
  <c r="AV20" i="19" s="1"/>
  <c r="AU20" i="19" a="1"/>
  <c r="AU20" i="19" s="1"/>
  <c r="AT20" i="19"/>
  <c r="AT20" i="19" a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/>
  <c r="AL20" i="19" a="1"/>
  <c r="AK20" i="19" a="1"/>
  <c r="AK20" i="19" s="1"/>
  <c r="AZ19" i="19" a="1"/>
  <c r="AZ19" i="19" s="1"/>
  <c r="AY19" i="19" a="1"/>
  <c r="AY19" i="19" s="1"/>
  <c r="AX19" i="19"/>
  <c r="AX19" i="19" a="1"/>
  <c r="AW19" i="19" a="1"/>
  <c r="AW19" i="19" s="1"/>
  <c r="AV19" i="19" a="1"/>
  <c r="AV19" i="19" s="1"/>
  <c r="AU19" i="19" a="1"/>
  <c r="AU19" i="19" s="1"/>
  <c r="AT19" i="19"/>
  <c r="AT19" i="19" a="1"/>
  <c r="AS19" i="19" a="1"/>
  <c r="AS19" i="19" s="1"/>
  <c r="AR19" i="19" a="1"/>
  <c r="AR19" i="19" s="1"/>
  <c r="AQ19" i="19" a="1"/>
  <c r="AQ19" i="19" s="1"/>
  <c r="AP19" i="19"/>
  <c r="AP19" i="19" a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/>
  <c r="AX18" i="19" a="1"/>
  <c r="AW18" i="19" a="1"/>
  <c r="AW18" i="19" s="1"/>
  <c r="AV18" i="19" a="1"/>
  <c r="AV18" i="19" s="1"/>
  <c r="AU18" i="19" a="1"/>
  <c r="AU18" i="19" s="1"/>
  <c r="AT18" i="19"/>
  <c r="AT18" i="19" a="1"/>
  <c r="AS18" i="19" a="1"/>
  <c r="AS18" i="19" s="1"/>
  <c r="AR18" i="19" a="1"/>
  <c r="AR18" i="19" s="1"/>
  <c r="AQ18" i="19" a="1"/>
  <c r="AQ18" i="19" s="1"/>
  <c r="AP18" i="19"/>
  <c r="AP18" i="19" a="1"/>
  <c r="AO18" i="19" a="1"/>
  <c r="AO18" i="19" s="1"/>
  <c r="AN18" i="19" a="1"/>
  <c r="AN18" i="19" s="1"/>
  <c r="AM18" i="19" a="1"/>
  <c r="AM18" i="19" s="1"/>
  <c r="AL18" i="19"/>
  <c r="AL18" i="19" a="1"/>
  <c r="AK18" i="19" a="1"/>
  <c r="AK18" i="19" s="1"/>
  <c r="AZ17" i="19" a="1"/>
  <c r="AZ17" i="19" s="1"/>
  <c r="AY17" i="19" a="1"/>
  <c r="AY17" i="19" s="1"/>
  <c r="AX17" i="19"/>
  <c r="AX17" i="19" a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/>
  <c r="AP17" i="19" a="1"/>
  <c r="AO17" i="19" a="1"/>
  <c r="AO17" i="19" s="1"/>
  <c r="AN17" i="19" a="1"/>
  <c r="AN17" i="19" s="1"/>
  <c r="AM17" i="19" a="1"/>
  <c r="AM17" i="19" s="1"/>
  <c r="AL17" i="19"/>
  <c r="AL17" i="19" a="1"/>
  <c r="AK17" i="19" a="1"/>
  <c r="AK17" i="19" s="1"/>
  <c r="AZ16" i="19" a="1"/>
  <c r="AZ16" i="19" s="1"/>
  <c r="AY16" i="19" a="1"/>
  <c r="AY16" i="19" s="1"/>
  <c r="AX16" i="19"/>
  <c r="AX16" i="19" a="1"/>
  <c r="AW16" i="19" a="1"/>
  <c r="AW16" i="19" s="1"/>
  <c r="AV16" i="19" a="1"/>
  <c r="AV16" i="19" s="1"/>
  <c r="AU16" i="19" a="1"/>
  <c r="AU16" i="19" s="1"/>
  <c r="AT16" i="19"/>
  <c r="AT16" i="19" a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/>
  <c r="AL16" i="19" a="1"/>
  <c r="AK16" i="19" a="1"/>
  <c r="AK16" i="19" s="1"/>
  <c r="AZ15" i="19" a="1"/>
  <c r="AZ15" i="19" s="1"/>
  <c r="AY15" i="19" a="1"/>
  <c r="AY15" i="19" s="1"/>
  <c r="AX15" i="19"/>
  <c r="AX15" i="19" a="1"/>
  <c r="AW15" i="19" a="1"/>
  <c r="AW15" i="19" s="1"/>
  <c r="AV15" i="19" a="1"/>
  <c r="AV15" i="19" s="1"/>
  <c r="AU15" i="19" a="1"/>
  <c r="AU15" i="19" s="1"/>
  <c r="AT15" i="19"/>
  <c r="AT15" i="19" a="1"/>
  <c r="AS15" i="19" a="1"/>
  <c r="AS15" i="19" s="1"/>
  <c r="AR15" i="19" a="1"/>
  <c r="AR15" i="19" s="1"/>
  <c r="AQ15" i="19" a="1"/>
  <c r="AQ15" i="19" s="1"/>
  <c r="AP15" i="19"/>
  <c r="AP15" i="19" a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/>
  <c r="AX14" i="19" a="1"/>
  <c r="AW14" i="19" a="1"/>
  <c r="AW14" i="19" s="1"/>
  <c r="AV14" i="19" a="1"/>
  <c r="AV14" i="19" s="1"/>
  <c r="AU14" i="19" a="1"/>
  <c r="AU14" i="19" s="1"/>
  <c r="AT14" i="19"/>
  <c r="AT14" i="19" a="1"/>
  <c r="AS14" i="19" a="1"/>
  <c r="AS14" i="19" s="1"/>
  <c r="AR14" i="19" a="1"/>
  <c r="AR14" i="19" s="1"/>
  <c r="AQ14" i="19" a="1"/>
  <c r="AQ14" i="19" s="1"/>
  <c r="AP14" i="19"/>
  <c r="AP14" i="19" a="1"/>
  <c r="AO14" i="19" a="1"/>
  <c r="AO14" i="19" s="1"/>
  <c r="AN14" i="19" a="1"/>
  <c r="AN14" i="19" s="1"/>
  <c r="AM14" i="19" a="1"/>
  <c r="AM14" i="19" s="1"/>
  <c r="AL14" i="19"/>
  <c r="AL14" i="19" a="1"/>
  <c r="AK14" i="19" a="1"/>
  <c r="AK14" i="19" s="1"/>
  <c r="AZ13" i="19" a="1"/>
  <c r="AZ13" i="19" s="1"/>
  <c r="AY13" i="19" a="1"/>
  <c r="AY13" i="19" s="1"/>
  <c r="AX13" i="19"/>
  <c r="AX13" i="19" a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/>
  <c r="AP13" i="19" a="1"/>
  <c r="AO13" i="19" a="1"/>
  <c r="AO13" i="19" s="1"/>
  <c r="AN13" i="19" a="1"/>
  <c r="AN13" i="19" s="1"/>
  <c r="AM13" i="19" a="1"/>
  <c r="AM13" i="19" s="1"/>
  <c r="AL13" i="19"/>
  <c r="AL13" i="19" a="1"/>
  <c r="AK13" i="19" a="1"/>
  <c r="AK13" i="19" s="1"/>
  <c r="AZ12" i="19" a="1"/>
  <c r="AZ12" i="19" s="1"/>
  <c r="AY12" i="19" a="1"/>
  <c r="AY12" i="19" s="1"/>
  <c r="AX12" i="19"/>
  <c r="AX12" i="19" a="1"/>
  <c r="AW12" i="19" a="1"/>
  <c r="AW12" i="19" s="1"/>
  <c r="AV12" i="19" a="1"/>
  <c r="AV12" i="19" s="1"/>
  <c r="AU12" i="19" a="1"/>
  <c r="AU12" i="19" s="1"/>
  <c r="AT12" i="19"/>
  <c r="AT12" i="19" a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/>
  <c r="AL12" i="19" a="1"/>
  <c r="AK12" i="19" a="1"/>
  <c r="AK12" i="19" s="1"/>
  <c r="AZ11" i="19" a="1"/>
  <c r="AZ11" i="19" s="1"/>
  <c r="AY11" i="19" a="1"/>
  <c r="AY11" i="19" s="1"/>
  <c r="AX11" i="19"/>
  <c r="AX11" i="19" a="1"/>
  <c r="AW11" i="19" a="1"/>
  <c r="AW11" i="19" s="1"/>
  <c r="AV11" i="19" a="1"/>
  <c r="AV11" i="19" s="1"/>
  <c r="AU11" i="19" a="1"/>
  <c r="AU11" i="19" s="1"/>
  <c r="AT11" i="19"/>
  <c r="AT11" i="19" a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B3" i="9" s="1" a="1"/>
  <c r="B3" i="9" s="1"/>
  <c r="D2" i="7"/>
  <c r="D28" i="7" s="1"/>
  <c r="T12" i="10"/>
  <c r="W6" i="10" a="1"/>
  <c r="U11" i="10"/>
  <c r="W11" i="10" a="1"/>
  <c r="W5" i="10" a="1"/>
  <c r="X10" i="10" a="1"/>
  <c r="U6" i="10"/>
  <c r="W12" i="10" a="1"/>
  <c r="T13" i="10"/>
  <c r="U12" i="10"/>
  <c r="S6" i="13" a="1"/>
  <c r="W8" i="10" a="1"/>
  <c r="U13" i="10"/>
  <c r="X7" i="10" a="1"/>
  <c r="T7" i="10"/>
  <c r="X12" i="10" a="1"/>
  <c r="X6" i="10" a="1"/>
  <c r="U5" i="10"/>
  <c r="T8" i="10"/>
  <c r="T4" i="10"/>
  <c r="X4" i="10" a="1"/>
  <c r="T9" i="10"/>
  <c r="W10" i="10" a="1"/>
  <c r="X5" i="10" a="1"/>
  <c r="T11" i="10"/>
  <c r="W14" i="10" a="1"/>
  <c r="X9" i="10" a="1"/>
  <c r="X8" i="10" a="1"/>
  <c r="W13" i="10" a="1"/>
  <c r="U7" i="10"/>
  <c r="T6" i="10"/>
  <c r="U4" i="10"/>
  <c r="X11" i="10" a="1"/>
  <c r="W7" i="10" a="1"/>
  <c r="U14" i="10"/>
  <c r="U8" i="10"/>
  <c r="K47" i="11" a="1"/>
  <c r="T10" i="10"/>
  <c r="T5" i="10"/>
  <c r="J47" i="11" a="1"/>
  <c r="W9" i="10" a="1"/>
  <c r="X14" i="10" a="1"/>
  <c r="W4" i="10" a="1"/>
  <c r="T14" i="10"/>
  <c r="U9" i="10"/>
  <c r="U10" i="10"/>
  <c r="X13" i="10" a="1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T12" i="4"/>
  <c r="T4" i="1"/>
  <c r="T13" i="1"/>
  <c r="U12" i="1"/>
  <c r="X13" i="6" a="1"/>
  <c r="W14" i="4" a="1"/>
  <c r="U8" i="4"/>
  <c r="X4" i="6" a="1"/>
  <c r="X5" i="1" a="1"/>
  <c r="U13" i="1"/>
  <c r="U6" i="4"/>
  <c r="U6" i="1"/>
  <c r="W9" i="5" a="1"/>
  <c r="X9" i="1" a="1"/>
  <c r="W9" i="6" a="1"/>
  <c r="U4" i="4"/>
  <c r="U11" i="1"/>
  <c r="U5" i="1"/>
  <c r="X4" i="5" a="1"/>
  <c r="X13" i="4" a="1"/>
  <c r="U14" i="5"/>
  <c r="W5" i="4" a="1"/>
  <c r="T8" i="1"/>
  <c r="T10" i="5"/>
  <c r="U13" i="6"/>
  <c r="U7" i="5"/>
  <c r="W6" i="5" a="1"/>
  <c r="T7" i="4"/>
  <c r="W10" i="4" a="1"/>
  <c r="T8" i="5"/>
  <c r="X10" i="4" a="1"/>
  <c r="X7" i="6" a="1"/>
  <c r="U5" i="4"/>
  <c r="X6" i="6" a="1"/>
  <c r="T11" i="5"/>
  <c r="T14" i="5"/>
  <c r="U5" i="5"/>
  <c r="W10" i="6" a="1"/>
  <c r="X11" i="4" a="1"/>
  <c r="X7" i="1" a="1"/>
  <c r="T9" i="5"/>
  <c r="T14" i="1"/>
  <c r="X4" i="4" a="1"/>
  <c r="X14" i="6" a="1"/>
  <c r="T7" i="1"/>
  <c r="X8" i="1" a="1"/>
  <c r="T4" i="6"/>
  <c r="T12" i="1"/>
  <c r="T7" i="6"/>
  <c r="W5" i="5" a="1"/>
  <c r="U12" i="6"/>
  <c r="T4" i="4"/>
  <c r="W9" i="1" a="1"/>
  <c r="X7" i="5" a="1"/>
  <c r="U13" i="5"/>
  <c r="W14" i="1" a="1"/>
  <c r="W11" i="5" a="1"/>
  <c r="T7" i="5"/>
  <c r="T8" i="4"/>
  <c r="T5" i="1"/>
  <c r="X5" i="6" a="1"/>
  <c r="U7" i="1"/>
  <c r="W8" i="1" a="1"/>
  <c r="X12" i="4" a="1"/>
  <c r="U10" i="5"/>
  <c r="T5" i="4"/>
  <c r="T13" i="6"/>
  <c r="W12" i="5" a="1"/>
  <c r="T6" i="4"/>
  <c r="T11" i="4"/>
  <c r="U7" i="6"/>
  <c r="T12" i="6"/>
  <c r="T14" i="6"/>
  <c r="T10" i="1"/>
  <c r="U8" i="6"/>
  <c r="U6" i="6"/>
  <c r="X6" i="4" a="1"/>
  <c r="T5" i="5"/>
  <c r="W4" i="5" a="1"/>
  <c r="W6" i="1" a="1"/>
  <c r="W6" i="4" a="1"/>
  <c r="U9" i="6"/>
  <c r="W10" i="5" a="1"/>
  <c r="W9" i="4" a="1"/>
  <c r="X12" i="1" a="1"/>
  <c r="X9" i="6" a="1"/>
  <c r="W8" i="6" a="1"/>
  <c r="X14" i="1" a="1"/>
  <c r="X5" i="5" a="1"/>
  <c r="U11" i="5"/>
  <c r="W4" i="4" a="1"/>
  <c r="W11" i="6" a="1"/>
  <c r="X12" i="5" a="1"/>
  <c r="W14" i="6" a="1"/>
  <c r="W5" i="1" a="1"/>
  <c r="U9" i="1"/>
  <c r="T10" i="4"/>
  <c r="X10" i="5" a="1"/>
  <c r="W13" i="1" a="1"/>
  <c r="W12" i="6" a="1"/>
  <c r="X7" i="4" a="1"/>
  <c r="U4" i="1"/>
  <c r="X13" i="1" a="1"/>
  <c r="W7" i="4" a="1"/>
  <c r="U10" i="4"/>
  <c r="X8" i="6" a="1"/>
  <c r="X14" i="5" a="1"/>
  <c r="W7" i="6" a="1"/>
  <c r="X12" i="6" a="1"/>
  <c r="X11" i="1" a="1"/>
  <c r="U8" i="1"/>
  <c r="U14" i="4"/>
  <c r="U11" i="6"/>
  <c r="U5" i="6"/>
  <c r="T9" i="1"/>
  <c r="U4" i="5"/>
  <c r="T8" i="6"/>
  <c r="U7" i="4"/>
  <c r="W13" i="4" a="1"/>
  <c r="X13" i="5" a="1"/>
  <c r="T6" i="5"/>
  <c r="T6" i="1"/>
  <c r="T6" i="6"/>
  <c r="T14" i="4"/>
  <c r="X11" i="5" a="1"/>
  <c r="W8" i="4" a="1"/>
  <c r="T4" i="5"/>
  <c r="W11" i="1" a="1"/>
  <c r="U12" i="5"/>
  <c r="X14" i="4" a="1"/>
  <c r="X8" i="5" a="1"/>
  <c r="W7" i="1" a="1"/>
  <c r="U13" i="4"/>
  <c r="W12" i="1" a="1"/>
  <c r="U12" i="4"/>
  <c r="X6" i="5" a="1"/>
  <c r="X9" i="5" a="1"/>
  <c r="X6" i="1" a="1"/>
  <c r="T9" i="4"/>
  <c r="U6" i="5"/>
  <c r="U9" i="5"/>
  <c r="T12" i="5"/>
  <c r="W4" i="1" a="1"/>
  <c r="W13" i="6" a="1"/>
  <c r="T11" i="1"/>
  <c r="T13" i="4"/>
  <c r="W7" i="5" a="1"/>
  <c r="X9" i="4" a="1"/>
  <c r="T9" i="6"/>
  <c r="U9" i="4"/>
  <c r="W10" i="1" a="1"/>
  <c r="U14" i="6"/>
  <c r="T13" i="5"/>
  <c r="W12" i="4" a="1"/>
  <c r="T10" i="6"/>
  <c r="W5" i="6" a="1"/>
  <c r="T11" i="6"/>
  <c r="W8" i="5" a="1"/>
  <c r="U11" i="4"/>
  <c r="W11" i="4" a="1"/>
  <c r="U10" i="1"/>
  <c r="W4" i="6" a="1"/>
  <c r="X5" i="4" a="1"/>
  <c r="U8" i="5"/>
  <c r="U4" i="6"/>
  <c r="X4" i="1" a="1"/>
  <c r="T5" i="6"/>
  <c r="U14" i="1"/>
  <c r="U10" i="6"/>
  <c r="X10" i="6" a="1"/>
  <c r="W6" i="6" a="1"/>
  <c r="W14" i="5" a="1"/>
  <c r="W13" i="5" a="1"/>
  <c r="X10" i="1" a="1"/>
  <c r="X11" i="6" a="1"/>
  <c r="X8" i="4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7" i="21" a="1"/>
  <c r="AU35" i="21" a="1"/>
  <c r="BL52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U22" i="21" a="1"/>
  <c r="BA38" i="21" a="1"/>
  <c r="BN54" i="21" a="1"/>
  <c r="AU38" i="21" a="1"/>
  <c r="AI41" i="13" a="1"/>
  <c r="AI43" i="13" a="1"/>
  <c r="AI42" i="13" a="1"/>
  <c r="AN41" i="13" a="1"/>
  <c r="AN43" i="13" a="1"/>
  <c r="AI44" i="13" a="1"/>
  <c r="AI45" i="13" a="1"/>
  <c r="AI39" i="13" a="1"/>
  <c r="AI40" i="13" a="1"/>
  <c r="AN39" i="13" a="1"/>
  <c r="AN40" i="13" a="1"/>
  <c r="AN42" i="13" a="1"/>
  <c r="AN44" i="13" a="1"/>
  <c r="AN45" i="13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A37" i="21" a="1"/>
  <c r="BA22" i="21" a="1"/>
  <c r="BM52" i="21" a="1"/>
  <c r="BA35" i="21" a="1"/>
  <c r="BN52" i="21" a="1"/>
  <c r="AU25" i="21" a="1"/>
  <c r="BL55" i="21" a="1"/>
  <c r="BA25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BD53" i="21" s="1"/>
  <c r="BG53" i="21" s="1"/>
  <c r="BJ53" i="21" s="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X55" i="21"/>
  <c r="T55" i="21"/>
  <c r="W55" i="21"/>
  <c r="Z55" i="21"/>
  <c r="V55" i="21"/>
  <c r="Y55" i="21"/>
  <c r="U55" i="2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Q27" i="21" a="1"/>
  <c r="AQ27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M54" i="21" a="1"/>
  <c r="BN53" i="21" a="1"/>
  <c r="BA24" i="21" a="1"/>
  <c r="BA36" i="21" a="1"/>
  <c r="AU24" i="21" a="1"/>
  <c r="AU36" i="21" a="1"/>
  <c r="BL54" i="21" a="1"/>
  <c r="BL53" i="21" a="1"/>
  <c r="AU23" i="21" a="1"/>
  <c r="BA23" i="21" a="1"/>
  <c r="BM53" i="21" a="1"/>
  <c r="BM55" i="21" a="1"/>
  <c r="BA40" i="21" a="1"/>
  <c r="BA26" i="21" a="1"/>
  <c r="BN57" i="21" a="1"/>
  <c r="AU39" i="21" a="1"/>
  <c r="BN56" i="21" a="1"/>
  <c r="BA39" i="21" a="1"/>
  <c r="AE18" i="13" l="1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M53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AS27" i="21"/>
  <c r="AT27" i="21" s="1"/>
  <c r="AQ57" i="21"/>
  <c r="BC57" i="21" s="1"/>
  <c r="BF57" i="21" s="1"/>
  <c r="BI57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E19" i="13"/>
  <c r="AE15" i="13"/>
  <c r="AF17" i="13" a="1"/>
  <c r="AF17" i="13" s="1"/>
  <c r="AG17" i="13" s="1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40" i="21" a="1"/>
  <c r="BM56" i="21" a="1"/>
  <c r="AU26" i="21" a="1"/>
  <c r="BL56" i="21" a="1"/>
  <c r="AU27" i="21" a="1"/>
  <c r="BL57" i="21" a="1"/>
  <c r="BA27" i="21" a="1"/>
  <c r="BM57" i="21" a="1"/>
  <c r="AJ15" i="13" l="1"/>
  <c r="AJ28" i="13" s="1"/>
  <c r="AK28" i="13" s="1" a="1"/>
  <c r="AK28" i="13" s="1"/>
  <c r="AE28" i="13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N53" i="21"/>
  <c r="L53" i="21"/>
  <c r="Q53" i="21"/>
  <c r="O53" i="21"/>
  <c r="M53" i="21"/>
  <c r="R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BL5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F28" i="13" a="1"/>
  <c r="AF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K19" i="13" a="1"/>
  <c r="AK19" i="13" s="1"/>
  <c r="AL19" i="13" s="1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BN58" i="21" a="1"/>
  <c r="AU41" i="21" a="1"/>
  <c r="BA41" i="21" a="1"/>
  <c r="AI17" i="13" a="1"/>
  <c r="AI13" i="13" a="1"/>
  <c r="AN15" i="13" a="1"/>
  <c r="AI14" i="13" a="1"/>
  <c r="AI18" i="13" a="1"/>
  <c r="AJ30" i="13" l="1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I57" i="21"/>
  <c r="E57" i="21"/>
  <c r="H57" i="21"/>
  <c r="D57" i="21"/>
  <c r="G57" i="21"/>
  <c r="J57" i="21"/>
  <c r="F57" i="2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BA42" i="21" a="1"/>
  <c r="BM58" i="21" a="1"/>
  <c r="BN59" i="21" a="1"/>
  <c r="AU29" i="21" a="1"/>
  <c r="AU28" i="21" a="1"/>
  <c r="BA29" i="21" a="1"/>
  <c r="BL59" i="21" a="1"/>
  <c r="BL58" i="21" a="1"/>
  <c r="BA28" i="21" a="1"/>
  <c r="AU42" i="21" a="1"/>
  <c r="AI19" i="13" a="1"/>
  <c r="AI15" i="13" a="1"/>
  <c r="AI16" i="13" a="1"/>
  <c r="AN13" i="13" a="1"/>
  <c r="AN19" i="13" a="1"/>
  <c r="N15" i="13" l="1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C19" i="13"/>
  <c r="H19" i="13"/>
  <c r="E19" i="13"/>
  <c r="G19" i="13"/>
  <c r="AH29" i="13"/>
  <c r="AM16" i="13"/>
  <c r="AL29" i="13"/>
  <c r="AI27" i="13"/>
  <c r="D14" i="13"/>
  <c r="I14" i="13"/>
  <c r="G14" i="13"/>
  <c r="E14" i="13"/>
  <c r="C14" i="13"/>
  <c r="H14" i="13"/>
  <c r="F14" i="13"/>
  <c r="F15" i="13"/>
  <c r="I15" i="13"/>
  <c r="G15" i="13"/>
  <c r="C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4" i="13" a="1"/>
  <c r="AN17" i="13" a="1"/>
  <c r="AN18" i="13" a="1"/>
  <c r="AU43" i="21" a="1"/>
  <c r="BL60" i="21" a="1"/>
  <c r="BA30" i="21" a="1"/>
  <c r="BM59" i="21" a="1"/>
  <c r="BA43" i="21" a="1"/>
  <c r="BN60" i="21" a="1"/>
  <c r="AU30" i="21" a="1"/>
  <c r="AN16" i="13" a="1"/>
  <c r="F19" i="13" l="1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8" i="13"/>
  <c r="I28" i="13"/>
  <c r="H28" i="13"/>
  <c r="F28" i="13"/>
  <c r="C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L61" i="21" a="1"/>
  <c r="BM60" i="21" a="1"/>
  <c r="BA31" i="21" a="1"/>
  <c r="BA44" i="21" a="1"/>
  <c r="AU31" i="21" a="1"/>
  <c r="BN61" i="21" a="1"/>
  <c r="AU44" i="21" a="1"/>
  <c r="E32" i="13" l="1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AU32" i="21" a="1"/>
  <c r="BL62" i="21" a="1"/>
  <c r="BA32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BM62" i="21" a="1"/>
  <c r="BA45" i="21" a="1"/>
  <c r="BN62" i="21" a="1"/>
  <c r="AU45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<sst xmlns="http://schemas.openxmlformats.org/spreadsheetml/2006/main" count="1297" uniqueCount="956">
  <si>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</si>
  <si>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</si>
  <si>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</si>
  <si>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</si>
  <si>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</si>
  <si>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</si>
  <si>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</si>
  <si>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</si>
  <si>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</si>
  <si>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</si>
  <si>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</si>
  <si>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</si>
  <si>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</si>
  <si>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</si>
  <si>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</si>
  <si>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</si>
  <si>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</si>
  <si>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</si>
  <si>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</si>
  <si>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</si>
  <si>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</si>
  <si>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</si>
  <si>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</si>
  <si>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</si>
  <si>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</si>
  <si>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</si>
  <si>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</si>
  <si>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</si>
  <si>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</si>
  <si>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</si>
  <si>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</si>
  <si>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</si>
  <si>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</si>
  <si>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</si>
  <si>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</si>
  <si>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</si>
  <si>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</si>
  <si>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</si>
  <si>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</si>
  <si>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</si>
  <si>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</si>
  <si>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</si>
  <si>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</si>
  <si>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</si>
  <si>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</si>
  <si>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</si>
  <si>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</si>
  <si>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</si>
  <si>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</si>
  <si>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</si>
  <si>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</si>
  <si>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</si>
  <si>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</si>
  <si>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</si>
  <si>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</si>
  <si>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</si>
  <si>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</si>
  <si>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</si>
  <si>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</si>
  <si>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</si>
  <si>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</si>
  <si>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</si>
  <si>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</si>
  <si>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</si>
  <si>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</si>
  <si>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</si>
  <si>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</si>
  <si>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</si>
  <si>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</si>
  <si>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</si>
  <si>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</si>
  <si>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</si>
  <si>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</si>
  <si>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</si>
  <si>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</si>
  <si>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</si>
  <si>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</si>
  <si>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</si>
  <si>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</si>
  <si>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</si>
  <si>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</si>
  <si>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</si>
  <si>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</si>
  <si>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</si>
  <si>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</si>
  <si>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</si>
  <si>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</si>
  <si>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</si>
  <si>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</si>
  <si>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</si>
  <si>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</si>
  <si>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</si>
  <si>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</si>
  <si>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</si>
  <si>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</si>
  <si>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</si>
  <si>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</si>
  <si>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</si>
  <si>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</si>
  <si>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</si>
  <si>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</si>
  <si>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</si>
  <si>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</si>
  <si>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</si>
  <si>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</si>
  <si>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</si>
  <si>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</si>
  <si>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</si>
  <si>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</si>
  <si>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</si>
  <si>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</si>
  <si>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</si>
  <si>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</si>
  <si>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</si>
  <si>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</si>
  <si>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</si>
  <si>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</si>
  <si>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</si>
  <si>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</si>
  <si>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</si>
  <si>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</si>
  <si>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</si>
  <si>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</si>
  <si>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</si>
  <si>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</si>
  <si>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</si>
  <si>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</si>
  <si>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</si>
  <si>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</si>
  <si>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</si>
  <si>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</si>
  <si>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</si>
  <si>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</si>
  <si>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</si>
  <si>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</si>
  <si>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</si>
  <si>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</si>
  <si>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</si>
  <si>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</si>
  <si>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</si>
  <si>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</si>
  <si>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</si>
  <si>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</si>
  <si>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</si>
  <si>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</si>
  <si>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</si>
  <si>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</si>
  <si>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</si>
  <si>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</si>
  <si>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</si>
  <si>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</si>
  <si>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</si>
  <si>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</si>
  <si>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</si>
  <si>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</si>
  <si>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</si>
  <si>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</si>
  <si>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</si>
  <si>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</si>
  <si>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</si>
  <si>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</si>
  <si>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</si>
  <si>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</si>
  <si>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</si>
  <si>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</si>
  <si>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</si>
  <si>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</si>
  <si>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</si>
  <si>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</si>
  <si>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</si>
  <si>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</si>
  <si>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</si>
  <si>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</si>
  <si>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</si>
  <si>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</si>
  <si>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</si>
  <si>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</si>
  <si>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</si>
  <si>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</si>
  <si>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</si>
  <si>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</si>
  <si>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</si>
  <si>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</si>
  <si>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</si>
  <si>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</si>
  <si>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</si>
  <si>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</si>
  <si>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</si>
  <si>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</si>
  <si>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</si>
  <si>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</si>
  <si>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</si>
  <si>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</si>
  <si>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</si>
  <si>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</si>
  <si>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</si>
  <si>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</si>
  <si>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</si>
  <si>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</si>
  <si>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</si>
  <si>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</si>
  <si>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</si>
  <si>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</si>
  <si>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</si>
  <si>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</si>
  <si>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</si>
  <si>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</si>
  <si>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</si>
  <si>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</si>
  <si>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</si>
  <si>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</si>
  <si>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</si>
  <si>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</si>
  <si>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</si>
  <si>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</si>
  <si>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</si>
  <si>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</si>
  <si>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</si>
  <si>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</si>
  <si>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</si>
  <si>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</si>
  <si>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</si>
  <si>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</si>
  <si>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</si>
  <si>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</si>
  <si>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</si>
  <si>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</si>
  <si>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</si>
  <si>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</si>
  <si>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</si>
  <si>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</si>
  <si>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</si>
  <si>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</si>
  <si>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</si>
  <si>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</si>
  <si>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</si>
  <si>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</si>
  <si>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</si>
  <si>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</si>
  <si>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</si>
  <si>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</si>
  <si>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</si>
  <si>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</si>
  <si>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</si>
  <si>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</si>
  <si>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</si>
  <si>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</si>
  <si>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</si>
  <si>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</si>
  <si>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</si>
  <si>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</si>
  <si>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</si>
  <si>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</si>
  <si>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</si>
  <si>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</si>
  <si>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</si>
  <si>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</si>
  <si>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</si>
  <si>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</si>
  <si>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</si>
  <si>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</si>
  <si>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</si>
  <si>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</si>
  <si>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</si>
  <si>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</si>
  <si>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</si>
  <si>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</si>
  <si>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</si>
  <si>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</si>
  <si>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</si>
  <si>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</si>
  <si>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</si>
  <si>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</si>
  <si>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</si>
  <si>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</si>
  <si>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</si>
  <si>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</si>
  <si>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</si>
  <si>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</si>
  <si>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</si>
  <si>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</si>
  <si>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</si>
  <si>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</si>
  <si>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</si>
  <si>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</si>
  <si>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</si>
  <si>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</si>
  <si>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</si>
  <si>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</si>
  <si>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</si>
  <si>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</si>
  <si>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</si>
  <si>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</si>
  <si>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</si>
  <si>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</si>
  <si>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</si>
  <si>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</si>
  <si>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</si>
  <si>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</si>
  <si>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</si>
  <si>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</si>
  <si>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</si>
  <si>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</si>
  <si>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</si>
  <si>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</si>
  <si>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</si>
  <si>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</si>
  <si>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</si>
  <si>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</si>
  <si>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</si>
  <si>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</si>
  <si>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</si>
  <si>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</si>
  <si>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</si>
  <si>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</si>
  <si>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</si>
  <si>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</si>
  <si>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</si>
  <si>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</si>
  <si>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</si>
  <si>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</si>
  <si>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</si>
  <si>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</si>
  <si>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</si>
  <si>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</si>
  <si>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</si>
  <si>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</si>
  <si>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</si>
  <si>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</si>
  <si>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</si>
  <si>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</si>
  <si>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</si>
  <si>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</si>
  <si>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</si>
  <si>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</si>
  <si>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</si>
  <si>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</si>
  <si>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</si>
  <si>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</si>
  <si>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</si>
  <si>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</si>
  <si>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</si>
  <si>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</si>
  <si>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</si>
  <si>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</si>
  <si>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</si>
  <si>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</si>
  <si>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</si>
  <si>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</si>
  <si>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</si>
  <si>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</si>
  <si>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</si>
  <si>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</si>
  <si>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</si>
  <si>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</si>
  <si>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</si>
  <si>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</si>
  <si>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</si>
  <si>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</si>
  <si>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</si>
  <si>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</si>
  <si>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</si>
  <si>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</si>
  <si>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</si>
  <si>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</si>
  <si>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</si>
  <si>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</si>
  <si>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</si>
  <si>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</si>
  <si>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</si>
  <si>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</si>
  <si>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</si>
  <si>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</si>
  <si>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</si>
  <si>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</si>
  <si>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</si>
  <si>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</si>
  <si>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</si>
  <si>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</si>
  <si>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</si>
  <si>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</si>
  <si>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</si>
  <si>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</si>
  <si>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</si>
  <si>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</si>
  <si>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</si>
  <si>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</si>
  <si>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</si>
  <si>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</si>
  <si>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</si>
  <si>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</si>
  <si>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</si>
  <si>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</si>
  <si>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</si>
  <si>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</si>
  <si>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</si>
  <si>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</si>
  <si>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</si>
  <si>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</si>
  <si>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</si>
  <si>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</si>
  <si>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</si>
  <si>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</si>
  <si>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</si>
  <si>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</si>
  <si>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</si>
  <si>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</si>
  <si>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</si>
  <si>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</si>
  <si>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</si>
  <si>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</si>
  <si>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</si>
  <si>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</si>
  <si>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</si>
  <si>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</si>
  <si>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</si>
  <si>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</si>
  <si>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</si>
  <si>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</si>
  <si>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</si>
  <si>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</si>
  <si>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</si>
  <si>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</si>
  <si>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</si>
  <si>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</si>
  <si>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</si>
  <si>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</si>
  <si>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</si>
  <si>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</si>
  <si>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</si>
  <si>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</si>
  <si>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</si>
  <si>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</si>
  <si>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</si>
  <si>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</si>
  <si>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</si>
  <si>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</si>
  <si>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</si>
  <si>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</si>
  <si>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</si>
  <si>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</si>
  <si>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</si>
  <si>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</si>
  <si>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</si>
  <si>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</si>
  <si>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</si>
  <si>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</si>
  <si>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</si>
  <si>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</si>
  <si>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</si>
  <si>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</si>
  <si>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</si>
  <si>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</si>
  <si>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</si>
  <si>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</si>
  <si>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</si>
  <si>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</si>
  <si>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</si>
  <si>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</si>
  <si>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</si>
  <si>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</si>
  <si>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</si>
  <si>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</si>
  <si>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</si>
  <si>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</si>
  <si>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</si>
  <si>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</si>
  <si>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</si>
  <si>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</si>
  <si>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</si>
  <si>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</si>
  <si>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</si>
  <si>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</si>
  <si>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</si>
  <si>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</si>
  <si>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</si>
  <si>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</si>
  <si>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</si>
  <si>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</si>
  <si>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</si>
  <si>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</si>
  <si>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</si>
  <si>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</si>
  <si>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</si>
  <si>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</si>
  <si>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</si>
  <si>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</si>
  <si>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</si>
  <si>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</si>
  <si>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</si>
  <si>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</si>
  <si>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</si>
  <si>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</si>
  <si>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</si>
  <si>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</si>
  <si>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</si>
  <si>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</si>
  <si>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</si>
  <si>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</si>
  <si>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</si>
  <si>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</si>
  <si>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</si>
  <si>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</si>
  <si>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</si>
  <si>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</si>
  <si>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</si>
  <si>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</si>
  <si>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</si>
  <si>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</si>
  <si>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</si>
  <si>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</si>
  <si>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</si>
  <si>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</si>
  <si>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</si>
  <si>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</si>
  <si>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</si>
  <si>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</si>
  <si>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</si>
  <si>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</si>
  <si>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</si>
  <si>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</si>
  <si>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</si>
  <si>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</si>
  <si>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</si>
  <si>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</si>
  <si>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</si>
  <si>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</si>
  <si>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</si>
  <si>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</si>
  <si>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</si>
  <si>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</si>
  <si>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</si>
  <si>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</si>
  <si>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</si>
  <si>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</si>
  <si>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</si>
  <si>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</si>
  <si>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</si>
  <si>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</si>
  <si>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</si>
  <si>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</si>
  <si>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</si>
  <si>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</si>
  <si>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</si>
  <si>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</si>
  <si>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</si>
  <si>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</si>
  <si>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</si>
  <si>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</si>
  <si>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</si>
  <si>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</si>
  <si>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</si>
  <si>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</si>
  <si>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</si>
  <si>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</si>
  <si>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</si>
  <si>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</si>
  <si>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</si>
  <si>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</si>
  <si>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</si>
  <si>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</si>
  <si>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</si>
  <si>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</si>
  <si>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</si>
  <si>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</si>
  <si>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</si>
  <si>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</si>
  <si>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</si>
  <si>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</si>
  <si>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</si>
  <si>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</si>
  <si>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</si>
  <si>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</si>
  <si>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</si>
  <si>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</si>
  <si>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</si>
  <si>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</si>
  <si>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</si>
  <si>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</si>
  <si>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</si>
  <si>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</si>
  <si>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</si>
  <si>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</si>
  <si>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</si>
  <si>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</si>
  <si>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</si>
  <si>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</si>
  <si>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</si>
  <si>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</si>
  <si>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</si>
  <si>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</si>
  <si>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</si>
  <si>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</si>
  <si>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</si>
  <si>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</si>
  <si>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</si>
  <si>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</si>
  <si>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</si>
  <si>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</si>
  <si>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</si>
  <si>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</si>
  <si>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</si>
  <si>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</si>
  <si>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</si>
  <si>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</si>
  <si>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</si>
  <si>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</si>
  <si>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</si>
  <si>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</si>
  <si>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</si>
  <si>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</si>
  <si>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</si>
  <si>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</si>
  <si>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</si>
  <si>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</si>
  <si>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</si>
  <si>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</si>
  <si>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</si>
  <si>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</si>
  <si>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</si>
  <si>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</si>
  <si>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</si>
  <si>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</si>
  <si>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</si>
  <si>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</si>
  <si>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</si>
  <si>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</si>
  <si>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</si>
  <si>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</si>
  <si>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</si>
  <si>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</si>
  <si>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</si>
  <si>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</si>
  <si>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</si>
  <si>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</si>
  <si>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</si>
  <si>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</si>
  <si>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</si>
  <si>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</si>
  <si>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</si>
  <si>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</si>
  <si>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</si>
  <si>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</si>
  <si>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</si>
  <si>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</si>
  <si>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</si>
  <si>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</si>
  <si>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</si>
  <si>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</si>
  <si>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</si>
  <si>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</si>
  <si>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</si>
  <si>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</si>
  <si>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</si>
  <si>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</si>
  <si>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</si>
  <si>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</si>
  <si>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</si>
  <si>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</si>
  <si>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</si>
  <si>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</si>
  <si>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</si>
  <si>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</si>
  <si>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</si>
  <si>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</si>
  <si>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</si>
  <si>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</si>
  <si>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</si>
  <si>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</si>
  <si>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</si>
  <si>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</si>
  <si>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</si>
  <si>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</si>
  <si>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</si>
  <si>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</si>
  <si>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</si>
  <si>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</si>
  <si>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</si>
  <si>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</si>
  <si>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</si>
  <si>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</si>
  <si>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</si>
  <si>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</si>
  <si>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</si>
  <si>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</si>
  <si>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</si>
  <si>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</si>
  <si>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</si>
  <si>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</si>
  <si>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</si>
  <si>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</si>
  <si>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</si>
  <si>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</si>
  <si>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</si>
  <si>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</si>
  <si>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</si>
  <si>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</si>
  <si>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</si>
  <si>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</si>
  <si>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</si>
  <si>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</si>
  <si>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</si>
  <si>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</si>
  <si>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</si>
  <si>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</si>
  <si>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</si>
  <si>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</si>
  <si>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</si>
  <si>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</si>
  <si>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</si>
  <si>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</si>
  <si>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</si>
  <si>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</si>
  <si>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</si>
  <si>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</si>
  <si>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</si>
  <si>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</si>
  <si>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</si>
  <si>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</si>
  <si>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</si>
  <si>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</si>
  <si>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</si>
  <si>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</si>
  <si>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</si>
  <si>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</si>
  <si>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</si>
  <si>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</si>
  <si>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</si>
  <si>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</si>
  <si>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</si>
  <si>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</si>
  <si>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</si>
  <si>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</si>
  <si>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</si>
  <si>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</si>
  <si>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</si>
  <si>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</si>
  <si>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</si>
  <si>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</si>
  <si>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</si>
  <si>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</si>
  <si>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</si>
  <si>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</si>
  <si>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</si>
  <si>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</si>
  <si>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</si>
  <si>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</si>
  <si>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</si>
  <si>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</si>
  <si>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</si>
  <si>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</si>
  <si>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</si>
  <si>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</si>
  <si>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</si>
  <si>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</si>
  <si>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</si>
  <si>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</si>
  <si>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</si>
  <si>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</si>
  <si>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</si>
  <si>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</si>
  <si>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</si>
  <si>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</si>
  <si>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</si>
  <si>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</si>
  <si>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</si>
  <si>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</si>
  <si>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</si>
  <si>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</si>
  <si>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</si>
  <si>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</si>
  <si>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</si>
  <si>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</si>
  <si>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</si>
  <si>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</si>
  <si>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</si>
  <si>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</si>
  <si>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</si>
  <si>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</si>
  <si>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</si>
  <si>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</si>
  <si>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</si>
  <si>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</si>
  <si>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</si>
  <si>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</si>
  <si>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</si>
  <si>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</si>
  <si>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</si>
  <si>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</si>
  <si>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</si>
  <si>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</si>
  <si>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</si>
  <si>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</si>
  <si>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</si>
  <si>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</si>
  <si>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</si>
  <si>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</si>
  <si>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</si>
  <si>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</si>
  <si>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</si>
  <si>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</si>
  <si>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</si>
  <si>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</si>
  <si>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</si>
  <si>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</si>
  <si>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</si>
  <si>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</si>
  <si>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</si>
  <si>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</si>
  <si>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</si>
  <si>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</si>
  <si>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</si>
  <si>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</si>
  <si>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</si>
  <si>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</si>
  <si>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</si>
  <si>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</si>
  <si>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</si>
  <si>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</si>
  <si>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</si>
  <si>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</si>
  <si>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</si>
  <si>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</si>
  <si>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</si>
  <si>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</si>
  <si>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</si>
  <si>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</si>
  <si>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</si>
  <si>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</si>
  <si>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</si>
  <si>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</si>
  <si>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</si>
  <si>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</si>
  <si>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</si>
  <si>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</si>
  <si>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</si>
  <si>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</si>
  <si>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</si>
  <si>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</si>
  <si>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</si>
  <si>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</si>
  <si>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</si>
  <si>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</si>
  <si>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</si>
  <si>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</si>
  <si>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</si>
  <si>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</si>
  <si>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</si>
  <si>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</si>
  <si>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</si>
  <si>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</si>
  <si>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</si>
  <si>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</si>
  <si>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</si>
  <si>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</si>
  <si>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</si>
  <si>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</si>
  <si>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</si>
  <si>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</si>
  <si>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</si>
  <si>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</si>
  <si>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</si>
  <si>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</si>
  <si>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</si>
  <si>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</si>
  <si>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</si>
  <si>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</si>
  <si>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</si>
  <si>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</si>
  <si>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</si>
  <si>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</si>
  <si>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</si>
  <si>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</si>
  <si>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</si>
  <si>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</si>
  <si>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</si>
  <si>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</si>
  <si>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</si>
  <si>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</si>
  <si>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</si>
  <si>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</si>
  <si>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</si>
  <si>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</si>
  <si>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</si>
  <si>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</si>
  <si>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</si>
  <si>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</si>
  <si>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</si>
  <si>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</si>
  <si>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</si>
  <si>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</si>
  <si>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</si>
  <si>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</si>
  <si>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</si>
  <si>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</si>
  <si>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</si>
  <si>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</si>
  <si>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</si>
  <si>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</si>
  <si>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</si>
  <si>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</si>
  <si>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</si>
  <si>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</si>
  <si>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</si>
  <si>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</si>
  <si>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</si>
  <si>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</si>
  <si>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</si>
  <si>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</si>
  <si>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</si>
  <si>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</si>
  <si>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</si>
  <si>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Pixel shifting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</si>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</sst>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1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</cellStyleXfs>
  <cellXfs count="129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</cellXfs>
  <cellStyles count="10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23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C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C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C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C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D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D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D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D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E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E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E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E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F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F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F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F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I29" s="64" t="b">
        <v>1</v>
      </c>
    </row>
    <row r="30" spans="7:12" ht="15" x14ac:dyDescent="0.4">
      <c r="G30" s="65" t="s">
        <v>942</v>
      </c>
      <c r="I30" s="64" t="b">
        <v>1</v>
      </c>
    </row>
    <row r="31" spans="7:12" x14ac:dyDescent="0.3">
      <c r="G31" s="61" t="s">
        <v>912</v>
      </c>
    </row>
    <row r="32" spans="7:12" x14ac:dyDescent="0.3">
      <c r="G32" s="61" t="s">
        <v>913</v>
      </c>
      <c r="I32" s="66"/>
    </row>
    <row r="33" spans="7:12" x14ac:dyDescent="0.3">
      <c r="G33" s="61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18" priority="2">
      <formula>IFERROR(NOT(I30),TRUE)</formula>
    </cfRule>
  </conditionalFormatting>
  <conditionalFormatting sqref="I29">
    <cfRule type="expression" dxfId="17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tabSelected="1" topLeftCell="A6" workbookViewId="0">
      <selection activeCell="T51" sqref="T51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951</v>
      </c>
      <c r="AQ2" s="112"/>
      <c r="AR2" s="112"/>
      <c r="AW2" s="112"/>
      <c r="AX2" s="112"/>
    </row>
    <row r="3" spans="1:50" outlineLevel="1" x14ac:dyDescent="0.3">
      <c r="A3" t="s">
        <v>948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946</v>
      </c>
      <c r="AE4" s="49" t="s">
        <v>947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0</v>
      </c>
      <c r="I5" s="78">
        <f>'Sprite (load)'!G4</f>
        <v>0</v>
      </c>
      <c r="J5" s="78">
        <f>'Sprite (load)'!H4</f>
        <v>1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40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0</v>
      </c>
      <c r="H6" s="78">
        <f>'Sprite (load)'!F5</f>
        <v>0</v>
      </c>
      <c r="I6" s="78">
        <f>'Sprite (load)'!G5</f>
        <v>1</v>
      </c>
      <c r="J6" s="78">
        <f>'Sprite (load)'!H5</f>
        <v>1</v>
      </c>
      <c r="K6" s="84">
        <f>'Sprite (load)'!I5</f>
        <v>1</v>
      </c>
      <c r="L6" s="89">
        <f>'Sprite (load)'!J5</f>
        <v>1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60</v>
      </c>
      <c r="AE6" s="83" t="str">
        <f>'Sprite (load)'!X5</f>
        <v>01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0</v>
      </c>
      <c r="H7" s="78">
        <f>'Sprite (load)'!F6</f>
        <v>0</v>
      </c>
      <c r="I7" s="78">
        <f>1</f>
        <v>1</v>
      </c>
      <c r="J7" s="78">
        <f>'Sprite (load)'!H6</f>
        <v>1</v>
      </c>
      <c r="K7" s="84">
        <f>'Sprite (load)'!I6</f>
        <v>1</v>
      </c>
      <c r="L7" s="89">
        <f>'Sprite (load)'!J6</f>
        <v>1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60</v>
      </c>
      <c r="AE7" s="83" t="str">
        <f>'Sprite (load)'!X6</f>
        <v>01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1</v>
      </c>
      <c r="I8" s="78">
        <f>'Sprite (load)'!G7</f>
        <v>1</v>
      </c>
      <c r="J8" s="78">
        <f>'Sprite (load)'!H7</f>
        <v>1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70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1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1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6C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1</v>
      </c>
      <c r="G10" s="78">
        <f>'Sprite (load)'!E9</f>
        <v>0</v>
      </c>
      <c r="H10" s="78">
        <f>'Sprite (load)'!F9</f>
        <v>1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1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36</v>
      </c>
      <c r="AE10" s="83" t="str">
        <f>'Sprite (load)'!X9</f>
        <v>06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1</v>
      </c>
      <c r="I11" s="78">
        <f>'Sprite (load)'!G10</f>
        <v>1</v>
      </c>
      <c r="J11" s="78">
        <f>'Sprite (load)'!H10</f>
        <v>0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30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1</v>
      </c>
      <c r="F13" s="78">
        <f>'Sprite (load)'!D12</f>
        <v>1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0</v>
      </c>
      <c r="N13" s="78">
        <f>'Sprite (load)'!L12</f>
        <v>0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5E</v>
      </c>
      <c r="AE13" s="83" t="str">
        <f>'Sprite (load)'!X12</f>
        <v>01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0</v>
      </c>
      <c r="H14" s="78">
        <f>'Sprite (load)'!F13</f>
        <v>0</v>
      </c>
      <c r="I14" s="78">
        <f>'Sprite (load)'!G13</f>
        <v>0</v>
      </c>
      <c r="J14" s="78">
        <f>'Sprite (load)'!H13</f>
        <v>1</v>
      </c>
      <c r="K14" s="84">
        <f>'Sprite (load)'!I13</f>
        <v>1</v>
      </c>
      <c r="L14" s="89">
        <f>'Sprite (load)'!J13</f>
        <v>1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40</v>
      </c>
      <c r="AE14" s="83" t="str">
        <f>'Sprite (load)'!X13</f>
        <v>01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0</v>
      </c>
      <c r="H15" s="78">
        <f>'Sprite (load)'!F14</f>
        <v>0</v>
      </c>
      <c r="I15" s="78">
        <f>'Sprite (load)'!G14</f>
        <v>0</v>
      </c>
      <c r="J15" s="78">
        <f>'Sprite (load)'!H14</f>
        <v>1</v>
      </c>
      <c r="K15" s="84">
        <f>'Sprite (load)'!I14</f>
        <v>1</v>
      </c>
      <c r="L15" s="89">
        <f>'Sprite (load)'!J14</f>
        <v>1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40</v>
      </c>
      <c r="AE15" s="83" t="str">
        <f>'Sprite (load)'!X14</f>
        <v>01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952</v>
      </c>
      <c r="AQ18" s="112"/>
      <c r="AR18" s="112"/>
      <c r="AW18" s="112"/>
      <c r="AX18" s="112"/>
    </row>
    <row r="19" spans="1:53" outlineLevel="1" x14ac:dyDescent="0.3">
      <c r="A19" t="s">
        <v>948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934</v>
      </c>
      <c r="AK20" s="121" t="s">
        <v>896</v>
      </c>
      <c r="AL20" s="122" t="s">
        <v>935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936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937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946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0</v>
      </c>
      <c r="I22" s="78">
        <f t="shared" si="0"/>
        <v>0</v>
      </c>
      <c r="J22" s="78">
        <f t="shared" si="0"/>
        <v>1</v>
      </c>
      <c r="K22" s="91">
        <f t="shared" si="0"/>
        <v>1</v>
      </c>
      <c r="L22" s="120"/>
      <c r="AD22" s="83" t="str">
        <f t="shared" ref="AD22:AD32" si="1">AD5</f>
        <v>40</v>
      </c>
      <c r="AG22" s="36" t="str" cm="1">
        <f t="array" ref="AG22">INDEX(PixelShiftPages,$B22+1)</f>
        <v>A7</v>
      </c>
      <c r="AH22" t="str">
        <f t="shared" ref="AH22:AH32" si="2">AG22&amp;AD22</f>
        <v>A740</v>
      </c>
      <c r="AI22" s="37" t="str">
        <f>pixel_shift_table.asm!$B$3</f>
        <v>A200</v>
      </c>
      <c r="AJ22">
        <f t="shared" ref="AJ22" si="3">HEX2DEC(AH22)-HEX2DEC(AI22)</f>
        <v>1344</v>
      </c>
      <c r="AK22" s="36" t="str" cm="1">
        <f t="array" ref="AK22">INDEX(_xlfn.TOROW(PixelShiftTable),AJ22+1)</f>
        <v>00</v>
      </c>
      <c r="AL22">
        <f t="shared" ref="AL22" si="4">AJ22+128</f>
        <v>1472</v>
      </c>
      <c r="AM22" s="36" t="str" cm="1">
        <f t="array" ref="AM22">INDEX(_xlfn.TOROW(PixelShiftTable),AL22+1)</f>
        <v>AA</v>
      </c>
      <c r="AN22" t="str">
        <f t="shared" ref="AN22" si="5">AM22&amp;AK22</f>
        <v>AA00</v>
      </c>
      <c r="AO22" t="str">
        <f>pixel_pattern_table.asm!$B$2</f>
        <v>A900</v>
      </c>
      <c r="AP22">
        <f t="shared" ref="AP22" si="6">HEX2DEC(AN22)-HEX2DEC(AO22)</f>
        <v>256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257</v>
      </c>
      <c r="AW22" s="107" t="str" cm="1">
        <f t="array" ref="AW22">INDEX(_xlfn.TOROW(PixelPatternTable),AV22+1)</f>
        <v>90</v>
      </c>
      <c r="AX22" s="108"/>
      <c r="AY22" t="str">
        <f t="shared" ref="AY22" si="10">HEX2BIN(AW22,8)</f>
        <v>10010000</v>
      </c>
      <c r="AZ22" t="str">
        <f t="shared" ref="AZ22" si="11">RIGHT(AY22,7)</f>
        <v>0010000</v>
      </c>
      <c r="BA22" t="str" cm="1">
        <f t="array" ref="BA22">ReverseString(AZ22)</f>
        <v>0000100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0</v>
      </c>
      <c r="H23" s="78">
        <f t="shared" si="12"/>
        <v>0</v>
      </c>
      <c r="I23" s="78">
        <f t="shared" si="12"/>
        <v>1</v>
      </c>
      <c r="J23" s="78">
        <f t="shared" si="12"/>
        <v>1</v>
      </c>
      <c r="K23" s="91">
        <f t="shared" si="12"/>
        <v>1</v>
      </c>
      <c r="L23" s="120"/>
      <c r="AD23" s="83" t="str">
        <f t="shared" si="1"/>
        <v>60</v>
      </c>
      <c r="AG23" s="36" t="str" cm="1">
        <f t="array" ref="AG23">INDEX(PixelShiftPages,$B23+1)</f>
        <v>A7</v>
      </c>
      <c r="AH23" t="str">
        <f t="shared" si="2"/>
        <v>A760</v>
      </c>
      <c r="AI23" s="37" t="str">
        <f>pixel_shift_table.asm!$B$3</f>
        <v>A200</v>
      </c>
      <c r="AJ23">
        <f t="shared" ref="AJ23:AJ32" si="13">HEX2DEC(AH23)-HEX2DEC(AI23)</f>
        <v>1376</v>
      </c>
      <c r="AK23" s="36" t="str" cm="1">
        <f t="array" ref="AK23">INDEX(_xlfn.TOROW(PixelShiftTable),AJ23+1)</f>
        <v>80</v>
      </c>
      <c r="AL23">
        <f t="shared" ref="AL23:AL32" si="14">AJ23+128</f>
        <v>1504</v>
      </c>
      <c r="AM23" s="36" t="str" cm="1">
        <f t="array" ref="AM23">INDEX(_xlfn.TOROW(PixelShiftTable),AL23+1)</f>
        <v>AA</v>
      </c>
      <c r="AN23" t="str">
        <f t="shared" ref="AN23:AN32" si="15">AM23&amp;AK23</f>
        <v>AA80</v>
      </c>
      <c r="AO23" t="str">
        <f>pixel_pattern_table.asm!$B$2</f>
        <v>A900</v>
      </c>
      <c r="AP23">
        <f t="shared" ref="AP23:AP32" si="16">HEX2DEC(AN23)-HEX2DEC(AO23)</f>
        <v>384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385</v>
      </c>
      <c r="AW23" s="107" t="str" cm="1">
        <f t="array" ref="AW23">INDEX(_xlfn.TOROW(PixelPatternTable),AV23+1)</f>
        <v>98</v>
      </c>
      <c r="AX23" s="108"/>
      <c r="AY23" t="str">
        <f t="shared" ref="AY23:AY32" si="20">HEX2BIN(AW23,8)</f>
        <v>10011000</v>
      </c>
      <c r="AZ23" t="str">
        <f t="shared" ref="AZ23:AZ32" si="21">RIGHT(AY23,7)</f>
        <v>0011000</v>
      </c>
      <c r="BA23" t="str" cm="1">
        <f t="array" ref="BA23">ReverseString(AZ23)</f>
        <v>0001100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0</v>
      </c>
      <c r="H24" s="78">
        <f t="shared" si="23"/>
        <v>0</v>
      </c>
      <c r="I24" s="78">
        <f t="shared" si="23"/>
        <v>1</v>
      </c>
      <c r="J24" s="78">
        <f t="shared" si="23"/>
        <v>1</v>
      </c>
      <c r="K24" s="91">
        <f t="shared" si="23"/>
        <v>1</v>
      </c>
      <c r="L24" s="120"/>
      <c r="AD24" s="83" t="str">
        <f t="shared" si="1"/>
        <v>60</v>
      </c>
      <c r="AG24" s="36" t="str" cm="1">
        <f t="array" ref="AG24">INDEX(PixelShiftPages,$B24+1)</f>
        <v>A7</v>
      </c>
      <c r="AH24" t="str">
        <f t="shared" si="2"/>
        <v>A760</v>
      </c>
      <c r="AI24" s="37" t="str">
        <f>pixel_shift_table.asm!$B$3</f>
        <v>A200</v>
      </c>
      <c r="AJ24">
        <f t="shared" si="13"/>
        <v>1376</v>
      </c>
      <c r="AK24" s="36" t="str" cm="1">
        <f t="array" ref="AK24">INDEX(_xlfn.TOROW(PixelShiftTable),AJ24+1)</f>
        <v>80</v>
      </c>
      <c r="AL24">
        <f t="shared" si="14"/>
        <v>1504</v>
      </c>
      <c r="AM24" s="36" t="str" cm="1">
        <f t="array" ref="AM24">INDEX(_xlfn.TOROW(PixelShiftTable),AL24+1)</f>
        <v>AA</v>
      </c>
      <c r="AN24" t="str">
        <f t="shared" si="15"/>
        <v>AA80</v>
      </c>
      <c r="AO24" t="str">
        <f>pixel_pattern_table.asm!$B$2</f>
        <v>A900</v>
      </c>
      <c r="AP24">
        <f t="shared" si="16"/>
        <v>384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385</v>
      </c>
      <c r="AW24" s="107" t="str" cm="1">
        <f t="array" ref="AW24">INDEX(_xlfn.TOROW(PixelPatternTable),AV24+1)</f>
        <v>98</v>
      </c>
      <c r="AX24" s="108"/>
      <c r="AY24" t="str">
        <f t="shared" si="20"/>
        <v>10011000</v>
      </c>
      <c r="AZ24" t="str">
        <f t="shared" si="21"/>
        <v>0011000</v>
      </c>
      <c r="BA24" t="str" cm="1">
        <f t="array" ref="BA24">ReverseString(AZ24)</f>
        <v>0001100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1</v>
      </c>
      <c r="I25" s="78">
        <f t="shared" si="24"/>
        <v>1</v>
      </c>
      <c r="J25" s="78">
        <f t="shared" si="24"/>
        <v>1</v>
      </c>
      <c r="K25" s="91">
        <f t="shared" si="24"/>
        <v>1</v>
      </c>
      <c r="L25" s="120"/>
      <c r="AD25" s="83" t="str">
        <f t="shared" si="1"/>
        <v>70</v>
      </c>
      <c r="AG25" s="36" t="str" cm="1">
        <f t="array" ref="AG25">INDEX(PixelShiftPages,$B25+1)</f>
        <v>A7</v>
      </c>
      <c r="AH25" t="str">
        <f t="shared" si="2"/>
        <v>A770</v>
      </c>
      <c r="AI25" s="37" t="str">
        <f>pixel_shift_table.asm!$B$3</f>
        <v>A200</v>
      </c>
      <c r="AJ25">
        <f t="shared" si="13"/>
        <v>1392</v>
      </c>
      <c r="AK25" s="36" t="str" cm="1">
        <f t="array" ref="AK25">INDEX(_xlfn.TOROW(PixelShiftTable),AJ25+1)</f>
        <v>C0</v>
      </c>
      <c r="AL25">
        <f t="shared" si="14"/>
        <v>1520</v>
      </c>
      <c r="AM25" s="36" t="str" cm="1">
        <f t="array" ref="AM25">INDEX(_xlfn.TOROW(PixelShiftTable),AL25+1)</f>
        <v>AA</v>
      </c>
      <c r="AN25" t="str">
        <f t="shared" si="15"/>
        <v>AAC0</v>
      </c>
      <c r="AO25" t="str">
        <f>pixel_pattern_table.asm!$B$2</f>
        <v>A900</v>
      </c>
      <c r="AP25">
        <f t="shared" si="16"/>
        <v>448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449</v>
      </c>
      <c r="AW25" s="107" t="str" cm="1">
        <f t="array" ref="AW25">INDEX(_xlfn.TOROW(PixelPatternTable),AV25+1)</f>
        <v>9C</v>
      </c>
      <c r="AX25" s="108"/>
      <c r="AY25" t="str">
        <f t="shared" si="20"/>
        <v>10011100</v>
      </c>
      <c r="AZ25" t="str">
        <f t="shared" si="21"/>
        <v>0011100</v>
      </c>
      <c r="BA25" t="str" cm="1">
        <f t="array" ref="BA25">ReverseString(AZ25)</f>
        <v>0011100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1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1</v>
      </c>
      <c r="K26" s="91">
        <f t="shared" si="25"/>
        <v>1</v>
      </c>
      <c r="L26" s="120"/>
      <c r="AD26" s="83" t="str">
        <f t="shared" si="1"/>
        <v>6C</v>
      </c>
      <c r="AG26" s="36" t="str" cm="1">
        <f t="array" ref="AG26">INDEX(PixelShiftPages,$B26+1)</f>
        <v>A7</v>
      </c>
      <c r="AH26" t="str">
        <f t="shared" si="2"/>
        <v>A76C</v>
      </c>
      <c r="AI26" s="37" t="str">
        <f>pixel_shift_table.asm!$B$3</f>
        <v>A200</v>
      </c>
      <c r="AJ26">
        <f t="shared" si="13"/>
        <v>1388</v>
      </c>
      <c r="AK26" s="36" t="str" cm="1">
        <f t="array" ref="AK26">INDEX(_xlfn.TOROW(PixelShiftTable),AJ26+1)</f>
        <v>B0</v>
      </c>
      <c r="AL26">
        <f t="shared" si="14"/>
        <v>1516</v>
      </c>
      <c r="AM26" s="36" t="str" cm="1">
        <f t="array" ref="AM26">INDEX(_xlfn.TOROW(PixelShiftTable),AL26+1)</f>
        <v>AA</v>
      </c>
      <c r="AN26" t="str">
        <f t="shared" si="15"/>
        <v>AAB0</v>
      </c>
      <c r="AO26" t="str">
        <f>pixel_pattern_table.asm!$B$2</f>
        <v>A900</v>
      </c>
      <c r="AP26">
        <f t="shared" si="16"/>
        <v>432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433</v>
      </c>
      <c r="AW26" s="107" t="str" cm="1">
        <f t="array" ref="AW26">INDEX(_xlfn.TOROW(PixelPatternTable),AV26+1)</f>
        <v>9B</v>
      </c>
      <c r="AX26" s="108"/>
      <c r="AY26" t="str">
        <f t="shared" si="20"/>
        <v>10011011</v>
      </c>
      <c r="AZ26" t="str">
        <f t="shared" si="21"/>
        <v>0011011</v>
      </c>
      <c r="BA26" t="str" cm="1">
        <f t="array" ref="BA26">ReverseString(AZ26)</f>
        <v>1101100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1</v>
      </c>
      <c r="G27" s="78">
        <f t="shared" si="26"/>
        <v>0</v>
      </c>
      <c r="H27" s="78">
        <f t="shared" si="26"/>
        <v>1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36</v>
      </c>
      <c r="AG27" s="36" t="str" cm="1">
        <f t="array" ref="AG27">INDEX(PixelShiftPages,$B27+1)</f>
        <v>A7</v>
      </c>
      <c r="AH27" t="str">
        <f t="shared" si="2"/>
        <v>A736</v>
      </c>
      <c r="AI27" s="37" t="str">
        <f>pixel_shift_table.asm!$B$3</f>
        <v>A200</v>
      </c>
      <c r="AJ27">
        <f t="shared" si="13"/>
        <v>1334</v>
      </c>
      <c r="AK27" s="36" t="str" cm="1">
        <f t="array" ref="AK27">INDEX(_xlfn.TOROW(PixelShiftTable),AJ27+1)</f>
        <v>DE</v>
      </c>
      <c r="AL27">
        <f t="shared" si="14"/>
        <v>1462</v>
      </c>
      <c r="AM27" s="36" t="str" cm="1">
        <f t="array" ref="AM27">INDEX(_xlfn.TOROW(PixelShiftTable),AL27+1)</f>
        <v>A9</v>
      </c>
      <c r="AN27" t="str">
        <f t="shared" si="15"/>
        <v>A9DE</v>
      </c>
      <c r="AO27" t="str">
        <f>pixel_pattern_table.asm!$B$2</f>
        <v>A900</v>
      </c>
      <c r="AP27">
        <f t="shared" si="16"/>
        <v>222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223</v>
      </c>
      <c r="AW27" s="107" t="str" cm="1">
        <f t="array" ref="AW27">INDEX(_xlfn.TOROW(PixelPatternTable),AV27+1)</f>
        <v>8D</v>
      </c>
      <c r="AX27" s="108"/>
      <c r="AY27" t="str">
        <f t="shared" si="20"/>
        <v>10001101</v>
      </c>
      <c r="AZ27" t="str">
        <f t="shared" si="21"/>
        <v>0001101</v>
      </c>
      <c r="BA27" t="str" cm="1">
        <f t="array" ref="BA27">ReverseString(AZ27)</f>
        <v>1011000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1</v>
      </c>
      <c r="I28" s="78">
        <f t="shared" si="27"/>
        <v>1</v>
      </c>
      <c r="J28" s="78">
        <f t="shared" si="27"/>
        <v>0</v>
      </c>
      <c r="K28" s="91">
        <f t="shared" si="27"/>
        <v>1</v>
      </c>
      <c r="L28" s="120"/>
      <c r="AD28" s="83" t="str">
        <f t="shared" si="1"/>
        <v>30</v>
      </c>
      <c r="AG28" s="36" t="str" cm="1">
        <f t="array" ref="AG28">INDEX(PixelShiftPages,$B28+1)</f>
        <v>A7</v>
      </c>
      <c r="AH28" t="str">
        <f t="shared" si="2"/>
        <v>A730</v>
      </c>
      <c r="AI28" s="37" t="str">
        <f>pixel_shift_table.asm!$B$3</f>
        <v>A200</v>
      </c>
      <c r="AJ28">
        <f t="shared" si="13"/>
        <v>1328</v>
      </c>
      <c r="AK28" s="36" t="str" cm="1">
        <f t="array" ref="AK28">INDEX(_xlfn.TOROW(PixelShiftTable),AJ28+1)</f>
        <v>C0</v>
      </c>
      <c r="AL28">
        <f t="shared" si="14"/>
        <v>1456</v>
      </c>
      <c r="AM28" s="36" t="str" cm="1">
        <f t="array" ref="AM28">INDEX(_xlfn.TOROW(PixelShiftTable),AL28+1)</f>
        <v>A9</v>
      </c>
      <c r="AN28" t="str">
        <f t="shared" si="15"/>
        <v>A9C0</v>
      </c>
      <c r="AO28" t="str">
        <f>pixel_pattern_table.asm!$B$2</f>
        <v>A900</v>
      </c>
      <c r="AP28">
        <f t="shared" si="16"/>
        <v>192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193</v>
      </c>
      <c r="AW28" s="107" t="str" cm="1">
        <f t="array" ref="AW28">INDEX(_xlfn.TOROW(PixelPatternTable),AV28+1)</f>
        <v>8C</v>
      </c>
      <c r="AX28" s="108"/>
      <c r="AY28" t="str">
        <f t="shared" si="20"/>
        <v>10001100</v>
      </c>
      <c r="AZ28" t="str">
        <f t="shared" si="21"/>
        <v>0001100</v>
      </c>
      <c r="BA28" t="str" cm="1">
        <f t="array" ref="BA28">ReverseString(AZ28)</f>
        <v>0011000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36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1</v>
      </c>
      <c r="F30" s="78">
        <f t="shared" si="29"/>
        <v>1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5E</v>
      </c>
      <c r="AG30" s="36" t="str" cm="1">
        <f t="array" ref="AG30">INDEX(PixelShiftPages,$B30+1)</f>
        <v>A7</v>
      </c>
      <c r="AH30" t="str">
        <f t="shared" si="2"/>
        <v>A75E</v>
      </c>
      <c r="AI30" s="37" t="str">
        <f>pixel_shift_table.asm!$B$3</f>
        <v>A200</v>
      </c>
      <c r="AJ30">
        <f t="shared" si="13"/>
        <v>1374</v>
      </c>
      <c r="AK30" s="36" t="str" cm="1">
        <f t="array" ref="AK30">INDEX(_xlfn.TOROW(PixelShiftTable),AJ30+1)</f>
        <v>7E</v>
      </c>
      <c r="AL30">
        <f t="shared" si="14"/>
        <v>1502</v>
      </c>
      <c r="AM30" s="36" t="str" cm="1">
        <f t="array" ref="AM30">INDEX(_xlfn.TOROW(PixelShiftTable),AL30+1)</f>
        <v>AA</v>
      </c>
      <c r="AN30" t="str">
        <f t="shared" si="15"/>
        <v>AA7E</v>
      </c>
      <c r="AO30" t="str">
        <f>pixel_pattern_table.asm!$B$2</f>
        <v>A900</v>
      </c>
      <c r="AP30">
        <f t="shared" si="16"/>
        <v>382</v>
      </c>
      <c r="AQ30" s="107" t="str" cm="1">
        <f t="array" ref="AQ30">INDEX(_xlfn.TOROW(PixelPatternTable),AP30+1)</f>
        <v>C0</v>
      </c>
      <c r="AR30" s="108"/>
      <c r="AS30" t="str">
        <f t="shared" si="17"/>
        <v>11000000</v>
      </c>
      <c r="AT30" t="str">
        <f t="shared" si="18"/>
        <v>1000000</v>
      </c>
      <c r="AU30" t="str" cm="1">
        <f t="array" ref="AU30">ReverseString(AT30)</f>
        <v>0000001</v>
      </c>
      <c r="AV30">
        <f t="shared" si="19"/>
        <v>383</v>
      </c>
      <c r="AW30" s="107" t="str" cm="1">
        <f t="array" ref="AW30">INDEX(_xlfn.TOROW(PixelPatternTable),AV30+1)</f>
        <v>97</v>
      </c>
      <c r="AX30" s="108"/>
      <c r="AY30" t="str">
        <f t="shared" si="20"/>
        <v>10010111</v>
      </c>
      <c r="AZ30" t="str">
        <f t="shared" si="21"/>
        <v>0010111</v>
      </c>
      <c r="BA30" t="str" cm="1">
        <f t="array" ref="BA30">ReverseString(AZ30)</f>
        <v>1110100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0</v>
      </c>
      <c r="H31" s="78">
        <f t="shared" si="30"/>
        <v>0</v>
      </c>
      <c r="I31" s="78">
        <f t="shared" si="30"/>
        <v>0</v>
      </c>
      <c r="J31" s="78">
        <f t="shared" si="30"/>
        <v>1</v>
      </c>
      <c r="K31" s="91">
        <f t="shared" si="30"/>
        <v>1</v>
      </c>
      <c r="L31" s="120"/>
      <c r="AD31" s="83" t="str">
        <f t="shared" si="1"/>
        <v>40</v>
      </c>
      <c r="AG31" s="36" t="str" cm="1">
        <f t="array" ref="AG31">INDEX(PixelShiftPages,$B31+1)</f>
        <v>A7</v>
      </c>
      <c r="AH31" t="str">
        <f t="shared" si="2"/>
        <v>A740</v>
      </c>
      <c r="AI31" s="37" t="str">
        <f>pixel_shift_table.asm!$B$3</f>
        <v>A200</v>
      </c>
      <c r="AJ31">
        <f t="shared" si="13"/>
        <v>1344</v>
      </c>
      <c r="AK31" s="36" t="str" cm="1">
        <f t="array" ref="AK31">INDEX(_xlfn.TOROW(PixelShiftTable),AJ31+1)</f>
        <v>00</v>
      </c>
      <c r="AL31">
        <f t="shared" si="14"/>
        <v>1472</v>
      </c>
      <c r="AM31" s="36" t="str" cm="1">
        <f t="array" ref="AM31">INDEX(_xlfn.TOROW(PixelShiftTable),AL31+1)</f>
        <v>AA</v>
      </c>
      <c r="AN31" t="str">
        <f t="shared" si="15"/>
        <v>AA00</v>
      </c>
      <c r="AO31" t="str">
        <f>pixel_pattern_table.asm!$B$2</f>
        <v>A900</v>
      </c>
      <c r="AP31">
        <f t="shared" si="16"/>
        <v>256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257</v>
      </c>
      <c r="AW31" s="107" t="str" cm="1">
        <f t="array" ref="AW31">INDEX(_xlfn.TOROW(PixelPatternTable),AV31+1)</f>
        <v>90</v>
      </c>
      <c r="AX31" s="108"/>
      <c r="AY31" t="str">
        <f t="shared" si="20"/>
        <v>10010000</v>
      </c>
      <c r="AZ31" t="str">
        <f t="shared" si="21"/>
        <v>0010000</v>
      </c>
      <c r="BA31" t="str" cm="1">
        <f t="array" ref="BA31">ReverseString(AZ31)</f>
        <v>0000100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0</v>
      </c>
      <c r="H32" s="78">
        <f t="shared" si="31"/>
        <v>0</v>
      </c>
      <c r="I32" s="78">
        <f t="shared" si="31"/>
        <v>0</v>
      </c>
      <c r="J32" s="78">
        <f t="shared" si="31"/>
        <v>1</v>
      </c>
      <c r="K32" s="91">
        <f t="shared" si="31"/>
        <v>1</v>
      </c>
      <c r="L32" s="120"/>
      <c r="AD32" s="83" t="str">
        <f t="shared" si="1"/>
        <v>40</v>
      </c>
      <c r="AG32" s="36" t="str" cm="1">
        <f t="array" ref="AG32">INDEX(PixelShiftPages,$B32+1)</f>
        <v>A7</v>
      </c>
      <c r="AH32" t="str">
        <f t="shared" si="2"/>
        <v>A740</v>
      </c>
      <c r="AI32" s="37" t="str">
        <f>pixel_shift_table.asm!$B$3</f>
        <v>A200</v>
      </c>
      <c r="AJ32">
        <f t="shared" si="13"/>
        <v>1344</v>
      </c>
      <c r="AK32" s="36" t="str" cm="1">
        <f t="array" ref="AK32">INDEX(_xlfn.TOROW(PixelShiftTable),AJ32+1)</f>
        <v>00</v>
      </c>
      <c r="AL32">
        <f t="shared" si="14"/>
        <v>1472</v>
      </c>
      <c r="AM32" s="36" t="str" cm="1">
        <f t="array" ref="AM32">INDEX(_xlfn.TOROW(PixelShiftTable),AL32+1)</f>
        <v>AA</v>
      </c>
      <c r="AN32" t="str">
        <f t="shared" si="15"/>
        <v>AA00</v>
      </c>
      <c r="AO32" t="str">
        <f>pixel_pattern_table.asm!$B$2</f>
        <v>A900</v>
      </c>
      <c r="AP32">
        <f t="shared" si="16"/>
        <v>256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257</v>
      </c>
      <c r="AW32" s="107" t="str" cm="1">
        <f t="array" ref="AW32">INDEX(_xlfn.TOROW(PixelPatternTable),AV32+1)</f>
        <v>90</v>
      </c>
      <c r="AX32" s="108"/>
      <c r="AY32" t="str">
        <f t="shared" si="20"/>
        <v>10010000</v>
      </c>
      <c r="AZ32" t="str">
        <f t="shared" si="21"/>
        <v>0010000</v>
      </c>
      <c r="BA32" t="str" cm="1">
        <f t="array" ref="BA32">ReverseString(AZ32)</f>
        <v>0000100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947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36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1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01</v>
      </c>
      <c r="AF36" s="128"/>
      <c r="AG36" s="36" t="str" cm="1">
        <f t="array" ref="AG36">INDEX(PixelShiftPages,$B36+1)</f>
        <v>A7</v>
      </c>
      <c r="AH36" t="str">
        <f t="shared" si="34"/>
        <v>A701</v>
      </c>
      <c r="AI36" s="37" t="str">
        <f>pixel_shift_table.asm!$B$3</f>
        <v>A200</v>
      </c>
      <c r="AJ36">
        <f t="shared" ref="AJ36:AJ45" si="46">HEX2DEC(AH36)-HEX2DEC(AI36)</f>
        <v>1281</v>
      </c>
      <c r="AK36" s="36" t="str" cm="1">
        <f t="array" ref="AK36">INDEX(_xlfn.TOROW(PixelShiftTable),AJ36+1)</f>
        <v>0C</v>
      </c>
      <c r="AL36">
        <f t="shared" ref="AL36:AL45" si="47">AJ36+128</f>
        <v>1409</v>
      </c>
      <c r="AM36" s="36" t="str" cm="1">
        <f t="array" ref="AM36">INDEX(_xlfn.TOROW(PixelShiftTable),AL36+1)</f>
        <v>A9</v>
      </c>
      <c r="AN36" t="str">
        <f t="shared" ref="AN36:AN45" si="48">AM36&amp;AK36</f>
        <v>A90C</v>
      </c>
      <c r="AO36" t="str">
        <f>pixel_pattern_table.asm!$B$2</f>
        <v>A900</v>
      </c>
      <c r="AP36">
        <f t="shared" ref="AP36:AP45" si="49">HEX2DEC(AN36)-HEX2DEC(AO36)</f>
        <v>12</v>
      </c>
      <c r="AQ36" s="6"/>
      <c r="AR36" s="108" t="str" cm="1">
        <f t="array" ref="AR36">INDEX(_xlfn.TOROW(PixelPatternTable),AP36+1)</f>
        <v>A0</v>
      </c>
      <c r="AS36" t="str">
        <f t="shared" si="39"/>
        <v>10100000</v>
      </c>
      <c r="AT36" t="str">
        <f t="shared" ref="AT36:AT45" si="50">RIGHT(AS36,7)</f>
        <v>0100000</v>
      </c>
      <c r="AU36" t="str" cm="1">
        <f t="array" ref="AU36">ReverseString(AT36)</f>
        <v>0000010</v>
      </c>
      <c r="AV36">
        <f t="shared" ref="AV36:AV45" si="51">AP36+1</f>
        <v>13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1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01</v>
      </c>
      <c r="AF37" s="128"/>
      <c r="AG37" s="36" t="str" cm="1">
        <f t="array" ref="AG37">INDEX(PixelShiftPages,$B37+1)</f>
        <v>A7</v>
      </c>
      <c r="AH37" t="str">
        <f t="shared" si="34"/>
        <v>A701</v>
      </c>
      <c r="AI37" s="37" t="str">
        <f>pixel_shift_table.asm!$B$3</f>
        <v>A200</v>
      </c>
      <c r="AJ37">
        <f t="shared" si="46"/>
        <v>1281</v>
      </c>
      <c r="AK37" s="36" t="str" cm="1">
        <f t="array" ref="AK37">INDEX(_xlfn.TOROW(PixelShiftTable),AJ37+1)</f>
        <v>0C</v>
      </c>
      <c r="AL37">
        <f t="shared" si="47"/>
        <v>1409</v>
      </c>
      <c r="AM37" s="36" t="str" cm="1">
        <f t="array" ref="AM37">INDEX(_xlfn.TOROW(PixelShiftTable),AL37+1)</f>
        <v>A9</v>
      </c>
      <c r="AN37" t="str">
        <f t="shared" si="48"/>
        <v>A90C</v>
      </c>
      <c r="AO37" t="str">
        <f>pixel_pattern_table.asm!$B$2</f>
        <v>A900</v>
      </c>
      <c r="AP37">
        <f t="shared" si="49"/>
        <v>12</v>
      </c>
      <c r="AQ37" s="6"/>
      <c r="AR37" s="108" t="str" cm="1">
        <f t="array" ref="AR37">INDEX(_xlfn.TOROW(PixelPatternTable),AP37+1)</f>
        <v>A0</v>
      </c>
      <c r="AS37" t="str">
        <f t="shared" si="39"/>
        <v>10100000</v>
      </c>
      <c r="AT37" t="str">
        <f t="shared" si="50"/>
        <v>0100000</v>
      </c>
      <c r="AU37" t="str" cm="1">
        <f t="array" ref="AU37">ReverseString(AT37)</f>
        <v>0000010</v>
      </c>
      <c r="AV37">
        <f t="shared" si="51"/>
        <v>13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36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36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1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06</v>
      </c>
      <c r="AF40" s="128"/>
      <c r="AG40" s="36" t="str" cm="1">
        <f t="array" ref="AG40">INDEX(PixelShiftPages,$B40+1)</f>
        <v>A7</v>
      </c>
      <c r="AH40" t="str">
        <f t="shared" si="34"/>
        <v>A706</v>
      </c>
      <c r="AI40" s="37" t="str">
        <f>pixel_shift_table.asm!$B$3</f>
        <v>A200</v>
      </c>
      <c r="AJ40">
        <f t="shared" si="46"/>
        <v>1286</v>
      </c>
      <c r="AK40" s="36" t="str" cm="1">
        <f t="array" ref="AK40">INDEX(_xlfn.TOROW(PixelShiftTable),AJ40+1)</f>
        <v>1E</v>
      </c>
      <c r="AL40">
        <f t="shared" si="47"/>
        <v>1414</v>
      </c>
      <c r="AM40" s="36" t="str" cm="1">
        <f t="array" ref="AM40">INDEX(_xlfn.TOROW(PixelShiftTable),AL40+1)</f>
        <v>A9</v>
      </c>
      <c r="AN40" t="str">
        <f t="shared" si="48"/>
        <v>A91E</v>
      </c>
      <c r="AO40" t="str">
        <f>pixel_pattern_table.asm!$B$2</f>
        <v>A900</v>
      </c>
      <c r="AP40">
        <f t="shared" si="49"/>
        <v>30</v>
      </c>
      <c r="AQ40" s="6"/>
      <c r="AR40" s="108" t="str" cm="1">
        <f t="array" ref="AR40">INDEX(_xlfn.TOROW(PixelPatternTable),AP40+1)</f>
        <v>C0</v>
      </c>
      <c r="AS40" t="str">
        <f t="shared" si="39"/>
        <v>11000000</v>
      </c>
      <c r="AT40" t="str">
        <f t="shared" si="50"/>
        <v>1000000</v>
      </c>
      <c r="AU40" t="str" cm="1">
        <f t="array" ref="AU40">ReverseString(AT40)</f>
        <v>0000001</v>
      </c>
      <c r="AV40">
        <f t="shared" si="51"/>
        <v>31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36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36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0</v>
      </c>
      <c r="N43" s="78">
        <f t="shared" si="59"/>
        <v>0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01</v>
      </c>
      <c r="AF43" s="128"/>
      <c r="AG43" s="36" t="str" cm="1">
        <f t="array" ref="AG43">INDEX(PixelShiftPages,$B43+1)</f>
        <v>A7</v>
      </c>
      <c r="AH43" t="str">
        <f t="shared" si="34"/>
        <v>A701</v>
      </c>
      <c r="AI43" s="37" t="str">
        <f>pixel_shift_table.asm!$B$3</f>
        <v>A200</v>
      </c>
      <c r="AJ43">
        <f t="shared" si="46"/>
        <v>1281</v>
      </c>
      <c r="AK43" s="36" t="str" cm="1">
        <f t="array" ref="AK43">INDEX(_xlfn.TOROW(PixelShiftTable),AJ43+1)</f>
        <v>0C</v>
      </c>
      <c r="AL43">
        <f t="shared" si="47"/>
        <v>1409</v>
      </c>
      <c r="AM43" s="36" t="str" cm="1">
        <f t="array" ref="AM43">INDEX(_xlfn.TOROW(PixelShiftTable),AL43+1)</f>
        <v>A9</v>
      </c>
      <c r="AN43" t="str">
        <f t="shared" si="48"/>
        <v>A90C</v>
      </c>
      <c r="AO43" t="str">
        <f>pixel_pattern_table.asm!$B$2</f>
        <v>A900</v>
      </c>
      <c r="AP43">
        <f t="shared" si="49"/>
        <v>12</v>
      </c>
      <c r="AQ43" s="6"/>
      <c r="AR43" s="108" t="str" cm="1">
        <f t="array" ref="AR43">INDEX(_xlfn.TOROW(PixelPatternTable),AP43+1)</f>
        <v>A0</v>
      </c>
      <c r="AS43" t="str">
        <f t="shared" si="39"/>
        <v>10100000</v>
      </c>
      <c r="AT43" t="str">
        <f t="shared" si="50"/>
        <v>0100000</v>
      </c>
      <c r="AU43" t="str" cm="1">
        <f t="array" ref="AU43">ReverseString(AT43)</f>
        <v>0000010</v>
      </c>
      <c r="AV43">
        <f t="shared" si="51"/>
        <v>13</v>
      </c>
      <c r="AW43" s="6"/>
      <c r="AX43" s="108" t="str" cm="1">
        <f t="array" ref="AX43">INDEX(_xlfn.TOROW(PixelPatternTable),AV43+1)</f>
        <v>80</v>
      </c>
      <c r="AY43" t="str">
        <f t="shared" si="42"/>
        <v>10000000</v>
      </c>
      <c r="AZ43" t="str">
        <f t="shared" si="52"/>
        <v>0000000</v>
      </c>
      <c r="BA43" t="str" cm="1">
        <f t="array" ref="BA43">ReverseString(AZ43)</f>
        <v>0000000</v>
      </c>
    </row>
    <row r="44" spans="1:53" outlineLevel="1" x14ac:dyDescent="0.3">
      <c r="B44" s="100">
        <f t="shared" si="44"/>
        <v>5</v>
      </c>
      <c r="L44" s="89">
        <f t="shared" ref="L44:S44" si="60">L14</f>
        <v>1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01</v>
      </c>
      <c r="AF44" s="128"/>
      <c r="AG44" s="36" t="str" cm="1">
        <f t="array" ref="AG44">INDEX(PixelShiftPages,$B44+1)</f>
        <v>A7</v>
      </c>
      <c r="AH44" t="str">
        <f t="shared" si="34"/>
        <v>A701</v>
      </c>
      <c r="AI44" s="37" t="str">
        <f>pixel_shift_table.asm!$B$3</f>
        <v>A200</v>
      </c>
      <c r="AJ44">
        <f t="shared" si="46"/>
        <v>1281</v>
      </c>
      <c r="AK44" s="36" t="str" cm="1">
        <f t="array" ref="AK44">INDEX(_xlfn.TOROW(PixelShiftTable),AJ44+1)</f>
        <v>0C</v>
      </c>
      <c r="AL44">
        <f t="shared" si="47"/>
        <v>1409</v>
      </c>
      <c r="AM44" s="36" t="str" cm="1">
        <f t="array" ref="AM44">INDEX(_xlfn.TOROW(PixelShiftTable),AL44+1)</f>
        <v>A9</v>
      </c>
      <c r="AN44" t="str">
        <f t="shared" si="48"/>
        <v>A90C</v>
      </c>
      <c r="AO44" t="str">
        <f>pixel_pattern_table.asm!$B$2</f>
        <v>A900</v>
      </c>
      <c r="AP44">
        <f t="shared" si="49"/>
        <v>12</v>
      </c>
      <c r="AQ44" s="6"/>
      <c r="AR44" s="108" t="str" cm="1">
        <f t="array" ref="AR44">INDEX(_xlfn.TOROW(PixelPatternTable),AP44+1)</f>
        <v>A0</v>
      </c>
      <c r="AS44" t="str">
        <f t="shared" si="39"/>
        <v>10100000</v>
      </c>
      <c r="AT44" t="str">
        <f t="shared" si="50"/>
        <v>0100000</v>
      </c>
      <c r="AU44" t="str" cm="1">
        <f t="array" ref="AU44">ReverseString(AT44)</f>
        <v>0000010</v>
      </c>
      <c r="AV44">
        <f t="shared" si="51"/>
        <v>13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1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01</v>
      </c>
      <c r="AF45" s="128"/>
      <c r="AG45" s="36" t="str" cm="1">
        <f t="array" ref="AG45">INDEX(PixelShiftPages,$B45+1)</f>
        <v>A7</v>
      </c>
      <c r="AH45" t="str">
        <f t="shared" si="34"/>
        <v>A701</v>
      </c>
      <c r="AI45" s="37" t="str">
        <f>pixel_shift_table.asm!$B$3</f>
        <v>A200</v>
      </c>
      <c r="AJ45">
        <f t="shared" si="46"/>
        <v>1281</v>
      </c>
      <c r="AK45" s="36" t="str" cm="1">
        <f t="array" ref="AK45">INDEX(_xlfn.TOROW(PixelShiftTable),AJ45+1)</f>
        <v>0C</v>
      </c>
      <c r="AL45">
        <f t="shared" si="47"/>
        <v>1409</v>
      </c>
      <c r="AM45" s="36" t="str" cm="1">
        <f t="array" ref="AM45">INDEX(_xlfn.TOROW(PixelShiftTable),AL45+1)</f>
        <v>A9</v>
      </c>
      <c r="AN45" t="str">
        <f t="shared" si="48"/>
        <v>A90C</v>
      </c>
      <c r="AO45" t="str">
        <f>pixel_pattern_table.asm!$B$2</f>
        <v>A900</v>
      </c>
      <c r="AP45">
        <f t="shared" si="49"/>
        <v>12</v>
      </c>
      <c r="AQ45" s="6"/>
      <c r="AR45" s="108" t="str" cm="1">
        <f t="array" ref="AR45">INDEX(_xlfn.TOROW(PixelPatternTable),AP45+1)</f>
        <v>A0</v>
      </c>
      <c r="AS45" t="str">
        <f t="shared" si="39"/>
        <v>10100000</v>
      </c>
      <c r="AT45" t="str">
        <f t="shared" si="50"/>
        <v>0100000</v>
      </c>
      <c r="AU45" t="str" cm="1">
        <f t="array" ref="AU45">ReverseString(AT45)</f>
        <v>0000010</v>
      </c>
      <c r="AV45">
        <f t="shared" si="51"/>
        <v>13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953</v>
      </c>
      <c r="AQ48" s="113"/>
      <c r="AR48" s="114"/>
      <c r="AW48" s="113"/>
      <c r="AX48" s="114"/>
    </row>
    <row r="49" spans="1:66" outlineLevel="1" x14ac:dyDescent="0.3">
      <c r="A49" t="s">
        <v>948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949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955</v>
      </c>
      <c r="U51" s="33"/>
      <c r="V51" s="33"/>
      <c r="W51" s="33"/>
      <c r="X51" s="33"/>
      <c r="Y51" s="33"/>
      <c r="Z51" s="33"/>
      <c r="AA51" s="90" t="s">
        <v>943</v>
      </c>
      <c r="AB51" s="120"/>
      <c r="AC51" s="93"/>
      <c r="AQ51" s="6"/>
      <c r="AR51" s="7"/>
      <c r="AW51" s="6"/>
      <c r="AX51" s="7"/>
      <c r="BF51" s="127" t="s">
        <v>945</v>
      </c>
      <c r="BG51" s="125" t="s">
        <v>944</v>
      </c>
      <c r="BH51" s="126" t="s">
        <v>950</v>
      </c>
      <c r="BI51" s="127" t="s">
        <v>945</v>
      </c>
      <c r="BJ51" s="125" t="s">
        <v>944</v>
      </c>
      <c r="BK51" s="126" t="s">
        <v>950</v>
      </c>
      <c r="BL51" s="127" t="s">
        <v>945</v>
      </c>
      <c r="BM51" s="125" t="s">
        <v>944</v>
      </c>
      <c r="BN51" s="126" t="s">
        <v>950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0</v>
      </c>
      <c r="O52" s="106" t="str">
        <f t="shared" si="63"/>
        <v>0</v>
      </c>
      <c r="P52" s="106" t="str">
        <f t="shared" si="63"/>
        <v>1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90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90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10010000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0010000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0000100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0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1</v>
      </c>
      <c r="Q53" s="106" t="str">
        <f t="shared" si="63"/>
        <v>1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A0</v>
      </c>
      <c r="AW53" s="109" t="str">
        <f t="shared" si="67"/>
        <v>98</v>
      </c>
      <c r="AX53" s="110" t="str">
        <f t="shared" si="68"/>
        <v>80</v>
      </c>
      <c r="BC53" s="96" t="str">
        <f t="shared" si="69"/>
        <v>80</v>
      </c>
      <c r="BD53" t="str">
        <f t="shared" si="70"/>
        <v>B8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10111000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0111000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0001110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0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1</v>
      </c>
      <c r="Q54" s="106" t="str">
        <f t="shared" si="63"/>
        <v>1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A0</v>
      </c>
      <c r="AW54" s="109" t="str">
        <f t="shared" si="67"/>
        <v>98</v>
      </c>
      <c r="AX54" s="110" t="str">
        <f t="shared" si="68"/>
        <v>80</v>
      </c>
      <c r="BC54" s="96" t="str">
        <f t="shared" si="69"/>
        <v>80</v>
      </c>
      <c r="BD54" t="str">
        <f t="shared" si="70"/>
        <v>B8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10111000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0111000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0001110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1</v>
      </c>
      <c r="O55" s="106" t="str">
        <f t="shared" si="63"/>
        <v>1</v>
      </c>
      <c r="P55" s="106" t="str">
        <f t="shared" si="63"/>
        <v>1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9C</v>
      </c>
      <c r="AX55" s="110" t="str">
        <f t="shared" si="68"/>
        <v>80</v>
      </c>
      <c r="BC55" s="96" t="str">
        <f t="shared" si="69"/>
        <v>80</v>
      </c>
      <c r="BD55" t="str">
        <f t="shared" si="70"/>
        <v>9C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10011100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0011100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0011100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1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1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9B</v>
      </c>
      <c r="AX56" s="110" t="str">
        <f t="shared" si="68"/>
        <v>80</v>
      </c>
      <c r="BC56" s="96" t="str">
        <f t="shared" si="69"/>
        <v>80</v>
      </c>
      <c r="BD56" t="str">
        <f t="shared" si="70"/>
        <v>BB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10111011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0111011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1101110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1</v>
      </c>
      <c r="M57" s="106" t="str">
        <f t="shared" si="63"/>
        <v>0</v>
      </c>
      <c r="N57" s="106" t="str">
        <f t="shared" si="63"/>
        <v>1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1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C0</v>
      </c>
      <c r="AW57" s="109" t="str">
        <f t="shared" si="67"/>
        <v>8D</v>
      </c>
      <c r="AX57" s="110" t="str">
        <f t="shared" si="68"/>
        <v>81</v>
      </c>
      <c r="BC57" s="96" t="str">
        <f t="shared" si="69"/>
        <v>C0</v>
      </c>
      <c r="BD57" t="str">
        <f t="shared" si="70"/>
        <v>CD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11001101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1001101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1011001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1</v>
      </c>
      <c r="O58" s="106" t="str">
        <f t="shared" si="63"/>
        <v>1</v>
      </c>
      <c r="P58" s="106" t="str">
        <f t="shared" si="63"/>
        <v>0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8C</v>
      </c>
      <c r="AX58" s="110" t="str">
        <f t="shared" si="68"/>
        <v>80</v>
      </c>
      <c r="BC58" s="96" t="str">
        <f t="shared" si="69"/>
        <v>80</v>
      </c>
      <c r="BD58" t="str">
        <f t="shared" si="70"/>
        <v>8C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10001100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0001100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0011000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1</v>
      </c>
      <c r="K60" s="103">
        <v>1</v>
      </c>
      <c r="L60" s="105" t="str">
        <f t="shared" si="63"/>
        <v>1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0</v>
      </c>
      <c r="S60" s="103">
        <v>1</v>
      </c>
      <c r="T60" s="105" t="str">
        <f t="shared" si="64"/>
        <v>0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C0</v>
      </c>
      <c r="AR60" s="110" t="str">
        <f t="shared" si="66"/>
        <v>A0</v>
      </c>
      <c r="AW60" s="109" t="str">
        <f t="shared" si="67"/>
        <v>97</v>
      </c>
      <c r="AX60" s="110" t="str">
        <f t="shared" si="68"/>
        <v>80</v>
      </c>
      <c r="BC60" s="96" t="str">
        <f t="shared" si="69"/>
        <v>C0</v>
      </c>
      <c r="BD60" t="str">
        <f t="shared" si="70"/>
        <v>B7</v>
      </c>
      <c r="BE60" s="96" t="str">
        <f t="shared" si="71"/>
        <v>80</v>
      </c>
      <c r="BF60" s="101" t="str">
        <f t="shared" si="72"/>
        <v>11000000</v>
      </c>
      <c r="BG60" t="str">
        <f t="shared" si="73"/>
        <v>10110111</v>
      </c>
      <c r="BH60" s="102" t="str">
        <f t="shared" si="74"/>
        <v>10000000</v>
      </c>
      <c r="BI60" s="101" t="str">
        <f t="shared" si="75"/>
        <v>1000000</v>
      </c>
      <c r="BJ60" t="str">
        <f t="shared" si="76"/>
        <v>0110111</v>
      </c>
      <c r="BK60" s="102" t="str">
        <f t="shared" si="77"/>
        <v>0000000</v>
      </c>
      <c r="BL60" s="101" t="str" cm="1">
        <f t="array" ref="BL60">ReverseString(BI60)</f>
        <v>0000001</v>
      </c>
      <c r="BM60" t="str" cm="1">
        <f t="array" ref="BM60">ReverseString(BJ60)</f>
        <v>1110110</v>
      </c>
      <c r="BN60" s="102" t="str" cm="1">
        <f t="array" ref="BN60">ReverseString(BK60)</f>
        <v>0000000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0</v>
      </c>
      <c r="N61" s="106" t="str">
        <f t="shared" si="63"/>
        <v>0</v>
      </c>
      <c r="O61" s="106" t="str">
        <f t="shared" si="63"/>
        <v>0</v>
      </c>
      <c r="P61" s="106" t="str">
        <f t="shared" si="63"/>
        <v>1</v>
      </c>
      <c r="Q61" s="106" t="str">
        <f t="shared" si="63"/>
        <v>1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A0</v>
      </c>
      <c r="AW61" s="109" t="str">
        <f t="shared" si="67"/>
        <v>90</v>
      </c>
      <c r="AX61" s="110" t="str">
        <f t="shared" si="68"/>
        <v>80</v>
      </c>
      <c r="BC61" s="96" t="str">
        <f t="shared" si="69"/>
        <v>80</v>
      </c>
      <c r="BD61" t="str">
        <f t="shared" si="70"/>
        <v>B0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10110000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0110000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0000110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0</v>
      </c>
      <c r="N62" s="106" t="str">
        <f t="shared" si="63"/>
        <v>0</v>
      </c>
      <c r="O62" s="106" t="str">
        <f t="shared" si="63"/>
        <v>0</v>
      </c>
      <c r="P62" s="106" t="str">
        <f t="shared" si="63"/>
        <v>1</v>
      </c>
      <c r="Q62" s="106" t="str">
        <f t="shared" si="63"/>
        <v>1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A0</v>
      </c>
      <c r="AW62" s="109" t="str">
        <f t="shared" si="67"/>
        <v>90</v>
      </c>
      <c r="AX62" s="110" t="str">
        <f t="shared" si="68"/>
        <v>80</v>
      </c>
      <c r="BC62" s="96" t="str">
        <f t="shared" si="69"/>
        <v>80</v>
      </c>
      <c r="BD62" t="str">
        <f t="shared" si="70"/>
        <v>B0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10110000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0110000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0000110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2" priority="4">
      <formula>D52="1"</formula>
    </cfRule>
  </conditionalFormatting>
  <conditionalFormatting sqref="D5:J15 L5:R15">
    <cfRule type="expression" dxfId="21" priority="3">
      <formula>D5=1</formula>
    </cfRule>
  </conditionalFormatting>
  <conditionalFormatting sqref="D22:J32">
    <cfRule type="expression" dxfId="20" priority="2">
      <formula>D22=1</formula>
    </cfRule>
  </conditionalFormatting>
  <conditionalFormatting sqref="L35:R45">
    <cfRule type="expression" dxfId="19" priority="1">
      <formula>L35=1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9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61" t="s">
        <v>942</v>
      </c>
      <c r="I29" s="64" t="b"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61" t="s">
        <v>913</v>
      </c>
    </row>
    <row r="32" spans="7:12" x14ac:dyDescent="0.3">
      <c r="G32" s="61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2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topLeftCell="A12" workbookViewId="0">
      <selection activeCell="A61" sqref="A61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954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939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934</v>
      </c>
      <c r="Z11" s="30" t="s">
        <v>896</v>
      </c>
      <c r="AA11" s="76" t="s">
        <v>935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936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937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940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934</v>
      </c>
      <c r="Z24" s="30" t="s">
        <v>896</v>
      </c>
      <c r="AA24" s="76" t="s">
        <v>935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936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937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941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930</v>
      </c>
      <c r="X37" s="30" t="s">
        <v>931</v>
      </c>
      <c r="Y37" s="76" t="s">
        <v>934</v>
      </c>
      <c r="Z37" s="30"/>
      <c r="AA37" s="76" t="s">
        <v>935</v>
      </c>
      <c r="AB37" s="30"/>
      <c r="AC37" s="30"/>
      <c r="AD37" s="30"/>
      <c r="AE37" s="30"/>
      <c r="AF37" s="30" t="s">
        <v>932</v>
      </c>
      <c r="AG37" s="30" t="s">
        <v>933</v>
      </c>
      <c r="AH37" s="76" t="s">
        <v>938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937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914</v>
      </c>
      <c r="AL2" s="29" t="s">
        <v>915</v>
      </c>
      <c r="AM2" s="29" t="s">
        <v>916</v>
      </c>
      <c r="AN2" s="29" t="s">
        <v>917</v>
      </c>
      <c r="AO2" s="29" t="s">
        <v>918</v>
      </c>
      <c r="AP2" s="29" t="s">
        <v>919</v>
      </c>
      <c r="AQ2" s="29" t="s">
        <v>920</v>
      </c>
      <c r="AR2" s="29" t="s">
        <v>921</v>
      </c>
      <c r="AS2" s="29" t="s">
        <v>922</v>
      </c>
      <c r="AT2" s="29" t="s">
        <v>923</v>
      </c>
      <c r="AU2" s="29" t="s">
        <v>924</v>
      </c>
      <c r="AV2" s="29" t="s">
        <v>925</v>
      </c>
      <c r="AW2" s="29" t="s">
        <v>926</v>
      </c>
      <c r="AX2" s="29" t="s">
        <v>927</v>
      </c>
      <c r="AY2" s="29" t="s">
        <v>928</v>
      </c>
      <c r="AZ2" s="29" t="s">
        <v>929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4" sqref="I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61" t="s">
        <v>942</v>
      </c>
      <c r="I28" s="63"/>
      <c r="K28" s="62"/>
      <c r="L28" s="62"/>
    </row>
    <row r="29" spans="7:12" x14ac:dyDescent="0.3">
      <c r="G29" s="61" t="s">
        <v>912</v>
      </c>
      <c r="I29" s="64" t="b">
        <v>1</v>
      </c>
    </row>
    <row r="30" spans="7:12" ht="15" x14ac:dyDescent="0.4">
      <c r="G30" s="65" t="s">
        <v>913</v>
      </c>
      <c r="I30" s="64" t="b">
        <v>1</v>
      </c>
    </row>
    <row r="31" spans="7:12" x14ac:dyDescent="0.3">
      <c r="G31" s="61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4" priority="2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>
      <selection activeCell="D7" sqref="D7"/>
    </sheetView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AD09</v>
      </c>
      <c r="E7" s="2" t="str">
        <f t="shared" si="0"/>
        <v>AD71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ADD9</v>
      </c>
      <c r="E8" s="2" t="str">
        <f t="shared" si="0"/>
        <v>AE41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AEA9</v>
      </c>
      <c r="E9" s="2" t="str">
        <f t="shared" si="0"/>
        <v>AF11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AF79</v>
      </c>
      <c r="E10" s="2" t="str">
        <f t="shared" si="0"/>
        <v>AFE1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B049</v>
      </c>
      <c r="E11" s="2" t="str">
        <f t="shared" si="0"/>
        <v>B0B1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B119</v>
      </c>
      <c r="E12" s="2" t="str">
        <f t="shared" si="0"/>
        <v>B181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B1E9</v>
      </c>
      <c r="E13" s="2" t="str">
        <f t="shared" si="0"/>
        <v>B251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B2B9</v>
      </c>
      <c r="E14" s="2" t="str">
        <f t="shared" si="0"/>
        <v>B321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B389</v>
      </c>
      <c r="E15" s="2" t="str">
        <f t="shared" si="0"/>
        <v>B3F1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B459</v>
      </c>
      <c r="E16" s="2" t="str">
        <f t="shared" si="0"/>
        <v>B4C1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B529</v>
      </c>
      <c r="E17" s="2" t="str">
        <f t="shared" si="0"/>
        <v>B591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L26" s="62"/>
      <c r="M26" s="62"/>
    </row>
    <row r="27" spans="7:13" x14ac:dyDescent="0.3">
      <c r="G27" s="61" t="s">
        <v>942</v>
      </c>
      <c r="L27" s="62"/>
      <c r="M27" s="62"/>
    </row>
    <row r="28" spans="7:13" x14ac:dyDescent="0.3">
      <c r="G28" s="61" t="s">
        <v>912</v>
      </c>
      <c r="L28" s="62"/>
      <c r="M28" s="62"/>
    </row>
    <row r="29" spans="7:13" x14ac:dyDescent="0.3">
      <c r="G29" s="61" t="s">
        <v>913</v>
      </c>
    </row>
    <row r="30" spans="7:13" ht="15" x14ac:dyDescent="0.4">
      <c r="G30" s="65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57</vt:i4>
      </vt:variant>
    </vt:vector>
  </HeadingPairs>
  <TitlesOfParts>
    <vt:vector size="76" baseType="lpstr"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SPRITE_DATA</vt:lpstr>
      <vt:lpstr>sprite_data.asm</vt:lpstr>
      <vt:lpstr>End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2026-09-19T17:08:26Z</dcterms:modified>
  <dc:language>en-US</dc:language>
</cp:coreProperties>
</file>