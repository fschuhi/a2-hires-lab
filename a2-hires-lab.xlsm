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54335B23-44BA-4F5D-A64F-B94CCD598164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M41" i="22" a="1"/>
  <c r="M42" i="22" a="1"/>
  <c r="I64" i="22" a="1"/>
  <c r="I62" i="22" a="1"/>
  <c r="I63" i="22" a="1"/>
  <c r="I61" i="22" a="1"/>
  <c r="I66" i="22" a="1"/>
  <c r="K3" i="22" a="1"/>
  <c r="M43" i="22" a="1"/>
  <c r="I65" i="22" a="1"/>
  <c r="I60" i="22" a="1"/>
  <c r="M17" i="25"/>
  <c r="P14" i="25"/>
  <c r="L17" i="25"/>
  <c r="P13" i="25"/>
  <c r="L16" i="25"/>
  <c r="O13" i="25"/>
  <c r="K16" i="25"/>
  <c r="O12" i="25"/>
  <c r="K17" i="25"/>
  <c r="P12" i="25"/>
  <c r="H16" i="25"/>
  <c r="O9" i="25"/>
  <c r="H17" i="25"/>
  <c r="P9" i="25"/>
  <c r="H10" i="25"/>
  <c r="I9" i="25"/>
  <c r="F9" i="25"/>
  <c r="H7" i="25"/>
  <c r="F11" i="25"/>
  <c r="J7" i="25"/>
  <c r="F8" i="25"/>
  <c r="G7" i="25"/>
  <c r="F7" i="25"/>
  <c r="F5" i="25"/>
  <c r="D7" i="25"/>
  <c r="D9" i="25"/>
  <c r="H5" i="25"/>
  <c r="C7" i="25"/>
  <c r="F4" i="25"/>
  <c r="C5" i="25"/>
  <c r="D4" i="25"/>
  <c r="C18" i="25"/>
  <c r="Q4" i="25"/>
  <c r="C11" i="25"/>
  <c r="J4" i="25"/>
  <c r="C8" i="25"/>
  <c r="G4" i="25"/>
  <c r="C6" i="25"/>
  <c r="E4" i="25"/>
  <c r="B156" i="23"/>
  <c r="B92" i="23"/>
  <c r="B28" i="23"/>
  <c r="B143" i="23"/>
  <c r="B15" i="23"/>
  <c r="B90" i="23"/>
  <c r="B157" i="23"/>
  <c r="B21" i="23"/>
  <c r="B75" i="23"/>
  <c r="B146" i="23"/>
  <c r="B14" i="23"/>
  <c r="B93" i="23"/>
  <c r="B6" i="23"/>
  <c r="B173" i="23"/>
  <c r="B87" i="23"/>
  <c r="B193" i="23"/>
  <c r="B168" i="23"/>
  <c r="B104" i="23"/>
  <c r="B40" i="23"/>
  <c r="B167" i="23"/>
  <c r="B39" i="23"/>
  <c r="B110" i="23"/>
  <c r="B181" i="23"/>
  <c r="B45" i="23"/>
  <c r="B95" i="23"/>
  <c r="B170" i="23"/>
  <c r="B169" i="23"/>
  <c r="B141" i="23"/>
  <c r="B59" i="23"/>
  <c r="B30" i="23"/>
  <c r="B196" i="23"/>
  <c r="B132" i="23"/>
  <c r="B68" i="23"/>
  <c r="B4" i="23"/>
  <c r="B99" i="23"/>
  <c r="B166" i="23"/>
  <c r="B42" i="23"/>
  <c r="B176" i="23"/>
  <c r="B112" i="23"/>
  <c r="B48" i="23"/>
  <c r="B179" i="23"/>
  <c r="B55" i="23"/>
  <c r="B126" i="23"/>
  <c r="B197" i="23"/>
  <c r="B61" i="23"/>
  <c r="B186" i="23"/>
  <c r="B125" i="23"/>
  <c r="B22" i="23"/>
  <c r="B107" i="23"/>
  <c r="B109" i="23"/>
  <c r="B106" i="23"/>
  <c r="B5" i="23"/>
  <c r="B100" i="23"/>
  <c r="B31" i="23"/>
  <c r="B41" i="23"/>
  <c r="B123" i="23"/>
  <c r="B66" i="23"/>
  <c r="B122" i="23"/>
  <c r="A2" i="23"/>
  <c r="B2" i="23" s="1"/>
  <c r="B140" i="23"/>
  <c r="B76" i="23"/>
  <c r="B12" i="23"/>
  <c r="B115" i="23"/>
  <c r="B182" i="23"/>
  <c r="B58" i="23"/>
  <c r="B117" i="23"/>
  <c r="B171" i="23"/>
  <c r="B43" i="23"/>
  <c r="B114" i="23"/>
  <c r="B177" i="23"/>
  <c r="B57" i="23"/>
  <c r="B137" i="23"/>
  <c r="B101" i="23"/>
  <c r="B27" i="23"/>
  <c r="B105" i="23"/>
  <c r="B152" i="23"/>
  <c r="B88" i="23"/>
  <c r="B24" i="23"/>
  <c r="B135" i="23"/>
  <c r="B7" i="23"/>
  <c r="B82" i="23"/>
  <c r="B149" i="23"/>
  <c r="B13" i="23"/>
  <c r="B67" i="23"/>
  <c r="B138" i="23"/>
  <c r="B113" i="23"/>
  <c r="B69" i="23"/>
  <c r="B194" i="23"/>
  <c r="B161" i="23"/>
  <c r="B180" i="23"/>
  <c r="B116" i="23"/>
  <c r="B52" i="23"/>
  <c r="B183" i="23"/>
  <c r="B63" i="23"/>
  <c r="B134" i="23"/>
  <c r="B129" i="23"/>
  <c r="B160" i="23"/>
  <c r="B96" i="23"/>
  <c r="B32" i="23"/>
  <c r="B151" i="23"/>
  <c r="B23" i="23"/>
  <c r="B98" i="23"/>
  <c r="B165" i="23"/>
  <c r="B29" i="23"/>
  <c r="B79" i="23"/>
  <c r="B97" i="23"/>
  <c r="B8" i="23"/>
  <c r="B50" i="23"/>
  <c r="B163" i="23"/>
  <c r="B49" i="23"/>
  <c r="B164" i="23"/>
  <c r="B159" i="23"/>
  <c r="B102" i="23"/>
  <c r="B80" i="23"/>
  <c r="B190" i="23"/>
  <c r="B187" i="23"/>
  <c r="B65" i="23"/>
  <c r="B188" i="23"/>
  <c r="B124" i="23"/>
  <c r="B60" i="23"/>
  <c r="B195" i="23"/>
  <c r="B83" i="23"/>
  <c r="B150" i="23"/>
  <c r="B26" i="23"/>
  <c r="B85" i="23"/>
  <c r="B139" i="23"/>
  <c r="B11" i="23"/>
  <c r="B78" i="23"/>
  <c r="B145" i="23"/>
  <c r="B25" i="23"/>
  <c r="B81" i="23"/>
  <c r="B37" i="23"/>
  <c r="B162" i="23"/>
  <c r="B9" i="23"/>
  <c r="B136" i="23"/>
  <c r="B174" i="23"/>
  <c r="B130" i="23"/>
  <c r="B172" i="23"/>
  <c r="B108" i="23"/>
  <c r="B44" i="23"/>
  <c r="B175" i="23"/>
  <c r="B47" i="23"/>
  <c r="B118" i="23"/>
  <c r="B189" i="23"/>
  <c r="B53" i="23"/>
  <c r="B103" i="23"/>
  <c r="B178" i="23"/>
  <c r="B46" i="23"/>
  <c r="B121" i="23"/>
  <c r="B70" i="23"/>
  <c r="B17" i="23"/>
  <c r="B155" i="23"/>
  <c r="B62" i="23"/>
  <c r="B184" i="23"/>
  <c r="B120" i="23"/>
  <c r="B56" i="23"/>
  <c r="B191" i="23"/>
  <c r="B71" i="23"/>
  <c r="B142" i="23"/>
  <c r="B18" i="23"/>
  <c r="B77" i="23"/>
  <c r="B127" i="23"/>
  <c r="B3" i="23"/>
  <c r="B38" i="23"/>
  <c r="B10" i="23"/>
  <c r="B119" i="23"/>
  <c r="B94" i="23"/>
  <c r="B33" i="23"/>
  <c r="B148" i="23"/>
  <c r="B84" i="23"/>
  <c r="B20" i="23"/>
  <c r="B131" i="23"/>
  <c r="B198" i="23"/>
  <c r="B74" i="23"/>
  <c r="B192" i="23"/>
  <c r="B128" i="23"/>
  <c r="B64" i="23"/>
  <c r="B199" i="23"/>
  <c r="B91" i="23"/>
  <c r="B158" i="23"/>
  <c r="B34" i="23"/>
  <c r="B89" i="23"/>
  <c r="B147" i="23"/>
  <c r="B19" i="23"/>
  <c r="B86" i="23"/>
  <c r="B153" i="23"/>
  <c r="B111" i="23"/>
  <c r="B54" i="23"/>
  <c r="B154" i="23"/>
  <c r="B72" i="23"/>
  <c r="B35" i="23"/>
  <c r="B73" i="23"/>
  <c r="B36" i="23"/>
  <c r="B144" i="23"/>
  <c r="B16" i="23"/>
  <c r="B133" i="23"/>
  <c r="B51" i="23"/>
  <c r="B185" i="23"/>
  <c r="M41" i="22" l="1"/>
  <c r="M43" i="22"/>
  <c r="M42" i="22"/>
  <c r="I66" i="22"/>
  <c r="I65" i="22"/>
  <c r="I64" i="22"/>
  <c r="I63" i="22"/>
  <c r="K3" i="22"/>
  <c r="I61" i="22"/>
  <c r="I62" i="22"/>
  <c r="I60" i="22"/>
  <c r="L40" i="22" l="1"/>
  <c r="B3" i="9" l="1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S6" i="13" a="1"/>
  <c r="X9" i="10" a="1"/>
  <c r="W4" i="10" a="1"/>
  <c r="W13" i="10" a="1"/>
  <c r="U5" i="10"/>
  <c r="W11" i="10" a="1"/>
  <c r="T4" i="10"/>
  <c r="U8" i="10"/>
  <c r="T13" i="10"/>
  <c r="W9" i="10" a="1"/>
  <c r="U7" i="10"/>
  <c r="W6" i="10" a="1"/>
  <c r="U10" i="10"/>
  <c r="T7" i="10"/>
  <c r="T6" i="10"/>
  <c r="X13" i="10" a="1"/>
  <c r="K47" i="11" a="1"/>
  <c r="W14" i="10" a="1"/>
  <c r="W12" i="10" a="1"/>
  <c r="X5" i="10" a="1"/>
  <c r="J47" i="11" a="1"/>
  <c r="X6" i="10" a="1"/>
  <c r="X10" i="10" a="1"/>
  <c r="T10" i="10"/>
  <c r="T11" i="10"/>
  <c r="U11" i="10"/>
  <c r="T8" i="10"/>
  <c r="U14" i="10"/>
  <c r="U13" i="10"/>
  <c r="U9" i="10"/>
  <c r="W7" i="10" a="1"/>
  <c r="W8" i="10" a="1"/>
  <c r="X8" i="10" a="1"/>
  <c r="T14" i="10"/>
  <c r="X7" i="10" a="1"/>
  <c r="U6" i="10"/>
  <c r="W10" i="10" a="1"/>
  <c r="T5" i="10"/>
  <c r="X4" i="10" a="1"/>
  <c r="U12" i="10"/>
  <c r="X14" i="10" a="1"/>
  <c r="X12" i="10" a="1"/>
  <c r="U4" i="10"/>
  <c r="W5" i="10" a="1"/>
  <c r="X11" i="10" a="1"/>
  <c r="T9" i="10"/>
  <c r="T12" i="10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W14" i="4" a="1"/>
  <c r="W5" i="4" a="1"/>
  <c r="W10" i="6" a="1"/>
  <c r="X7" i="5" a="1"/>
  <c r="T11" i="4"/>
  <c r="X9" i="6" a="1"/>
  <c r="U4" i="1"/>
  <c r="U7" i="4"/>
  <c r="W12" i="1" a="1"/>
  <c r="U9" i="4"/>
  <c r="X4" i="1" a="1"/>
  <c r="X13" i="6" a="1"/>
  <c r="U14" i="5"/>
  <c r="U5" i="5"/>
  <c r="W9" i="1" a="1"/>
  <c r="T6" i="4"/>
  <c r="X12" i="1" a="1"/>
  <c r="X7" i="4" a="1"/>
  <c r="T8" i="6"/>
  <c r="U13" i="4"/>
  <c r="T9" i="6"/>
  <c r="U4" i="6"/>
  <c r="U8" i="4"/>
  <c r="T8" i="1"/>
  <c r="X11" i="4" a="1"/>
  <c r="U13" i="5"/>
  <c r="U7" i="6"/>
  <c r="W8" i="6" a="1"/>
  <c r="X13" i="1" a="1"/>
  <c r="W13" i="4" a="1"/>
  <c r="U12" i="4"/>
  <c r="W10" i="1" a="1"/>
  <c r="T5" i="6"/>
  <c r="X4" i="6" a="1"/>
  <c r="T10" i="5"/>
  <c r="X7" i="1" a="1"/>
  <c r="W14" i="1" a="1"/>
  <c r="T12" i="6"/>
  <c r="X14" i="1" a="1"/>
  <c r="W7" i="4" a="1"/>
  <c r="X13" i="5" a="1"/>
  <c r="X6" i="5" a="1"/>
  <c r="U14" i="6"/>
  <c r="U14" i="1"/>
  <c r="T4" i="1"/>
  <c r="U5" i="1"/>
  <c r="X6" i="6" a="1"/>
  <c r="W5" i="5" a="1"/>
  <c r="T5" i="4"/>
  <c r="U9" i="6"/>
  <c r="X10" i="5" a="1"/>
  <c r="U5" i="6"/>
  <c r="X14" i="4" a="1"/>
  <c r="T13" i="4"/>
  <c r="W4" i="6" a="1"/>
  <c r="T12" i="4"/>
  <c r="U11" i="1"/>
  <c r="U5" i="4"/>
  <c r="T7" i="6"/>
  <c r="U10" i="5"/>
  <c r="W6" i="4" a="1"/>
  <c r="T10" i="4"/>
  <c r="U11" i="6"/>
  <c r="U12" i="5"/>
  <c r="T11" i="1"/>
  <c r="U10" i="1"/>
  <c r="T13" i="1"/>
  <c r="X4" i="5" a="1"/>
  <c r="T11" i="5"/>
  <c r="U12" i="6"/>
  <c r="T13" i="6"/>
  <c r="W10" i="5" a="1"/>
  <c r="W13" i="1" a="1"/>
  <c r="T9" i="1"/>
  <c r="X8" i="5" a="1"/>
  <c r="W7" i="5" a="1"/>
  <c r="X5" i="4" a="1"/>
  <c r="U12" i="1"/>
  <c r="X13" i="4" a="1"/>
  <c r="T14" i="5"/>
  <c r="T4" i="4"/>
  <c r="W12" i="5" a="1"/>
  <c r="W9" i="4" a="1"/>
  <c r="W12" i="6" a="1"/>
  <c r="U4" i="5"/>
  <c r="W7" i="1" a="1"/>
  <c r="X9" i="4" a="1"/>
  <c r="U8" i="5"/>
  <c r="U13" i="1"/>
  <c r="U7" i="5"/>
  <c r="T14" i="1"/>
  <c r="T7" i="5"/>
  <c r="T10" i="1"/>
  <c r="U11" i="5"/>
  <c r="X8" i="6" a="1"/>
  <c r="T6" i="1"/>
  <c r="X6" i="1" a="1"/>
  <c r="W12" i="4" a="1"/>
  <c r="X10" i="6" a="1"/>
  <c r="X5" i="1" a="1"/>
  <c r="U13" i="6"/>
  <c r="T9" i="5"/>
  <c r="W11" i="5" a="1"/>
  <c r="T14" i="6"/>
  <c r="X5" i="5" a="1"/>
  <c r="U10" i="4"/>
  <c r="T6" i="5"/>
  <c r="X9" i="5" a="1"/>
  <c r="T13" i="5"/>
  <c r="U10" i="6"/>
  <c r="U6" i="4"/>
  <c r="W6" i="5" a="1"/>
  <c r="X4" i="4" a="1"/>
  <c r="T8" i="4"/>
  <c r="U8" i="6"/>
  <c r="W4" i="4" a="1"/>
  <c r="X14" i="5" a="1"/>
  <c r="T6" i="6"/>
  <c r="T9" i="4"/>
  <c r="T10" i="6"/>
  <c r="W6" i="6" a="1"/>
  <c r="U6" i="1"/>
  <c r="T7" i="4"/>
  <c r="X14" i="6" a="1"/>
  <c r="T5" i="1"/>
  <c r="U6" i="6"/>
  <c r="W11" i="6" a="1"/>
  <c r="W7" i="6" a="1"/>
  <c r="T14" i="4"/>
  <c r="U6" i="5"/>
  <c r="W5" i="6" a="1"/>
  <c r="W14" i="5" a="1"/>
  <c r="X9" i="1" a="1"/>
  <c r="T8" i="5"/>
  <c r="X8" i="1" a="1"/>
  <c r="U7" i="1"/>
  <c r="T5" i="5"/>
  <c r="W14" i="6" a="1"/>
  <c r="X11" i="1" a="1"/>
  <c r="W8" i="4" a="1"/>
  <c r="T12" i="5"/>
  <c r="W8" i="5" a="1"/>
  <c r="X10" i="1" a="1"/>
  <c r="W9" i="5" a="1"/>
  <c r="W10" i="4" a="1"/>
  <c r="T7" i="1"/>
  <c r="X5" i="6" a="1"/>
  <c r="X6" i="4" a="1"/>
  <c r="X12" i="5" a="1"/>
  <c r="X12" i="6" a="1"/>
  <c r="X11" i="5" a="1"/>
  <c r="U9" i="5"/>
  <c r="T11" i="6"/>
  <c r="W13" i="5" a="1"/>
  <c r="W9" i="6" a="1"/>
  <c r="X10" i="4" a="1"/>
  <c r="T4" i="6"/>
  <c r="W8" i="1" a="1"/>
  <c r="W4" i="5" a="1"/>
  <c r="W5" i="1" a="1"/>
  <c r="U8" i="1"/>
  <c r="T4" i="5"/>
  <c r="W4" i="1" a="1"/>
  <c r="U11" i="4"/>
  <c r="X11" i="6" a="1"/>
  <c r="U4" i="4"/>
  <c r="X7" i="6" a="1"/>
  <c r="T12" i="1"/>
  <c r="X12" i="4" a="1"/>
  <c r="W6" i="1" a="1"/>
  <c r="U9" i="1"/>
  <c r="U14" i="4"/>
  <c r="W11" i="1" a="1"/>
  <c r="W13" i="6" a="1"/>
  <c r="W11" i="4" a="1"/>
  <c r="X8" i="4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I43" i="13" a="1"/>
  <c r="BN54" i="21" a="1"/>
  <c r="AN41" i="13" a="1"/>
  <c r="AU22" i="21" a="1"/>
  <c r="AN40" i="13" a="1"/>
  <c r="BA38" i="21" a="1"/>
  <c r="AU38" i="21" a="1"/>
  <c r="AI40" i="13" a="1"/>
  <c r="AI44" i="13" a="1"/>
  <c r="AI42" i="13" a="1"/>
  <c r="AI39" i="13" a="1"/>
  <c r="AI41" i="13" a="1"/>
  <c r="AN39" i="13" a="1"/>
  <c r="AI45" i="13" a="1"/>
  <c r="AN42" i="13" a="1"/>
  <c r="AN43" i="13" a="1"/>
  <c r="AN45" i="13" a="1"/>
  <c r="AN44" i="13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A25" i="21" a="1"/>
  <c r="BA22" i="21" a="1"/>
  <c r="BM52" i="21" a="1"/>
  <c r="AU25" i="21" a="1"/>
  <c r="BN55" i="21" a="1"/>
  <c r="BN52" i="21" a="1"/>
  <c r="BL55" i="21" a="1"/>
  <c r="BA37" i="21" a="1"/>
  <c r="BA35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M54" i="21" a="1"/>
  <c r="BN56" i="21" a="1"/>
  <c r="BA26" i="21" a="1"/>
  <c r="AU39" i="21" a="1"/>
  <c r="BA39" i="21" a="1"/>
  <c r="BA23" i="21" a="1"/>
  <c r="AU24" i="21" a="1"/>
  <c r="BN53" i="21" a="1"/>
  <c r="BA24" i="21" a="1"/>
  <c r="BA36" i="21" a="1"/>
  <c r="AU23" i="21" a="1"/>
  <c r="AU36" i="21" a="1"/>
  <c r="BL54" i="21" a="1"/>
  <c r="BL53" i="21" a="1"/>
  <c r="BA40" i="21" a="1"/>
  <c r="BN57" i="21" a="1"/>
  <c r="BM55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BL56" i="21" a="1"/>
  <c r="BM57" i="21" a="1"/>
  <c r="AU40" i="21" a="1"/>
  <c r="BA27" i="21" a="1"/>
  <c r="BM53" i="21" a="1"/>
  <c r="AU27" i="21" a="1"/>
  <c r="BM56" i="21" a="1"/>
  <c r="AU26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Q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F28" i="13" a="1"/>
  <c r="AF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BA41" i="21" a="1"/>
  <c r="AI18" i="13" a="1"/>
  <c r="AI14" i="13" a="1"/>
  <c r="AN15" i="13" a="1"/>
  <c r="AI17" i="13" a="1"/>
  <c r="AI13" i="13" a="1"/>
  <c r="AU41" i="21" a="1"/>
  <c r="BL57" i="21" a="1"/>
  <c r="BN58" i="21" a="1"/>
  <c r="L53" i="21" l="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D57" i="21"/>
  <c r="G57" i="2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BA29" i="21" a="1"/>
  <c r="BN59" i="21" a="1"/>
  <c r="AU29" i="21" a="1"/>
  <c r="BA28" i="21" a="1"/>
  <c r="AU42" i="21" a="1"/>
  <c r="BL59" i="21" a="1"/>
  <c r="BL58" i="21" a="1"/>
  <c r="AI16" i="13" a="1"/>
  <c r="AN13" i="13" a="1"/>
  <c r="AI19" i="13" a="1"/>
  <c r="BA42" i="21" a="1"/>
  <c r="BM58" i="21" a="1"/>
  <c r="AI15" i="13" a="1"/>
  <c r="AN19" i="13" a="1"/>
  <c r="AU28" i="21" a="1"/>
  <c r="F57" i="21" l="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BM59" i="21" a="1"/>
  <c r="AN14" i="13" a="1"/>
  <c r="AN16" i="13" a="1"/>
  <c r="BL60" i="21" a="1"/>
  <c r="AU30" i="21" a="1"/>
  <c r="BA43" i="21" a="1"/>
  <c r="BN60" i="21" a="1"/>
  <c r="BA30" i="21" a="1"/>
  <c r="AN18" i="13" a="1"/>
  <c r="AU43" i="21" a="1"/>
  <c r="AN17" i="13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F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A44" i="21" a="1"/>
  <c r="BN61" i="21" a="1"/>
  <c r="AU31" i="21" a="1"/>
  <c r="BM60" i="21" a="1"/>
  <c r="AU44" i="21" a="1"/>
  <c r="BL61" i="21" a="1"/>
  <c r="BA31" i="21" a="1"/>
  <c r="I28" i="13" l="1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M61" i="21" a="1"/>
  <c r="AU32" i="21" a="1"/>
  <c r="BL62" i="21" a="1"/>
  <c r="BA32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BM62" i="21" a="1"/>
  <c r="BA45" i="21" a="1"/>
  <c r="AU45" i="21" a="1"/>
  <c r="BN62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<sst xmlns="http://schemas.openxmlformats.org/spreadsheetml/2006/main" count="1357" uniqueCount="983">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</sst>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5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  <xf numFmtId="0" fontId="0" fillId="0" borderId="0" xfId="0" applyFill="1" applyAlignment="1">
      <alignment textRotation="90"/>
    </xf>
    <xf numFmtId="0" fontId="10" fillId="0" borderId="0" xfId="0" applyFont="1" applyFill="1" applyAlignment="1">
      <alignment textRotation="90"/>
    </xf>
    <xf numFmtId="0" fontId="0" fillId="0" borderId="0" xfId="0" applyFill="1"/>
    <xf numFmtId="0" fontId="10" fillId="0" borderId="0" xfId="0" applyFont="1" applyFill="1"/>
    <xf numFmtId="0" fontId="0" fillId="0" borderId="0" xfId="0" quotePrefix="1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v0009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GitHub public, Phase 1-4 completed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61" t="s">
        <v>941</v>
      </c>
      <c r="I31" s="129"/>
    </row>
    <row r="32" spans="7:9" ht="10.25" customHeight="1" x14ac:dyDescent="0.3">
      <c r="G32" s="61" t="s">
        <v>955</v>
      </c>
    </row>
    <row r="33" spans="1:13" ht="10.25" customHeight="1" x14ac:dyDescent="0.3">
      <c r="G33" s="61" t="s">
        <v>912</v>
      </c>
    </row>
    <row r="34" spans="1:13" ht="10.25" customHeight="1" x14ac:dyDescent="0.3">
      <c r="G34" s="61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0" priority="2">
      <formula>IFERROR(NOT(L41),TRUE)</formula>
    </cfRule>
  </conditionalFormatting>
  <conditionalFormatting sqref="L40">
    <cfRule type="expression" dxfId="29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28" priority="1">
      <formula>NOT(ISERROR(SEARCH("ERR:",B2)))</formula>
    </cfRule>
    <cfRule type="expression" dxfId="27" priority="2">
      <formula>NOT(ISERROR(SEARCH("TOGET:",B2)))</formula>
    </cfRule>
    <cfRule type="expression" dxfId="26" priority="3">
      <formula>NOT(ISERROR(SEARCH("!!!",B2)))</formula>
    </cfRule>
    <cfRule type="expression" dxfId="25" priority="4">
      <formula>NOT(ISERROR(SEARCH("~?~?~?",B2)))</formula>
    </cfRule>
    <cfRule type="expression" dxfId="24" priority="5">
      <formula>NOT(ISERROR(SEARCH("TODO:",B2)))</formula>
    </cfRule>
    <cfRule type="expression" dxfId="23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>
      <selection activeCell="C2" sqref="C2"/>
    </sheetView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/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B3" s="160"/>
      <c r="C3" s="148" t="s">
        <v>962</v>
      </c>
      <c r="D3" s="161" t="s">
        <v>966</v>
      </c>
      <c r="E3" s="161" t="s">
        <v>967</v>
      </c>
      <c r="F3" s="161" t="s">
        <v>968</v>
      </c>
      <c r="G3" s="148" t="s">
        <v>941</v>
      </c>
      <c r="H3" s="161" t="s">
        <v>969</v>
      </c>
      <c r="I3" s="161" t="s">
        <v>970</v>
      </c>
      <c r="J3" s="148" t="s">
        <v>955</v>
      </c>
      <c r="K3" s="161" t="s">
        <v>971</v>
      </c>
      <c r="L3" s="161" t="s">
        <v>972</v>
      </c>
      <c r="M3" s="161" t="s">
        <v>973</v>
      </c>
      <c r="N3" s="161" t="s">
        <v>974</v>
      </c>
      <c r="O3" s="158" t="s">
        <v>173</v>
      </c>
      <c r="P3" s="158" t="s">
        <v>741</v>
      </c>
      <c r="Q3" s="148" t="s">
        <v>912</v>
      </c>
      <c r="R3" s="161" t="s">
        <v>975</v>
      </c>
      <c r="S3" s="161" t="s">
        <v>976</v>
      </c>
      <c r="T3" s="161" t="s">
        <v>977</v>
      </c>
      <c r="U3" s="161" t="s">
        <v>978</v>
      </c>
      <c r="V3" s="161" t="s">
        <v>979</v>
      </c>
      <c r="W3" s="161" t="s">
        <v>980</v>
      </c>
      <c r="X3" s="158" t="s">
        <v>167</v>
      </c>
      <c r="Y3" s="148" t="s">
        <v>911</v>
      </c>
      <c r="Z3" s="150"/>
      <c r="AA3" s="150"/>
      <c r="AB3" s="149"/>
      <c r="AC3" s="149"/>
      <c r="AD3" s="149"/>
      <c r="AE3" s="149"/>
      <c r="AF3" s="150"/>
      <c r="AG3" s="149"/>
      <c r="AH3" s="150"/>
      <c r="AI3" s="149"/>
      <c r="AJ3" s="150"/>
      <c r="AK3" s="149"/>
      <c r="AL3" s="149"/>
      <c r="AM3" s="150"/>
      <c r="AN3" s="150"/>
      <c r="AO3" s="150"/>
      <c r="AP3" s="149"/>
      <c r="AQ3" s="150"/>
      <c r="AR3" s="150"/>
      <c r="AS3" s="150"/>
      <c r="AT3" s="149"/>
      <c r="AU3" s="150"/>
      <c r="AV3" s="150"/>
      <c r="AW3" s="150"/>
      <c r="AX3" s="149"/>
      <c r="AY3" s="150"/>
      <c r="AZ3" s="149"/>
      <c r="BA3" s="149"/>
      <c r="BB3" s="149"/>
      <c r="BC3" s="150"/>
      <c r="BD3" s="149"/>
      <c r="BE3" s="149"/>
      <c r="BF3" s="150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s="162" t="str">
        <f>LinkSheets("&lt;=", Intro!A1, '&gt; comments &lt;'!A1)</f>
        <v>&lt;=</v>
      </c>
      <c r="E4" s="162" t="str">
        <f>LinkSheets("&lt;=", Intro!A1, Versions!A1)</f>
        <v>&lt;=</v>
      </c>
      <c r="F4" s="162" t="str">
        <f>LinkSheets("&lt;=", Intro!A1, 'Worksheets matrix'!A1)</f>
        <v>&lt;=</v>
      </c>
      <c r="G4" s="162" t="str">
        <f>LinkSheets("&lt;=", Intro!A1, 'Sprite Shifting'!A1)</f>
        <v>&lt;=</v>
      </c>
      <c r="H4" s="162"/>
      <c r="I4" s="162"/>
      <c r="J4" s="162" t="str">
        <f>LinkSheets("&lt;=", Intro!A1, 'Pixel Shifting'!A1)</f>
        <v>&lt;=</v>
      </c>
      <c r="K4" s="162"/>
      <c r="L4" s="162"/>
      <c r="M4" s="162"/>
      <c r="N4" s="162"/>
      <c r="O4" s="162"/>
      <c r="P4" s="162"/>
      <c r="Q4" s="162" t="str">
        <f>LinkSheets("&lt;=", Intro!A1, Sprites!A1)</f>
        <v>&lt;=</v>
      </c>
      <c r="R4" s="162"/>
      <c r="S4" s="162"/>
      <c r="T4" s="162"/>
      <c r="U4" s="162"/>
      <c r="V4" s="162"/>
      <c r="W4" s="162"/>
      <c r="X4" s="162"/>
      <c r="Y4" s="162"/>
    </row>
    <row r="5" spans="2:107" outlineLevel="1" x14ac:dyDescent="0.3">
      <c r="B5" s="163" t="s">
        <v>966</v>
      </c>
      <c r="C5" s="162" t="str">
        <f>LinkSheets("=&gt;", Intro!A1, '&gt; comments &lt;'!A1)</f>
        <v>=&gt;</v>
      </c>
      <c r="D5" s="154"/>
      <c r="E5" s="164"/>
      <c r="F5" s="162" t="str">
        <f>LinkSheets("=&gt;", 'Worksheets matrix'!A1, '&gt; comments &lt;'!A1)</f>
        <v>=&gt;</v>
      </c>
      <c r="G5" s="162"/>
      <c r="H5" s="162" t="str">
        <f>LinkSheets("&lt;=", '&gt; comments &lt;'!A1, 'Sprite Shifter'!A1)</f>
        <v>&lt;=</v>
      </c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</row>
    <row r="6" spans="2:107" outlineLevel="1" x14ac:dyDescent="0.3">
      <c r="B6" s="163" t="s">
        <v>967</v>
      </c>
      <c r="C6" s="162" t="str">
        <f>LinkSheets("=&gt;", Intro!A1, Versions!A1)</f>
        <v>=&gt;</v>
      </c>
      <c r="D6" s="162"/>
      <c r="E6" s="154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</row>
    <row r="7" spans="2:107" outlineLevel="1" x14ac:dyDescent="0.3">
      <c r="B7" s="163" t="s">
        <v>968</v>
      </c>
      <c r="C7" s="162" t="str">
        <f>LinkSheets("=&gt;", Intro!A1, 'Worksheets matrix'!A1)</f>
        <v>=&gt;</v>
      </c>
      <c r="D7" s="164" t="str">
        <f>LinkSheets("&lt;=", 'Worksheets matrix'!A1, '&gt; comments &lt;'!A1)</f>
        <v>&lt;=</v>
      </c>
      <c r="E7" s="164"/>
      <c r="F7" s="154" t="str">
        <f>LinkSheets("&lt;=&gt;", 'Worksheets matrix'!A1, 'Worksheets matrix'!A1)</f>
        <v>&lt;=&gt;</v>
      </c>
      <c r="G7" s="162" t="str">
        <f>LinkSheets("&lt;=", 'Worksheets matrix'!A1, 'Sprite Shifting'!A1)</f>
        <v>&lt;=</v>
      </c>
      <c r="H7" s="162" t="str">
        <f>LinkSheets("&lt;=", 'Worksheets matrix'!A1, 'Sprite Shifter'!A1)</f>
        <v>&lt;=</v>
      </c>
      <c r="I7" s="162"/>
      <c r="J7" s="162" t="str">
        <f>LinkSheets("&lt;=", 'Worksheets matrix'!A1, 'Pixel Shifting'!A1)</f>
        <v>&lt;=</v>
      </c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AV7" s="155"/>
      <c r="AW7" s="155"/>
      <c r="BM7" s="155"/>
    </row>
    <row r="8" spans="2:107" x14ac:dyDescent="0.3">
      <c r="B8" s="151" t="s">
        <v>941</v>
      </c>
      <c r="C8" s="162" t="str">
        <f>LinkSheets("=&gt;", Intro!A1, 'Sprite Shifting'!A1)</f>
        <v>=&gt;</v>
      </c>
      <c r="D8" s="162"/>
      <c r="E8" s="162"/>
      <c r="F8" s="162" t="str">
        <f>LinkSheets("=&gt;", 'Worksheets matrix'!A1, 'Sprite Shifting'!A1)</f>
        <v>=&gt;</v>
      </c>
      <c r="G8" s="15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</row>
    <row r="9" spans="2:107" outlineLevel="1" x14ac:dyDescent="0.3">
      <c r="B9" s="163" t="s">
        <v>969</v>
      </c>
      <c r="C9" s="162"/>
      <c r="D9" s="162" t="str">
        <f>LinkSheets("=&gt;", '&gt; comments &lt;'!A1, 'Sprite Shifter'!A1)</f>
        <v>=&gt;</v>
      </c>
      <c r="E9" s="162"/>
      <c r="F9" s="162" t="str">
        <f>LinkSheets("=&gt;", 'Worksheets matrix'!A1, 'Sprite Shifter'!A1)</f>
        <v>=&gt;</v>
      </c>
      <c r="G9" s="162"/>
      <c r="H9" s="154"/>
      <c r="I9" s="162" t="str">
        <f>LinkSheets("&lt;=", 'Sprite Shifter'!A1, 'Sprite (load)'!A1)</f>
        <v>&lt;=</v>
      </c>
      <c r="J9" s="162"/>
      <c r="K9" s="162"/>
      <c r="L9" s="162"/>
      <c r="M9" s="162"/>
      <c r="N9" s="162"/>
      <c r="O9" s="162" t="str">
        <f>LinkSheets("&lt;=", 'Sprite Shifter'!A1, pixel_pattern_table.asm!A1)</f>
        <v>&lt;=</v>
      </c>
      <c r="P9" s="162" t="str">
        <f>LinkSheets("&lt;=", 'Sprite Shifter'!A1, pixel_shift_table.asm!A1)</f>
        <v>&lt;=</v>
      </c>
      <c r="Q9" s="162"/>
      <c r="R9" s="162"/>
      <c r="S9" s="162"/>
      <c r="T9" s="162"/>
      <c r="U9" s="162"/>
      <c r="V9" s="162"/>
      <c r="W9" s="162"/>
      <c r="X9" s="162"/>
      <c r="Y9" s="162"/>
    </row>
    <row r="10" spans="2:107" outlineLevel="1" x14ac:dyDescent="0.3">
      <c r="B10" s="163" t="s">
        <v>970</v>
      </c>
      <c r="C10" s="162"/>
      <c r="D10" s="162"/>
      <c r="E10" s="162"/>
      <c r="F10" s="162"/>
      <c r="G10" s="162"/>
      <c r="H10" s="164" t="str">
        <f>LinkSheets("=&gt;", 'Sprite Shifter'!A1, 'Sprite (load)'!A1)</f>
        <v>=&gt;</v>
      </c>
      <c r="I10" s="154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</row>
    <row r="11" spans="2:107" x14ac:dyDescent="0.3">
      <c r="B11" s="151" t="s">
        <v>955</v>
      </c>
      <c r="C11" s="162" t="str">
        <f>LinkSheets("=&gt;", Intro!A1, 'Pixel Shifting'!A1)</f>
        <v>=&gt;</v>
      </c>
      <c r="D11" s="162"/>
      <c r="E11" s="162"/>
      <c r="F11" s="162" t="str">
        <f>LinkSheets("=&gt;", 'Worksheets matrix'!A1, 'Pixel Shifting'!A1)</f>
        <v>=&gt;</v>
      </c>
      <c r="G11" s="162"/>
      <c r="H11" s="164"/>
      <c r="I11" s="164"/>
      <c r="J11" s="15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</row>
    <row r="12" spans="2:107" outlineLevel="1" x14ac:dyDescent="0.3">
      <c r="B12" s="163" t="s">
        <v>971</v>
      </c>
      <c r="C12" s="162"/>
      <c r="D12" s="164"/>
      <c r="E12" s="164"/>
      <c r="F12" s="162"/>
      <c r="G12" s="162"/>
      <c r="H12" s="164"/>
      <c r="I12" s="164"/>
      <c r="J12" s="164"/>
      <c r="K12" s="154"/>
      <c r="L12" s="162"/>
      <c r="M12" s="162"/>
      <c r="N12" s="162"/>
      <c r="O12" s="162" t="str">
        <f>LinkSheets("&lt;=", 'Pixel Shifter'!A1, pixel_pattern_table.asm!A1)</f>
        <v>&lt;=</v>
      </c>
      <c r="P12" s="162" t="str">
        <f>LinkSheets("&lt;=", 'Pixel Shifter'!A1, pixel_shift_table.asm!A1)</f>
        <v>&lt;=</v>
      </c>
      <c r="Q12" s="162"/>
      <c r="R12" s="162"/>
      <c r="S12" s="162"/>
      <c r="T12" s="162"/>
      <c r="U12" s="162"/>
      <c r="V12" s="162"/>
      <c r="W12" s="162"/>
      <c r="X12" s="162"/>
      <c r="Y12" s="162"/>
    </row>
    <row r="13" spans="2:107" outlineLevel="1" x14ac:dyDescent="0.3">
      <c r="B13" s="163" t="s">
        <v>972</v>
      </c>
      <c r="C13" s="162"/>
      <c r="D13" s="162"/>
      <c r="E13" s="162"/>
      <c r="F13" s="162"/>
      <c r="G13" s="162"/>
      <c r="H13" s="164"/>
      <c r="I13" s="164"/>
      <c r="J13" s="164"/>
      <c r="K13" s="162"/>
      <c r="L13" s="154"/>
      <c r="M13" s="162"/>
      <c r="N13" s="162"/>
      <c r="O13" s="162" t="str">
        <f>LinkSheets("&lt;=", 'Pixel Shift Pattern Table'!A1, pixel_pattern_table.asm!A1)</f>
        <v>&lt;=</v>
      </c>
      <c r="P13" s="162" t="str">
        <f>LinkSheets("&lt;=", 'Pixel Shift Pattern Table'!A1, pixel_shift_table.asm!A1)</f>
        <v>&lt;=</v>
      </c>
      <c r="Q13" s="162"/>
      <c r="R13" s="162"/>
      <c r="S13" s="162"/>
      <c r="T13" s="162"/>
      <c r="U13" s="162"/>
      <c r="V13" s="162"/>
      <c r="W13" s="162"/>
      <c r="X13" s="162"/>
      <c r="Y13" s="162"/>
    </row>
    <row r="14" spans="2:107" outlineLevel="1" x14ac:dyDescent="0.3">
      <c r="B14" s="163" t="s">
        <v>973</v>
      </c>
      <c r="C14" s="162"/>
      <c r="D14" s="162"/>
      <c r="E14" s="162"/>
      <c r="F14" s="162"/>
      <c r="G14" s="162"/>
      <c r="H14" s="164"/>
      <c r="I14" s="164"/>
      <c r="J14" s="164"/>
      <c r="K14" s="164"/>
      <c r="L14" s="162"/>
      <c r="M14" s="154"/>
      <c r="N14" s="162"/>
      <c r="O14" s="162"/>
      <c r="P14" s="162" t="str">
        <f>LinkSheets("&lt;=", 'Pixel Shift Table'!A1, pixel_shift_table.asm!A1)</f>
        <v>&lt;=</v>
      </c>
      <c r="Q14" s="162"/>
      <c r="R14" s="162"/>
      <c r="S14" s="162"/>
      <c r="T14" s="162"/>
      <c r="U14" s="162"/>
      <c r="V14" s="162"/>
      <c r="W14" s="162"/>
      <c r="X14" s="162"/>
      <c r="Y14" s="162"/>
    </row>
    <row r="15" spans="2:107" outlineLevel="1" x14ac:dyDescent="0.3">
      <c r="B15" s="163" t="s">
        <v>974</v>
      </c>
      <c r="C15" s="162"/>
      <c r="D15" s="164"/>
      <c r="E15" s="164"/>
      <c r="F15" s="162"/>
      <c r="G15" s="162"/>
      <c r="H15" s="162"/>
      <c r="I15" s="162"/>
      <c r="J15" s="162"/>
      <c r="K15" s="162"/>
      <c r="L15" s="162"/>
      <c r="M15" s="164"/>
      <c r="N15" s="154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</row>
    <row r="16" spans="2:107" outlineLevel="1" x14ac:dyDescent="0.3">
      <c r="B16" s="157" t="s">
        <v>173</v>
      </c>
      <c r="C16" s="162"/>
      <c r="D16" s="162"/>
      <c r="E16" s="162"/>
      <c r="F16" s="162"/>
      <c r="G16" s="162"/>
      <c r="H16" s="162" t="str">
        <f>LinkSheets("=&gt;", 'Sprite Shifter'!A1, pixel_pattern_table.asm!A1)</f>
        <v>=&gt;</v>
      </c>
      <c r="I16" s="162"/>
      <c r="J16" s="162"/>
      <c r="K16" s="164" t="str">
        <f>LinkSheets("=&gt;", 'Pixel Shifter'!A1, pixel_pattern_table.asm!A1)</f>
        <v>=&gt;</v>
      </c>
      <c r="L16" s="162" t="str">
        <f>LinkSheets("=&gt;", 'Pixel Shift Pattern Table'!A1, pixel_pattern_table.asm!A1)</f>
        <v>=&gt;</v>
      </c>
      <c r="M16" s="162"/>
      <c r="N16" s="162"/>
      <c r="O16" s="159"/>
      <c r="P16" s="162"/>
      <c r="Q16" s="162"/>
      <c r="R16" s="162"/>
      <c r="S16" s="162"/>
      <c r="T16" s="162"/>
      <c r="U16" s="162"/>
      <c r="V16" s="162"/>
      <c r="W16" s="162"/>
      <c r="X16" s="162"/>
      <c r="Y16" s="162"/>
    </row>
    <row r="17" spans="2:42" outlineLevel="1" x14ac:dyDescent="0.3">
      <c r="B17" s="157" t="s">
        <v>741</v>
      </c>
      <c r="C17" s="162"/>
      <c r="D17" s="162"/>
      <c r="E17" s="162"/>
      <c r="F17" s="162"/>
      <c r="G17" s="162"/>
      <c r="H17" s="162" t="str">
        <f>LinkSheets("=&gt;", 'Sprite Shifter'!A1, pixel_shift_table.asm!A1)</f>
        <v>=&gt;</v>
      </c>
      <c r="I17" s="162"/>
      <c r="J17" s="162"/>
      <c r="K17" s="162" t="str">
        <f>LinkSheets("=&gt;", 'Pixel Shifter'!A1, pixel_shift_table.asm!A1)</f>
        <v>=&gt;</v>
      </c>
      <c r="L17" s="162" t="str">
        <f>LinkSheets("=&gt;", 'Pixel Shift Pattern Table'!A1, pixel_shift_table.asm!A1)</f>
        <v>=&gt;</v>
      </c>
      <c r="M17" s="162" t="str">
        <f>LinkSheets("=&gt;", 'Pixel Shift Table'!A1, pixel_shift_table.asm!A1)</f>
        <v>=&gt;</v>
      </c>
      <c r="N17" s="162"/>
      <c r="O17" s="162"/>
      <c r="P17" s="159"/>
      <c r="Q17" s="162"/>
      <c r="R17" s="162"/>
      <c r="S17" s="162"/>
      <c r="T17" s="162"/>
      <c r="U17" s="162"/>
      <c r="V17" s="162"/>
      <c r="W17" s="162"/>
      <c r="X17" s="162"/>
      <c r="Y17" s="162"/>
    </row>
    <row r="18" spans="2:42" x14ac:dyDescent="0.3">
      <c r="B18" s="151" t="s">
        <v>912</v>
      </c>
      <c r="C18" s="162" t="str">
        <f>LinkSheets("=&gt;", Intro!A1, Sprites!A1)</f>
        <v>=&gt;</v>
      </c>
      <c r="D18" s="162"/>
      <c r="E18" s="162"/>
      <c r="F18" s="162"/>
      <c r="G18" s="162"/>
      <c r="H18" s="162"/>
      <c r="I18" s="162"/>
      <c r="J18" s="162"/>
      <c r="K18" s="162"/>
      <c r="L18" s="164"/>
      <c r="M18" s="162"/>
      <c r="N18" s="162"/>
      <c r="O18" s="162"/>
      <c r="P18" s="162"/>
      <c r="Q18" s="152"/>
      <c r="R18" s="162"/>
      <c r="S18" s="162"/>
      <c r="T18" s="162"/>
      <c r="U18" s="162"/>
      <c r="V18" s="162"/>
      <c r="W18" s="162"/>
      <c r="X18" s="162"/>
      <c r="Y18" s="162"/>
    </row>
    <row r="19" spans="2:42" outlineLevel="1" x14ac:dyDescent="0.3">
      <c r="B19" s="163" t="s">
        <v>975</v>
      </c>
      <c r="C19" s="162"/>
      <c r="D19" s="162"/>
      <c r="E19" s="162"/>
      <c r="F19" s="162"/>
      <c r="G19" s="162"/>
      <c r="H19" s="162"/>
      <c r="I19" s="164"/>
      <c r="J19" s="162"/>
      <c r="K19" s="162"/>
      <c r="L19" s="162"/>
      <c r="M19" s="162"/>
      <c r="N19" s="162"/>
      <c r="O19" s="162"/>
      <c r="P19" s="162"/>
      <c r="Q19" s="162"/>
      <c r="R19" s="154"/>
      <c r="S19" s="162"/>
      <c r="T19" s="162"/>
      <c r="U19" s="162"/>
      <c r="V19" s="162"/>
      <c r="W19" s="162"/>
      <c r="X19" s="162"/>
      <c r="Y19" s="162"/>
      <c r="AP19" s="155"/>
    </row>
    <row r="20" spans="2:42" outlineLevel="1" x14ac:dyDescent="0.3">
      <c r="B20" s="163" t="s">
        <v>976</v>
      </c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54"/>
      <c r="T20" s="162"/>
      <c r="U20" s="162"/>
      <c r="V20" s="162"/>
      <c r="W20" s="162"/>
      <c r="X20" s="162"/>
      <c r="Y20" s="162"/>
    </row>
    <row r="21" spans="2:42" outlineLevel="1" x14ac:dyDescent="0.3">
      <c r="B21" s="163" t="s">
        <v>977</v>
      </c>
      <c r="C21" s="162"/>
      <c r="D21" s="162"/>
      <c r="E21" s="162"/>
      <c r="F21" s="162"/>
      <c r="G21" s="162"/>
      <c r="H21" s="162"/>
      <c r="I21" s="164"/>
      <c r="J21" s="164"/>
      <c r="K21" s="164"/>
      <c r="L21" s="164"/>
      <c r="M21" s="162"/>
      <c r="N21" s="162"/>
      <c r="O21" s="162"/>
      <c r="P21" s="162"/>
      <c r="Q21" s="162"/>
      <c r="R21" s="162"/>
      <c r="S21" s="162"/>
      <c r="T21" s="154"/>
      <c r="U21" s="162"/>
      <c r="V21" s="162"/>
      <c r="W21" s="162"/>
      <c r="X21" s="162"/>
      <c r="Y21" s="162"/>
    </row>
    <row r="22" spans="2:42" outlineLevel="1" x14ac:dyDescent="0.3">
      <c r="B22" s="163" t="s">
        <v>978</v>
      </c>
      <c r="C22" s="162"/>
      <c r="D22" s="164"/>
      <c r="E22" s="164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4"/>
      <c r="U22" s="154"/>
      <c r="V22" s="162"/>
      <c r="W22" s="162"/>
      <c r="X22" s="162"/>
      <c r="Y22" s="162"/>
    </row>
    <row r="23" spans="2:42" outlineLevel="1" x14ac:dyDescent="0.3">
      <c r="B23" s="163" t="s">
        <v>979</v>
      </c>
      <c r="C23" s="162"/>
      <c r="D23" s="164"/>
      <c r="E23" s="164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4"/>
      <c r="V23" s="154"/>
      <c r="W23" s="162"/>
      <c r="X23" s="162"/>
      <c r="Y23" s="164"/>
    </row>
    <row r="24" spans="2:42" outlineLevel="1" x14ac:dyDescent="0.3">
      <c r="B24" s="163" t="s">
        <v>980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4"/>
      <c r="W24" s="154"/>
      <c r="X24" s="162"/>
      <c r="Y24" s="162"/>
    </row>
    <row r="25" spans="2:42" outlineLevel="1" x14ac:dyDescent="0.3">
      <c r="B25" s="157" t="s">
        <v>167</v>
      </c>
      <c r="C25" s="162"/>
      <c r="D25" s="164"/>
      <c r="E25" s="164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4"/>
      <c r="U25" s="162"/>
      <c r="V25" s="162"/>
      <c r="W25" s="162"/>
      <c r="X25" s="159"/>
      <c r="Y25" s="162"/>
    </row>
    <row r="26" spans="2:42" x14ac:dyDescent="0.3">
      <c r="B26" s="151" t="s">
        <v>911</v>
      </c>
      <c r="C26" s="162"/>
      <c r="D26" s="164"/>
      <c r="E26" s="164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4"/>
      <c r="Y26" s="152"/>
    </row>
    <row r="27" spans="2:42" x14ac:dyDescent="0.3">
      <c r="B27" s="156"/>
      <c r="D27" s="155"/>
      <c r="E27" s="155"/>
      <c r="X27" s="155"/>
    </row>
    <row r="28" spans="2:42" x14ac:dyDescent="0.3">
      <c r="B28" s="156"/>
      <c r="D28" s="155"/>
      <c r="E28" s="155"/>
      <c r="V28" s="155"/>
      <c r="X28" s="155"/>
    </row>
    <row r="29" spans="2:42" x14ac:dyDescent="0.3">
      <c r="B29" s="153"/>
      <c r="D29" s="155"/>
      <c r="E29" s="155"/>
      <c r="T29" s="155"/>
    </row>
    <row r="30" spans="2:42" x14ac:dyDescent="0.3">
      <c r="B30" s="153"/>
      <c r="T30" s="155"/>
    </row>
    <row r="31" spans="2:42" x14ac:dyDescent="0.3">
      <c r="B31" s="153"/>
      <c r="AB31" s="155"/>
    </row>
    <row r="32" spans="2:42" x14ac:dyDescent="0.3">
      <c r="B32" s="153"/>
    </row>
    <row r="33" spans="2:65" x14ac:dyDescent="0.3">
      <c r="B33" s="156"/>
    </row>
    <row r="34" spans="2:65" x14ac:dyDescent="0.3">
      <c r="B34" s="153"/>
    </row>
    <row r="35" spans="2:65" x14ac:dyDescent="0.3">
      <c r="B35" s="156"/>
    </row>
    <row r="36" spans="2:65" x14ac:dyDescent="0.3">
      <c r="B36" s="153"/>
    </row>
    <row r="37" spans="2:65" x14ac:dyDescent="0.3">
      <c r="B37" s="156"/>
    </row>
    <row r="38" spans="2:65" x14ac:dyDescent="0.3">
      <c r="B38" s="153"/>
      <c r="D38" s="155"/>
      <c r="E38" s="155"/>
      <c r="AJ38" s="155"/>
    </row>
    <row r="39" spans="2:65" x14ac:dyDescent="0.3">
      <c r="B39" s="153"/>
      <c r="AJ39" s="155"/>
    </row>
    <row r="40" spans="2:65" x14ac:dyDescent="0.3">
      <c r="B40" s="156"/>
      <c r="C40" s="155"/>
    </row>
    <row r="41" spans="2:65" x14ac:dyDescent="0.3">
      <c r="B41" s="156"/>
      <c r="D41" s="155"/>
      <c r="E41" s="155"/>
      <c r="AJ41" s="155"/>
      <c r="AM41" s="155"/>
      <c r="BM41" s="155"/>
    </row>
    <row r="42" spans="2:65" x14ac:dyDescent="0.3">
      <c r="B42" s="156"/>
    </row>
    <row r="43" spans="2:65" x14ac:dyDescent="0.3">
      <c r="B43" s="153"/>
    </row>
    <row r="44" spans="2:65" x14ac:dyDescent="0.3">
      <c r="B44" s="156"/>
    </row>
    <row r="45" spans="2:65" x14ac:dyDescent="0.3">
      <c r="B45" s="156"/>
      <c r="AJ45" s="155"/>
      <c r="AQ45" s="155"/>
      <c r="AU45" s="155"/>
      <c r="AX45" s="155"/>
    </row>
    <row r="46" spans="2:65" x14ac:dyDescent="0.3">
      <c r="B46" s="156"/>
      <c r="AR46" s="155"/>
    </row>
    <row r="47" spans="2:65" x14ac:dyDescent="0.3">
      <c r="B47" s="153"/>
      <c r="O47" s="155"/>
      <c r="AR47" s="155"/>
    </row>
    <row r="48" spans="2:65" x14ac:dyDescent="0.3">
      <c r="B48" s="156"/>
      <c r="C48" s="155"/>
      <c r="E48" s="155"/>
    </row>
    <row r="49" spans="2:88" x14ac:dyDescent="0.3">
      <c r="B49" s="156"/>
      <c r="D49" s="155"/>
      <c r="E49" s="155"/>
      <c r="AG49" s="155"/>
    </row>
    <row r="50" spans="2:88" x14ac:dyDescent="0.3">
      <c r="B50" s="156"/>
      <c r="D50" s="155"/>
      <c r="E50" s="155"/>
      <c r="R50" s="155"/>
      <c r="AG50" s="155"/>
      <c r="AN50" s="155"/>
      <c r="AO50" s="155"/>
      <c r="AP50" s="155"/>
    </row>
    <row r="51" spans="2:88" x14ac:dyDescent="0.3">
      <c r="B51" s="153"/>
      <c r="D51" s="155"/>
      <c r="E51" s="155"/>
      <c r="K51" s="155"/>
      <c r="AN51" s="155"/>
      <c r="AO51" s="155"/>
      <c r="AQ51" s="155"/>
      <c r="AU51" s="155"/>
      <c r="AV51" s="155"/>
      <c r="AW51" s="155"/>
    </row>
    <row r="52" spans="2:88" x14ac:dyDescent="0.3">
      <c r="B52" s="156"/>
      <c r="D52" s="155"/>
      <c r="E52" s="155"/>
      <c r="AX52" s="155"/>
    </row>
    <row r="53" spans="2:88" x14ac:dyDescent="0.3">
      <c r="B53" s="153"/>
      <c r="D53" s="155"/>
      <c r="E53" s="155"/>
      <c r="L53" s="155"/>
      <c r="AV53" s="155"/>
      <c r="AW53" s="155"/>
    </row>
    <row r="54" spans="2:88" x14ac:dyDescent="0.3">
      <c r="B54" s="153"/>
      <c r="M54" s="155"/>
      <c r="AV54" s="155"/>
      <c r="AW54" s="155"/>
    </row>
    <row r="55" spans="2:88" x14ac:dyDescent="0.3">
      <c r="B55" s="153"/>
      <c r="AV55" s="155"/>
      <c r="AW55" s="155"/>
    </row>
    <row r="56" spans="2:88" x14ac:dyDescent="0.3">
      <c r="B56" s="156"/>
    </row>
    <row r="57" spans="2:88" x14ac:dyDescent="0.3">
      <c r="B57" s="153"/>
      <c r="D57" s="155"/>
      <c r="E57" s="155"/>
      <c r="BA57" s="155"/>
    </row>
    <row r="58" spans="2:88" x14ac:dyDescent="0.3">
      <c r="B58" s="153"/>
      <c r="BB58" s="155"/>
    </row>
    <row r="59" spans="2:88" x14ac:dyDescent="0.3">
      <c r="B59" s="156"/>
      <c r="D59" s="155"/>
      <c r="E59" s="155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>
      <selection activeCell="I30" sqref="I30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61" t="s">
        <v>955</v>
      </c>
    </row>
    <row r="32" spans="7:12" x14ac:dyDescent="0.3">
      <c r="G32" s="61" t="s">
        <v>912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36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36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36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36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36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36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36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36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36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36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36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36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36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36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36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36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962</v>
      </c>
      <c r="I28" s="63"/>
      <c r="K28" s="62"/>
      <c r="L28" s="62"/>
    </row>
    <row r="29" spans="7:12" x14ac:dyDescent="0.3">
      <c r="G29" s="61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R11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61" t="s">
        <v>962</v>
      </c>
      <c r="K27" s="62"/>
      <c r="L27" s="62"/>
    </row>
    <row r="28" spans="7:12" x14ac:dyDescent="0.3">
      <c r="G28" s="61" t="s">
        <v>941</v>
      </c>
      <c r="I28" s="63"/>
      <c r="K28" s="62"/>
      <c r="L28" s="62"/>
    </row>
    <row r="29" spans="7:12" x14ac:dyDescent="0.3">
      <c r="G29" s="61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61" t="s">
        <v>962</v>
      </c>
      <c r="L26" s="62"/>
      <c r="M26" s="62"/>
    </row>
    <row r="27" spans="7:13" x14ac:dyDescent="0.3">
      <c r="G27" s="61" t="s">
        <v>941</v>
      </c>
      <c r="L27" s="62"/>
      <c r="M27" s="62"/>
    </row>
    <row r="28" spans="7:13" x14ac:dyDescent="0.3">
      <c r="G28" s="61" t="s">
        <v>955</v>
      </c>
      <c r="L28" s="62"/>
      <c r="M28" s="62"/>
    </row>
    <row r="29" spans="7:13" x14ac:dyDescent="0.3">
      <c r="G29" s="61" t="s">
        <v>912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2026-09-20T08:37:39Z</dcterms:modified>
  <dc:language>en-US</dc:language>
</cp:coreProperties>
</file>